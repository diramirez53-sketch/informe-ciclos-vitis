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20"/>
  <workbookPr/>
  <mc:AlternateContent xmlns:mc="http://schemas.openxmlformats.org/markup-compatibility/2006">
    <mc:Choice Requires="x15">
      <x15ac:absPath xmlns:x15ac="http://schemas.microsoft.com/office/spreadsheetml/2010/11/ac" url="https://agrowebsas.sharepoint.com/sites/GrupoASMDigital2/AGRONMICO ZONA CASANARE/01. ZONA MANI/Seguimiento Campo/Cosecha/"/>
    </mc:Choice>
  </mc:AlternateContent>
  <xr:revisionPtr revIDLastSave="0" documentId="8_{F3CF5FD6-AFCC-4C44-A7D9-8D85100F884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 Ciclos" sheetId="1" r:id="rId1"/>
    <sheet name="Registro Diario" sheetId="2" r:id="rId2"/>
    <sheet name="Avance Hectáreas" sheetId="8" r:id="rId3"/>
    <sheet name="Proyección Condición" sheetId="9" r:id="rId4"/>
    <sheet name="Parametros" sheetId="3" r:id="rId5"/>
    <sheet name="Censo" sheetId="4" state="hidden" r:id="rId6"/>
    <sheet name="Hoja1" sheetId="5" state="hidden" r:id="rId7"/>
    <sheet name="Calculo Agosto" sheetId="6" state="hidden" r:id="rId8"/>
    <sheet name="Grafica Ciclo" sheetId="7" r:id="rId9"/>
  </sheets>
  <definedNames>
    <definedName name="_xlnm._FilterDatabase" localSheetId="1" hidden="1">'Registro Diario'!$A$1:$GX$126</definedName>
    <definedName name="CicloObjetivo">Parametros!$B$4</definedName>
    <definedName name="VentanaCosecha">Parametros!$B$5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75" i="8" l="1"/>
  <c r="E11" i="9"/>
  <c r="A151" i="9"/>
  <c r="A150" i="9"/>
  <c r="A149" i="9"/>
  <c r="C115" i="9"/>
  <c r="B115" i="9"/>
  <c r="A115" i="9"/>
  <c r="C114" i="9"/>
  <c r="B114" i="9"/>
  <c r="A114" i="9"/>
  <c r="C113" i="9"/>
  <c r="B113" i="9"/>
  <c r="A113" i="9"/>
  <c r="C112" i="9"/>
  <c r="B112" i="9"/>
  <c r="A112" i="9"/>
  <c r="C111" i="9"/>
  <c r="B111" i="9"/>
  <c r="A111" i="9"/>
  <c r="C110" i="9"/>
  <c r="B110" i="9"/>
  <c r="A110" i="9"/>
  <c r="C109" i="9"/>
  <c r="B109" i="9"/>
  <c r="A109" i="9"/>
  <c r="C108" i="9"/>
  <c r="B108" i="9"/>
  <c r="A108" i="9"/>
  <c r="C107" i="9"/>
  <c r="B107" i="9"/>
  <c r="A107" i="9"/>
  <c r="C106" i="9"/>
  <c r="B106" i="9"/>
  <c r="A106" i="9"/>
  <c r="C105" i="9"/>
  <c r="B105" i="9"/>
  <c r="A105" i="9"/>
  <c r="C104" i="9"/>
  <c r="B104" i="9"/>
  <c r="A104" i="9"/>
  <c r="C103" i="9"/>
  <c r="B103" i="9"/>
  <c r="A103" i="9"/>
  <c r="C102" i="9"/>
  <c r="B102" i="9"/>
  <c r="A102" i="9"/>
  <c r="C101" i="9"/>
  <c r="B101" i="9"/>
  <c r="A101" i="9"/>
  <c r="C100" i="9"/>
  <c r="B100" i="9"/>
  <c r="A100" i="9"/>
  <c r="C99" i="9"/>
  <c r="B99" i="9"/>
  <c r="A99" i="9"/>
  <c r="C98" i="9"/>
  <c r="B98" i="9"/>
  <c r="A98" i="9"/>
  <c r="C97" i="9"/>
  <c r="B97" i="9"/>
  <c r="A97" i="9"/>
  <c r="C96" i="9"/>
  <c r="B96" i="9"/>
  <c r="A96" i="9"/>
  <c r="C95" i="9"/>
  <c r="B95" i="9"/>
  <c r="A95" i="9"/>
  <c r="C94" i="9"/>
  <c r="B94" i="9"/>
  <c r="A94" i="9"/>
  <c r="C93" i="9"/>
  <c r="B93" i="9"/>
  <c r="A93" i="9"/>
  <c r="C92" i="9"/>
  <c r="B92" i="9"/>
  <c r="A92" i="9"/>
  <c r="C91" i="9"/>
  <c r="B91" i="9"/>
  <c r="A91" i="9"/>
  <c r="C90" i="9"/>
  <c r="B90" i="9"/>
  <c r="A90" i="9"/>
  <c r="C89" i="9"/>
  <c r="B89" i="9"/>
  <c r="A89" i="9"/>
  <c r="C88" i="9"/>
  <c r="B88" i="9"/>
  <c r="A88" i="9"/>
  <c r="C87" i="9"/>
  <c r="B87" i="9"/>
  <c r="A87" i="9"/>
  <c r="C86" i="9"/>
  <c r="B86" i="9"/>
  <c r="A86" i="9"/>
  <c r="C85" i="9"/>
  <c r="B85" i="9"/>
  <c r="A85" i="9"/>
  <c r="C84" i="9"/>
  <c r="B84" i="9"/>
  <c r="A84" i="9"/>
  <c r="C83" i="9"/>
  <c r="B83" i="9"/>
  <c r="A83" i="9"/>
  <c r="C82" i="9"/>
  <c r="B82" i="9"/>
  <c r="A82" i="9"/>
  <c r="C81" i="9"/>
  <c r="B81" i="9"/>
  <c r="A81" i="9"/>
  <c r="C80" i="9"/>
  <c r="B80" i="9"/>
  <c r="A80" i="9"/>
  <c r="C79" i="9"/>
  <c r="B79" i="9"/>
  <c r="A79" i="9"/>
  <c r="C78" i="9"/>
  <c r="B78" i="9"/>
  <c r="A78" i="9"/>
  <c r="C77" i="9"/>
  <c r="B77" i="9"/>
  <c r="A77" i="9"/>
  <c r="C76" i="9"/>
  <c r="B76" i="9"/>
  <c r="A76" i="9"/>
  <c r="C75" i="9"/>
  <c r="B75" i="9"/>
  <c r="A75" i="9"/>
  <c r="C74" i="9"/>
  <c r="B74" i="9"/>
  <c r="A74" i="9"/>
  <c r="C73" i="9"/>
  <c r="B73" i="9"/>
  <c r="A73" i="9"/>
  <c r="C72" i="9"/>
  <c r="B72" i="9"/>
  <c r="A72" i="9"/>
  <c r="C71" i="9"/>
  <c r="B71" i="9"/>
  <c r="A71" i="9"/>
  <c r="C70" i="9"/>
  <c r="B70" i="9"/>
  <c r="A70" i="9"/>
  <c r="C69" i="9"/>
  <c r="B69" i="9"/>
  <c r="A69" i="9"/>
  <c r="C68" i="9"/>
  <c r="B68" i="9"/>
  <c r="A68" i="9"/>
  <c r="C67" i="9"/>
  <c r="B67" i="9"/>
  <c r="A67" i="9"/>
  <c r="C66" i="9"/>
  <c r="B66" i="9"/>
  <c r="A66" i="9"/>
  <c r="C65" i="9"/>
  <c r="B65" i="9"/>
  <c r="A65" i="9"/>
  <c r="C64" i="9"/>
  <c r="B64" i="9"/>
  <c r="A64" i="9"/>
  <c r="C63" i="9"/>
  <c r="B63" i="9"/>
  <c r="A63" i="9"/>
  <c r="C62" i="9"/>
  <c r="B62" i="9"/>
  <c r="A62" i="9"/>
  <c r="C61" i="9"/>
  <c r="B61" i="9"/>
  <c r="A61" i="9"/>
  <c r="C60" i="9"/>
  <c r="B60" i="9"/>
  <c r="A60" i="9"/>
  <c r="C59" i="9"/>
  <c r="B59" i="9"/>
  <c r="A59" i="9"/>
  <c r="C58" i="9"/>
  <c r="B58" i="9"/>
  <c r="A58" i="9"/>
  <c r="C57" i="9"/>
  <c r="B57" i="9"/>
  <c r="A57" i="9"/>
  <c r="C56" i="9"/>
  <c r="B56" i="9"/>
  <c r="A56" i="9"/>
  <c r="C55" i="9"/>
  <c r="B55" i="9"/>
  <c r="A55" i="9"/>
  <c r="C54" i="9"/>
  <c r="B54" i="9"/>
  <c r="A54" i="9"/>
  <c r="C53" i="9"/>
  <c r="B53" i="9"/>
  <c r="A53" i="9"/>
  <c r="C52" i="9"/>
  <c r="B52" i="9"/>
  <c r="A52" i="9"/>
  <c r="C51" i="9"/>
  <c r="B51" i="9"/>
  <c r="A51" i="9"/>
  <c r="C50" i="9"/>
  <c r="B50" i="9"/>
  <c r="A50" i="9"/>
  <c r="C49" i="9"/>
  <c r="B49" i="9"/>
  <c r="A49" i="9"/>
  <c r="C48" i="9"/>
  <c r="B48" i="9"/>
  <c r="A48" i="9"/>
  <c r="C47" i="9"/>
  <c r="B47" i="9"/>
  <c r="A47" i="9"/>
  <c r="C46" i="9"/>
  <c r="B46" i="9"/>
  <c r="A46" i="9"/>
  <c r="C45" i="9"/>
  <c r="B45" i="9"/>
  <c r="A45" i="9"/>
  <c r="C44" i="9"/>
  <c r="B44" i="9"/>
  <c r="A44" i="9"/>
  <c r="C43" i="9"/>
  <c r="B43" i="9"/>
  <c r="A43" i="9"/>
  <c r="C42" i="9"/>
  <c r="B42" i="9"/>
  <c r="A42" i="9"/>
  <c r="C41" i="9"/>
  <c r="B41" i="9"/>
  <c r="A41" i="9"/>
  <c r="C40" i="9"/>
  <c r="B40" i="9"/>
  <c r="A40" i="9"/>
  <c r="C39" i="9"/>
  <c r="B39" i="9"/>
  <c r="A39" i="9"/>
  <c r="C38" i="9"/>
  <c r="B38" i="9"/>
  <c r="A38" i="9"/>
  <c r="C37" i="9"/>
  <c r="B37" i="9"/>
  <c r="A37" i="9"/>
  <c r="C36" i="9"/>
  <c r="B36" i="9"/>
  <c r="A36" i="9"/>
  <c r="C35" i="9"/>
  <c r="B35" i="9"/>
  <c r="A35" i="9"/>
  <c r="C34" i="9"/>
  <c r="B34" i="9"/>
  <c r="A34" i="9"/>
  <c r="C33" i="9"/>
  <c r="B33" i="9"/>
  <c r="A33" i="9"/>
  <c r="C32" i="9"/>
  <c r="B32" i="9"/>
  <c r="A32" i="9"/>
  <c r="C31" i="9"/>
  <c r="B31" i="9"/>
  <c r="A31" i="9"/>
  <c r="C30" i="9"/>
  <c r="B30" i="9"/>
  <c r="A30" i="9"/>
  <c r="C29" i="9"/>
  <c r="B29" i="9"/>
  <c r="A29" i="9"/>
  <c r="C28" i="9"/>
  <c r="B28" i="9"/>
  <c r="A28" i="9"/>
  <c r="C27" i="9"/>
  <c r="B27" i="9"/>
  <c r="A27" i="9"/>
  <c r="C26" i="9"/>
  <c r="B26" i="9"/>
  <c r="A26" i="9"/>
  <c r="C25" i="9"/>
  <c r="B25" i="9"/>
  <c r="A25" i="9"/>
  <c r="C24" i="9"/>
  <c r="B24" i="9"/>
  <c r="A24" i="9"/>
  <c r="C23" i="9"/>
  <c r="B23" i="9"/>
  <c r="A23" i="9"/>
  <c r="C22" i="9"/>
  <c r="B22" i="9"/>
  <c r="A22" i="9"/>
  <c r="C7" i="9"/>
  <c r="C8" i="9"/>
  <c r="C6" i="9"/>
  <c r="C5" i="9"/>
  <c r="C88" i="8"/>
  <c r="B88" i="8"/>
  <c r="C87" i="8"/>
  <c r="B87" i="8"/>
  <c r="C86" i="8"/>
  <c r="B86" i="8"/>
  <c r="C85" i="8"/>
  <c r="B85" i="8"/>
  <c r="C84" i="8"/>
  <c r="B84" i="8"/>
  <c r="C83" i="8"/>
  <c r="B83" i="8"/>
  <c r="C82" i="8"/>
  <c r="B82" i="8"/>
  <c r="A74" i="8"/>
  <c r="A73" i="8"/>
  <c r="A72" i="8"/>
  <c r="A71" i="8"/>
  <c r="A70" i="8"/>
  <c r="A69" i="8"/>
  <c r="A13" i="8"/>
  <c r="B69" i="8"/>
  <c r="C6" i="8"/>
  <c r="C5" i="8"/>
  <c r="B13" i="8"/>
  <c r="A14" i="8"/>
  <c r="B14" i="8"/>
  <c r="C89" i="8"/>
  <c r="C9" i="9"/>
  <c r="B89" i="8"/>
  <c r="A136" i="9"/>
  <c r="B136" i="9"/>
  <c r="C11" i="9"/>
  <c r="A15" i="8"/>
  <c r="A16" i="8"/>
  <c r="B15" i="8"/>
  <c r="A137" i="9"/>
  <c r="B137" i="9"/>
  <c r="A17" i="8"/>
  <c r="B16" i="8"/>
  <c r="A138" i="9"/>
  <c r="A139" i="9"/>
  <c r="B138" i="9"/>
  <c r="A18" i="8"/>
  <c r="B17" i="8"/>
  <c r="D17" i="8" a="1"/>
  <c r="C17" i="8" a="1"/>
  <c r="A140" i="9"/>
  <c r="B139" i="9"/>
  <c r="A19" i="8"/>
  <c r="B18" i="8"/>
  <c r="A141" i="9"/>
  <c r="B140" i="9"/>
  <c r="A20" i="8"/>
  <c r="B19" i="8"/>
  <c r="A142" i="9"/>
  <c r="B141" i="9"/>
  <c r="A21" i="8"/>
  <c r="B20" i="8"/>
  <c r="A143" i="9"/>
  <c r="B142" i="9"/>
  <c r="A22" i="8"/>
  <c r="B21" i="8"/>
  <c r="A144" i="9"/>
  <c r="B144" i="9"/>
  <c r="B143" i="9"/>
  <c r="A23" i="8"/>
  <c r="B22" i="8"/>
  <c r="BL63" i="2"/>
  <c r="B188" i="7" a="1"/>
  <c r="B187" i="7" a="1"/>
  <c r="B186" i="7" a="1"/>
  <c r="B185" i="7" a="1"/>
  <c r="B184" i="7" a="1"/>
  <c r="B183" i="7" a="1"/>
  <c r="B182" i="7" a="1"/>
  <c r="B181" i="7" a="1"/>
  <c r="B180" i="7" a="1"/>
  <c r="B179" i="7" a="1"/>
  <c r="B178" i="7" a="1"/>
  <c r="B177" i="7" a="1"/>
  <c r="B176" i="7" a="1"/>
  <c r="B175" i="7" a="1"/>
  <c r="B174" i="7" a="1"/>
  <c r="B173" i="7" a="1"/>
  <c r="B172" i="7" a="1"/>
  <c r="B171" i="7" a="1"/>
  <c r="B170" i="7" a="1"/>
  <c r="B169" i="7" a="1"/>
  <c r="B168" i="7" a="1"/>
  <c r="B167" i="7" a="1"/>
  <c r="B166" i="7" a="1"/>
  <c r="B165" i="7" a="1"/>
  <c r="B164" i="7" a="1"/>
  <c r="B163" i="7" a="1"/>
  <c r="B162" i="7" a="1"/>
  <c r="B161" i="7" a="1"/>
  <c r="B160" i="7" a="1"/>
  <c r="B159" i="7" a="1"/>
  <c r="B158" i="7" a="1"/>
  <c r="B157" i="7" a="1"/>
  <c r="B156" i="7" a="1"/>
  <c r="B155" i="7" a="1"/>
  <c r="B154" i="7" a="1"/>
  <c r="B153" i="7" a="1"/>
  <c r="B152" i="7" a="1"/>
  <c r="B151" i="7" a="1"/>
  <c r="B150" i="7" a="1"/>
  <c r="B149" i="7" a="1"/>
  <c r="B148" i="7" a="1"/>
  <c r="B147" i="7" a="1"/>
  <c r="B146" i="7" a="1"/>
  <c r="B145" i="7" a="1"/>
  <c r="B144" i="7" a="1"/>
  <c r="B143" i="7" a="1"/>
  <c r="B142" i="7" a="1"/>
  <c r="B141" i="7" a="1"/>
  <c r="B140" i="7" a="1"/>
  <c r="B139" i="7" a="1"/>
  <c r="B138" i="7" a="1"/>
  <c r="B137" i="7" a="1"/>
  <c r="B136" i="7" a="1"/>
  <c r="B135" i="7" a="1"/>
  <c r="B134" i="7" a="1"/>
  <c r="B133" i="7" a="1"/>
  <c r="B132" i="7" a="1"/>
  <c r="B131" i="7" a="1"/>
  <c r="B130" i="7" a="1"/>
  <c r="B129" i="7" a="1"/>
  <c r="B128" i="7" a="1"/>
  <c r="B127" i="7" a="1"/>
  <c r="B126" i="7" a="1"/>
  <c r="B125" i="7" a="1"/>
  <c r="B124" i="7" a="1"/>
  <c r="B123" i="7" a="1"/>
  <c r="B122" i="7" a="1"/>
  <c r="B121" i="7" a="1"/>
  <c r="B120" i="7" a="1"/>
  <c r="B119" i="7" a="1"/>
  <c r="B118" i="7" a="1"/>
  <c r="B117" i="7" a="1"/>
  <c r="B116" i="7" a="1"/>
  <c r="B115" i="7" a="1"/>
  <c r="B114" i="7" a="1"/>
  <c r="B113" i="7" a="1"/>
  <c r="B112" i="7" a="1"/>
  <c r="B111" i="7" a="1"/>
  <c r="B110" i="7" a="1"/>
  <c r="B109" i="7" a="1"/>
  <c r="B108" i="7" a="1"/>
  <c r="B107" i="7" a="1"/>
  <c r="B106" i="7" a="1"/>
  <c r="B105" i="7" a="1"/>
  <c r="B104" i="7" a="1"/>
  <c r="B103" i="7" a="1"/>
  <c r="B102" i="7" a="1"/>
  <c r="B101" i="7" a="1"/>
  <c r="B100" i="7" a="1"/>
  <c r="B99" i="7" a="1"/>
  <c r="B98" i="7" a="1"/>
  <c r="B97" i="7" a="1"/>
  <c r="B96" i="7" a="1"/>
  <c r="B95" i="7" a="1"/>
  <c r="B94" i="7" a="1"/>
  <c r="B93" i="7" a="1"/>
  <c r="B92" i="7" a="1"/>
  <c r="B91" i="7" a="1"/>
  <c r="B90" i="7" a="1"/>
  <c r="B89" i="7" a="1"/>
  <c r="B88" i="7" a="1"/>
  <c r="B87" i="7" a="1"/>
  <c r="B86" i="7" a="1"/>
  <c r="B85" i="7" a="1"/>
  <c r="B84" i="7" a="1"/>
  <c r="B83" i="7" a="1"/>
  <c r="B82" i="7" a="1"/>
  <c r="B81" i="7" a="1"/>
  <c r="B80" i="7" a="1"/>
  <c r="B79" i="7" a="1"/>
  <c r="B78" i="7" a="1"/>
  <c r="B77" i="7" a="1"/>
  <c r="B76" i="7" a="1"/>
  <c r="B75" i="7" a="1"/>
  <c r="B74" i="7" a="1"/>
  <c r="B73" i="7" a="1"/>
  <c r="B72" i="7" a="1"/>
  <c r="B71" i="7" a="1"/>
  <c r="B70" i="7" a="1"/>
  <c r="B69" i="7" a="1"/>
  <c r="B68" i="7" a="1"/>
  <c r="B67" i="7" a="1"/>
  <c r="B66" i="7" a="1"/>
  <c r="B65" i="7" a="1"/>
  <c r="B64" i="7" a="1"/>
  <c r="B63" i="7" a="1"/>
  <c r="B62" i="7" a="1"/>
  <c r="B61" i="7" a="1"/>
  <c r="B60" i="7" a="1"/>
  <c r="B59" i="7" a="1"/>
  <c r="A24" i="8"/>
  <c r="B23" i="8"/>
  <c r="AA128" i="2"/>
  <c r="B9" i="7" a="1"/>
  <c r="H14" i="6"/>
  <c r="D20" i="6"/>
  <c r="D15" i="6"/>
  <c r="D17" i="6"/>
  <c r="D22" i="6"/>
  <c r="A25" i="8"/>
  <c r="B24" i="8"/>
  <c r="D23" i="6"/>
  <c r="D7" i="6"/>
  <c r="D9" i="6"/>
  <c r="D10" i="6"/>
  <c r="H15" i="6"/>
  <c r="H16" i="6"/>
  <c r="A26" i="8"/>
  <c r="B25" i="8"/>
  <c r="AN80" i="2"/>
  <c r="AN58" i="2"/>
  <c r="AN49" i="2"/>
  <c r="AN24" i="2"/>
  <c r="AN22" i="2"/>
  <c r="AN8" i="2"/>
  <c r="AR32" i="2"/>
  <c r="AR9" i="2"/>
  <c r="A27" i="8"/>
  <c r="B26" i="8"/>
  <c r="AL85" i="2"/>
  <c r="AM85" i="2"/>
  <c r="AK84" i="2"/>
  <c r="AL84" i="2"/>
  <c r="AM84" i="2"/>
  <c r="AO80" i="2"/>
  <c r="AP80" i="2"/>
  <c r="AQ80" i="2"/>
  <c r="AR80" i="2"/>
  <c r="AM75" i="2"/>
  <c r="AL74" i="2"/>
  <c r="AM74" i="2"/>
  <c r="AL73" i="2"/>
  <c r="AM73" i="2"/>
  <c r="AL72" i="2"/>
  <c r="AM72" i="2"/>
  <c r="AK71" i="2"/>
  <c r="AL71" i="2"/>
  <c r="AM71" i="2"/>
  <c r="AO60" i="2"/>
  <c r="AP60" i="2"/>
  <c r="AQ60" i="2"/>
  <c r="AR60" i="2"/>
  <c r="AO59" i="2"/>
  <c r="AP59" i="2"/>
  <c r="AQ59" i="2"/>
  <c r="AR59" i="2"/>
  <c r="AO58" i="2"/>
  <c r="AP58" i="2"/>
  <c r="AQ58" i="2"/>
  <c r="AR58" i="2"/>
  <c r="AO49" i="2"/>
  <c r="AP49" i="2"/>
  <c r="AQ49" i="2"/>
  <c r="AR49" i="2"/>
  <c r="AK46" i="2"/>
  <c r="AL46" i="2"/>
  <c r="AM46" i="2"/>
  <c r="AO29" i="2"/>
  <c r="AP29" i="2"/>
  <c r="AQ29" i="2"/>
  <c r="AR29" i="2"/>
  <c r="AL27" i="2"/>
  <c r="AM27" i="2"/>
  <c r="AO24" i="2"/>
  <c r="AP24" i="2"/>
  <c r="AQ24" i="2"/>
  <c r="AR24" i="2"/>
  <c r="AO22" i="2"/>
  <c r="AP22" i="2"/>
  <c r="AQ22" i="2"/>
  <c r="AR22" i="2"/>
  <c r="AK19" i="2"/>
  <c r="AL19" i="2"/>
  <c r="AM19" i="2"/>
  <c r="AO18" i="2"/>
  <c r="AP18" i="2"/>
  <c r="AQ18" i="2"/>
  <c r="AR18" i="2"/>
  <c r="AQ17" i="2"/>
  <c r="AR17" i="2"/>
  <c r="AO8" i="2"/>
  <c r="AP8" i="2"/>
  <c r="AQ8" i="2"/>
  <c r="AR8" i="2"/>
  <c r="AM7" i="2"/>
  <c r="AL6" i="2"/>
  <c r="AM6" i="2"/>
  <c r="AB126" i="2"/>
  <c r="AC126" i="2"/>
  <c r="AD126" i="2"/>
  <c r="AE126" i="2"/>
  <c r="AF126" i="2"/>
  <c r="AG126" i="2"/>
  <c r="AH126" i="2"/>
  <c r="AI126" i="2"/>
  <c r="AJ126" i="2"/>
  <c r="AK126" i="2"/>
  <c r="AL126" i="2"/>
  <c r="AM126" i="2"/>
  <c r="AB125" i="2"/>
  <c r="AC125" i="2"/>
  <c r="AD125" i="2"/>
  <c r="AE125" i="2"/>
  <c r="AF125" i="2"/>
  <c r="AG125" i="2"/>
  <c r="AH125" i="2"/>
  <c r="AI125" i="2"/>
  <c r="AJ125" i="2"/>
  <c r="AK125" i="2"/>
  <c r="AL125" i="2"/>
  <c r="AM125" i="2"/>
  <c r="AB124" i="2"/>
  <c r="AC124" i="2"/>
  <c r="AD124" i="2"/>
  <c r="AE124" i="2"/>
  <c r="AF124" i="2"/>
  <c r="AG124" i="2"/>
  <c r="AH124" i="2"/>
  <c r="AI124" i="2"/>
  <c r="AJ124" i="2"/>
  <c r="AK124" i="2"/>
  <c r="AL124" i="2"/>
  <c r="AM124" i="2"/>
  <c r="AB123" i="2"/>
  <c r="AC123" i="2"/>
  <c r="AD123" i="2"/>
  <c r="AE123" i="2"/>
  <c r="AF123" i="2"/>
  <c r="AG123" i="2"/>
  <c r="AH123" i="2"/>
  <c r="AI123" i="2"/>
  <c r="AJ123" i="2"/>
  <c r="AK123" i="2"/>
  <c r="AL123" i="2"/>
  <c r="AM123" i="2"/>
  <c r="AB122" i="2"/>
  <c r="AC122" i="2"/>
  <c r="AD122" i="2"/>
  <c r="AE122" i="2"/>
  <c r="AF122" i="2"/>
  <c r="AG122" i="2"/>
  <c r="AH122" i="2"/>
  <c r="AI122" i="2"/>
  <c r="AJ122" i="2"/>
  <c r="AK122" i="2"/>
  <c r="AL122" i="2"/>
  <c r="AM122" i="2"/>
  <c r="AB121" i="2"/>
  <c r="AC121" i="2"/>
  <c r="AD121" i="2"/>
  <c r="AE121" i="2"/>
  <c r="AF121" i="2"/>
  <c r="AG121" i="2"/>
  <c r="AH121" i="2"/>
  <c r="AI121" i="2"/>
  <c r="AJ121" i="2"/>
  <c r="AK121" i="2"/>
  <c r="AL121" i="2"/>
  <c r="AM121" i="2"/>
  <c r="AB120" i="2"/>
  <c r="AC120" i="2"/>
  <c r="AD120" i="2"/>
  <c r="AE120" i="2"/>
  <c r="AF120" i="2"/>
  <c r="AG120" i="2"/>
  <c r="AH120" i="2"/>
  <c r="AI120" i="2"/>
  <c r="AJ120" i="2"/>
  <c r="AK120" i="2"/>
  <c r="AL120" i="2"/>
  <c r="AM120" i="2"/>
  <c r="AB119" i="2"/>
  <c r="AC119" i="2"/>
  <c r="AD119" i="2"/>
  <c r="AE119" i="2"/>
  <c r="AF119" i="2"/>
  <c r="AG119" i="2"/>
  <c r="AH119" i="2"/>
  <c r="AI119" i="2"/>
  <c r="AJ119" i="2"/>
  <c r="AK119" i="2"/>
  <c r="AL119" i="2"/>
  <c r="AM119" i="2"/>
  <c r="AB118" i="2"/>
  <c r="AC118" i="2"/>
  <c r="AD118" i="2"/>
  <c r="AE118" i="2"/>
  <c r="AF118" i="2"/>
  <c r="AG118" i="2"/>
  <c r="AH118" i="2"/>
  <c r="AI118" i="2"/>
  <c r="AJ118" i="2"/>
  <c r="AK118" i="2"/>
  <c r="AL118" i="2"/>
  <c r="AM118" i="2"/>
  <c r="AB117" i="2"/>
  <c r="AC117" i="2"/>
  <c r="AD117" i="2"/>
  <c r="AE117" i="2"/>
  <c r="AF117" i="2"/>
  <c r="AG117" i="2"/>
  <c r="AH117" i="2"/>
  <c r="AI117" i="2"/>
  <c r="AJ117" i="2"/>
  <c r="AK117" i="2"/>
  <c r="AL117" i="2"/>
  <c r="AM117" i="2"/>
  <c r="AB116" i="2"/>
  <c r="AC116" i="2"/>
  <c r="AD116" i="2"/>
  <c r="AE116" i="2"/>
  <c r="AF116" i="2"/>
  <c r="AG116" i="2"/>
  <c r="AH116" i="2"/>
  <c r="AI116" i="2"/>
  <c r="AJ116" i="2"/>
  <c r="AK116" i="2"/>
  <c r="AL116" i="2"/>
  <c r="AM116" i="2"/>
  <c r="AB115" i="2"/>
  <c r="AC115" i="2"/>
  <c r="AD115" i="2"/>
  <c r="AE115" i="2"/>
  <c r="AF115" i="2"/>
  <c r="AG115" i="2"/>
  <c r="AH115" i="2"/>
  <c r="AI115" i="2"/>
  <c r="AJ115" i="2"/>
  <c r="AK115" i="2"/>
  <c r="AL115" i="2"/>
  <c r="AM115" i="2"/>
  <c r="AB114" i="2"/>
  <c r="AC114" i="2"/>
  <c r="AD114" i="2"/>
  <c r="AE114" i="2"/>
  <c r="AF114" i="2"/>
  <c r="AG114" i="2"/>
  <c r="AH114" i="2"/>
  <c r="AI114" i="2"/>
  <c r="AJ114" i="2"/>
  <c r="AK114" i="2"/>
  <c r="AL114" i="2"/>
  <c r="AM114" i="2"/>
  <c r="AB113" i="2"/>
  <c r="AC113" i="2"/>
  <c r="AD113" i="2"/>
  <c r="AE113" i="2"/>
  <c r="AF113" i="2"/>
  <c r="AG113" i="2"/>
  <c r="AH113" i="2"/>
  <c r="AI113" i="2"/>
  <c r="AJ113" i="2"/>
  <c r="AK113" i="2"/>
  <c r="AL113" i="2"/>
  <c r="AM113" i="2"/>
  <c r="AB112" i="2"/>
  <c r="AC112" i="2"/>
  <c r="AD112" i="2"/>
  <c r="AE112" i="2"/>
  <c r="AF112" i="2"/>
  <c r="AG112" i="2"/>
  <c r="AH112" i="2"/>
  <c r="AI112" i="2"/>
  <c r="AJ112" i="2"/>
  <c r="AK112" i="2"/>
  <c r="AL112" i="2"/>
  <c r="AM112" i="2"/>
  <c r="AB111" i="2"/>
  <c r="AC111" i="2"/>
  <c r="AD111" i="2"/>
  <c r="AE111" i="2"/>
  <c r="AF111" i="2"/>
  <c r="AG111" i="2"/>
  <c r="AH111" i="2"/>
  <c r="AI111" i="2"/>
  <c r="AJ111" i="2"/>
  <c r="AK111" i="2"/>
  <c r="AL111" i="2"/>
  <c r="AM111" i="2"/>
  <c r="AB110" i="2"/>
  <c r="AC110" i="2"/>
  <c r="AD110" i="2"/>
  <c r="AE110" i="2"/>
  <c r="AF110" i="2"/>
  <c r="AG110" i="2"/>
  <c r="AH110" i="2"/>
  <c r="AI110" i="2"/>
  <c r="AJ110" i="2"/>
  <c r="AK110" i="2"/>
  <c r="AL110" i="2"/>
  <c r="AM110" i="2"/>
  <c r="AB109" i="2"/>
  <c r="AC109" i="2"/>
  <c r="AD109" i="2"/>
  <c r="AE109" i="2"/>
  <c r="AF109" i="2"/>
  <c r="AG109" i="2"/>
  <c r="AH109" i="2"/>
  <c r="AI109" i="2"/>
  <c r="AJ109" i="2"/>
  <c r="AK109" i="2"/>
  <c r="AL109" i="2"/>
  <c r="AM109" i="2"/>
  <c r="AB108" i="2"/>
  <c r="AC108" i="2"/>
  <c r="AD108" i="2"/>
  <c r="AE108" i="2"/>
  <c r="AF108" i="2"/>
  <c r="AG108" i="2"/>
  <c r="AH108" i="2"/>
  <c r="AI108" i="2"/>
  <c r="AJ108" i="2"/>
  <c r="AK108" i="2"/>
  <c r="AL108" i="2"/>
  <c r="AM108" i="2"/>
  <c r="AB107" i="2"/>
  <c r="AC107" i="2"/>
  <c r="AD107" i="2"/>
  <c r="AE107" i="2"/>
  <c r="AF107" i="2"/>
  <c r="AG107" i="2"/>
  <c r="AH107" i="2"/>
  <c r="AI107" i="2"/>
  <c r="AJ107" i="2"/>
  <c r="AK107" i="2"/>
  <c r="AL107" i="2"/>
  <c r="AM107" i="2"/>
  <c r="AB106" i="2"/>
  <c r="AC106" i="2"/>
  <c r="AD106" i="2"/>
  <c r="AE106" i="2"/>
  <c r="AF106" i="2"/>
  <c r="AG106" i="2"/>
  <c r="AH106" i="2"/>
  <c r="AI106" i="2"/>
  <c r="AJ106" i="2"/>
  <c r="AK106" i="2"/>
  <c r="AL106" i="2"/>
  <c r="AM106" i="2"/>
  <c r="AB105" i="2"/>
  <c r="AC105" i="2"/>
  <c r="AD105" i="2"/>
  <c r="AE105" i="2"/>
  <c r="AF105" i="2"/>
  <c r="AG105" i="2"/>
  <c r="AH105" i="2"/>
  <c r="AI105" i="2"/>
  <c r="AJ105" i="2"/>
  <c r="AK105" i="2"/>
  <c r="AL105" i="2"/>
  <c r="AM105" i="2"/>
  <c r="AB104" i="2"/>
  <c r="AC104" i="2"/>
  <c r="AD104" i="2"/>
  <c r="AE104" i="2"/>
  <c r="AF104" i="2"/>
  <c r="AG104" i="2"/>
  <c r="AH104" i="2"/>
  <c r="AI104" i="2"/>
  <c r="AJ104" i="2"/>
  <c r="AK104" i="2"/>
  <c r="AL104" i="2"/>
  <c r="AM104" i="2"/>
  <c r="AB103" i="2"/>
  <c r="AC103" i="2"/>
  <c r="AD103" i="2"/>
  <c r="AE103" i="2"/>
  <c r="AF103" i="2"/>
  <c r="AG103" i="2"/>
  <c r="AH103" i="2"/>
  <c r="AI103" i="2"/>
  <c r="AJ103" i="2"/>
  <c r="AK103" i="2"/>
  <c r="AL103" i="2"/>
  <c r="AM103" i="2"/>
  <c r="AB102" i="2"/>
  <c r="AC102" i="2"/>
  <c r="AD102" i="2"/>
  <c r="AE102" i="2"/>
  <c r="AF102" i="2"/>
  <c r="AG102" i="2"/>
  <c r="AH102" i="2"/>
  <c r="AI102" i="2"/>
  <c r="AJ102" i="2"/>
  <c r="AK102" i="2"/>
  <c r="AL102" i="2"/>
  <c r="AM102" i="2"/>
  <c r="AB101" i="2"/>
  <c r="AC101" i="2"/>
  <c r="AD101" i="2"/>
  <c r="AE101" i="2"/>
  <c r="AF101" i="2"/>
  <c r="AG101" i="2"/>
  <c r="AH101" i="2"/>
  <c r="AI101" i="2"/>
  <c r="AJ101" i="2"/>
  <c r="AK101" i="2"/>
  <c r="AL101" i="2"/>
  <c r="AM101" i="2"/>
  <c r="AB100" i="2"/>
  <c r="AC100" i="2"/>
  <c r="AD100" i="2"/>
  <c r="AE100" i="2"/>
  <c r="AF100" i="2"/>
  <c r="AG100" i="2"/>
  <c r="AH100" i="2"/>
  <c r="AI100" i="2"/>
  <c r="AJ100" i="2"/>
  <c r="AK100" i="2"/>
  <c r="AL100" i="2"/>
  <c r="AM100" i="2"/>
  <c r="AB99" i="2"/>
  <c r="AC99" i="2"/>
  <c r="AD99" i="2"/>
  <c r="AE99" i="2"/>
  <c r="AF99" i="2"/>
  <c r="AG99" i="2"/>
  <c r="AH99" i="2"/>
  <c r="AI99" i="2"/>
  <c r="AJ99" i="2"/>
  <c r="AK99" i="2"/>
  <c r="AL99" i="2"/>
  <c r="AM99" i="2"/>
  <c r="AB98" i="2"/>
  <c r="AC98" i="2"/>
  <c r="AD98" i="2"/>
  <c r="AE98" i="2"/>
  <c r="AF98" i="2"/>
  <c r="AG98" i="2"/>
  <c r="AH98" i="2"/>
  <c r="AI98" i="2"/>
  <c r="AJ98" i="2"/>
  <c r="AK98" i="2"/>
  <c r="AL98" i="2"/>
  <c r="AM98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Z95" i="2"/>
  <c r="Y95" i="2"/>
  <c r="X95" i="2"/>
  <c r="W95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Z94" i="2"/>
  <c r="Y94" i="2"/>
  <c r="X94" i="2"/>
  <c r="W94" i="2"/>
  <c r="AB93" i="2"/>
  <c r="AC93" i="2"/>
  <c r="AD93" i="2"/>
  <c r="AE93" i="2"/>
  <c r="AF93" i="2"/>
  <c r="AG93" i="2"/>
  <c r="AH93" i="2"/>
  <c r="AI93" i="2"/>
  <c r="AJ93" i="2"/>
  <c r="AK93" i="2"/>
  <c r="AL93" i="2"/>
  <c r="AM93" i="2"/>
  <c r="Z93" i="2"/>
  <c r="Y93" i="2"/>
  <c r="X93" i="2"/>
  <c r="W93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Z92" i="2"/>
  <c r="Y92" i="2"/>
  <c r="X92" i="2"/>
  <c r="W92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Z91" i="2"/>
  <c r="Y91" i="2"/>
  <c r="X91" i="2"/>
  <c r="W91" i="2"/>
  <c r="AI90" i="2"/>
  <c r="AJ90" i="2"/>
  <c r="AK90" i="2"/>
  <c r="AL90" i="2"/>
  <c r="AM90" i="2"/>
  <c r="AB90" i="2"/>
  <c r="AC90" i="2"/>
  <c r="AD90" i="2"/>
  <c r="AE90" i="2"/>
  <c r="AF90" i="2"/>
  <c r="AG90" i="2"/>
  <c r="Z90" i="2"/>
  <c r="Y90" i="2"/>
  <c r="X90" i="2"/>
  <c r="W90" i="2"/>
  <c r="AH89" i="2"/>
  <c r="AI89" i="2"/>
  <c r="AJ89" i="2"/>
  <c r="AK89" i="2"/>
  <c r="AL89" i="2"/>
  <c r="AM89" i="2"/>
  <c r="AB89" i="2"/>
  <c r="AC89" i="2"/>
  <c r="AD89" i="2"/>
  <c r="AE89" i="2"/>
  <c r="AF89" i="2"/>
  <c r="Z89" i="2"/>
  <c r="Y89" i="2"/>
  <c r="X89" i="2"/>
  <c r="W89" i="2"/>
  <c r="AF88" i="2"/>
  <c r="AG88" i="2"/>
  <c r="AH88" i="2"/>
  <c r="AI88" i="2"/>
  <c r="AJ88" i="2"/>
  <c r="AK88" i="2"/>
  <c r="AL88" i="2"/>
  <c r="AM88" i="2"/>
  <c r="AB88" i="2"/>
  <c r="AC88" i="2"/>
  <c r="AD88" i="2"/>
  <c r="Z88" i="2"/>
  <c r="Y88" i="2"/>
  <c r="X88" i="2"/>
  <c r="W88" i="2"/>
  <c r="AC87" i="2"/>
  <c r="AD87" i="2"/>
  <c r="AE87" i="2"/>
  <c r="AF87" i="2"/>
  <c r="AG87" i="2"/>
  <c r="AH87" i="2"/>
  <c r="AI87" i="2"/>
  <c r="AJ87" i="2"/>
  <c r="AK87" i="2"/>
  <c r="AL87" i="2"/>
  <c r="AM87" i="2"/>
  <c r="Z87" i="2"/>
  <c r="Y87" i="2"/>
  <c r="X87" i="2"/>
  <c r="W87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Z86" i="2"/>
  <c r="Y86" i="2"/>
  <c r="X86" i="2"/>
  <c r="W86" i="2"/>
  <c r="AB85" i="2"/>
  <c r="AC85" i="2"/>
  <c r="AD85" i="2"/>
  <c r="AE85" i="2"/>
  <c r="AF85" i="2"/>
  <c r="AG85" i="2"/>
  <c r="AH85" i="2"/>
  <c r="AI85" i="2"/>
  <c r="AJ85" i="2"/>
  <c r="Z85" i="2"/>
  <c r="Y85" i="2"/>
  <c r="X85" i="2"/>
  <c r="W85" i="2"/>
  <c r="AB84" i="2"/>
  <c r="AC84" i="2"/>
  <c r="AD84" i="2"/>
  <c r="AE84" i="2"/>
  <c r="AF84" i="2"/>
  <c r="AG84" i="2"/>
  <c r="AH84" i="2"/>
  <c r="AI84" i="2"/>
  <c r="Z84" i="2"/>
  <c r="Y84" i="2"/>
  <c r="X84" i="2"/>
  <c r="W84" i="2"/>
  <c r="AJ83" i="2"/>
  <c r="AK83" i="2"/>
  <c r="AL83" i="2"/>
  <c r="AM83" i="2"/>
  <c r="AB83" i="2"/>
  <c r="AC83" i="2"/>
  <c r="AD83" i="2"/>
  <c r="AE83" i="2"/>
  <c r="AF83" i="2"/>
  <c r="AG83" i="2"/>
  <c r="AH83" i="2"/>
  <c r="Z83" i="2"/>
  <c r="Y83" i="2"/>
  <c r="X83" i="2"/>
  <c r="W83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Z82" i="2"/>
  <c r="Y82" i="2"/>
  <c r="X82" i="2"/>
  <c r="W82" i="2"/>
  <c r="AB81" i="2"/>
  <c r="AC81" i="2"/>
  <c r="AD81" i="2"/>
  <c r="AE81" i="2"/>
  <c r="AF81" i="2"/>
  <c r="AG81" i="2"/>
  <c r="AH81" i="2"/>
  <c r="AI81" i="2"/>
  <c r="AJ81" i="2"/>
  <c r="AK81" i="2"/>
  <c r="AL81" i="2"/>
  <c r="AM81" i="2"/>
  <c r="Z81" i="2"/>
  <c r="Y81" i="2"/>
  <c r="X81" i="2"/>
  <c r="W81" i="2"/>
  <c r="AB80" i="2"/>
  <c r="AC80" i="2"/>
  <c r="AD80" i="2"/>
  <c r="AE80" i="2"/>
  <c r="AF80" i="2"/>
  <c r="AG80" i="2"/>
  <c r="AH80" i="2"/>
  <c r="AI80" i="2"/>
  <c r="AJ80" i="2"/>
  <c r="AK80" i="2"/>
  <c r="AL80" i="2"/>
  <c r="Z80" i="2"/>
  <c r="Y80" i="2"/>
  <c r="X80" i="2"/>
  <c r="W80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Z79" i="2"/>
  <c r="Y79" i="2"/>
  <c r="X79" i="2"/>
  <c r="W79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Z78" i="2"/>
  <c r="Y78" i="2"/>
  <c r="X78" i="2"/>
  <c r="W78" i="2"/>
  <c r="AB77" i="2"/>
  <c r="AC77" i="2"/>
  <c r="AD77" i="2"/>
  <c r="AE77" i="2"/>
  <c r="AF77" i="2"/>
  <c r="AG77" i="2"/>
  <c r="AH77" i="2"/>
  <c r="AI77" i="2"/>
  <c r="AJ77" i="2"/>
  <c r="AK77" i="2"/>
  <c r="AL77" i="2"/>
  <c r="AM77" i="2"/>
  <c r="Z77" i="2"/>
  <c r="Y77" i="2"/>
  <c r="X77" i="2"/>
  <c r="W77" i="2"/>
  <c r="AD76" i="2"/>
  <c r="AE76" i="2"/>
  <c r="AF76" i="2"/>
  <c r="AG76" i="2"/>
  <c r="AH76" i="2"/>
  <c r="AI76" i="2"/>
  <c r="AJ76" i="2"/>
  <c r="AK76" i="2"/>
  <c r="AL76" i="2"/>
  <c r="AM76" i="2"/>
  <c r="AB76" i="2"/>
  <c r="Z76" i="2"/>
  <c r="Y76" i="2"/>
  <c r="X76" i="2"/>
  <c r="W76" i="2"/>
  <c r="AB75" i="2"/>
  <c r="AC75" i="2"/>
  <c r="AD75" i="2"/>
  <c r="AE75" i="2"/>
  <c r="AF75" i="2"/>
  <c r="AG75" i="2"/>
  <c r="AH75" i="2"/>
  <c r="AI75" i="2"/>
  <c r="AJ75" i="2"/>
  <c r="AK75" i="2"/>
  <c r="Z75" i="2"/>
  <c r="Y75" i="2"/>
  <c r="X75" i="2"/>
  <c r="W75" i="2"/>
  <c r="AB74" i="2"/>
  <c r="AC74" i="2"/>
  <c r="AD74" i="2"/>
  <c r="AE74" i="2"/>
  <c r="AF74" i="2"/>
  <c r="AG74" i="2"/>
  <c r="AH74" i="2"/>
  <c r="AI74" i="2"/>
  <c r="AJ74" i="2"/>
  <c r="Z74" i="2"/>
  <c r="Y74" i="2"/>
  <c r="X74" i="2"/>
  <c r="W74" i="2"/>
  <c r="AB73" i="2"/>
  <c r="AC73" i="2"/>
  <c r="AD73" i="2"/>
  <c r="AE73" i="2"/>
  <c r="AF73" i="2"/>
  <c r="AG73" i="2"/>
  <c r="AH73" i="2"/>
  <c r="AI73" i="2"/>
  <c r="AJ73" i="2"/>
  <c r="Z73" i="2"/>
  <c r="Y73" i="2"/>
  <c r="X73" i="2"/>
  <c r="W73" i="2"/>
  <c r="AB72" i="2"/>
  <c r="AC72" i="2"/>
  <c r="AD72" i="2"/>
  <c r="AE72" i="2"/>
  <c r="AF72" i="2"/>
  <c r="AG72" i="2"/>
  <c r="AH72" i="2"/>
  <c r="AI72" i="2"/>
  <c r="AJ72" i="2"/>
  <c r="Z72" i="2"/>
  <c r="Y72" i="2"/>
  <c r="X72" i="2"/>
  <c r="W72" i="2"/>
  <c r="AB71" i="2"/>
  <c r="AC71" i="2"/>
  <c r="AD71" i="2"/>
  <c r="AE71" i="2"/>
  <c r="AF71" i="2"/>
  <c r="AG71" i="2"/>
  <c r="AH71" i="2"/>
  <c r="AI71" i="2"/>
  <c r="Z71" i="2"/>
  <c r="Y71" i="2"/>
  <c r="X71" i="2"/>
  <c r="W71" i="2"/>
  <c r="AH70" i="2"/>
  <c r="AI70" i="2"/>
  <c r="AJ70" i="2"/>
  <c r="AK70" i="2"/>
  <c r="AL70" i="2"/>
  <c r="AM70" i="2"/>
  <c r="AB70" i="2"/>
  <c r="AC70" i="2"/>
  <c r="AD70" i="2"/>
  <c r="AE70" i="2"/>
  <c r="AF70" i="2"/>
  <c r="Z70" i="2"/>
  <c r="Y70" i="2"/>
  <c r="X70" i="2"/>
  <c r="W70" i="2"/>
  <c r="AH69" i="2"/>
  <c r="AI69" i="2"/>
  <c r="AJ69" i="2"/>
  <c r="AK69" i="2"/>
  <c r="AL69" i="2"/>
  <c r="AM69" i="2"/>
  <c r="AB69" i="2"/>
  <c r="AC69" i="2"/>
  <c r="AD69" i="2"/>
  <c r="AE69" i="2"/>
  <c r="AF69" i="2"/>
  <c r="Z69" i="2"/>
  <c r="Y69" i="2"/>
  <c r="X69" i="2"/>
  <c r="W69" i="2"/>
  <c r="AG68" i="2"/>
  <c r="AH68" i="2"/>
  <c r="AI68" i="2"/>
  <c r="AJ68" i="2"/>
  <c r="AK68" i="2"/>
  <c r="AL68" i="2"/>
  <c r="AM68" i="2"/>
  <c r="AB68" i="2"/>
  <c r="AC68" i="2"/>
  <c r="AD68" i="2"/>
  <c r="AE68" i="2"/>
  <c r="Z68" i="2"/>
  <c r="Y68" i="2"/>
  <c r="X68" i="2"/>
  <c r="W68" i="2"/>
  <c r="AD67" i="2"/>
  <c r="AE67" i="2"/>
  <c r="AF67" i="2"/>
  <c r="AG67" i="2"/>
  <c r="AH67" i="2"/>
  <c r="AI67" i="2"/>
  <c r="AJ67" i="2"/>
  <c r="AK67" i="2"/>
  <c r="AL67" i="2"/>
  <c r="AM67" i="2"/>
  <c r="AB67" i="2"/>
  <c r="Z67" i="2"/>
  <c r="Y67" i="2"/>
  <c r="X67" i="2"/>
  <c r="W67" i="2"/>
  <c r="AE66" i="2"/>
  <c r="AF66" i="2"/>
  <c r="AG66" i="2"/>
  <c r="AH66" i="2"/>
  <c r="AI66" i="2"/>
  <c r="AJ66" i="2"/>
  <c r="AK66" i="2"/>
  <c r="AL66" i="2"/>
  <c r="AM66" i="2"/>
  <c r="AB66" i="2"/>
  <c r="AC66" i="2"/>
  <c r="Z66" i="2"/>
  <c r="Y66" i="2"/>
  <c r="X66" i="2"/>
  <c r="W66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Z65" i="2"/>
  <c r="Y65" i="2"/>
  <c r="X65" i="2"/>
  <c r="W65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Z64" i="2"/>
  <c r="Y64" i="2"/>
  <c r="X64" i="2"/>
  <c r="W64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Z63" i="2"/>
  <c r="Y63" i="2"/>
  <c r="X63" i="2"/>
  <c r="W63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Z62" i="2"/>
  <c r="Y62" i="2"/>
  <c r="X62" i="2"/>
  <c r="W62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Z61" i="2"/>
  <c r="Y61" i="2"/>
  <c r="X61" i="2"/>
  <c r="W61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Z60" i="2"/>
  <c r="Y60" i="2"/>
  <c r="X60" i="2"/>
  <c r="W60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Z59" i="2"/>
  <c r="Y59" i="2"/>
  <c r="X59" i="2"/>
  <c r="W59" i="2"/>
  <c r="AB58" i="2"/>
  <c r="AC58" i="2"/>
  <c r="AD58" i="2"/>
  <c r="AE58" i="2"/>
  <c r="AF58" i="2"/>
  <c r="AG58" i="2"/>
  <c r="AH58" i="2"/>
  <c r="AI58" i="2"/>
  <c r="AJ58" i="2"/>
  <c r="AK58" i="2"/>
  <c r="AL58" i="2"/>
  <c r="Z58" i="2"/>
  <c r="Y58" i="2"/>
  <c r="X58" i="2"/>
  <c r="W58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Z57" i="2"/>
  <c r="Y57" i="2"/>
  <c r="X57" i="2"/>
  <c r="W57" i="2"/>
  <c r="AG56" i="2"/>
  <c r="AH56" i="2"/>
  <c r="AI56" i="2"/>
  <c r="AJ56" i="2"/>
  <c r="AK56" i="2"/>
  <c r="AL56" i="2"/>
  <c r="AM56" i="2"/>
  <c r="AB56" i="2"/>
  <c r="AC56" i="2"/>
  <c r="AD56" i="2"/>
  <c r="AE56" i="2"/>
  <c r="Z56" i="2"/>
  <c r="Y56" i="2"/>
  <c r="X56" i="2"/>
  <c r="W56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Z55" i="2"/>
  <c r="Y55" i="2"/>
  <c r="X55" i="2"/>
  <c r="W55" i="2"/>
  <c r="AD54" i="2"/>
  <c r="AE54" i="2"/>
  <c r="AF54" i="2"/>
  <c r="AG54" i="2"/>
  <c r="AH54" i="2"/>
  <c r="AI54" i="2"/>
  <c r="AJ54" i="2"/>
  <c r="AK54" i="2"/>
  <c r="AL54" i="2"/>
  <c r="AM54" i="2"/>
  <c r="AB54" i="2"/>
  <c r="Z54" i="2"/>
  <c r="Y54" i="2"/>
  <c r="X54" i="2"/>
  <c r="W54" i="2"/>
  <c r="AD53" i="2"/>
  <c r="AE53" i="2"/>
  <c r="AF53" i="2"/>
  <c r="AG53" i="2"/>
  <c r="AH53" i="2"/>
  <c r="AI53" i="2"/>
  <c r="AJ53" i="2"/>
  <c r="AK53" i="2"/>
  <c r="AL53" i="2"/>
  <c r="AM53" i="2"/>
  <c r="AB53" i="2"/>
  <c r="Z53" i="2"/>
  <c r="Y53" i="2"/>
  <c r="X53" i="2"/>
  <c r="W53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Z52" i="2"/>
  <c r="Y52" i="2"/>
  <c r="X52" i="2"/>
  <c r="W52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Z51" i="2"/>
  <c r="Y51" i="2"/>
  <c r="X51" i="2"/>
  <c r="W51" i="2"/>
  <c r="AD50" i="2"/>
  <c r="AE50" i="2"/>
  <c r="AF50" i="2"/>
  <c r="AG50" i="2"/>
  <c r="AH50" i="2"/>
  <c r="AI50" i="2"/>
  <c r="AJ50" i="2"/>
  <c r="AK50" i="2"/>
  <c r="AL50" i="2"/>
  <c r="AM50" i="2"/>
  <c r="AB50" i="2"/>
  <c r="Z50" i="2"/>
  <c r="Y50" i="2"/>
  <c r="X50" i="2"/>
  <c r="W50" i="2"/>
  <c r="AB49" i="2"/>
  <c r="AC49" i="2"/>
  <c r="AD49" i="2"/>
  <c r="AE49" i="2"/>
  <c r="AF49" i="2"/>
  <c r="AG49" i="2"/>
  <c r="AH49" i="2"/>
  <c r="AI49" i="2"/>
  <c r="AJ49" i="2"/>
  <c r="AK49" i="2"/>
  <c r="AL49" i="2"/>
  <c r="Z49" i="2"/>
  <c r="Y49" i="2"/>
  <c r="X49" i="2"/>
  <c r="W49" i="2"/>
  <c r="AI48" i="2"/>
  <c r="AJ48" i="2"/>
  <c r="AK48" i="2"/>
  <c r="AL48" i="2"/>
  <c r="AM48" i="2"/>
  <c r="AB48" i="2"/>
  <c r="AC48" i="2"/>
  <c r="AD48" i="2"/>
  <c r="AE48" i="2"/>
  <c r="AF48" i="2"/>
  <c r="AG48" i="2"/>
  <c r="Z48" i="2"/>
  <c r="Y48" i="2"/>
  <c r="X48" i="2"/>
  <c r="W48" i="2"/>
  <c r="AJ47" i="2"/>
  <c r="AK47" i="2"/>
  <c r="AL47" i="2"/>
  <c r="AM47" i="2"/>
  <c r="AB47" i="2"/>
  <c r="AC47" i="2"/>
  <c r="AD47" i="2"/>
  <c r="AE47" i="2"/>
  <c r="AF47" i="2"/>
  <c r="AG47" i="2"/>
  <c r="AH47" i="2"/>
  <c r="Z47" i="2"/>
  <c r="Y47" i="2"/>
  <c r="X47" i="2"/>
  <c r="W47" i="2"/>
  <c r="AB46" i="2"/>
  <c r="AC46" i="2"/>
  <c r="AD46" i="2"/>
  <c r="AE46" i="2"/>
  <c r="AF46" i="2"/>
  <c r="AG46" i="2"/>
  <c r="AH46" i="2"/>
  <c r="AI46" i="2"/>
  <c r="Z46" i="2"/>
  <c r="Y46" i="2"/>
  <c r="X46" i="2"/>
  <c r="W46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Z45" i="2"/>
  <c r="Y45" i="2"/>
  <c r="X45" i="2"/>
  <c r="W45" i="2"/>
  <c r="AF44" i="2"/>
  <c r="AG44" i="2"/>
  <c r="AH44" i="2"/>
  <c r="AI44" i="2"/>
  <c r="AJ44" i="2"/>
  <c r="AK44" i="2"/>
  <c r="AL44" i="2"/>
  <c r="AM44" i="2"/>
  <c r="AB44" i="2"/>
  <c r="AC44" i="2"/>
  <c r="AD44" i="2"/>
  <c r="Z44" i="2"/>
  <c r="Y44" i="2"/>
  <c r="X44" i="2"/>
  <c r="W44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Z43" i="2"/>
  <c r="Y43" i="2"/>
  <c r="X43" i="2"/>
  <c r="W43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Z42" i="2"/>
  <c r="Y42" i="2"/>
  <c r="X42" i="2"/>
  <c r="W42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Z41" i="2"/>
  <c r="Y41" i="2"/>
  <c r="X41" i="2"/>
  <c r="W41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Z40" i="2"/>
  <c r="Y40" i="2"/>
  <c r="X40" i="2"/>
  <c r="W40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Z39" i="2"/>
  <c r="Y39" i="2"/>
  <c r="X39" i="2"/>
  <c r="W39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Z38" i="2"/>
  <c r="Y38" i="2"/>
  <c r="X38" i="2"/>
  <c r="W38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Z37" i="2"/>
  <c r="Y37" i="2"/>
  <c r="X37" i="2"/>
  <c r="W37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Z36" i="2"/>
  <c r="Y36" i="2"/>
  <c r="X36" i="2"/>
  <c r="W36" i="2"/>
  <c r="AJ35" i="2"/>
  <c r="AK35" i="2"/>
  <c r="AL35" i="2"/>
  <c r="AM35" i="2"/>
  <c r="AB35" i="2"/>
  <c r="AC35" i="2"/>
  <c r="AD35" i="2"/>
  <c r="AE35" i="2"/>
  <c r="AF35" i="2"/>
  <c r="AG35" i="2"/>
  <c r="AH35" i="2"/>
  <c r="Z35" i="2"/>
  <c r="Y35" i="2"/>
  <c r="X35" i="2"/>
  <c r="W35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Z34" i="2"/>
  <c r="Y34" i="2"/>
  <c r="X34" i="2"/>
  <c r="W34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Z33" i="2"/>
  <c r="Y33" i="2"/>
  <c r="X33" i="2"/>
  <c r="W33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Z32" i="2"/>
  <c r="Y32" i="2"/>
  <c r="X32" i="2"/>
  <c r="W32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Z31" i="2"/>
  <c r="Y31" i="2"/>
  <c r="X31" i="2"/>
  <c r="W31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Z30" i="2"/>
  <c r="Y30" i="2"/>
  <c r="X30" i="2"/>
  <c r="W30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Z29" i="2"/>
  <c r="Y29" i="2"/>
  <c r="X29" i="2"/>
  <c r="W29" i="2"/>
  <c r="AH28" i="2"/>
  <c r="AI28" i="2"/>
  <c r="AJ28" i="2"/>
  <c r="AK28" i="2"/>
  <c r="AL28" i="2"/>
  <c r="AM28" i="2"/>
  <c r="AB28" i="2"/>
  <c r="AC28" i="2"/>
  <c r="AD28" i="2"/>
  <c r="AE28" i="2"/>
  <c r="AF28" i="2"/>
  <c r="Z28" i="2"/>
  <c r="Y28" i="2"/>
  <c r="X28" i="2"/>
  <c r="W28" i="2"/>
  <c r="AB27" i="2"/>
  <c r="AC27" i="2"/>
  <c r="AD27" i="2"/>
  <c r="AE27" i="2"/>
  <c r="AF27" i="2"/>
  <c r="AG27" i="2"/>
  <c r="AH27" i="2"/>
  <c r="AI27" i="2"/>
  <c r="AJ27" i="2"/>
  <c r="Z27" i="2"/>
  <c r="Y27" i="2"/>
  <c r="X27" i="2"/>
  <c r="W27" i="2"/>
  <c r="AI26" i="2"/>
  <c r="AJ26" i="2"/>
  <c r="AK26" i="2"/>
  <c r="AL26" i="2"/>
  <c r="AM26" i="2"/>
  <c r="AB26" i="2"/>
  <c r="AC26" i="2"/>
  <c r="AD26" i="2"/>
  <c r="AE26" i="2"/>
  <c r="AF26" i="2"/>
  <c r="AG26" i="2"/>
  <c r="Z26" i="2"/>
  <c r="Y26" i="2"/>
  <c r="X26" i="2"/>
  <c r="W26" i="2"/>
  <c r="AI25" i="2"/>
  <c r="AJ25" i="2"/>
  <c r="AK25" i="2"/>
  <c r="AL25" i="2"/>
  <c r="AM25" i="2"/>
  <c r="AB25" i="2"/>
  <c r="AC25" i="2"/>
  <c r="AD25" i="2"/>
  <c r="AE25" i="2"/>
  <c r="AF25" i="2"/>
  <c r="AG25" i="2"/>
  <c r="Z25" i="2"/>
  <c r="Y25" i="2"/>
  <c r="X25" i="2"/>
  <c r="W25" i="2"/>
  <c r="AB24" i="2"/>
  <c r="AC24" i="2"/>
  <c r="AD24" i="2"/>
  <c r="AE24" i="2"/>
  <c r="AF24" i="2"/>
  <c r="AG24" i="2"/>
  <c r="AH24" i="2"/>
  <c r="AI24" i="2"/>
  <c r="AJ24" i="2"/>
  <c r="AK24" i="2"/>
  <c r="AL24" i="2"/>
  <c r="Z24" i="2"/>
  <c r="Y24" i="2"/>
  <c r="X24" i="2"/>
  <c r="W24" i="2"/>
  <c r="AF23" i="2"/>
  <c r="AG23" i="2"/>
  <c r="AH23" i="2"/>
  <c r="AI23" i="2"/>
  <c r="AJ23" i="2"/>
  <c r="AK23" i="2"/>
  <c r="AL23" i="2"/>
  <c r="AM23" i="2"/>
  <c r="AB23" i="2"/>
  <c r="AC23" i="2"/>
  <c r="AD23" i="2"/>
  <c r="Z23" i="2"/>
  <c r="Y23" i="2"/>
  <c r="X23" i="2"/>
  <c r="W23" i="2"/>
  <c r="AB22" i="2"/>
  <c r="AC22" i="2"/>
  <c r="AD22" i="2"/>
  <c r="AE22" i="2"/>
  <c r="AF22" i="2"/>
  <c r="AG22" i="2"/>
  <c r="AH22" i="2"/>
  <c r="AI22" i="2"/>
  <c r="AJ22" i="2"/>
  <c r="AK22" i="2"/>
  <c r="AL22" i="2"/>
  <c r="Z22" i="2"/>
  <c r="Y22" i="2"/>
  <c r="X22" i="2"/>
  <c r="W22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Z21" i="2"/>
  <c r="Y21" i="2"/>
  <c r="X21" i="2"/>
  <c r="W21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Z20" i="2"/>
  <c r="Y20" i="2"/>
  <c r="X20" i="2"/>
  <c r="W20" i="2"/>
  <c r="AB19" i="2"/>
  <c r="AC19" i="2"/>
  <c r="AD19" i="2"/>
  <c r="AE19" i="2"/>
  <c r="AF19" i="2"/>
  <c r="AG19" i="2"/>
  <c r="AH19" i="2"/>
  <c r="AI19" i="2"/>
  <c r="Z19" i="2"/>
  <c r="Y19" i="2"/>
  <c r="X19" i="2"/>
  <c r="W19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Z18" i="2"/>
  <c r="Y18" i="2"/>
  <c r="X18" i="2"/>
  <c r="W18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Z17" i="2"/>
  <c r="Y17" i="2"/>
  <c r="X17" i="2"/>
  <c r="W17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Z16" i="2"/>
  <c r="Y16" i="2"/>
  <c r="X16" i="2"/>
  <c r="W16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Z15" i="2"/>
  <c r="Y15" i="2"/>
  <c r="X15" i="2"/>
  <c r="W15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Z14" i="2"/>
  <c r="Y14" i="2"/>
  <c r="X14" i="2"/>
  <c r="W14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Z13" i="2"/>
  <c r="Y13" i="2"/>
  <c r="X13" i="2"/>
  <c r="W13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Z12" i="2"/>
  <c r="Y12" i="2"/>
  <c r="X12" i="2"/>
  <c r="W12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Z11" i="2"/>
  <c r="Y11" i="2"/>
  <c r="X11" i="2"/>
  <c r="W11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Z10" i="2"/>
  <c r="Y10" i="2"/>
  <c r="X10" i="2"/>
  <c r="W10" i="2"/>
  <c r="AB9" i="2"/>
  <c r="AC9" i="2"/>
  <c r="AD9" i="2"/>
  <c r="AE9" i="2"/>
  <c r="AF9" i="2"/>
  <c r="AG9" i="2"/>
  <c r="AH9" i="2"/>
  <c r="AI9" i="2"/>
  <c r="AJ9" i="2"/>
  <c r="AK9" i="2"/>
  <c r="AL9" i="2"/>
  <c r="AM9" i="2"/>
  <c r="Z9" i="2"/>
  <c r="Y9" i="2"/>
  <c r="X9" i="2"/>
  <c r="W9" i="2"/>
  <c r="AB8" i="2"/>
  <c r="AC8" i="2"/>
  <c r="AD8" i="2"/>
  <c r="AE8" i="2"/>
  <c r="AF8" i="2"/>
  <c r="AG8" i="2"/>
  <c r="AH8" i="2"/>
  <c r="AI8" i="2"/>
  <c r="AJ8" i="2"/>
  <c r="AK8" i="2"/>
  <c r="AL8" i="2"/>
  <c r="Z8" i="2"/>
  <c r="Y8" i="2"/>
  <c r="X8" i="2"/>
  <c r="W8" i="2"/>
  <c r="AB7" i="2"/>
  <c r="AC7" i="2"/>
  <c r="AD7" i="2"/>
  <c r="AE7" i="2"/>
  <c r="AF7" i="2"/>
  <c r="AG7" i="2"/>
  <c r="AH7" i="2"/>
  <c r="AI7" i="2"/>
  <c r="AJ7" i="2"/>
  <c r="AK7" i="2"/>
  <c r="Z7" i="2"/>
  <c r="Y7" i="2"/>
  <c r="X7" i="2"/>
  <c r="W7" i="2"/>
  <c r="AB6" i="2"/>
  <c r="AC6" i="2"/>
  <c r="AD6" i="2"/>
  <c r="AE6" i="2"/>
  <c r="AF6" i="2"/>
  <c r="AG6" i="2"/>
  <c r="AH6" i="2"/>
  <c r="AI6" i="2"/>
  <c r="AJ6" i="2"/>
  <c r="Z6" i="2"/>
  <c r="Y6" i="2"/>
  <c r="X6" i="2"/>
  <c r="W6" i="2"/>
  <c r="AJ5" i="2"/>
  <c r="AK5" i="2"/>
  <c r="AL5" i="2"/>
  <c r="AM5" i="2"/>
  <c r="AB5" i="2"/>
  <c r="AC5" i="2"/>
  <c r="AD5" i="2"/>
  <c r="AE5" i="2"/>
  <c r="AF5" i="2"/>
  <c r="AG5" i="2"/>
  <c r="AH5" i="2"/>
  <c r="Z5" i="2"/>
  <c r="Y5" i="2"/>
  <c r="X5" i="2"/>
  <c r="W5" i="2"/>
  <c r="AI4" i="2"/>
  <c r="AJ4" i="2"/>
  <c r="AK4" i="2"/>
  <c r="AL4" i="2"/>
  <c r="AM4" i="2"/>
  <c r="AB4" i="2"/>
  <c r="AC4" i="2"/>
  <c r="AD4" i="2"/>
  <c r="AE4" i="2"/>
  <c r="AF4" i="2"/>
  <c r="AG4" i="2"/>
  <c r="Z4" i="2"/>
  <c r="Y4" i="2"/>
  <c r="X4" i="2"/>
  <c r="W4" i="2"/>
  <c r="AF3" i="2"/>
  <c r="AG3" i="2"/>
  <c r="AH3" i="2"/>
  <c r="AI3" i="2"/>
  <c r="AJ3" i="2"/>
  <c r="AK3" i="2"/>
  <c r="AL3" i="2"/>
  <c r="AM3" i="2"/>
  <c r="AB3" i="2"/>
  <c r="Z3" i="2"/>
  <c r="Y3" i="2"/>
  <c r="X3" i="2"/>
  <c r="W3" i="2"/>
  <c r="AC2" i="2"/>
  <c r="Z2" i="2"/>
  <c r="AA197" i="2" a="1"/>
  <c r="AA198" i="2" a="1"/>
  <c r="AA199" i="2" a="1"/>
  <c r="AA200" i="2" a="1"/>
  <c r="AA201" i="2" a="1"/>
  <c r="AA203" i="2" a="1"/>
  <c r="AA204" i="2" a="1"/>
  <c r="AA205" i="2" a="1"/>
  <c r="AA206" i="2" a="1"/>
  <c r="AA207" i="2" a="1"/>
  <c r="AA215" i="2" a="1"/>
  <c r="AA216" i="2" a="1"/>
  <c r="A28" i="8"/>
  <c r="B27" i="8"/>
  <c r="C16" i="8" a="1"/>
  <c r="D16" i="8" a="1"/>
  <c r="D18" i="8" a="1"/>
  <c r="C18" i="8" a="1"/>
  <c r="Y2" i="2"/>
  <c r="Z128" i="2"/>
  <c r="B8" i="7" a="1"/>
  <c r="AD2" i="2"/>
  <c r="AC3" i="2"/>
  <c r="AD3" i="2"/>
  <c r="AB128" i="2"/>
  <c r="B10" i="7" a="1"/>
  <c r="AN115" i="2"/>
  <c r="AO115" i="2"/>
  <c r="AP115" i="2"/>
  <c r="AQ115" i="2"/>
  <c r="AR115" i="2"/>
  <c r="AN87" i="2"/>
  <c r="AO87" i="2"/>
  <c r="AP87" i="2"/>
  <c r="AQ87" i="2"/>
  <c r="AR87" i="2"/>
  <c r="AN102" i="2"/>
  <c r="AO102" i="2"/>
  <c r="AP102" i="2"/>
  <c r="AQ102" i="2"/>
  <c r="AR102" i="2"/>
  <c r="AN88" i="2"/>
  <c r="AO88" i="2"/>
  <c r="AP88" i="2"/>
  <c r="AQ88" i="2"/>
  <c r="AR88" i="2"/>
  <c r="AN114" i="2"/>
  <c r="AO114" i="2"/>
  <c r="AP114" i="2"/>
  <c r="AQ114" i="2"/>
  <c r="AR114" i="2"/>
  <c r="AN116" i="2"/>
  <c r="AO116" i="2"/>
  <c r="AP116" i="2"/>
  <c r="AQ116" i="2"/>
  <c r="AR116" i="2"/>
  <c r="AN43" i="2"/>
  <c r="AO43" i="2"/>
  <c r="AP43" i="2"/>
  <c r="AQ43" i="2"/>
  <c r="AR43" i="2"/>
  <c r="AN61" i="2"/>
  <c r="AO61" i="2"/>
  <c r="AP61" i="2"/>
  <c r="AQ61" i="2"/>
  <c r="AN62" i="2"/>
  <c r="AO62" i="2"/>
  <c r="AP62" i="2"/>
  <c r="AQ62" i="2"/>
  <c r="AN76" i="2"/>
  <c r="AO76" i="2"/>
  <c r="AP76" i="2"/>
  <c r="AQ76" i="2"/>
  <c r="AR76" i="2"/>
  <c r="AN52" i="2"/>
  <c r="AO52" i="2"/>
  <c r="AP52" i="2"/>
  <c r="AQ52" i="2"/>
  <c r="AR52" i="2"/>
  <c r="AN32" i="2"/>
  <c r="AO32" i="2"/>
  <c r="AP32" i="2"/>
  <c r="AN101" i="2"/>
  <c r="AO101" i="2"/>
  <c r="AP101" i="2"/>
  <c r="AQ101" i="2"/>
  <c r="AR101" i="2"/>
  <c r="AN54" i="2"/>
  <c r="AO54" i="2"/>
  <c r="AP54" i="2"/>
  <c r="AQ54" i="2"/>
  <c r="AR54" i="2"/>
  <c r="AN53" i="2"/>
  <c r="AO53" i="2"/>
  <c r="AP53" i="2"/>
  <c r="AQ53" i="2"/>
  <c r="AN17" i="2"/>
  <c r="AO17" i="2"/>
  <c r="AN33" i="2"/>
  <c r="AO33" i="2"/>
  <c r="AP33" i="2"/>
  <c r="AQ33" i="2"/>
  <c r="AR33" i="2"/>
  <c r="AN25" i="2"/>
  <c r="AO25" i="2"/>
  <c r="AP25" i="2"/>
  <c r="AQ25" i="2"/>
  <c r="AR25" i="2"/>
  <c r="AN57" i="2"/>
  <c r="AO57" i="2"/>
  <c r="AP57" i="2"/>
  <c r="AQ57" i="2"/>
  <c r="AN63" i="2"/>
  <c r="AO63" i="2"/>
  <c r="AP63" i="2"/>
  <c r="AQ63" i="2"/>
  <c r="AN78" i="2"/>
  <c r="AO78" i="2"/>
  <c r="AP78" i="2"/>
  <c r="AQ78" i="2"/>
  <c r="AR78" i="2"/>
  <c r="AN94" i="2"/>
  <c r="AO94" i="2"/>
  <c r="AP94" i="2"/>
  <c r="AQ94" i="2"/>
  <c r="AR94" i="2"/>
  <c r="AN100" i="2"/>
  <c r="AO100" i="2"/>
  <c r="AP100" i="2"/>
  <c r="AQ100" i="2"/>
  <c r="AR100" i="2"/>
  <c r="AN106" i="2"/>
  <c r="AO106" i="2"/>
  <c r="AP106" i="2"/>
  <c r="AQ106" i="2"/>
  <c r="AR106" i="2"/>
  <c r="AN112" i="2"/>
  <c r="AO112" i="2"/>
  <c r="AP112" i="2"/>
  <c r="AQ112" i="2"/>
  <c r="AR112" i="2"/>
  <c r="AN118" i="2"/>
  <c r="AO118" i="2"/>
  <c r="AP118" i="2"/>
  <c r="AQ118" i="2"/>
  <c r="AR118" i="2"/>
  <c r="AN124" i="2"/>
  <c r="AO124" i="2"/>
  <c r="AP124" i="2"/>
  <c r="AQ124" i="2"/>
  <c r="AR124" i="2"/>
  <c r="AN19" i="2"/>
  <c r="AO19" i="2"/>
  <c r="AP19" i="2"/>
  <c r="AQ19" i="2"/>
  <c r="AR19" i="2"/>
  <c r="AN75" i="2"/>
  <c r="AO75" i="2"/>
  <c r="AP75" i="2"/>
  <c r="AQ75" i="2"/>
  <c r="AR75" i="2"/>
  <c r="AN15" i="2"/>
  <c r="AO15" i="2"/>
  <c r="AP15" i="2"/>
  <c r="AQ15" i="2"/>
  <c r="AN48" i="2"/>
  <c r="AO48" i="2"/>
  <c r="AP48" i="2"/>
  <c r="AQ48" i="2"/>
  <c r="AR48" i="2"/>
  <c r="AN68" i="2"/>
  <c r="AO68" i="2"/>
  <c r="AP68" i="2"/>
  <c r="AQ68" i="2"/>
  <c r="AR68" i="2"/>
  <c r="AN89" i="2"/>
  <c r="AO89" i="2"/>
  <c r="AP89" i="2"/>
  <c r="AQ89" i="2"/>
  <c r="AR89" i="2"/>
  <c r="AN20" i="2"/>
  <c r="AO20" i="2"/>
  <c r="AP20" i="2"/>
  <c r="AQ20" i="2"/>
  <c r="AR20" i="2"/>
  <c r="AN38" i="2"/>
  <c r="AO38" i="2"/>
  <c r="AP38" i="2"/>
  <c r="AQ38" i="2"/>
  <c r="AR38" i="2"/>
  <c r="AN64" i="2"/>
  <c r="AO64" i="2"/>
  <c r="AP64" i="2"/>
  <c r="AQ64" i="2"/>
  <c r="AR64" i="2"/>
  <c r="AN79" i="2"/>
  <c r="AO79" i="2"/>
  <c r="AP79" i="2"/>
  <c r="AQ79" i="2"/>
  <c r="AN95" i="2"/>
  <c r="AO95" i="2"/>
  <c r="AP95" i="2"/>
  <c r="AQ95" i="2"/>
  <c r="AR95" i="2"/>
  <c r="AN107" i="2"/>
  <c r="AO107" i="2"/>
  <c r="AP107" i="2"/>
  <c r="AQ107" i="2"/>
  <c r="AR107" i="2"/>
  <c r="AN113" i="2"/>
  <c r="AO113" i="2"/>
  <c r="AP113" i="2"/>
  <c r="AQ113" i="2"/>
  <c r="AR113" i="2"/>
  <c r="AN119" i="2"/>
  <c r="AO119" i="2"/>
  <c r="AP119" i="2"/>
  <c r="AQ119" i="2"/>
  <c r="AR119" i="2"/>
  <c r="AN125" i="2"/>
  <c r="AO125" i="2"/>
  <c r="AP125" i="2"/>
  <c r="AQ125" i="2"/>
  <c r="AR125" i="2"/>
  <c r="AN11" i="2"/>
  <c r="AO11" i="2"/>
  <c r="AP11" i="2"/>
  <c r="AQ11" i="2"/>
  <c r="AR11" i="2"/>
  <c r="AN44" i="2"/>
  <c r="AO44" i="2"/>
  <c r="AP44" i="2"/>
  <c r="AQ44" i="2"/>
  <c r="AR44" i="2"/>
  <c r="AN84" i="2"/>
  <c r="AO84" i="2"/>
  <c r="AP84" i="2"/>
  <c r="AQ84" i="2"/>
  <c r="AR84" i="2"/>
  <c r="AN56" i="2"/>
  <c r="AO56" i="2"/>
  <c r="AP56" i="2"/>
  <c r="AQ56" i="2"/>
  <c r="AR56" i="2"/>
  <c r="AN26" i="2"/>
  <c r="AO26" i="2"/>
  <c r="AP26" i="2"/>
  <c r="AQ26" i="2"/>
  <c r="AR26" i="2"/>
  <c r="AN5" i="2"/>
  <c r="AO5" i="2"/>
  <c r="AP5" i="2"/>
  <c r="AQ5" i="2"/>
  <c r="AR5" i="2"/>
  <c r="AN12" i="2"/>
  <c r="AO12" i="2"/>
  <c r="AP12" i="2"/>
  <c r="AQ12" i="2"/>
  <c r="AR12" i="2"/>
  <c r="AN23" i="2"/>
  <c r="AO23" i="2"/>
  <c r="AP23" i="2"/>
  <c r="AQ23" i="2"/>
  <c r="AR23" i="2"/>
  <c r="AN69" i="2"/>
  <c r="AO69" i="2"/>
  <c r="AP69" i="2"/>
  <c r="AQ69" i="2"/>
  <c r="AR69" i="2"/>
  <c r="AN90" i="2"/>
  <c r="AO90" i="2"/>
  <c r="AP90" i="2"/>
  <c r="AQ90" i="2"/>
  <c r="AR90" i="2"/>
  <c r="AN96" i="2"/>
  <c r="AO96" i="2"/>
  <c r="AP96" i="2"/>
  <c r="AQ96" i="2"/>
  <c r="AR96" i="2"/>
  <c r="AN108" i="2"/>
  <c r="AO108" i="2"/>
  <c r="AP108" i="2"/>
  <c r="AQ108" i="2"/>
  <c r="AR108" i="2"/>
  <c r="AN120" i="2"/>
  <c r="AO120" i="2"/>
  <c r="AP120" i="2"/>
  <c r="AQ120" i="2"/>
  <c r="AR120" i="2"/>
  <c r="AN126" i="2"/>
  <c r="AO126" i="2"/>
  <c r="AP126" i="2"/>
  <c r="AQ126" i="2"/>
  <c r="AR126" i="2"/>
  <c r="AN27" i="2"/>
  <c r="AO27" i="2"/>
  <c r="AP27" i="2"/>
  <c r="AQ27" i="2"/>
  <c r="AR27" i="2"/>
  <c r="AN85" i="2"/>
  <c r="AO85" i="2"/>
  <c r="AP85" i="2"/>
  <c r="AQ85" i="2"/>
  <c r="AR85" i="2"/>
  <c r="AN9" i="2"/>
  <c r="AO9" i="2"/>
  <c r="AP9" i="2"/>
  <c r="AN37" i="2"/>
  <c r="AO37" i="2"/>
  <c r="AP37" i="2"/>
  <c r="AQ37" i="2"/>
  <c r="AR37" i="2"/>
  <c r="AN39" i="2"/>
  <c r="AO39" i="2"/>
  <c r="AP39" i="2"/>
  <c r="AQ39" i="2"/>
  <c r="AR39" i="2"/>
  <c r="AN65" i="2"/>
  <c r="AO65" i="2"/>
  <c r="AP65" i="2"/>
  <c r="AQ65" i="2"/>
  <c r="AR65" i="2"/>
  <c r="AN13" i="2"/>
  <c r="AO13" i="2"/>
  <c r="AP13" i="2"/>
  <c r="AQ13" i="2"/>
  <c r="AR13" i="2"/>
  <c r="AN28" i="2"/>
  <c r="AO28" i="2"/>
  <c r="AP28" i="2"/>
  <c r="AQ28" i="2"/>
  <c r="AR28" i="2"/>
  <c r="AN34" i="2"/>
  <c r="AO34" i="2"/>
  <c r="AP34" i="2"/>
  <c r="AQ34" i="2"/>
  <c r="AR34" i="2"/>
  <c r="AN45" i="2"/>
  <c r="AO45" i="2"/>
  <c r="AP45" i="2"/>
  <c r="AQ45" i="2"/>
  <c r="AR45" i="2"/>
  <c r="AN86" i="2"/>
  <c r="AO86" i="2"/>
  <c r="AP86" i="2"/>
  <c r="AQ86" i="2"/>
  <c r="AR86" i="2"/>
  <c r="AN6" i="2"/>
  <c r="AO6" i="2"/>
  <c r="AP6" i="2"/>
  <c r="AQ6" i="2"/>
  <c r="AR6" i="2"/>
  <c r="AN14" i="2"/>
  <c r="AO14" i="2"/>
  <c r="AP14" i="2"/>
  <c r="AQ14" i="2"/>
  <c r="AR14" i="2"/>
  <c r="AN40" i="2"/>
  <c r="AO40" i="2"/>
  <c r="AP40" i="2"/>
  <c r="AQ40" i="2"/>
  <c r="AR40" i="2"/>
  <c r="AN50" i="2"/>
  <c r="AO50" i="2"/>
  <c r="AP50" i="2"/>
  <c r="AQ50" i="2"/>
  <c r="AN55" i="2"/>
  <c r="AO55" i="2"/>
  <c r="AP55" i="2"/>
  <c r="AQ55" i="2"/>
  <c r="AR55" i="2"/>
  <c r="AN81" i="2"/>
  <c r="AO81" i="2"/>
  <c r="AP81" i="2"/>
  <c r="AQ81" i="2"/>
  <c r="AR81" i="2"/>
  <c r="AN91" i="2"/>
  <c r="AO91" i="2"/>
  <c r="AP91" i="2"/>
  <c r="AQ91" i="2"/>
  <c r="AR91" i="2"/>
  <c r="AN97" i="2"/>
  <c r="AO97" i="2"/>
  <c r="AP97" i="2"/>
  <c r="AQ97" i="2"/>
  <c r="AR97" i="2"/>
  <c r="AN103" i="2"/>
  <c r="AO103" i="2"/>
  <c r="AP103" i="2"/>
  <c r="AQ103" i="2"/>
  <c r="AR103" i="2"/>
  <c r="AN109" i="2"/>
  <c r="AO109" i="2"/>
  <c r="AP109" i="2"/>
  <c r="AQ109" i="2"/>
  <c r="AR109" i="2"/>
  <c r="AN121" i="2"/>
  <c r="AO121" i="2"/>
  <c r="AP121" i="2"/>
  <c r="AQ121" i="2"/>
  <c r="AR121" i="2"/>
  <c r="AN7" i="2"/>
  <c r="AO7" i="2"/>
  <c r="AP7" i="2"/>
  <c r="AQ7" i="2"/>
  <c r="AR7" i="2"/>
  <c r="AN71" i="2"/>
  <c r="AO71" i="2"/>
  <c r="AP71" i="2"/>
  <c r="AQ71" i="2"/>
  <c r="AR71" i="2"/>
  <c r="AN66" i="2"/>
  <c r="AO66" i="2"/>
  <c r="AP66" i="2"/>
  <c r="AQ66" i="2"/>
  <c r="AR66" i="2"/>
  <c r="AN70" i="2"/>
  <c r="AO70" i="2"/>
  <c r="AP70" i="2"/>
  <c r="AQ70" i="2"/>
  <c r="AR70" i="2"/>
  <c r="AN35" i="2"/>
  <c r="AO35" i="2"/>
  <c r="AP35" i="2"/>
  <c r="AQ35" i="2"/>
  <c r="AR35" i="2"/>
  <c r="AN41" i="2"/>
  <c r="AO41" i="2"/>
  <c r="AP41" i="2"/>
  <c r="AQ41" i="2"/>
  <c r="AR41" i="2"/>
  <c r="AN51" i="2"/>
  <c r="AO51" i="2"/>
  <c r="AP51" i="2"/>
  <c r="AQ51" i="2"/>
  <c r="AR51" i="2"/>
  <c r="AN82" i="2"/>
  <c r="AO82" i="2"/>
  <c r="AP82" i="2"/>
  <c r="AQ82" i="2"/>
  <c r="AR82" i="2"/>
  <c r="AN92" i="2"/>
  <c r="AO92" i="2"/>
  <c r="AP92" i="2"/>
  <c r="AQ92" i="2"/>
  <c r="AR92" i="2"/>
  <c r="AN98" i="2"/>
  <c r="AO98" i="2"/>
  <c r="AP98" i="2"/>
  <c r="AQ98" i="2"/>
  <c r="AR98" i="2"/>
  <c r="AN104" i="2"/>
  <c r="AO104" i="2"/>
  <c r="AP104" i="2"/>
  <c r="AQ104" i="2"/>
  <c r="AR104" i="2"/>
  <c r="AN110" i="2"/>
  <c r="AO110" i="2"/>
  <c r="AP110" i="2"/>
  <c r="AQ110" i="2"/>
  <c r="AR110" i="2"/>
  <c r="AN122" i="2"/>
  <c r="AO122" i="2"/>
  <c r="AP122" i="2"/>
  <c r="AQ122" i="2"/>
  <c r="AR122" i="2"/>
  <c r="AN72" i="2"/>
  <c r="AO72" i="2"/>
  <c r="AP72" i="2"/>
  <c r="AQ72" i="2"/>
  <c r="AR72" i="2"/>
  <c r="AN46" i="2"/>
  <c r="AO46" i="2"/>
  <c r="AP46" i="2"/>
  <c r="AQ46" i="2"/>
  <c r="AR46" i="2"/>
  <c r="AN73" i="2"/>
  <c r="AO73" i="2"/>
  <c r="AP73" i="2"/>
  <c r="AQ73" i="2"/>
  <c r="AR73" i="2"/>
  <c r="AN30" i="2"/>
  <c r="AO30" i="2"/>
  <c r="AP30" i="2"/>
  <c r="AQ30" i="2"/>
  <c r="AR30" i="2"/>
  <c r="AN36" i="2"/>
  <c r="AO36" i="2"/>
  <c r="AP36" i="2"/>
  <c r="AQ36" i="2"/>
  <c r="AR36" i="2"/>
  <c r="AN42" i="2"/>
  <c r="AO42" i="2"/>
  <c r="AP42" i="2"/>
  <c r="AQ42" i="2"/>
  <c r="AR42" i="2"/>
  <c r="AN47" i="2"/>
  <c r="AO47" i="2"/>
  <c r="AP47" i="2"/>
  <c r="AQ47" i="2"/>
  <c r="AR47" i="2"/>
  <c r="AN67" i="2"/>
  <c r="AO67" i="2"/>
  <c r="AP67" i="2"/>
  <c r="AQ67" i="2"/>
  <c r="AR67" i="2"/>
  <c r="AN77" i="2"/>
  <c r="AO77" i="2"/>
  <c r="AP77" i="2"/>
  <c r="AQ77" i="2"/>
  <c r="AN93" i="2"/>
  <c r="AO93" i="2"/>
  <c r="AP93" i="2"/>
  <c r="AQ93" i="2"/>
  <c r="AR93" i="2"/>
  <c r="AN99" i="2"/>
  <c r="AO99" i="2"/>
  <c r="AP99" i="2"/>
  <c r="AQ99" i="2"/>
  <c r="AR99" i="2"/>
  <c r="AN105" i="2"/>
  <c r="AO105" i="2"/>
  <c r="AP105" i="2"/>
  <c r="AQ105" i="2"/>
  <c r="AR105" i="2"/>
  <c r="AN111" i="2"/>
  <c r="AO111" i="2"/>
  <c r="AP111" i="2"/>
  <c r="AQ111" i="2"/>
  <c r="AR111" i="2"/>
  <c r="AN117" i="2"/>
  <c r="AO117" i="2"/>
  <c r="AP117" i="2"/>
  <c r="AQ117" i="2"/>
  <c r="AR117" i="2"/>
  <c r="AN123" i="2"/>
  <c r="AO123" i="2"/>
  <c r="AP123" i="2"/>
  <c r="AQ123" i="2"/>
  <c r="AR123" i="2"/>
  <c r="AN74" i="2"/>
  <c r="AO74" i="2"/>
  <c r="AP74" i="2"/>
  <c r="AQ74" i="2"/>
  <c r="AR74" i="2"/>
  <c r="AN3" i="2"/>
  <c r="AO3" i="2"/>
  <c r="AP3" i="2"/>
  <c r="AQ3" i="2"/>
  <c r="AR3" i="2"/>
  <c r="AN4" i="2"/>
  <c r="AO4" i="2"/>
  <c r="AP4" i="2"/>
  <c r="AQ4" i="2"/>
  <c r="AR4" i="2"/>
  <c r="AN10" i="2"/>
  <c r="AO10" i="2"/>
  <c r="AP10" i="2"/>
  <c r="AQ10" i="2"/>
  <c r="AN16" i="2"/>
  <c r="AO16" i="2"/>
  <c r="AP16" i="2"/>
  <c r="AQ16" i="2"/>
  <c r="AN21" i="2"/>
  <c r="AO21" i="2"/>
  <c r="AP21" i="2"/>
  <c r="AQ21" i="2"/>
  <c r="AR21" i="2"/>
  <c r="AN31" i="2"/>
  <c r="AO31" i="2"/>
  <c r="AP31" i="2"/>
  <c r="AQ31" i="2"/>
  <c r="AR31" i="2"/>
  <c r="AN83" i="2"/>
  <c r="AO83" i="2"/>
  <c r="AP83" i="2"/>
  <c r="AQ83" i="2"/>
  <c r="AR83" i="2"/>
  <c r="W1" i="2"/>
  <c r="A5" i="7" a="1"/>
  <c r="A29" i="8"/>
  <c r="B28" i="8"/>
  <c r="C15" i="8" a="1"/>
  <c r="D15" i="8" a="1"/>
  <c r="C19" i="8" a="1"/>
  <c r="D20" i="8" a="1"/>
  <c r="C20" i="8" a="1"/>
  <c r="D19" i="8" a="1"/>
  <c r="AC128" i="2"/>
  <c r="B11" i="7" a="1"/>
  <c r="AE2" i="2"/>
  <c r="AD128" i="2"/>
  <c r="B12" i="7" a="1"/>
  <c r="X2" i="2"/>
  <c r="Y128" i="2"/>
  <c r="B7" i="7" a="1"/>
  <c r="W122" i="2"/>
  <c r="X122" i="2"/>
  <c r="Y122" i="2"/>
  <c r="Z122" i="2"/>
  <c r="W114" i="2"/>
  <c r="X114" i="2"/>
  <c r="Y114" i="2"/>
  <c r="Z114" i="2"/>
  <c r="W106" i="2"/>
  <c r="X106" i="2"/>
  <c r="Y106" i="2"/>
  <c r="Z106" i="2"/>
  <c r="W98" i="2"/>
  <c r="X98" i="2"/>
  <c r="Y98" i="2"/>
  <c r="Z98" i="2"/>
  <c r="W121" i="2"/>
  <c r="X121" i="2"/>
  <c r="Y121" i="2"/>
  <c r="Z121" i="2"/>
  <c r="W113" i="2"/>
  <c r="X113" i="2"/>
  <c r="Y113" i="2"/>
  <c r="Z113" i="2"/>
  <c r="W105" i="2"/>
  <c r="X105" i="2"/>
  <c r="Y105" i="2"/>
  <c r="Z105" i="2"/>
  <c r="W97" i="2"/>
  <c r="X97" i="2"/>
  <c r="Y97" i="2"/>
  <c r="Z97" i="2"/>
  <c r="W120" i="2"/>
  <c r="X120" i="2"/>
  <c r="Y120" i="2"/>
  <c r="Z120" i="2"/>
  <c r="W112" i="2"/>
  <c r="X112" i="2"/>
  <c r="Y112" i="2"/>
  <c r="Z112" i="2"/>
  <c r="W104" i="2"/>
  <c r="X104" i="2"/>
  <c r="Y104" i="2"/>
  <c r="Z104" i="2"/>
  <c r="W96" i="2"/>
  <c r="X96" i="2"/>
  <c r="Y96" i="2"/>
  <c r="Z96" i="2"/>
  <c r="W119" i="2"/>
  <c r="X119" i="2"/>
  <c r="Y119" i="2"/>
  <c r="Z119" i="2"/>
  <c r="W111" i="2"/>
  <c r="X111" i="2"/>
  <c r="Y111" i="2"/>
  <c r="Z111" i="2"/>
  <c r="W103" i="2"/>
  <c r="X103" i="2"/>
  <c r="Y103" i="2"/>
  <c r="Z103" i="2"/>
  <c r="W126" i="2"/>
  <c r="X126" i="2"/>
  <c r="Y126" i="2"/>
  <c r="Z126" i="2"/>
  <c r="W118" i="2"/>
  <c r="X118" i="2"/>
  <c r="Y118" i="2"/>
  <c r="Z118" i="2"/>
  <c r="W110" i="2"/>
  <c r="X110" i="2"/>
  <c r="Y110" i="2"/>
  <c r="Z110" i="2"/>
  <c r="W102" i="2"/>
  <c r="X102" i="2"/>
  <c r="Y102" i="2"/>
  <c r="Z102" i="2"/>
  <c r="W117" i="2"/>
  <c r="X117" i="2"/>
  <c r="Y117" i="2"/>
  <c r="Z117" i="2"/>
  <c r="W101" i="2"/>
  <c r="X101" i="2"/>
  <c r="Y101" i="2"/>
  <c r="Z101" i="2"/>
  <c r="W125" i="2"/>
  <c r="X125" i="2"/>
  <c r="Y125" i="2"/>
  <c r="Z125" i="2"/>
  <c r="W109" i="2"/>
  <c r="X109" i="2"/>
  <c r="Y109" i="2"/>
  <c r="Z109" i="2"/>
  <c r="W124" i="2"/>
  <c r="X124" i="2"/>
  <c r="Y124" i="2"/>
  <c r="Z124" i="2"/>
  <c r="W116" i="2"/>
  <c r="X116" i="2"/>
  <c r="Y116" i="2"/>
  <c r="Z116" i="2"/>
  <c r="W108" i="2"/>
  <c r="X108" i="2"/>
  <c r="Y108" i="2"/>
  <c r="Z108" i="2"/>
  <c r="W100" i="2"/>
  <c r="X100" i="2"/>
  <c r="Y100" i="2"/>
  <c r="Z100" i="2"/>
  <c r="W123" i="2"/>
  <c r="X123" i="2"/>
  <c r="Y123" i="2"/>
  <c r="Z123" i="2"/>
  <c r="W115" i="2"/>
  <c r="X115" i="2"/>
  <c r="Y115" i="2"/>
  <c r="Z115" i="2"/>
  <c r="W107" i="2"/>
  <c r="X107" i="2"/>
  <c r="Y107" i="2"/>
  <c r="Z107" i="2"/>
  <c r="W99" i="2"/>
  <c r="X99" i="2"/>
  <c r="Y99" i="2"/>
  <c r="Z99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I10" i="2"/>
  <c r="BJ10" i="2"/>
  <c r="BK10" i="2"/>
  <c r="BM10" i="2"/>
  <c r="BN10" i="2"/>
  <c r="BO10" i="2"/>
  <c r="BP10" i="2"/>
  <c r="BQ10" i="2"/>
  <c r="BR10" i="2"/>
  <c r="BS10" i="2"/>
  <c r="BT10" i="2"/>
  <c r="BU10" i="2"/>
  <c r="BV10" i="2"/>
  <c r="BW10" i="2"/>
  <c r="BX10" i="2"/>
  <c r="BY10" i="2"/>
  <c r="BZ10" i="2"/>
  <c r="CA10" i="2"/>
  <c r="CB10" i="2"/>
  <c r="CC10" i="2"/>
  <c r="CD10" i="2"/>
  <c r="CE10" i="2"/>
  <c r="CF10" i="2"/>
  <c r="CG10" i="2"/>
  <c r="CH10" i="2"/>
  <c r="CI10" i="2"/>
  <c r="CJ10" i="2"/>
  <c r="CK10" i="2"/>
  <c r="CL10" i="2"/>
  <c r="CM10" i="2"/>
  <c r="CN10" i="2"/>
  <c r="CO10" i="2"/>
  <c r="CP10" i="2"/>
  <c r="CQ10" i="2"/>
  <c r="CR10" i="2"/>
  <c r="CS10" i="2"/>
  <c r="CT10" i="2"/>
  <c r="CU10" i="2"/>
  <c r="CV10" i="2"/>
  <c r="CW10" i="2"/>
  <c r="CX10" i="2"/>
  <c r="CY10" i="2"/>
  <c r="CZ10" i="2"/>
  <c r="DA10" i="2"/>
  <c r="DB10" i="2"/>
  <c r="DC10" i="2"/>
  <c r="DD10" i="2"/>
  <c r="DE10" i="2"/>
  <c r="DF10" i="2"/>
  <c r="DG10" i="2"/>
  <c r="DH10" i="2"/>
  <c r="DI10" i="2"/>
  <c r="DJ10" i="2"/>
  <c r="DK10" i="2"/>
  <c r="DL10" i="2"/>
  <c r="DM10" i="2"/>
  <c r="DN10" i="2"/>
  <c r="DO10" i="2"/>
  <c r="DP10" i="2"/>
  <c r="DQ10" i="2"/>
  <c r="DR10" i="2"/>
  <c r="DS10" i="2"/>
  <c r="DT10" i="2"/>
  <c r="DU10" i="2"/>
  <c r="DV10" i="2"/>
  <c r="DW10" i="2"/>
  <c r="DX10" i="2"/>
  <c r="DY10" i="2"/>
  <c r="DZ10" i="2"/>
  <c r="EA10" i="2"/>
  <c r="EB10" i="2"/>
  <c r="EC10" i="2"/>
  <c r="ED10" i="2"/>
  <c r="EE10" i="2"/>
  <c r="EF10" i="2"/>
  <c r="EG10" i="2"/>
  <c r="EH10" i="2"/>
  <c r="EI10" i="2"/>
  <c r="EJ10" i="2"/>
  <c r="EK10" i="2"/>
  <c r="EL10" i="2"/>
  <c r="EM10" i="2"/>
  <c r="EN10" i="2"/>
  <c r="EO10" i="2"/>
  <c r="EP10" i="2"/>
  <c r="EQ10" i="2"/>
  <c r="ER10" i="2"/>
  <c r="ES10" i="2"/>
  <c r="ET10" i="2"/>
  <c r="EU10" i="2"/>
  <c r="EV10" i="2"/>
  <c r="EW10" i="2"/>
  <c r="EX10" i="2"/>
  <c r="EY10" i="2"/>
  <c r="EZ10" i="2"/>
  <c r="FA10" i="2"/>
  <c r="FB10" i="2"/>
  <c r="FC10" i="2"/>
  <c r="FD10" i="2"/>
  <c r="FE10" i="2"/>
  <c r="FF10" i="2"/>
  <c r="FG10" i="2"/>
  <c r="FH10" i="2"/>
  <c r="FI10" i="2"/>
  <c r="FJ10" i="2"/>
  <c r="FK10" i="2"/>
  <c r="FL10" i="2"/>
  <c r="FM10" i="2"/>
  <c r="FN10" i="2"/>
  <c r="FO10" i="2"/>
  <c r="FP10" i="2"/>
  <c r="FQ10" i="2"/>
  <c r="FR10" i="2"/>
  <c r="FS10" i="2"/>
  <c r="FT10" i="2"/>
  <c r="FU10" i="2"/>
  <c r="FV10" i="2"/>
  <c r="FW10" i="2"/>
  <c r="FX10" i="2"/>
  <c r="FY10" i="2"/>
  <c r="FZ10" i="2"/>
  <c r="GA10" i="2"/>
  <c r="GB10" i="2"/>
  <c r="GC10" i="2"/>
  <c r="GD10" i="2"/>
  <c r="GE10" i="2"/>
  <c r="GF10" i="2"/>
  <c r="GG10" i="2"/>
  <c r="GH10" i="2"/>
  <c r="GI10" i="2"/>
  <c r="GJ10" i="2"/>
  <c r="GK10" i="2"/>
  <c r="GL10" i="2"/>
  <c r="GM10" i="2"/>
  <c r="GN10" i="2"/>
  <c r="GO10" i="2"/>
  <c r="GP10" i="2"/>
  <c r="GQ10" i="2"/>
  <c r="GR10" i="2"/>
  <c r="GS10" i="2"/>
  <c r="GT10" i="2"/>
  <c r="GU10" i="2"/>
  <c r="GV10" i="2"/>
  <c r="GW10" i="2"/>
  <c r="GX10" i="2"/>
  <c r="AS26" i="2"/>
  <c r="AT26" i="2"/>
  <c r="AU26" i="2"/>
  <c r="AV26" i="2"/>
  <c r="AW26" i="2"/>
  <c r="AX26" i="2"/>
  <c r="AY26" i="2"/>
  <c r="AZ26" i="2"/>
  <c r="BB26" i="2"/>
  <c r="BC26" i="2"/>
  <c r="BD26" i="2"/>
  <c r="BE26" i="2"/>
  <c r="BF26" i="2"/>
  <c r="BG26" i="2"/>
  <c r="BH26" i="2"/>
  <c r="BI26" i="2"/>
  <c r="BJ26" i="2"/>
  <c r="BK26" i="2"/>
  <c r="BL26" i="2"/>
  <c r="BM26" i="2"/>
  <c r="BN26" i="2"/>
  <c r="BP26" i="2"/>
  <c r="BQ26" i="2"/>
  <c r="BR26" i="2"/>
  <c r="BS26" i="2"/>
  <c r="BT26" i="2"/>
  <c r="BU26" i="2"/>
  <c r="BV26" i="2"/>
  <c r="BW26" i="2"/>
  <c r="BX26" i="2"/>
  <c r="BY26" i="2"/>
  <c r="BZ26" i="2"/>
  <c r="CA26" i="2"/>
  <c r="CB26" i="2"/>
  <c r="CC26" i="2"/>
  <c r="CD26" i="2"/>
  <c r="CE26" i="2"/>
  <c r="CF26" i="2"/>
  <c r="CG26" i="2"/>
  <c r="CH26" i="2"/>
  <c r="CI26" i="2"/>
  <c r="CJ26" i="2"/>
  <c r="CK26" i="2"/>
  <c r="CL26" i="2"/>
  <c r="CM26" i="2"/>
  <c r="CN26" i="2"/>
  <c r="CO26" i="2"/>
  <c r="CP26" i="2"/>
  <c r="CQ26" i="2"/>
  <c r="CR26" i="2"/>
  <c r="CS26" i="2"/>
  <c r="CT26" i="2"/>
  <c r="CU26" i="2"/>
  <c r="CV26" i="2"/>
  <c r="CW26" i="2"/>
  <c r="CX26" i="2"/>
  <c r="CY26" i="2"/>
  <c r="CZ26" i="2"/>
  <c r="DA26" i="2"/>
  <c r="DB26" i="2"/>
  <c r="DC26" i="2"/>
  <c r="DD26" i="2"/>
  <c r="DE26" i="2"/>
  <c r="DF26" i="2"/>
  <c r="DG26" i="2"/>
  <c r="DH26" i="2"/>
  <c r="DI26" i="2"/>
  <c r="DJ26" i="2"/>
  <c r="DK26" i="2"/>
  <c r="DL26" i="2"/>
  <c r="DM26" i="2"/>
  <c r="DN26" i="2"/>
  <c r="DO26" i="2"/>
  <c r="DP26" i="2"/>
  <c r="DQ26" i="2"/>
  <c r="DR26" i="2"/>
  <c r="DS26" i="2"/>
  <c r="DT26" i="2"/>
  <c r="DU26" i="2"/>
  <c r="DV26" i="2"/>
  <c r="DW26" i="2"/>
  <c r="DX26" i="2"/>
  <c r="DY26" i="2"/>
  <c r="DZ26" i="2"/>
  <c r="EA26" i="2"/>
  <c r="EB26" i="2"/>
  <c r="EC26" i="2"/>
  <c r="ED26" i="2"/>
  <c r="EE26" i="2"/>
  <c r="EF26" i="2"/>
  <c r="EG26" i="2"/>
  <c r="EH26" i="2"/>
  <c r="EI26" i="2"/>
  <c r="EJ26" i="2"/>
  <c r="EK26" i="2"/>
  <c r="EL26" i="2"/>
  <c r="EM26" i="2"/>
  <c r="EN26" i="2"/>
  <c r="EO26" i="2"/>
  <c r="EP26" i="2"/>
  <c r="EQ26" i="2"/>
  <c r="ER26" i="2"/>
  <c r="ES26" i="2"/>
  <c r="ET26" i="2"/>
  <c r="EU26" i="2"/>
  <c r="EV26" i="2"/>
  <c r="EW26" i="2"/>
  <c r="EX26" i="2"/>
  <c r="EY26" i="2"/>
  <c r="EZ26" i="2"/>
  <c r="FA26" i="2"/>
  <c r="FB26" i="2"/>
  <c r="FC26" i="2"/>
  <c r="FD26" i="2"/>
  <c r="FE26" i="2"/>
  <c r="FF26" i="2"/>
  <c r="FG26" i="2"/>
  <c r="FH26" i="2"/>
  <c r="FI26" i="2"/>
  <c r="FJ26" i="2"/>
  <c r="FK26" i="2"/>
  <c r="FL26" i="2"/>
  <c r="FM26" i="2"/>
  <c r="FN26" i="2"/>
  <c r="FO26" i="2"/>
  <c r="FP26" i="2"/>
  <c r="FQ26" i="2"/>
  <c r="FR26" i="2"/>
  <c r="FS26" i="2"/>
  <c r="FT26" i="2"/>
  <c r="FU26" i="2"/>
  <c r="FV26" i="2"/>
  <c r="FW26" i="2"/>
  <c r="FX26" i="2"/>
  <c r="FY26" i="2"/>
  <c r="FZ26" i="2"/>
  <c r="GA26" i="2"/>
  <c r="GB26" i="2"/>
  <c r="GC26" i="2"/>
  <c r="GD26" i="2"/>
  <c r="GE26" i="2"/>
  <c r="GF26" i="2"/>
  <c r="GG26" i="2"/>
  <c r="GH26" i="2"/>
  <c r="GI26" i="2"/>
  <c r="GJ26" i="2"/>
  <c r="GK26" i="2"/>
  <c r="GL26" i="2"/>
  <c r="GM26" i="2"/>
  <c r="GN26" i="2"/>
  <c r="GO26" i="2"/>
  <c r="GP26" i="2"/>
  <c r="GQ26" i="2"/>
  <c r="GR26" i="2"/>
  <c r="GS26" i="2"/>
  <c r="GT26" i="2"/>
  <c r="GU26" i="2"/>
  <c r="GV26" i="2"/>
  <c r="GW26" i="2"/>
  <c r="GX26" i="2"/>
  <c r="AS42" i="2"/>
  <c r="AT42" i="2"/>
  <c r="AU42" i="2"/>
  <c r="AV42" i="2"/>
  <c r="AW42" i="2"/>
  <c r="AX42" i="2"/>
  <c r="AY42" i="2"/>
  <c r="AZ42" i="2"/>
  <c r="BA42" i="2"/>
  <c r="BB42" i="2"/>
  <c r="BC42" i="2"/>
  <c r="BD42" i="2"/>
  <c r="BE42" i="2"/>
  <c r="BF42" i="2"/>
  <c r="BG42" i="2"/>
  <c r="BH42" i="2"/>
  <c r="BJ42" i="2"/>
  <c r="BK42" i="2"/>
  <c r="BL42" i="2"/>
  <c r="BM42" i="2"/>
  <c r="BN42" i="2"/>
  <c r="BO42" i="2"/>
  <c r="BP42" i="2"/>
  <c r="BQ42" i="2"/>
  <c r="BR42" i="2"/>
  <c r="BS42" i="2"/>
  <c r="BT42" i="2"/>
  <c r="BU42" i="2"/>
  <c r="BV42" i="2"/>
  <c r="BW42" i="2"/>
  <c r="BX42" i="2"/>
  <c r="BY42" i="2"/>
  <c r="BZ42" i="2"/>
  <c r="CA42" i="2"/>
  <c r="CB42" i="2"/>
  <c r="CC42" i="2"/>
  <c r="CD42" i="2"/>
  <c r="CE42" i="2"/>
  <c r="CF42" i="2"/>
  <c r="CG42" i="2"/>
  <c r="CH42" i="2"/>
  <c r="CI42" i="2"/>
  <c r="CJ42" i="2"/>
  <c r="CK42" i="2"/>
  <c r="CL42" i="2"/>
  <c r="CM42" i="2"/>
  <c r="CN42" i="2"/>
  <c r="CO42" i="2"/>
  <c r="CP42" i="2"/>
  <c r="CQ42" i="2"/>
  <c r="CR42" i="2"/>
  <c r="CS42" i="2"/>
  <c r="CT42" i="2"/>
  <c r="CU42" i="2"/>
  <c r="CV42" i="2"/>
  <c r="CW42" i="2"/>
  <c r="CX42" i="2"/>
  <c r="CY42" i="2"/>
  <c r="CZ42" i="2"/>
  <c r="DA42" i="2"/>
  <c r="DB42" i="2"/>
  <c r="DC42" i="2"/>
  <c r="DD42" i="2"/>
  <c r="DE42" i="2"/>
  <c r="DF42" i="2"/>
  <c r="DG42" i="2"/>
  <c r="DH42" i="2"/>
  <c r="DI42" i="2"/>
  <c r="DJ42" i="2"/>
  <c r="DK42" i="2"/>
  <c r="DL42" i="2"/>
  <c r="DM42" i="2"/>
  <c r="DN42" i="2"/>
  <c r="DO42" i="2"/>
  <c r="DP42" i="2"/>
  <c r="DQ42" i="2"/>
  <c r="DR42" i="2"/>
  <c r="DS42" i="2"/>
  <c r="DT42" i="2"/>
  <c r="DU42" i="2"/>
  <c r="DV42" i="2"/>
  <c r="DW42" i="2"/>
  <c r="DX42" i="2"/>
  <c r="DY42" i="2"/>
  <c r="DZ42" i="2"/>
  <c r="EA42" i="2"/>
  <c r="EB42" i="2"/>
  <c r="EC42" i="2"/>
  <c r="ED42" i="2"/>
  <c r="EE42" i="2"/>
  <c r="EF42" i="2"/>
  <c r="EG42" i="2"/>
  <c r="EH42" i="2"/>
  <c r="EI42" i="2"/>
  <c r="EJ42" i="2"/>
  <c r="EK42" i="2"/>
  <c r="EL42" i="2"/>
  <c r="EM42" i="2"/>
  <c r="EN42" i="2"/>
  <c r="EO42" i="2"/>
  <c r="EP42" i="2"/>
  <c r="EQ42" i="2"/>
  <c r="ER42" i="2"/>
  <c r="ES42" i="2"/>
  <c r="ET42" i="2"/>
  <c r="EU42" i="2"/>
  <c r="EV42" i="2"/>
  <c r="EW42" i="2"/>
  <c r="EX42" i="2"/>
  <c r="EY42" i="2"/>
  <c r="EZ42" i="2"/>
  <c r="FA42" i="2"/>
  <c r="FB42" i="2"/>
  <c r="FC42" i="2"/>
  <c r="FD42" i="2"/>
  <c r="FE42" i="2"/>
  <c r="FF42" i="2"/>
  <c r="FG42" i="2"/>
  <c r="FH42" i="2"/>
  <c r="FI42" i="2"/>
  <c r="FJ42" i="2"/>
  <c r="FK42" i="2"/>
  <c r="FL42" i="2"/>
  <c r="FM42" i="2"/>
  <c r="FN42" i="2"/>
  <c r="FO42" i="2"/>
  <c r="FP42" i="2"/>
  <c r="FQ42" i="2"/>
  <c r="FR42" i="2"/>
  <c r="FS42" i="2"/>
  <c r="FT42" i="2"/>
  <c r="FU42" i="2"/>
  <c r="FV42" i="2"/>
  <c r="FW42" i="2"/>
  <c r="FX42" i="2"/>
  <c r="FY42" i="2"/>
  <c r="FZ42" i="2"/>
  <c r="GA42" i="2"/>
  <c r="GB42" i="2"/>
  <c r="GC42" i="2"/>
  <c r="GD42" i="2"/>
  <c r="GE42" i="2"/>
  <c r="GF42" i="2"/>
  <c r="GG42" i="2"/>
  <c r="GH42" i="2"/>
  <c r="GI42" i="2"/>
  <c r="GJ42" i="2"/>
  <c r="GK42" i="2"/>
  <c r="GL42" i="2"/>
  <c r="GM42" i="2"/>
  <c r="GN42" i="2"/>
  <c r="GO42" i="2"/>
  <c r="GP42" i="2"/>
  <c r="GQ42" i="2"/>
  <c r="GR42" i="2"/>
  <c r="GS42" i="2"/>
  <c r="GT42" i="2"/>
  <c r="GU42" i="2"/>
  <c r="GV42" i="2"/>
  <c r="GW42" i="2"/>
  <c r="GX42" i="2"/>
  <c r="AS58" i="2"/>
  <c r="AT58" i="2"/>
  <c r="AU58" i="2"/>
  <c r="AV58" i="2"/>
  <c r="AW58" i="2"/>
  <c r="AX58" i="2"/>
  <c r="AY58" i="2"/>
  <c r="AZ58" i="2"/>
  <c r="BA58" i="2"/>
  <c r="BB58" i="2"/>
  <c r="BC58" i="2"/>
  <c r="BD58" i="2"/>
  <c r="BE58" i="2"/>
  <c r="BG58" i="2"/>
  <c r="BH58" i="2"/>
  <c r="BI58" i="2"/>
  <c r="BJ58" i="2"/>
  <c r="BK58" i="2"/>
  <c r="BL58" i="2"/>
  <c r="BM58" i="2"/>
  <c r="BN58" i="2"/>
  <c r="BO58" i="2"/>
  <c r="BP58" i="2"/>
  <c r="BQ58" i="2"/>
  <c r="BR58" i="2"/>
  <c r="BS58" i="2"/>
  <c r="BT58" i="2"/>
  <c r="BU58" i="2"/>
  <c r="BV58" i="2"/>
  <c r="BW58" i="2"/>
  <c r="BX58" i="2"/>
  <c r="BY58" i="2"/>
  <c r="BZ58" i="2"/>
  <c r="CA58" i="2"/>
  <c r="CB58" i="2"/>
  <c r="CC58" i="2"/>
  <c r="CD58" i="2"/>
  <c r="CE58" i="2"/>
  <c r="CF58" i="2"/>
  <c r="CG58" i="2"/>
  <c r="CH58" i="2"/>
  <c r="CI58" i="2"/>
  <c r="CJ58" i="2"/>
  <c r="CK58" i="2"/>
  <c r="CL58" i="2"/>
  <c r="CM58" i="2"/>
  <c r="CN58" i="2"/>
  <c r="CO58" i="2"/>
  <c r="CP58" i="2"/>
  <c r="CQ58" i="2"/>
  <c r="CR58" i="2"/>
  <c r="CS58" i="2"/>
  <c r="CT58" i="2"/>
  <c r="CU58" i="2"/>
  <c r="CV58" i="2"/>
  <c r="CW58" i="2"/>
  <c r="CX58" i="2"/>
  <c r="CY58" i="2"/>
  <c r="CZ58" i="2"/>
  <c r="DA58" i="2"/>
  <c r="DB58" i="2"/>
  <c r="DC58" i="2"/>
  <c r="DD58" i="2"/>
  <c r="DE58" i="2"/>
  <c r="DF58" i="2"/>
  <c r="DG58" i="2"/>
  <c r="DH58" i="2"/>
  <c r="DI58" i="2"/>
  <c r="DJ58" i="2"/>
  <c r="DK58" i="2"/>
  <c r="DL58" i="2"/>
  <c r="DM58" i="2"/>
  <c r="DN58" i="2"/>
  <c r="DO58" i="2"/>
  <c r="DP58" i="2"/>
  <c r="DQ58" i="2"/>
  <c r="DR58" i="2"/>
  <c r="DS58" i="2"/>
  <c r="DT58" i="2"/>
  <c r="DU58" i="2"/>
  <c r="DV58" i="2"/>
  <c r="DW58" i="2"/>
  <c r="DX58" i="2"/>
  <c r="DY58" i="2"/>
  <c r="DZ58" i="2"/>
  <c r="EA58" i="2"/>
  <c r="EB58" i="2"/>
  <c r="EC58" i="2"/>
  <c r="ED58" i="2"/>
  <c r="EE58" i="2"/>
  <c r="EF58" i="2"/>
  <c r="EG58" i="2"/>
  <c r="EH58" i="2"/>
  <c r="EI58" i="2"/>
  <c r="EJ58" i="2"/>
  <c r="EK58" i="2"/>
  <c r="EL58" i="2"/>
  <c r="EM58" i="2"/>
  <c r="EN58" i="2"/>
  <c r="EO58" i="2"/>
  <c r="EP58" i="2"/>
  <c r="EQ58" i="2"/>
  <c r="ER58" i="2"/>
  <c r="ES58" i="2"/>
  <c r="ET58" i="2"/>
  <c r="EU58" i="2"/>
  <c r="EV58" i="2"/>
  <c r="EW58" i="2"/>
  <c r="EX58" i="2"/>
  <c r="EY58" i="2"/>
  <c r="EZ58" i="2"/>
  <c r="FA58" i="2"/>
  <c r="FB58" i="2"/>
  <c r="FC58" i="2"/>
  <c r="FD58" i="2"/>
  <c r="FE58" i="2"/>
  <c r="FF58" i="2"/>
  <c r="FG58" i="2"/>
  <c r="FH58" i="2"/>
  <c r="FI58" i="2"/>
  <c r="FJ58" i="2"/>
  <c r="FK58" i="2"/>
  <c r="FL58" i="2"/>
  <c r="FM58" i="2"/>
  <c r="FN58" i="2"/>
  <c r="FO58" i="2"/>
  <c r="FP58" i="2"/>
  <c r="FQ58" i="2"/>
  <c r="FR58" i="2"/>
  <c r="FS58" i="2"/>
  <c r="FT58" i="2"/>
  <c r="FU58" i="2"/>
  <c r="FV58" i="2"/>
  <c r="FW58" i="2"/>
  <c r="FX58" i="2"/>
  <c r="FY58" i="2"/>
  <c r="FZ58" i="2"/>
  <c r="GA58" i="2"/>
  <c r="GB58" i="2"/>
  <c r="GC58" i="2"/>
  <c r="GD58" i="2"/>
  <c r="GE58" i="2"/>
  <c r="GF58" i="2"/>
  <c r="GG58" i="2"/>
  <c r="GH58" i="2"/>
  <c r="GI58" i="2"/>
  <c r="GJ58" i="2"/>
  <c r="GK58" i="2"/>
  <c r="GL58" i="2"/>
  <c r="GM58" i="2"/>
  <c r="GN58" i="2"/>
  <c r="GO58" i="2"/>
  <c r="GP58" i="2"/>
  <c r="GQ58" i="2"/>
  <c r="GR58" i="2"/>
  <c r="GS58" i="2"/>
  <c r="GT58" i="2"/>
  <c r="GU58" i="2"/>
  <c r="GV58" i="2"/>
  <c r="GW58" i="2"/>
  <c r="GX58" i="2"/>
  <c r="AS74" i="2"/>
  <c r="AT74" i="2"/>
  <c r="AU74" i="2"/>
  <c r="AV74" i="2"/>
  <c r="AW74" i="2"/>
  <c r="AX74" i="2"/>
  <c r="AY74" i="2"/>
  <c r="AZ74" i="2"/>
  <c r="BA74" i="2"/>
  <c r="BB74" i="2"/>
  <c r="BC74" i="2"/>
  <c r="BD74" i="2"/>
  <c r="BF74" i="2"/>
  <c r="BG74" i="2"/>
  <c r="BH74" i="2"/>
  <c r="BI74" i="2"/>
  <c r="BJ74" i="2"/>
  <c r="BK74" i="2"/>
  <c r="BL74" i="2"/>
  <c r="BM74" i="2"/>
  <c r="BN74" i="2"/>
  <c r="BO74" i="2"/>
  <c r="BP74" i="2"/>
  <c r="BQ74" i="2"/>
  <c r="BR74" i="2"/>
  <c r="BS74" i="2"/>
  <c r="BT74" i="2"/>
  <c r="BU74" i="2"/>
  <c r="BV74" i="2"/>
  <c r="BW74" i="2"/>
  <c r="BX74" i="2"/>
  <c r="BY74" i="2"/>
  <c r="BZ74" i="2"/>
  <c r="CA74" i="2"/>
  <c r="CB74" i="2"/>
  <c r="CC74" i="2"/>
  <c r="CD74" i="2"/>
  <c r="CE74" i="2"/>
  <c r="CF74" i="2"/>
  <c r="CG74" i="2"/>
  <c r="CH74" i="2"/>
  <c r="CI74" i="2"/>
  <c r="CJ74" i="2"/>
  <c r="CK74" i="2"/>
  <c r="CL74" i="2"/>
  <c r="CM74" i="2"/>
  <c r="CN74" i="2"/>
  <c r="CO74" i="2"/>
  <c r="CP74" i="2"/>
  <c r="CQ74" i="2"/>
  <c r="CR74" i="2"/>
  <c r="CS74" i="2"/>
  <c r="CT74" i="2"/>
  <c r="CU74" i="2"/>
  <c r="CV74" i="2"/>
  <c r="CW74" i="2"/>
  <c r="CX74" i="2"/>
  <c r="CY74" i="2"/>
  <c r="CZ74" i="2"/>
  <c r="DA74" i="2"/>
  <c r="DB74" i="2"/>
  <c r="DC74" i="2"/>
  <c r="DD74" i="2"/>
  <c r="DE74" i="2"/>
  <c r="DF74" i="2"/>
  <c r="DG74" i="2"/>
  <c r="DH74" i="2"/>
  <c r="DI74" i="2"/>
  <c r="DJ74" i="2"/>
  <c r="DK74" i="2"/>
  <c r="DL74" i="2"/>
  <c r="DM74" i="2"/>
  <c r="DN74" i="2"/>
  <c r="DO74" i="2"/>
  <c r="DP74" i="2"/>
  <c r="DQ74" i="2"/>
  <c r="DR74" i="2"/>
  <c r="DS74" i="2"/>
  <c r="DT74" i="2"/>
  <c r="DU74" i="2"/>
  <c r="DV74" i="2"/>
  <c r="DW74" i="2"/>
  <c r="DX74" i="2"/>
  <c r="DY74" i="2"/>
  <c r="DZ74" i="2"/>
  <c r="EA74" i="2"/>
  <c r="EB74" i="2"/>
  <c r="EC74" i="2"/>
  <c r="ED74" i="2"/>
  <c r="EE74" i="2"/>
  <c r="EF74" i="2"/>
  <c r="EG74" i="2"/>
  <c r="EH74" i="2"/>
  <c r="EI74" i="2"/>
  <c r="EJ74" i="2"/>
  <c r="EK74" i="2"/>
  <c r="EL74" i="2"/>
  <c r="EM74" i="2"/>
  <c r="EN74" i="2"/>
  <c r="EO74" i="2"/>
  <c r="EP74" i="2"/>
  <c r="EQ74" i="2"/>
  <c r="ER74" i="2"/>
  <c r="ES74" i="2"/>
  <c r="ET74" i="2"/>
  <c r="EU74" i="2"/>
  <c r="EV74" i="2"/>
  <c r="EW74" i="2"/>
  <c r="EX74" i="2"/>
  <c r="EY74" i="2"/>
  <c r="EZ74" i="2"/>
  <c r="FA74" i="2"/>
  <c r="FB74" i="2"/>
  <c r="FC74" i="2"/>
  <c r="FD74" i="2"/>
  <c r="FE74" i="2"/>
  <c r="FF74" i="2"/>
  <c r="FG74" i="2"/>
  <c r="FH74" i="2"/>
  <c r="FI74" i="2"/>
  <c r="FJ74" i="2"/>
  <c r="FK74" i="2"/>
  <c r="FL74" i="2"/>
  <c r="FM74" i="2"/>
  <c r="FN74" i="2"/>
  <c r="FO74" i="2"/>
  <c r="FP74" i="2"/>
  <c r="FQ74" i="2"/>
  <c r="FR74" i="2"/>
  <c r="FS74" i="2"/>
  <c r="FT74" i="2"/>
  <c r="FU74" i="2"/>
  <c r="FV74" i="2"/>
  <c r="FW74" i="2"/>
  <c r="FX74" i="2"/>
  <c r="FY74" i="2"/>
  <c r="FZ74" i="2"/>
  <c r="GA74" i="2"/>
  <c r="GB74" i="2"/>
  <c r="GC74" i="2"/>
  <c r="GD74" i="2"/>
  <c r="GE74" i="2"/>
  <c r="GF74" i="2"/>
  <c r="GG74" i="2"/>
  <c r="GH74" i="2"/>
  <c r="GI74" i="2"/>
  <c r="GJ74" i="2"/>
  <c r="GK74" i="2"/>
  <c r="GL74" i="2"/>
  <c r="GM74" i="2"/>
  <c r="GN74" i="2"/>
  <c r="GO74" i="2"/>
  <c r="GP74" i="2"/>
  <c r="GQ74" i="2"/>
  <c r="GR74" i="2"/>
  <c r="GS74" i="2"/>
  <c r="GT74" i="2"/>
  <c r="GU74" i="2"/>
  <c r="GV74" i="2"/>
  <c r="GW74" i="2"/>
  <c r="GX74" i="2"/>
  <c r="AS90" i="2"/>
  <c r="AT90" i="2"/>
  <c r="AU90" i="2"/>
  <c r="AV90" i="2"/>
  <c r="AW90" i="2"/>
  <c r="AX90" i="2"/>
  <c r="AT78" i="2"/>
  <c r="AU78" i="2"/>
  <c r="AV78" i="2"/>
  <c r="AW78" i="2"/>
  <c r="AX78" i="2"/>
  <c r="AY78" i="2"/>
  <c r="AZ78" i="2"/>
  <c r="BA78" i="2"/>
  <c r="BB78" i="2"/>
  <c r="BC78" i="2"/>
  <c r="BD78" i="2"/>
  <c r="BE78" i="2"/>
  <c r="BF78" i="2"/>
  <c r="BG78" i="2"/>
  <c r="BI78" i="2"/>
  <c r="BJ78" i="2"/>
  <c r="BK78" i="2"/>
  <c r="BL78" i="2"/>
  <c r="BM78" i="2"/>
  <c r="BN78" i="2"/>
  <c r="BO78" i="2"/>
  <c r="BP78" i="2"/>
  <c r="BQ78" i="2"/>
  <c r="BR78" i="2"/>
  <c r="BS78" i="2"/>
  <c r="BT78" i="2"/>
  <c r="BU78" i="2"/>
  <c r="BV78" i="2"/>
  <c r="BW78" i="2"/>
  <c r="BX78" i="2"/>
  <c r="BY78" i="2"/>
  <c r="BZ78" i="2"/>
  <c r="CA78" i="2"/>
  <c r="CB78" i="2"/>
  <c r="CC78" i="2"/>
  <c r="CD78" i="2"/>
  <c r="CE78" i="2"/>
  <c r="CF78" i="2"/>
  <c r="CG78" i="2"/>
  <c r="CH78" i="2"/>
  <c r="CI78" i="2"/>
  <c r="CJ78" i="2"/>
  <c r="CK78" i="2"/>
  <c r="CL78" i="2"/>
  <c r="CM78" i="2"/>
  <c r="CN78" i="2"/>
  <c r="CO78" i="2"/>
  <c r="CP78" i="2"/>
  <c r="CQ78" i="2"/>
  <c r="CR78" i="2"/>
  <c r="CS78" i="2"/>
  <c r="CT78" i="2"/>
  <c r="CU78" i="2"/>
  <c r="CV78" i="2"/>
  <c r="CW78" i="2"/>
  <c r="CX78" i="2"/>
  <c r="CY78" i="2"/>
  <c r="CZ78" i="2"/>
  <c r="DA78" i="2"/>
  <c r="DB78" i="2"/>
  <c r="DC78" i="2"/>
  <c r="DD78" i="2"/>
  <c r="DE78" i="2"/>
  <c r="DF78" i="2"/>
  <c r="DG78" i="2"/>
  <c r="DH78" i="2"/>
  <c r="DI78" i="2"/>
  <c r="DJ78" i="2"/>
  <c r="DK78" i="2"/>
  <c r="DL78" i="2"/>
  <c r="DM78" i="2"/>
  <c r="DN78" i="2"/>
  <c r="DO78" i="2"/>
  <c r="DP78" i="2"/>
  <c r="DQ78" i="2"/>
  <c r="DR78" i="2"/>
  <c r="DS78" i="2"/>
  <c r="DT78" i="2"/>
  <c r="DU78" i="2"/>
  <c r="DV78" i="2"/>
  <c r="DW78" i="2"/>
  <c r="DX78" i="2"/>
  <c r="DY78" i="2"/>
  <c r="DZ78" i="2"/>
  <c r="EA78" i="2"/>
  <c r="EB78" i="2"/>
  <c r="EC78" i="2"/>
  <c r="ED78" i="2"/>
  <c r="EE78" i="2"/>
  <c r="EF78" i="2"/>
  <c r="EG78" i="2"/>
  <c r="EH78" i="2"/>
  <c r="EI78" i="2"/>
  <c r="EJ78" i="2"/>
  <c r="EK78" i="2"/>
  <c r="EL78" i="2"/>
  <c r="EM78" i="2"/>
  <c r="EN78" i="2"/>
  <c r="EO78" i="2"/>
  <c r="EP78" i="2"/>
  <c r="EQ78" i="2"/>
  <c r="ER78" i="2"/>
  <c r="ES78" i="2"/>
  <c r="ET78" i="2"/>
  <c r="EU78" i="2"/>
  <c r="EV78" i="2"/>
  <c r="EW78" i="2"/>
  <c r="EX78" i="2"/>
  <c r="EY78" i="2"/>
  <c r="EZ78" i="2"/>
  <c r="FA78" i="2"/>
  <c r="FB78" i="2"/>
  <c r="FC78" i="2"/>
  <c r="FD78" i="2"/>
  <c r="FE78" i="2"/>
  <c r="FF78" i="2"/>
  <c r="FG78" i="2"/>
  <c r="FH78" i="2"/>
  <c r="FI78" i="2"/>
  <c r="FJ78" i="2"/>
  <c r="FK78" i="2"/>
  <c r="FL78" i="2"/>
  <c r="FM78" i="2"/>
  <c r="FN78" i="2"/>
  <c r="FO78" i="2"/>
  <c r="FP78" i="2"/>
  <c r="FQ78" i="2"/>
  <c r="FR78" i="2"/>
  <c r="FS78" i="2"/>
  <c r="FT78" i="2"/>
  <c r="FU78" i="2"/>
  <c r="FV78" i="2"/>
  <c r="FW78" i="2"/>
  <c r="FX78" i="2"/>
  <c r="FY78" i="2"/>
  <c r="FZ78" i="2"/>
  <c r="GA78" i="2"/>
  <c r="GB78" i="2"/>
  <c r="GC78" i="2"/>
  <c r="GD78" i="2"/>
  <c r="GE78" i="2"/>
  <c r="GF78" i="2"/>
  <c r="GG78" i="2"/>
  <c r="GH78" i="2"/>
  <c r="GI78" i="2"/>
  <c r="GJ78" i="2"/>
  <c r="GK78" i="2"/>
  <c r="GL78" i="2"/>
  <c r="GM78" i="2"/>
  <c r="GN78" i="2"/>
  <c r="GO78" i="2"/>
  <c r="GP78" i="2"/>
  <c r="GQ78" i="2"/>
  <c r="GR78" i="2"/>
  <c r="GS78" i="2"/>
  <c r="GT78" i="2"/>
  <c r="GU78" i="2"/>
  <c r="GV78" i="2"/>
  <c r="GW78" i="2"/>
  <c r="GX78" i="2"/>
  <c r="AS31" i="2"/>
  <c r="AT31" i="2"/>
  <c r="AV31" i="2"/>
  <c r="AW31" i="2"/>
  <c r="AX31" i="2"/>
  <c r="AY31" i="2"/>
  <c r="AZ31" i="2"/>
  <c r="BA31" i="2"/>
  <c r="BB31" i="2"/>
  <c r="BC31" i="2"/>
  <c r="BD31" i="2"/>
  <c r="BE31" i="2"/>
  <c r="BF31" i="2"/>
  <c r="BG31" i="2"/>
  <c r="BH31" i="2"/>
  <c r="BI31" i="2"/>
  <c r="BJ31" i="2"/>
  <c r="BK31" i="2"/>
  <c r="BL31" i="2"/>
  <c r="BM31" i="2"/>
  <c r="BO31" i="2"/>
  <c r="BP31" i="2"/>
  <c r="BQ31" i="2"/>
  <c r="BR31" i="2"/>
  <c r="BS31" i="2"/>
  <c r="BT31" i="2"/>
  <c r="BU31" i="2"/>
  <c r="BV31" i="2"/>
  <c r="BW31" i="2"/>
  <c r="BX31" i="2"/>
  <c r="BY31" i="2"/>
  <c r="BZ31" i="2"/>
  <c r="CA31" i="2"/>
  <c r="CB31" i="2"/>
  <c r="CC31" i="2"/>
  <c r="CD31" i="2"/>
  <c r="CE31" i="2"/>
  <c r="CF31" i="2"/>
  <c r="CG31" i="2"/>
  <c r="CH31" i="2"/>
  <c r="CI31" i="2"/>
  <c r="CJ31" i="2"/>
  <c r="CK31" i="2"/>
  <c r="CL31" i="2"/>
  <c r="CM31" i="2"/>
  <c r="CN31" i="2"/>
  <c r="CO31" i="2"/>
  <c r="CP31" i="2"/>
  <c r="CQ31" i="2"/>
  <c r="CR31" i="2"/>
  <c r="CS31" i="2"/>
  <c r="CT31" i="2"/>
  <c r="CU31" i="2"/>
  <c r="CV31" i="2"/>
  <c r="CW31" i="2"/>
  <c r="CX31" i="2"/>
  <c r="CY31" i="2"/>
  <c r="CZ31" i="2"/>
  <c r="DA31" i="2"/>
  <c r="DB31" i="2"/>
  <c r="DC31" i="2"/>
  <c r="DD31" i="2"/>
  <c r="DE31" i="2"/>
  <c r="DF31" i="2"/>
  <c r="DG31" i="2"/>
  <c r="DH31" i="2"/>
  <c r="DI31" i="2"/>
  <c r="DJ31" i="2"/>
  <c r="DK31" i="2"/>
  <c r="DL31" i="2"/>
  <c r="DM31" i="2"/>
  <c r="DN31" i="2"/>
  <c r="DO31" i="2"/>
  <c r="DP31" i="2"/>
  <c r="DQ31" i="2"/>
  <c r="DR31" i="2"/>
  <c r="DS31" i="2"/>
  <c r="DT31" i="2"/>
  <c r="DU31" i="2"/>
  <c r="DV31" i="2"/>
  <c r="DW31" i="2"/>
  <c r="DX31" i="2"/>
  <c r="DY31" i="2"/>
  <c r="DZ31" i="2"/>
  <c r="EA31" i="2"/>
  <c r="EB31" i="2"/>
  <c r="EC31" i="2"/>
  <c r="ED31" i="2"/>
  <c r="EE31" i="2"/>
  <c r="EF31" i="2"/>
  <c r="EG31" i="2"/>
  <c r="EH31" i="2"/>
  <c r="EI31" i="2"/>
  <c r="EJ31" i="2"/>
  <c r="EK31" i="2"/>
  <c r="EL31" i="2"/>
  <c r="EM31" i="2"/>
  <c r="EN31" i="2"/>
  <c r="EO31" i="2"/>
  <c r="EP31" i="2"/>
  <c r="EQ31" i="2"/>
  <c r="ER31" i="2"/>
  <c r="ES31" i="2"/>
  <c r="ET31" i="2"/>
  <c r="EU31" i="2"/>
  <c r="EV31" i="2"/>
  <c r="EW31" i="2"/>
  <c r="EX31" i="2"/>
  <c r="EY31" i="2"/>
  <c r="EZ31" i="2"/>
  <c r="FA31" i="2"/>
  <c r="FB31" i="2"/>
  <c r="FC31" i="2"/>
  <c r="FD31" i="2"/>
  <c r="FE31" i="2"/>
  <c r="FF31" i="2"/>
  <c r="FG31" i="2"/>
  <c r="FH31" i="2"/>
  <c r="FI31" i="2"/>
  <c r="FJ31" i="2"/>
  <c r="FK31" i="2"/>
  <c r="FL31" i="2"/>
  <c r="FM31" i="2"/>
  <c r="FN31" i="2"/>
  <c r="FO31" i="2"/>
  <c r="FP31" i="2"/>
  <c r="FQ31" i="2"/>
  <c r="FR31" i="2"/>
  <c r="FS31" i="2"/>
  <c r="FT31" i="2"/>
  <c r="FU31" i="2"/>
  <c r="FV31" i="2"/>
  <c r="FW31" i="2"/>
  <c r="FX31" i="2"/>
  <c r="FY31" i="2"/>
  <c r="FZ31" i="2"/>
  <c r="GA31" i="2"/>
  <c r="GB31" i="2"/>
  <c r="GC31" i="2"/>
  <c r="GD31" i="2"/>
  <c r="GE31" i="2"/>
  <c r="GF31" i="2"/>
  <c r="GG31" i="2"/>
  <c r="GH31" i="2"/>
  <c r="GI31" i="2"/>
  <c r="GJ31" i="2"/>
  <c r="GK31" i="2"/>
  <c r="GL31" i="2"/>
  <c r="GM31" i="2"/>
  <c r="GN31" i="2"/>
  <c r="GO31" i="2"/>
  <c r="GP31" i="2"/>
  <c r="GQ31" i="2"/>
  <c r="GR31" i="2"/>
  <c r="GS31" i="2"/>
  <c r="GT31" i="2"/>
  <c r="GU31" i="2"/>
  <c r="GV31" i="2"/>
  <c r="GW31" i="2"/>
  <c r="GX31" i="2"/>
  <c r="AS95" i="2"/>
  <c r="AT95" i="2"/>
  <c r="AU95" i="2"/>
  <c r="AV95" i="2"/>
  <c r="AX95" i="2"/>
  <c r="AY95" i="2"/>
  <c r="AZ95" i="2"/>
  <c r="BA95" i="2"/>
  <c r="BB95" i="2"/>
  <c r="BC95" i="2"/>
  <c r="BD95" i="2"/>
  <c r="BE95" i="2"/>
  <c r="BF95" i="2"/>
  <c r="BG95" i="2"/>
  <c r="BH95" i="2"/>
  <c r="BI95" i="2"/>
  <c r="BJ95" i="2"/>
  <c r="BK95" i="2"/>
  <c r="BM95" i="2"/>
  <c r="BN95" i="2"/>
  <c r="BO95" i="2"/>
  <c r="BP95" i="2"/>
  <c r="BQ95" i="2"/>
  <c r="BR95" i="2"/>
  <c r="BS95" i="2"/>
  <c r="BT95" i="2"/>
  <c r="BU95" i="2"/>
  <c r="BV95" i="2"/>
  <c r="BW95" i="2"/>
  <c r="BX95" i="2"/>
  <c r="BY95" i="2"/>
  <c r="BZ95" i="2"/>
  <c r="CA95" i="2"/>
  <c r="CB95" i="2"/>
  <c r="CC95" i="2"/>
  <c r="CD95" i="2"/>
  <c r="CE95" i="2"/>
  <c r="CF95" i="2"/>
  <c r="CG95" i="2"/>
  <c r="CH95" i="2"/>
  <c r="CI95" i="2"/>
  <c r="CJ95" i="2"/>
  <c r="CK95" i="2"/>
  <c r="CL95" i="2"/>
  <c r="CM95" i="2"/>
  <c r="CN95" i="2"/>
  <c r="CO95" i="2"/>
  <c r="CP95" i="2"/>
  <c r="CQ95" i="2"/>
  <c r="CR95" i="2"/>
  <c r="CS95" i="2"/>
  <c r="CT95" i="2"/>
  <c r="CU95" i="2"/>
  <c r="CV95" i="2"/>
  <c r="CW95" i="2"/>
  <c r="CX95" i="2"/>
  <c r="CY95" i="2"/>
  <c r="CZ95" i="2"/>
  <c r="DA95" i="2"/>
  <c r="DB95" i="2"/>
  <c r="DC95" i="2"/>
  <c r="DD95" i="2"/>
  <c r="DE95" i="2"/>
  <c r="DF95" i="2"/>
  <c r="DG95" i="2"/>
  <c r="DH95" i="2"/>
  <c r="DI95" i="2"/>
  <c r="DJ95" i="2"/>
  <c r="DK95" i="2"/>
  <c r="DL95" i="2"/>
  <c r="DM95" i="2"/>
  <c r="DN95" i="2"/>
  <c r="DO95" i="2"/>
  <c r="DP95" i="2"/>
  <c r="DQ95" i="2"/>
  <c r="DR95" i="2"/>
  <c r="DS95" i="2"/>
  <c r="DT95" i="2"/>
  <c r="DU95" i="2"/>
  <c r="DV95" i="2"/>
  <c r="DW95" i="2"/>
  <c r="DX95" i="2"/>
  <c r="DY95" i="2"/>
  <c r="DZ95" i="2"/>
  <c r="EA95" i="2"/>
  <c r="EB95" i="2"/>
  <c r="EC95" i="2"/>
  <c r="ED95" i="2"/>
  <c r="EE95" i="2"/>
  <c r="EF95" i="2"/>
  <c r="EG95" i="2"/>
  <c r="EH95" i="2"/>
  <c r="EI95" i="2"/>
  <c r="EJ95" i="2"/>
  <c r="EK95" i="2"/>
  <c r="EL95" i="2"/>
  <c r="EM95" i="2"/>
  <c r="EN95" i="2"/>
  <c r="EO95" i="2"/>
  <c r="EP95" i="2"/>
  <c r="EQ95" i="2"/>
  <c r="ER95" i="2"/>
  <c r="ES95" i="2"/>
  <c r="ET95" i="2"/>
  <c r="EU95" i="2"/>
  <c r="EV95" i="2"/>
  <c r="EW95" i="2"/>
  <c r="EX95" i="2"/>
  <c r="EY95" i="2"/>
  <c r="EZ95" i="2"/>
  <c r="FA95" i="2"/>
  <c r="FB95" i="2"/>
  <c r="FC95" i="2"/>
  <c r="FD95" i="2"/>
  <c r="FE95" i="2"/>
  <c r="FF95" i="2"/>
  <c r="FG95" i="2"/>
  <c r="FH95" i="2"/>
  <c r="FI95" i="2"/>
  <c r="FJ95" i="2"/>
  <c r="FK95" i="2"/>
  <c r="FL95" i="2"/>
  <c r="FM95" i="2"/>
  <c r="FN95" i="2"/>
  <c r="FO95" i="2"/>
  <c r="FP95" i="2"/>
  <c r="FQ95" i="2"/>
  <c r="FR95" i="2"/>
  <c r="FS95" i="2"/>
  <c r="FT95" i="2"/>
  <c r="FU95" i="2"/>
  <c r="FV95" i="2"/>
  <c r="FW95" i="2"/>
  <c r="FX95" i="2"/>
  <c r="FY95" i="2"/>
  <c r="FZ95" i="2"/>
  <c r="GA95" i="2"/>
  <c r="GB95" i="2"/>
  <c r="GC95" i="2"/>
  <c r="GD95" i="2"/>
  <c r="GE95" i="2"/>
  <c r="GF95" i="2"/>
  <c r="GG95" i="2"/>
  <c r="GH95" i="2"/>
  <c r="GI95" i="2"/>
  <c r="GJ95" i="2"/>
  <c r="GK95" i="2"/>
  <c r="GL95" i="2"/>
  <c r="GM95" i="2"/>
  <c r="GN95" i="2"/>
  <c r="GO95" i="2"/>
  <c r="GP95" i="2"/>
  <c r="GQ95" i="2"/>
  <c r="GR95" i="2"/>
  <c r="GS95" i="2"/>
  <c r="GT95" i="2"/>
  <c r="GU95" i="2"/>
  <c r="GV95" i="2"/>
  <c r="GW95" i="2"/>
  <c r="GX95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F19" i="2"/>
  <c r="BG19" i="2"/>
  <c r="BH19" i="2"/>
  <c r="BI19" i="2"/>
  <c r="BJ19" i="2"/>
  <c r="BK19" i="2"/>
  <c r="BL19" i="2"/>
  <c r="BM19" i="2"/>
  <c r="BN19" i="2"/>
  <c r="BO19" i="2"/>
  <c r="BP19" i="2"/>
  <c r="BQ19" i="2"/>
  <c r="BR19" i="2"/>
  <c r="BS19" i="2"/>
  <c r="BT19" i="2"/>
  <c r="BU19" i="2"/>
  <c r="BV19" i="2"/>
  <c r="BW19" i="2"/>
  <c r="BX19" i="2"/>
  <c r="BY19" i="2"/>
  <c r="BZ19" i="2"/>
  <c r="CA19" i="2"/>
  <c r="CB19" i="2"/>
  <c r="CC19" i="2"/>
  <c r="CD19" i="2"/>
  <c r="CE19" i="2"/>
  <c r="CF19" i="2"/>
  <c r="CG19" i="2"/>
  <c r="CH19" i="2"/>
  <c r="CI19" i="2"/>
  <c r="CJ19" i="2"/>
  <c r="CK19" i="2"/>
  <c r="CL19" i="2"/>
  <c r="CM19" i="2"/>
  <c r="CN19" i="2"/>
  <c r="CO19" i="2"/>
  <c r="CP19" i="2"/>
  <c r="CQ19" i="2"/>
  <c r="CR19" i="2"/>
  <c r="CS19" i="2"/>
  <c r="CT19" i="2"/>
  <c r="CU19" i="2"/>
  <c r="CV19" i="2"/>
  <c r="CW19" i="2"/>
  <c r="CX19" i="2"/>
  <c r="CY19" i="2"/>
  <c r="CZ19" i="2"/>
  <c r="DA19" i="2"/>
  <c r="DB19" i="2"/>
  <c r="DC19" i="2"/>
  <c r="DD19" i="2"/>
  <c r="DE19" i="2"/>
  <c r="DF19" i="2"/>
  <c r="DG19" i="2"/>
  <c r="DH19" i="2"/>
  <c r="DI19" i="2"/>
  <c r="DJ19" i="2"/>
  <c r="DK19" i="2"/>
  <c r="DL19" i="2"/>
  <c r="DM19" i="2"/>
  <c r="DN19" i="2"/>
  <c r="DO19" i="2"/>
  <c r="DP19" i="2"/>
  <c r="DQ19" i="2"/>
  <c r="DR19" i="2"/>
  <c r="DS19" i="2"/>
  <c r="DT19" i="2"/>
  <c r="DU19" i="2"/>
  <c r="DV19" i="2"/>
  <c r="DW19" i="2"/>
  <c r="DX19" i="2"/>
  <c r="DY19" i="2"/>
  <c r="DZ19" i="2"/>
  <c r="EA19" i="2"/>
  <c r="EB19" i="2"/>
  <c r="EC19" i="2"/>
  <c r="ED19" i="2"/>
  <c r="EE19" i="2"/>
  <c r="EF19" i="2"/>
  <c r="EG19" i="2"/>
  <c r="EH19" i="2"/>
  <c r="EI19" i="2"/>
  <c r="EJ19" i="2"/>
  <c r="EK19" i="2"/>
  <c r="EL19" i="2"/>
  <c r="EM19" i="2"/>
  <c r="EN19" i="2"/>
  <c r="EO19" i="2"/>
  <c r="EP19" i="2"/>
  <c r="EQ19" i="2"/>
  <c r="ER19" i="2"/>
  <c r="ES19" i="2"/>
  <c r="ET19" i="2"/>
  <c r="EU19" i="2"/>
  <c r="EV19" i="2"/>
  <c r="EW19" i="2"/>
  <c r="EX19" i="2"/>
  <c r="EY19" i="2"/>
  <c r="EZ19" i="2"/>
  <c r="FA19" i="2"/>
  <c r="FB19" i="2"/>
  <c r="FC19" i="2"/>
  <c r="FD19" i="2"/>
  <c r="FE19" i="2"/>
  <c r="FF19" i="2"/>
  <c r="FG19" i="2"/>
  <c r="FH19" i="2"/>
  <c r="FI19" i="2"/>
  <c r="FJ19" i="2"/>
  <c r="FK19" i="2"/>
  <c r="FL19" i="2"/>
  <c r="FM19" i="2"/>
  <c r="FN19" i="2"/>
  <c r="FO19" i="2"/>
  <c r="FP19" i="2"/>
  <c r="FQ19" i="2"/>
  <c r="FR19" i="2"/>
  <c r="FS19" i="2"/>
  <c r="FT19" i="2"/>
  <c r="FU19" i="2"/>
  <c r="FV19" i="2"/>
  <c r="FW19" i="2"/>
  <c r="FX19" i="2"/>
  <c r="FY19" i="2"/>
  <c r="FZ19" i="2"/>
  <c r="GA19" i="2"/>
  <c r="GB19" i="2"/>
  <c r="GC19" i="2"/>
  <c r="GD19" i="2"/>
  <c r="GE19" i="2"/>
  <c r="GF19" i="2"/>
  <c r="GG19" i="2"/>
  <c r="GH19" i="2"/>
  <c r="GI19" i="2"/>
  <c r="GJ19" i="2"/>
  <c r="GK19" i="2"/>
  <c r="GL19" i="2"/>
  <c r="GM19" i="2"/>
  <c r="GN19" i="2"/>
  <c r="GO19" i="2"/>
  <c r="GP19" i="2"/>
  <c r="GQ19" i="2"/>
  <c r="GR19" i="2"/>
  <c r="GS19" i="2"/>
  <c r="GT19" i="2"/>
  <c r="GU19" i="2"/>
  <c r="GV19" i="2"/>
  <c r="GW19" i="2"/>
  <c r="GX19" i="2"/>
  <c r="AS4" i="2"/>
  <c r="AT4" i="2"/>
  <c r="AU4" i="2"/>
  <c r="AV4" i="2"/>
  <c r="AW4" i="2"/>
  <c r="AX4" i="2"/>
  <c r="AS69" i="2"/>
  <c r="AU69" i="2"/>
  <c r="AV69" i="2"/>
  <c r="AW69" i="2"/>
  <c r="AX69" i="2"/>
  <c r="AY69" i="2"/>
  <c r="AZ69" i="2"/>
  <c r="BA69" i="2"/>
  <c r="BB69" i="2"/>
  <c r="BC69" i="2"/>
  <c r="BD69" i="2"/>
  <c r="BE69" i="2"/>
  <c r="BF69" i="2"/>
  <c r="BG69" i="2"/>
  <c r="BH69" i="2"/>
  <c r="BI69" i="2"/>
  <c r="BJ69" i="2"/>
  <c r="BK69" i="2"/>
  <c r="BL69" i="2"/>
  <c r="BM69" i="2"/>
  <c r="BO69" i="2"/>
  <c r="BP69" i="2"/>
  <c r="BQ69" i="2"/>
  <c r="BR69" i="2"/>
  <c r="BS69" i="2"/>
  <c r="BT69" i="2"/>
  <c r="BU69" i="2"/>
  <c r="BV69" i="2"/>
  <c r="BW69" i="2"/>
  <c r="BX69" i="2"/>
  <c r="BY69" i="2"/>
  <c r="BZ69" i="2"/>
  <c r="CA69" i="2"/>
  <c r="CB69" i="2"/>
  <c r="CC69" i="2"/>
  <c r="CD69" i="2"/>
  <c r="CE69" i="2"/>
  <c r="CF69" i="2"/>
  <c r="CG69" i="2"/>
  <c r="CH69" i="2"/>
  <c r="CI69" i="2"/>
  <c r="CJ69" i="2"/>
  <c r="CK69" i="2"/>
  <c r="CL69" i="2"/>
  <c r="CM69" i="2"/>
  <c r="CN69" i="2"/>
  <c r="CO69" i="2"/>
  <c r="CP69" i="2"/>
  <c r="CQ69" i="2"/>
  <c r="CR69" i="2"/>
  <c r="CS69" i="2"/>
  <c r="CT69" i="2"/>
  <c r="CU69" i="2"/>
  <c r="CV69" i="2"/>
  <c r="CW69" i="2"/>
  <c r="CX69" i="2"/>
  <c r="CY69" i="2"/>
  <c r="CZ69" i="2"/>
  <c r="DA69" i="2"/>
  <c r="DB69" i="2"/>
  <c r="DC69" i="2"/>
  <c r="DD69" i="2"/>
  <c r="DE69" i="2"/>
  <c r="DF69" i="2"/>
  <c r="DG69" i="2"/>
  <c r="DH69" i="2"/>
  <c r="DI69" i="2"/>
  <c r="DJ69" i="2"/>
  <c r="DK69" i="2"/>
  <c r="DL69" i="2"/>
  <c r="DM69" i="2"/>
  <c r="DN69" i="2"/>
  <c r="DO69" i="2"/>
  <c r="DP69" i="2"/>
  <c r="DQ69" i="2"/>
  <c r="DR69" i="2"/>
  <c r="DS69" i="2"/>
  <c r="DT69" i="2"/>
  <c r="DU69" i="2"/>
  <c r="DV69" i="2"/>
  <c r="DW69" i="2"/>
  <c r="DX69" i="2"/>
  <c r="DY69" i="2"/>
  <c r="DZ69" i="2"/>
  <c r="EA69" i="2"/>
  <c r="EB69" i="2"/>
  <c r="EC69" i="2"/>
  <c r="ED69" i="2"/>
  <c r="EE69" i="2"/>
  <c r="EF69" i="2"/>
  <c r="EG69" i="2"/>
  <c r="EH69" i="2"/>
  <c r="EI69" i="2"/>
  <c r="EJ69" i="2"/>
  <c r="EK69" i="2"/>
  <c r="EL69" i="2"/>
  <c r="EM69" i="2"/>
  <c r="EN69" i="2"/>
  <c r="EO69" i="2"/>
  <c r="EP69" i="2"/>
  <c r="EQ69" i="2"/>
  <c r="ER69" i="2"/>
  <c r="ES69" i="2"/>
  <c r="ET69" i="2"/>
  <c r="EU69" i="2"/>
  <c r="EV69" i="2"/>
  <c r="EW69" i="2"/>
  <c r="EX69" i="2"/>
  <c r="EY69" i="2"/>
  <c r="EZ69" i="2"/>
  <c r="FA69" i="2"/>
  <c r="FB69" i="2"/>
  <c r="FC69" i="2"/>
  <c r="FD69" i="2"/>
  <c r="FE69" i="2"/>
  <c r="FF69" i="2"/>
  <c r="FG69" i="2"/>
  <c r="FH69" i="2"/>
  <c r="FI69" i="2"/>
  <c r="FJ69" i="2"/>
  <c r="FK69" i="2"/>
  <c r="FL69" i="2"/>
  <c r="FM69" i="2"/>
  <c r="FN69" i="2"/>
  <c r="FO69" i="2"/>
  <c r="FP69" i="2"/>
  <c r="FQ69" i="2"/>
  <c r="FR69" i="2"/>
  <c r="FS69" i="2"/>
  <c r="FT69" i="2"/>
  <c r="FU69" i="2"/>
  <c r="FV69" i="2"/>
  <c r="FW69" i="2"/>
  <c r="FX69" i="2"/>
  <c r="FY69" i="2"/>
  <c r="FZ69" i="2"/>
  <c r="GA69" i="2"/>
  <c r="GB69" i="2"/>
  <c r="GC69" i="2"/>
  <c r="GD69" i="2"/>
  <c r="GE69" i="2"/>
  <c r="GF69" i="2"/>
  <c r="GG69" i="2"/>
  <c r="GH69" i="2"/>
  <c r="GI69" i="2"/>
  <c r="GJ69" i="2"/>
  <c r="GK69" i="2"/>
  <c r="GL69" i="2"/>
  <c r="GM69" i="2"/>
  <c r="GN69" i="2"/>
  <c r="GO69" i="2"/>
  <c r="GP69" i="2"/>
  <c r="GQ69" i="2"/>
  <c r="GR69" i="2"/>
  <c r="GS69" i="2"/>
  <c r="GT69" i="2"/>
  <c r="GU69" i="2"/>
  <c r="GV69" i="2"/>
  <c r="GW69" i="2"/>
  <c r="GX69" i="2"/>
  <c r="AS6" i="2"/>
  <c r="AT6" i="2"/>
  <c r="AU6" i="2"/>
  <c r="AV6" i="2"/>
  <c r="AW6" i="2"/>
  <c r="AX6" i="2"/>
  <c r="AY6" i="2"/>
  <c r="AZ6" i="2"/>
  <c r="BB6" i="2"/>
  <c r="BC6" i="2"/>
  <c r="BD6" i="2"/>
  <c r="BE6" i="2"/>
  <c r="BF6" i="2"/>
  <c r="BG6" i="2"/>
  <c r="BH6" i="2"/>
  <c r="BI6" i="2"/>
  <c r="BJ6" i="2"/>
  <c r="BK6" i="2"/>
  <c r="BL6" i="2"/>
  <c r="BM6" i="2"/>
  <c r="BN6" i="2"/>
  <c r="BO6" i="2"/>
  <c r="BP6" i="2"/>
  <c r="BQ6" i="2"/>
  <c r="BR6" i="2"/>
  <c r="BS6" i="2"/>
  <c r="BT6" i="2"/>
  <c r="BU6" i="2"/>
  <c r="BV6" i="2"/>
  <c r="BW6" i="2"/>
  <c r="BX6" i="2"/>
  <c r="BY6" i="2"/>
  <c r="BZ6" i="2"/>
  <c r="CA6" i="2"/>
  <c r="CB6" i="2"/>
  <c r="CC6" i="2"/>
  <c r="CD6" i="2"/>
  <c r="CE6" i="2"/>
  <c r="CF6" i="2"/>
  <c r="CG6" i="2"/>
  <c r="CH6" i="2"/>
  <c r="CI6" i="2"/>
  <c r="CJ6" i="2"/>
  <c r="CK6" i="2"/>
  <c r="CL6" i="2"/>
  <c r="CM6" i="2"/>
  <c r="CN6" i="2"/>
  <c r="CO6" i="2"/>
  <c r="CP6" i="2"/>
  <c r="CQ6" i="2"/>
  <c r="CR6" i="2"/>
  <c r="CS6" i="2"/>
  <c r="CT6" i="2"/>
  <c r="CU6" i="2"/>
  <c r="CV6" i="2"/>
  <c r="CW6" i="2"/>
  <c r="CX6" i="2"/>
  <c r="CY6" i="2"/>
  <c r="CZ6" i="2"/>
  <c r="DA6" i="2"/>
  <c r="DB6" i="2"/>
  <c r="DC6" i="2"/>
  <c r="DD6" i="2"/>
  <c r="DE6" i="2"/>
  <c r="DF6" i="2"/>
  <c r="DG6" i="2"/>
  <c r="DH6" i="2"/>
  <c r="DI6" i="2"/>
  <c r="DJ6" i="2"/>
  <c r="DK6" i="2"/>
  <c r="DL6" i="2"/>
  <c r="DM6" i="2"/>
  <c r="DN6" i="2"/>
  <c r="DO6" i="2"/>
  <c r="DP6" i="2"/>
  <c r="DQ6" i="2"/>
  <c r="DR6" i="2"/>
  <c r="DS6" i="2"/>
  <c r="DT6" i="2"/>
  <c r="DU6" i="2"/>
  <c r="DV6" i="2"/>
  <c r="DW6" i="2"/>
  <c r="DX6" i="2"/>
  <c r="DY6" i="2"/>
  <c r="DZ6" i="2"/>
  <c r="EA6" i="2"/>
  <c r="EB6" i="2"/>
  <c r="EC6" i="2"/>
  <c r="ED6" i="2"/>
  <c r="EE6" i="2"/>
  <c r="EF6" i="2"/>
  <c r="EG6" i="2"/>
  <c r="EH6" i="2"/>
  <c r="EI6" i="2"/>
  <c r="EJ6" i="2"/>
  <c r="EK6" i="2"/>
  <c r="EL6" i="2"/>
  <c r="EM6" i="2"/>
  <c r="EN6" i="2"/>
  <c r="EO6" i="2"/>
  <c r="EP6" i="2"/>
  <c r="EQ6" i="2"/>
  <c r="ER6" i="2"/>
  <c r="ES6" i="2"/>
  <c r="ET6" i="2"/>
  <c r="EU6" i="2"/>
  <c r="EV6" i="2"/>
  <c r="EW6" i="2"/>
  <c r="EX6" i="2"/>
  <c r="EY6" i="2"/>
  <c r="EZ6" i="2"/>
  <c r="FA6" i="2"/>
  <c r="FB6" i="2"/>
  <c r="FC6" i="2"/>
  <c r="FD6" i="2"/>
  <c r="FE6" i="2"/>
  <c r="FF6" i="2"/>
  <c r="FG6" i="2"/>
  <c r="FH6" i="2"/>
  <c r="FI6" i="2"/>
  <c r="FJ6" i="2"/>
  <c r="FK6" i="2"/>
  <c r="FL6" i="2"/>
  <c r="FM6" i="2"/>
  <c r="FN6" i="2"/>
  <c r="FO6" i="2"/>
  <c r="FP6" i="2"/>
  <c r="FQ6" i="2"/>
  <c r="FR6" i="2"/>
  <c r="FS6" i="2"/>
  <c r="FT6" i="2"/>
  <c r="FU6" i="2"/>
  <c r="FV6" i="2"/>
  <c r="FW6" i="2"/>
  <c r="FX6" i="2"/>
  <c r="FY6" i="2"/>
  <c r="FZ6" i="2"/>
  <c r="GA6" i="2"/>
  <c r="GB6" i="2"/>
  <c r="GC6" i="2"/>
  <c r="GD6" i="2"/>
  <c r="GE6" i="2"/>
  <c r="GF6" i="2"/>
  <c r="GG6" i="2"/>
  <c r="GH6" i="2"/>
  <c r="GI6" i="2"/>
  <c r="GJ6" i="2"/>
  <c r="GK6" i="2"/>
  <c r="GL6" i="2"/>
  <c r="GM6" i="2"/>
  <c r="GN6" i="2"/>
  <c r="GO6" i="2"/>
  <c r="GP6" i="2"/>
  <c r="GQ6" i="2"/>
  <c r="GR6" i="2"/>
  <c r="GS6" i="2"/>
  <c r="GT6" i="2"/>
  <c r="GU6" i="2"/>
  <c r="GV6" i="2"/>
  <c r="GW6" i="2"/>
  <c r="GX6" i="2"/>
  <c r="AS39" i="2"/>
  <c r="AT39" i="2"/>
  <c r="AU39" i="2"/>
  <c r="AV39" i="2"/>
  <c r="AW39" i="2"/>
  <c r="AX39" i="2"/>
  <c r="AY39" i="2"/>
  <c r="AZ39" i="2"/>
  <c r="BA39" i="2"/>
  <c r="BB39" i="2"/>
  <c r="BC39" i="2"/>
  <c r="BD39" i="2"/>
  <c r="BE39" i="2"/>
  <c r="BF39" i="2"/>
  <c r="BH39" i="2"/>
  <c r="BI39" i="2"/>
  <c r="BJ39" i="2"/>
  <c r="BK39" i="2"/>
  <c r="BL39" i="2"/>
  <c r="BM39" i="2"/>
  <c r="BN39" i="2"/>
  <c r="BO39" i="2"/>
  <c r="BP39" i="2"/>
  <c r="BQ39" i="2"/>
  <c r="BR39" i="2"/>
  <c r="BS39" i="2"/>
  <c r="BT39" i="2"/>
  <c r="BU39" i="2"/>
  <c r="BV39" i="2"/>
  <c r="BW39" i="2"/>
  <c r="BX39" i="2"/>
  <c r="BY39" i="2"/>
  <c r="BZ39" i="2"/>
  <c r="CA39" i="2"/>
  <c r="CB39" i="2"/>
  <c r="CC39" i="2"/>
  <c r="CD39" i="2"/>
  <c r="CE39" i="2"/>
  <c r="CF39" i="2"/>
  <c r="CG39" i="2"/>
  <c r="CH39" i="2"/>
  <c r="CI39" i="2"/>
  <c r="CJ39" i="2"/>
  <c r="CK39" i="2"/>
  <c r="CL39" i="2"/>
  <c r="CM39" i="2"/>
  <c r="CN39" i="2"/>
  <c r="CO39" i="2"/>
  <c r="CP39" i="2"/>
  <c r="CQ39" i="2"/>
  <c r="CR39" i="2"/>
  <c r="CS39" i="2"/>
  <c r="CT39" i="2"/>
  <c r="CU39" i="2"/>
  <c r="CV39" i="2"/>
  <c r="CW39" i="2"/>
  <c r="CX39" i="2"/>
  <c r="CY39" i="2"/>
  <c r="CZ39" i="2"/>
  <c r="DA39" i="2"/>
  <c r="DB39" i="2"/>
  <c r="DC39" i="2"/>
  <c r="DD39" i="2"/>
  <c r="DE39" i="2"/>
  <c r="DF39" i="2"/>
  <c r="DG39" i="2"/>
  <c r="DH39" i="2"/>
  <c r="DI39" i="2"/>
  <c r="DJ39" i="2"/>
  <c r="DK39" i="2"/>
  <c r="DL39" i="2"/>
  <c r="DM39" i="2"/>
  <c r="DN39" i="2"/>
  <c r="DO39" i="2"/>
  <c r="DP39" i="2"/>
  <c r="DQ39" i="2"/>
  <c r="DR39" i="2"/>
  <c r="DS39" i="2"/>
  <c r="DT39" i="2"/>
  <c r="DU39" i="2"/>
  <c r="DV39" i="2"/>
  <c r="DW39" i="2"/>
  <c r="DX39" i="2"/>
  <c r="DY39" i="2"/>
  <c r="DZ39" i="2"/>
  <c r="EA39" i="2"/>
  <c r="EB39" i="2"/>
  <c r="EC39" i="2"/>
  <c r="ED39" i="2"/>
  <c r="EE39" i="2"/>
  <c r="EF39" i="2"/>
  <c r="EG39" i="2"/>
  <c r="EH39" i="2"/>
  <c r="EI39" i="2"/>
  <c r="EJ39" i="2"/>
  <c r="EK39" i="2"/>
  <c r="EL39" i="2"/>
  <c r="EM39" i="2"/>
  <c r="EN39" i="2"/>
  <c r="EO39" i="2"/>
  <c r="EP39" i="2"/>
  <c r="EQ39" i="2"/>
  <c r="ER39" i="2"/>
  <c r="ES39" i="2"/>
  <c r="ET39" i="2"/>
  <c r="EU39" i="2"/>
  <c r="EV39" i="2"/>
  <c r="EW39" i="2"/>
  <c r="EX39" i="2"/>
  <c r="EY39" i="2"/>
  <c r="EZ39" i="2"/>
  <c r="FA39" i="2"/>
  <c r="FB39" i="2"/>
  <c r="FC39" i="2"/>
  <c r="FD39" i="2"/>
  <c r="FE39" i="2"/>
  <c r="FF39" i="2"/>
  <c r="FG39" i="2"/>
  <c r="FH39" i="2"/>
  <c r="FI39" i="2"/>
  <c r="FJ39" i="2"/>
  <c r="FK39" i="2"/>
  <c r="FL39" i="2"/>
  <c r="FM39" i="2"/>
  <c r="FN39" i="2"/>
  <c r="FO39" i="2"/>
  <c r="FP39" i="2"/>
  <c r="FQ39" i="2"/>
  <c r="FR39" i="2"/>
  <c r="FS39" i="2"/>
  <c r="FT39" i="2"/>
  <c r="FU39" i="2"/>
  <c r="FV39" i="2"/>
  <c r="FW39" i="2"/>
  <c r="FX39" i="2"/>
  <c r="FY39" i="2"/>
  <c r="FZ39" i="2"/>
  <c r="GA39" i="2"/>
  <c r="GB39" i="2"/>
  <c r="GC39" i="2"/>
  <c r="GD39" i="2"/>
  <c r="GE39" i="2"/>
  <c r="GF39" i="2"/>
  <c r="GG39" i="2"/>
  <c r="GH39" i="2"/>
  <c r="GI39" i="2"/>
  <c r="GJ39" i="2"/>
  <c r="GK39" i="2"/>
  <c r="GL39" i="2"/>
  <c r="GM39" i="2"/>
  <c r="GN39" i="2"/>
  <c r="GO39" i="2"/>
  <c r="GP39" i="2"/>
  <c r="GQ39" i="2"/>
  <c r="GR39" i="2"/>
  <c r="GS39" i="2"/>
  <c r="GT39" i="2"/>
  <c r="GU39" i="2"/>
  <c r="GV39" i="2"/>
  <c r="GW39" i="2"/>
  <c r="GX39" i="2"/>
  <c r="AS40" i="2"/>
  <c r="AT40" i="2"/>
  <c r="AU40" i="2"/>
  <c r="AV40" i="2"/>
  <c r="AW40" i="2"/>
  <c r="AX40" i="2"/>
  <c r="AY40" i="2"/>
  <c r="AZ40" i="2"/>
  <c r="BA40" i="2"/>
  <c r="BB40" i="2"/>
  <c r="BC40" i="2"/>
  <c r="BD40" i="2"/>
  <c r="BF40" i="2"/>
  <c r="BG40" i="2"/>
  <c r="BH40" i="2"/>
  <c r="BI40" i="2"/>
  <c r="BJ40" i="2"/>
  <c r="BK40" i="2"/>
  <c r="BL40" i="2"/>
  <c r="BM40" i="2"/>
  <c r="BN40" i="2"/>
  <c r="BO40" i="2"/>
  <c r="BP40" i="2"/>
  <c r="BQ40" i="2"/>
  <c r="BR40" i="2"/>
  <c r="BS40" i="2"/>
  <c r="BT40" i="2"/>
  <c r="BU40" i="2"/>
  <c r="BV40" i="2"/>
  <c r="BW40" i="2"/>
  <c r="BX40" i="2"/>
  <c r="BY40" i="2"/>
  <c r="BZ40" i="2"/>
  <c r="CA40" i="2"/>
  <c r="CB40" i="2"/>
  <c r="CC40" i="2"/>
  <c r="CD40" i="2"/>
  <c r="CE40" i="2"/>
  <c r="CF40" i="2"/>
  <c r="CG40" i="2"/>
  <c r="CH40" i="2"/>
  <c r="CI40" i="2"/>
  <c r="CJ40" i="2"/>
  <c r="CK40" i="2"/>
  <c r="CL40" i="2"/>
  <c r="CM40" i="2"/>
  <c r="CN40" i="2"/>
  <c r="CO40" i="2"/>
  <c r="CP40" i="2"/>
  <c r="CQ40" i="2"/>
  <c r="CR40" i="2"/>
  <c r="CS40" i="2"/>
  <c r="CT40" i="2"/>
  <c r="CU40" i="2"/>
  <c r="CV40" i="2"/>
  <c r="CW40" i="2"/>
  <c r="CX40" i="2"/>
  <c r="CY40" i="2"/>
  <c r="CZ40" i="2"/>
  <c r="DA40" i="2"/>
  <c r="DB40" i="2"/>
  <c r="DC40" i="2"/>
  <c r="DD40" i="2"/>
  <c r="DE40" i="2"/>
  <c r="DF40" i="2"/>
  <c r="DG40" i="2"/>
  <c r="DH40" i="2"/>
  <c r="DI40" i="2"/>
  <c r="DJ40" i="2"/>
  <c r="DK40" i="2"/>
  <c r="DL40" i="2"/>
  <c r="DM40" i="2"/>
  <c r="DN40" i="2"/>
  <c r="DO40" i="2"/>
  <c r="DP40" i="2"/>
  <c r="DQ40" i="2"/>
  <c r="DR40" i="2"/>
  <c r="DS40" i="2"/>
  <c r="DT40" i="2"/>
  <c r="DU40" i="2"/>
  <c r="DV40" i="2"/>
  <c r="DW40" i="2"/>
  <c r="DX40" i="2"/>
  <c r="DY40" i="2"/>
  <c r="DZ40" i="2"/>
  <c r="EA40" i="2"/>
  <c r="EB40" i="2"/>
  <c r="EC40" i="2"/>
  <c r="ED40" i="2"/>
  <c r="EE40" i="2"/>
  <c r="EF40" i="2"/>
  <c r="EG40" i="2"/>
  <c r="EH40" i="2"/>
  <c r="EI40" i="2"/>
  <c r="EJ40" i="2"/>
  <c r="EK40" i="2"/>
  <c r="EL40" i="2"/>
  <c r="EM40" i="2"/>
  <c r="EN40" i="2"/>
  <c r="EO40" i="2"/>
  <c r="EP40" i="2"/>
  <c r="EQ40" i="2"/>
  <c r="ER40" i="2"/>
  <c r="ES40" i="2"/>
  <c r="ET40" i="2"/>
  <c r="EU40" i="2"/>
  <c r="EV40" i="2"/>
  <c r="EW40" i="2"/>
  <c r="EX40" i="2"/>
  <c r="EY40" i="2"/>
  <c r="EZ40" i="2"/>
  <c r="FA40" i="2"/>
  <c r="FB40" i="2"/>
  <c r="FC40" i="2"/>
  <c r="FD40" i="2"/>
  <c r="FE40" i="2"/>
  <c r="FF40" i="2"/>
  <c r="FG40" i="2"/>
  <c r="FH40" i="2"/>
  <c r="FI40" i="2"/>
  <c r="FJ40" i="2"/>
  <c r="FK40" i="2"/>
  <c r="FL40" i="2"/>
  <c r="FM40" i="2"/>
  <c r="FN40" i="2"/>
  <c r="FO40" i="2"/>
  <c r="FP40" i="2"/>
  <c r="FQ40" i="2"/>
  <c r="FR40" i="2"/>
  <c r="FS40" i="2"/>
  <c r="FT40" i="2"/>
  <c r="FU40" i="2"/>
  <c r="FV40" i="2"/>
  <c r="FW40" i="2"/>
  <c r="FX40" i="2"/>
  <c r="FY40" i="2"/>
  <c r="FZ40" i="2"/>
  <c r="GA40" i="2"/>
  <c r="GB40" i="2"/>
  <c r="GC40" i="2"/>
  <c r="GD40" i="2"/>
  <c r="GE40" i="2"/>
  <c r="GF40" i="2"/>
  <c r="GG40" i="2"/>
  <c r="GH40" i="2"/>
  <c r="GI40" i="2"/>
  <c r="GJ40" i="2"/>
  <c r="GK40" i="2"/>
  <c r="GL40" i="2"/>
  <c r="GM40" i="2"/>
  <c r="GN40" i="2"/>
  <c r="GO40" i="2"/>
  <c r="GP40" i="2"/>
  <c r="GQ40" i="2"/>
  <c r="GR40" i="2"/>
  <c r="GS40" i="2"/>
  <c r="GT40" i="2"/>
  <c r="GU40" i="2"/>
  <c r="GV40" i="2"/>
  <c r="GW40" i="2"/>
  <c r="GX40" i="2"/>
  <c r="AS41" i="2"/>
  <c r="AT41" i="2"/>
  <c r="AU41" i="2"/>
  <c r="AV41" i="2"/>
  <c r="AW41" i="2"/>
  <c r="AX41" i="2"/>
  <c r="AY41" i="2"/>
  <c r="AZ41" i="2"/>
  <c r="BA41" i="2"/>
  <c r="BB41" i="2"/>
  <c r="BC41" i="2"/>
  <c r="BD41" i="2"/>
  <c r="BE41" i="2"/>
  <c r="BG41" i="2"/>
  <c r="BH41" i="2"/>
  <c r="BI41" i="2"/>
  <c r="BJ41" i="2"/>
  <c r="BK41" i="2"/>
  <c r="BL41" i="2"/>
  <c r="BM41" i="2"/>
  <c r="BN41" i="2"/>
  <c r="BO41" i="2"/>
  <c r="BP41" i="2"/>
  <c r="BQ41" i="2"/>
  <c r="BR41" i="2"/>
  <c r="BS41" i="2"/>
  <c r="BT41" i="2"/>
  <c r="BU41" i="2"/>
  <c r="BV41" i="2"/>
  <c r="BW41" i="2"/>
  <c r="BX41" i="2"/>
  <c r="BY41" i="2"/>
  <c r="BZ41" i="2"/>
  <c r="CA41" i="2"/>
  <c r="CB41" i="2"/>
  <c r="CC41" i="2"/>
  <c r="CD41" i="2"/>
  <c r="CE41" i="2"/>
  <c r="CF41" i="2"/>
  <c r="CG41" i="2"/>
  <c r="CH41" i="2"/>
  <c r="CI41" i="2"/>
  <c r="CJ41" i="2"/>
  <c r="CK41" i="2"/>
  <c r="CL41" i="2"/>
  <c r="CM41" i="2"/>
  <c r="CN41" i="2"/>
  <c r="CO41" i="2"/>
  <c r="CP41" i="2"/>
  <c r="CQ41" i="2"/>
  <c r="CR41" i="2"/>
  <c r="CS41" i="2"/>
  <c r="CT41" i="2"/>
  <c r="CU41" i="2"/>
  <c r="CV41" i="2"/>
  <c r="CW41" i="2"/>
  <c r="CX41" i="2"/>
  <c r="CY41" i="2"/>
  <c r="CZ41" i="2"/>
  <c r="DA41" i="2"/>
  <c r="DB41" i="2"/>
  <c r="DC41" i="2"/>
  <c r="DD41" i="2"/>
  <c r="DE41" i="2"/>
  <c r="DF41" i="2"/>
  <c r="DG41" i="2"/>
  <c r="DH41" i="2"/>
  <c r="DI41" i="2"/>
  <c r="DJ41" i="2"/>
  <c r="DK41" i="2"/>
  <c r="DL41" i="2"/>
  <c r="DM41" i="2"/>
  <c r="DN41" i="2"/>
  <c r="DO41" i="2"/>
  <c r="DP41" i="2"/>
  <c r="DQ41" i="2"/>
  <c r="DR41" i="2"/>
  <c r="DS41" i="2"/>
  <c r="DT41" i="2"/>
  <c r="DU41" i="2"/>
  <c r="DV41" i="2"/>
  <c r="DW41" i="2"/>
  <c r="DX41" i="2"/>
  <c r="DY41" i="2"/>
  <c r="DZ41" i="2"/>
  <c r="EA41" i="2"/>
  <c r="EB41" i="2"/>
  <c r="EC41" i="2"/>
  <c r="ED41" i="2"/>
  <c r="EE41" i="2"/>
  <c r="EF41" i="2"/>
  <c r="EG41" i="2"/>
  <c r="EH41" i="2"/>
  <c r="EI41" i="2"/>
  <c r="EJ41" i="2"/>
  <c r="EK41" i="2"/>
  <c r="EL41" i="2"/>
  <c r="EM41" i="2"/>
  <c r="EN41" i="2"/>
  <c r="EO41" i="2"/>
  <c r="EP41" i="2"/>
  <c r="EQ41" i="2"/>
  <c r="ER41" i="2"/>
  <c r="ES41" i="2"/>
  <c r="ET41" i="2"/>
  <c r="EU41" i="2"/>
  <c r="EV41" i="2"/>
  <c r="EW41" i="2"/>
  <c r="EX41" i="2"/>
  <c r="EY41" i="2"/>
  <c r="EZ41" i="2"/>
  <c r="FA41" i="2"/>
  <c r="FB41" i="2"/>
  <c r="FC41" i="2"/>
  <c r="FD41" i="2"/>
  <c r="FE41" i="2"/>
  <c r="FF41" i="2"/>
  <c r="FG41" i="2"/>
  <c r="FH41" i="2"/>
  <c r="FI41" i="2"/>
  <c r="FJ41" i="2"/>
  <c r="FK41" i="2"/>
  <c r="FL41" i="2"/>
  <c r="FM41" i="2"/>
  <c r="FN41" i="2"/>
  <c r="FO41" i="2"/>
  <c r="FP41" i="2"/>
  <c r="FQ41" i="2"/>
  <c r="FR41" i="2"/>
  <c r="FS41" i="2"/>
  <c r="FT41" i="2"/>
  <c r="FU41" i="2"/>
  <c r="FV41" i="2"/>
  <c r="FW41" i="2"/>
  <c r="FX41" i="2"/>
  <c r="FY41" i="2"/>
  <c r="FZ41" i="2"/>
  <c r="GA41" i="2"/>
  <c r="GB41" i="2"/>
  <c r="GC41" i="2"/>
  <c r="GD41" i="2"/>
  <c r="GE41" i="2"/>
  <c r="GF41" i="2"/>
  <c r="GG41" i="2"/>
  <c r="GH41" i="2"/>
  <c r="GI41" i="2"/>
  <c r="GJ41" i="2"/>
  <c r="GK41" i="2"/>
  <c r="GL41" i="2"/>
  <c r="GM41" i="2"/>
  <c r="GN41" i="2"/>
  <c r="GO41" i="2"/>
  <c r="GP41" i="2"/>
  <c r="GQ41" i="2"/>
  <c r="GR41" i="2"/>
  <c r="GS41" i="2"/>
  <c r="GT41" i="2"/>
  <c r="GU41" i="2"/>
  <c r="GV41" i="2"/>
  <c r="GW41" i="2"/>
  <c r="GX4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BG11" i="2"/>
  <c r="BH11" i="2"/>
  <c r="BI11" i="2"/>
  <c r="BJ11" i="2"/>
  <c r="BK11" i="2"/>
  <c r="BL11" i="2"/>
  <c r="BN11" i="2"/>
  <c r="BO11" i="2"/>
  <c r="BP11" i="2"/>
  <c r="BQ11" i="2"/>
  <c r="BR11" i="2"/>
  <c r="BS11" i="2"/>
  <c r="BT11" i="2"/>
  <c r="BU11" i="2"/>
  <c r="BV11" i="2"/>
  <c r="BW11" i="2"/>
  <c r="BX11" i="2"/>
  <c r="BY11" i="2"/>
  <c r="BZ11" i="2"/>
  <c r="CA11" i="2"/>
  <c r="CB11" i="2"/>
  <c r="CC11" i="2"/>
  <c r="CD11" i="2"/>
  <c r="CE11" i="2"/>
  <c r="CF11" i="2"/>
  <c r="CG11" i="2"/>
  <c r="CH11" i="2"/>
  <c r="CI11" i="2"/>
  <c r="CJ11" i="2"/>
  <c r="CK11" i="2"/>
  <c r="CL11" i="2"/>
  <c r="CM11" i="2"/>
  <c r="CN11" i="2"/>
  <c r="CO11" i="2"/>
  <c r="CP11" i="2"/>
  <c r="CQ11" i="2"/>
  <c r="CR11" i="2"/>
  <c r="CS11" i="2"/>
  <c r="CT11" i="2"/>
  <c r="CU11" i="2"/>
  <c r="CV11" i="2"/>
  <c r="CW11" i="2"/>
  <c r="CX11" i="2"/>
  <c r="CY11" i="2"/>
  <c r="CZ11" i="2"/>
  <c r="DA11" i="2"/>
  <c r="DB11" i="2"/>
  <c r="DC11" i="2"/>
  <c r="DD11" i="2"/>
  <c r="DE11" i="2"/>
  <c r="DF11" i="2"/>
  <c r="DG11" i="2"/>
  <c r="DH11" i="2"/>
  <c r="DI11" i="2"/>
  <c r="DJ11" i="2"/>
  <c r="DK11" i="2"/>
  <c r="DL11" i="2"/>
  <c r="DM11" i="2"/>
  <c r="DN11" i="2"/>
  <c r="DO11" i="2"/>
  <c r="DP11" i="2"/>
  <c r="DQ11" i="2"/>
  <c r="DR11" i="2"/>
  <c r="DS11" i="2"/>
  <c r="DT11" i="2"/>
  <c r="DU11" i="2"/>
  <c r="DV11" i="2"/>
  <c r="DW11" i="2"/>
  <c r="DX11" i="2"/>
  <c r="DY11" i="2"/>
  <c r="DZ11" i="2"/>
  <c r="EA11" i="2"/>
  <c r="EB11" i="2"/>
  <c r="EC11" i="2"/>
  <c r="ED11" i="2"/>
  <c r="EE11" i="2"/>
  <c r="EF11" i="2"/>
  <c r="EG11" i="2"/>
  <c r="EH11" i="2"/>
  <c r="EI11" i="2"/>
  <c r="EJ11" i="2"/>
  <c r="EK11" i="2"/>
  <c r="EL11" i="2"/>
  <c r="EM11" i="2"/>
  <c r="EN11" i="2"/>
  <c r="EO11" i="2"/>
  <c r="EP11" i="2"/>
  <c r="EQ11" i="2"/>
  <c r="ER11" i="2"/>
  <c r="ES11" i="2"/>
  <c r="ET11" i="2"/>
  <c r="EU11" i="2"/>
  <c r="EV11" i="2"/>
  <c r="EW11" i="2"/>
  <c r="EX11" i="2"/>
  <c r="EY11" i="2"/>
  <c r="EZ11" i="2"/>
  <c r="FA11" i="2"/>
  <c r="FB11" i="2"/>
  <c r="FC11" i="2"/>
  <c r="FD11" i="2"/>
  <c r="FE11" i="2"/>
  <c r="FF11" i="2"/>
  <c r="FG11" i="2"/>
  <c r="FH11" i="2"/>
  <c r="FI11" i="2"/>
  <c r="FJ11" i="2"/>
  <c r="FK11" i="2"/>
  <c r="FL11" i="2"/>
  <c r="FM11" i="2"/>
  <c r="FN11" i="2"/>
  <c r="FO11" i="2"/>
  <c r="FP11" i="2"/>
  <c r="FQ11" i="2"/>
  <c r="FR11" i="2"/>
  <c r="FS11" i="2"/>
  <c r="FT11" i="2"/>
  <c r="FU11" i="2"/>
  <c r="FV11" i="2"/>
  <c r="FW11" i="2"/>
  <c r="FX11" i="2"/>
  <c r="FY11" i="2"/>
  <c r="FZ11" i="2"/>
  <c r="GA11" i="2"/>
  <c r="GB11" i="2"/>
  <c r="GC11" i="2"/>
  <c r="GD11" i="2"/>
  <c r="GE11" i="2"/>
  <c r="GF11" i="2"/>
  <c r="GG11" i="2"/>
  <c r="GH11" i="2"/>
  <c r="GI11" i="2"/>
  <c r="GJ11" i="2"/>
  <c r="GK11" i="2"/>
  <c r="GL11" i="2"/>
  <c r="GM11" i="2"/>
  <c r="GN11" i="2"/>
  <c r="GO11" i="2"/>
  <c r="GP11" i="2"/>
  <c r="GQ11" i="2"/>
  <c r="GR11" i="2"/>
  <c r="GS11" i="2"/>
  <c r="GT11" i="2"/>
  <c r="GU11" i="2"/>
  <c r="GV11" i="2"/>
  <c r="GW11" i="2"/>
  <c r="GX11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G27" i="2"/>
  <c r="BH27" i="2"/>
  <c r="BI27" i="2"/>
  <c r="BJ27" i="2"/>
  <c r="BK27" i="2"/>
  <c r="BL27" i="2"/>
  <c r="BM27" i="2"/>
  <c r="BN27" i="2"/>
  <c r="BO27" i="2"/>
  <c r="BP27" i="2"/>
  <c r="BQ27" i="2"/>
  <c r="BR27" i="2"/>
  <c r="BS27" i="2"/>
  <c r="BT27" i="2"/>
  <c r="BU27" i="2"/>
  <c r="BV27" i="2"/>
  <c r="BW27" i="2"/>
  <c r="BX27" i="2"/>
  <c r="BY27" i="2"/>
  <c r="BZ27" i="2"/>
  <c r="CA27" i="2"/>
  <c r="CB27" i="2"/>
  <c r="CC27" i="2"/>
  <c r="CD27" i="2"/>
  <c r="CE27" i="2"/>
  <c r="CF27" i="2"/>
  <c r="CG27" i="2"/>
  <c r="CH27" i="2"/>
  <c r="CI27" i="2"/>
  <c r="CJ27" i="2"/>
  <c r="CK27" i="2"/>
  <c r="CL27" i="2"/>
  <c r="CM27" i="2"/>
  <c r="CN27" i="2"/>
  <c r="CO27" i="2"/>
  <c r="CP27" i="2"/>
  <c r="CQ27" i="2"/>
  <c r="CR27" i="2"/>
  <c r="CS27" i="2"/>
  <c r="CT27" i="2"/>
  <c r="CU27" i="2"/>
  <c r="CV27" i="2"/>
  <c r="CW27" i="2"/>
  <c r="CX27" i="2"/>
  <c r="CY27" i="2"/>
  <c r="CZ27" i="2"/>
  <c r="DA27" i="2"/>
  <c r="DB27" i="2"/>
  <c r="DC27" i="2"/>
  <c r="DD27" i="2"/>
  <c r="DE27" i="2"/>
  <c r="DF27" i="2"/>
  <c r="DG27" i="2"/>
  <c r="DH27" i="2"/>
  <c r="DI27" i="2"/>
  <c r="DJ27" i="2"/>
  <c r="DK27" i="2"/>
  <c r="DL27" i="2"/>
  <c r="DM27" i="2"/>
  <c r="DN27" i="2"/>
  <c r="DO27" i="2"/>
  <c r="DP27" i="2"/>
  <c r="DQ27" i="2"/>
  <c r="DR27" i="2"/>
  <c r="DS27" i="2"/>
  <c r="DT27" i="2"/>
  <c r="DU27" i="2"/>
  <c r="DV27" i="2"/>
  <c r="DW27" i="2"/>
  <c r="DX27" i="2"/>
  <c r="DY27" i="2"/>
  <c r="DZ27" i="2"/>
  <c r="EA27" i="2"/>
  <c r="EB27" i="2"/>
  <c r="EC27" i="2"/>
  <c r="ED27" i="2"/>
  <c r="EE27" i="2"/>
  <c r="EF27" i="2"/>
  <c r="EG27" i="2"/>
  <c r="EH27" i="2"/>
  <c r="EI27" i="2"/>
  <c r="EJ27" i="2"/>
  <c r="EK27" i="2"/>
  <c r="EL27" i="2"/>
  <c r="EM27" i="2"/>
  <c r="EN27" i="2"/>
  <c r="EO27" i="2"/>
  <c r="EP27" i="2"/>
  <c r="EQ27" i="2"/>
  <c r="ER27" i="2"/>
  <c r="ES27" i="2"/>
  <c r="ET27" i="2"/>
  <c r="EU27" i="2"/>
  <c r="EV27" i="2"/>
  <c r="EW27" i="2"/>
  <c r="EX27" i="2"/>
  <c r="EY27" i="2"/>
  <c r="EZ27" i="2"/>
  <c r="FA27" i="2"/>
  <c r="FB27" i="2"/>
  <c r="FC27" i="2"/>
  <c r="FD27" i="2"/>
  <c r="FE27" i="2"/>
  <c r="FF27" i="2"/>
  <c r="FG27" i="2"/>
  <c r="FH27" i="2"/>
  <c r="FI27" i="2"/>
  <c r="FJ27" i="2"/>
  <c r="FK27" i="2"/>
  <c r="FL27" i="2"/>
  <c r="FM27" i="2"/>
  <c r="FN27" i="2"/>
  <c r="FO27" i="2"/>
  <c r="FP27" i="2"/>
  <c r="FQ27" i="2"/>
  <c r="FR27" i="2"/>
  <c r="FS27" i="2"/>
  <c r="FT27" i="2"/>
  <c r="FU27" i="2"/>
  <c r="FV27" i="2"/>
  <c r="FW27" i="2"/>
  <c r="FX27" i="2"/>
  <c r="FY27" i="2"/>
  <c r="FZ27" i="2"/>
  <c r="GA27" i="2"/>
  <c r="GB27" i="2"/>
  <c r="GC27" i="2"/>
  <c r="GD27" i="2"/>
  <c r="GE27" i="2"/>
  <c r="GF27" i="2"/>
  <c r="GG27" i="2"/>
  <c r="GH27" i="2"/>
  <c r="GI27" i="2"/>
  <c r="GJ27" i="2"/>
  <c r="GK27" i="2"/>
  <c r="GL27" i="2"/>
  <c r="GM27" i="2"/>
  <c r="GN27" i="2"/>
  <c r="GO27" i="2"/>
  <c r="GP27" i="2"/>
  <c r="GQ27" i="2"/>
  <c r="GR27" i="2"/>
  <c r="GS27" i="2"/>
  <c r="GT27" i="2"/>
  <c r="GU27" i="2"/>
  <c r="GV27" i="2"/>
  <c r="GW27" i="2"/>
  <c r="GX27" i="2"/>
  <c r="AS43" i="2"/>
  <c r="AT43" i="2"/>
  <c r="AU43" i="2"/>
  <c r="AV43" i="2"/>
  <c r="AW43" i="2"/>
  <c r="AX43" i="2"/>
  <c r="AY43" i="2"/>
  <c r="AZ43" i="2"/>
  <c r="BA43" i="2"/>
  <c r="BB43" i="2"/>
  <c r="BC43" i="2"/>
  <c r="BD43" i="2"/>
  <c r="BE43" i="2"/>
  <c r="BF43" i="2"/>
  <c r="BG43" i="2"/>
  <c r="BH43" i="2"/>
  <c r="BI43" i="2"/>
  <c r="BJ43" i="2"/>
  <c r="BK43" i="2"/>
  <c r="AS59" i="2"/>
  <c r="AT59" i="2"/>
  <c r="AU59" i="2"/>
  <c r="AV59" i="2"/>
  <c r="AW59" i="2"/>
  <c r="AX59" i="2"/>
  <c r="AY59" i="2"/>
  <c r="AZ59" i="2"/>
  <c r="BA59" i="2"/>
  <c r="BB59" i="2"/>
  <c r="BC59" i="2"/>
  <c r="BD59" i="2"/>
  <c r="BE59" i="2"/>
  <c r="BG59" i="2"/>
  <c r="BH59" i="2"/>
  <c r="BI59" i="2"/>
  <c r="BJ59" i="2"/>
  <c r="BK59" i="2"/>
  <c r="BL59" i="2"/>
  <c r="BM59" i="2"/>
  <c r="BN59" i="2"/>
  <c r="BO59" i="2"/>
  <c r="BP59" i="2"/>
  <c r="BQ59" i="2"/>
  <c r="BR59" i="2"/>
  <c r="BS59" i="2"/>
  <c r="BT59" i="2"/>
  <c r="BU59" i="2"/>
  <c r="BV59" i="2"/>
  <c r="BW59" i="2"/>
  <c r="BX59" i="2"/>
  <c r="BY59" i="2"/>
  <c r="BZ59" i="2"/>
  <c r="CA59" i="2"/>
  <c r="CB59" i="2"/>
  <c r="CC59" i="2"/>
  <c r="CD59" i="2"/>
  <c r="CE59" i="2"/>
  <c r="CF59" i="2"/>
  <c r="CG59" i="2"/>
  <c r="CH59" i="2"/>
  <c r="CI59" i="2"/>
  <c r="CJ59" i="2"/>
  <c r="CK59" i="2"/>
  <c r="CL59" i="2"/>
  <c r="CM59" i="2"/>
  <c r="CN59" i="2"/>
  <c r="CO59" i="2"/>
  <c r="CP59" i="2"/>
  <c r="CQ59" i="2"/>
  <c r="CR59" i="2"/>
  <c r="CS59" i="2"/>
  <c r="CT59" i="2"/>
  <c r="CU59" i="2"/>
  <c r="CV59" i="2"/>
  <c r="CW59" i="2"/>
  <c r="CX59" i="2"/>
  <c r="CY59" i="2"/>
  <c r="CZ59" i="2"/>
  <c r="DA59" i="2"/>
  <c r="DB59" i="2"/>
  <c r="DC59" i="2"/>
  <c r="DD59" i="2"/>
  <c r="DE59" i="2"/>
  <c r="DF59" i="2"/>
  <c r="DG59" i="2"/>
  <c r="DH59" i="2"/>
  <c r="DI59" i="2"/>
  <c r="DJ59" i="2"/>
  <c r="DK59" i="2"/>
  <c r="DL59" i="2"/>
  <c r="DM59" i="2"/>
  <c r="DN59" i="2"/>
  <c r="DO59" i="2"/>
  <c r="DP59" i="2"/>
  <c r="DQ59" i="2"/>
  <c r="DR59" i="2"/>
  <c r="DS59" i="2"/>
  <c r="DT59" i="2"/>
  <c r="DU59" i="2"/>
  <c r="DV59" i="2"/>
  <c r="DW59" i="2"/>
  <c r="DX59" i="2"/>
  <c r="DY59" i="2"/>
  <c r="DZ59" i="2"/>
  <c r="EA59" i="2"/>
  <c r="EB59" i="2"/>
  <c r="EC59" i="2"/>
  <c r="ED59" i="2"/>
  <c r="EE59" i="2"/>
  <c r="EF59" i="2"/>
  <c r="EG59" i="2"/>
  <c r="EH59" i="2"/>
  <c r="EI59" i="2"/>
  <c r="EJ59" i="2"/>
  <c r="EK59" i="2"/>
  <c r="EL59" i="2"/>
  <c r="EM59" i="2"/>
  <c r="EN59" i="2"/>
  <c r="EO59" i="2"/>
  <c r="EP59" i="2"/>
  <c r="EQ59" i="2"/>
  <c r="ER59" i="2"/>
  <c r="ES59" i="2"/>
  <c r="ET59" i="2"/>
  <c r="EU59" i="2"/>
  <c r="EV59" i="2"/>
  <c r="EW59" i="2"/>
  <c r="EX59" i="2"/>
  <c r="EY59" i="2"/>
  <c r="EZ59" i="2"/>
  <c r="FA59" i="2"/>
  <c r="FB59" i="2"/>
  <c r="FC59" i="2"/>
  <c r="FD59" i="2"/>
  <c r="FE59" i="2"/>
  <c r="FF59" i="2"/>
  <c r="FG59" i="2"/>
  <c r="FH59" i="2"/>
  <c r="FI59" i="2"/>
  <c r="FJ59" i="2"/>
  <c r="FK59" i="2"/>
  <c r="FL59" i="2"/>
  <c r="FM59" i="2"/>
  <c r="FN59" i="2"/>
  <c r="FO59" i="2"/>
  <c r="FP59" i="2"/>
  <c r="FQ59" i="2"/>
  <c r="FR59" i="2"/>
  <c r="FS59" i="2"/>
  <c r="FT59" i="2"/>
  <c r="FU59" i="2"/>
  <c r="FV59" i="2"/>
  <c r="FW59" i="2"/>
  <c r="FX59" i="2"/>
  <c r="FY59" i="2"/>
  <c r="FZ59" i="2"/>
  <c r="GA59" i="2"/>
  <c r="GB59" i="2"/>
  <c r="GC59" i="2"/>
  <c r="GD59" i="2"/>
  <c r="GE59" i="2"/>
  <c r="GF59" i="2"/>
  <c r="GG59" i="2"/>
  <c r="GH59" i="2"/>
  <c r="GI59" i="2"/>
  <c r="GJ59" i="2"/>
  <c r="GK59" i="2"/>
  <c r="GL59" i="2"/>
  <c r="GM59" i="2"/>
  <c r="GN59" i="2"/>
  <c r="GO59" i="2"/>
  <c r="GP59" i="2"/>
  <c r="GQ59" i="2"/>
  <c r="GR59" i="2"/>
  <c r="GS59" i="2"/>
  <c r="GT59" i="2"/>
  <c r="GU59" i="2"/>
  <c r="GV59" i="2"/>
  <c r="GW59" i="2"/>
  <c r="GX59" i="2"/>
  <c r="AS75" i="2"/>
  <c r="AT75" i="2"/>
  <c r="AU75" i="2"/>
  <c r="AV75" i="2"/>
  <c r="AW75" i="2"/>
  <c r="AX75" i="2"/>
  <c r="AY75" i="2"/>
  <c r="AZ75" i="2"/>
  <c r="BA75" i="2"/>
  <c r="BC75" i="2"/>
  <c r="BD75" i="2"/>
  <c r="BE75" i="2"/>
  <c r="BF75" i="2"/>
  <c r="BG75" i="2"/>
  <c r="BH75" i="2"/>
  <c r="BI75" i="2"/>
  <c r="BJ75" i="2"/>
  <c r="BK75" i="2"/>
  <c r="BL75" i="2"/>
  <c r="BM75" i="2"/>
  <c r="BN75" i="2"/>
  <c r="BO75" i="2"/>
  <c r="BP75" i="2"/>
  <c r="BQ75" i="2"/>
  <c r="BR75" i="2"/>
  <c r="BS75" i="2"/>
  <c r="BT75" i="2"/>
  <c r="BU75" i="2"/>
  <c r="BV75" i="2"/>
  <c r="BW75" i="2"/>
  <c r="BX75" i="2"/>
  <c r="BY75" i="2"/>
  <c r="BZ75" i="2"/>
  <c r="CA75" i="2"/>
  <c r="CB75" i="2"/>
  <c r="CC75" i="2"/>
  <c r="CD75" i="2"/>
  <c r="CE75" i="2"/>
  <c r="CF75" i="2"/>
  <c r="CG75" i="2"/>
  <c r="CH75" i="2"/>
  <c r="CI75" i="2"/>
  <c r="CJ75" i="2"/>
  <c r="CK75" i="2"/>
  <c r="CL75" i="2"/>
  <c r="CM75" i="2"/>
  <c r="CN75" i="2"/>
  <c r="CO75" i="2"/>
  <c r="CP75" i="2"/>
  <c r="CQ75" i="2"/>
  <c r="CR75" i="2"/>
  <c r="CS75" i="2"/>
  <c r="CT75" i="2"/>
  <c r="CU75" i="2"/>
  <c r="CV75" i="2"/>
  <c r="CW75" i="2"/>
  <c r="CX75" i="2"/>
  <c r="CY75" i="2"/>
  <c r="CZ75" i="2"/>
  <c r="DA75" i="2"/>
  <c r="DB75" i="2"/>
  <c r="DC75" i="2"/>
  <c r="DD75" i="2"/>
  <c r="DE75" i="2"/>
  <c r="DF75" i="2"/>
  <c r="DG75" i="2"/>
  <c r="DH75" i="2"/>
  <c r="DI75" i="2"/>
  <c r="DJ75" i="2"/>
  <c r="DK75" i="2"/>
  <c r="DL75" i="2"/>
  <c r="DM75" i="2"/>
  <c r="DN75" i="2"/>
  <c r="DO75" i="2"/>
  <c r="DP75" i="2"/>
  <c r="DQ75" i="2"/>
  <c r="DR75" i="2"/>
  <c r="DS75" i="2"/>
  <c r="DT75" i="2"/>
  <c r="DU75" i="2"/>
  <c r="DV75" i="2"/>
  <c r="DW75" i="2"/>
  <c r="DX75" i="2"/>
  <c r="DY75" i="2"/>
  <c r="DZ75" i="2"/>
  <c r="EA75" i="2"/>
  <c r="EB75" i="2"/>
  <c r="EC75" i="2"/>
  <c r="ED75" i="2"/>
  <c r="EE75" i="2"/>
  <c r="EF75" i="2"/>
  <c r="EG75" i="2"/>
  <c r="EH75" i="2"/>
  <c r="EI75" i="2"/>
  <c r="EJ75" i="2"/>
  <c r="EK75" i="2"/>
  <c r="EL75" i="2"/>
  <c r="EM75" i="2"/>
  <c r="EN75" i="2"/>
  <c r="EO75" i="2"/>
  <c r="EP75" i="2"/>
  <c r="EQ75" i="2"/>
  <c r="ER75" i="2"/>
  <c r="ES75" i="2"/>
  <c r="ET75" i="2"/>
  <c r="EU75" i="2"/>
  <c r="EV75" i="2"/>
  <c r="EW75" i="2"/>
  <c r="EX75" i="2"/>
  <c r="EY75" i="2"/>
  <c r="EZ75" i="2"/>
  <c r="FA75" i="2"/>
  <c r="FB75" i="2"/>
  <c r="FC75" i="2"/>
  <c r="FD75" i="2"/>
  <c r="FE75" i="2"/>
  <c r="FF75" i="2"/>
  <c r="FG75" i="2"/>
  <c r="FH75" i="2"/>
  <c r="FI75" i="2"/>
  <c r="FJ75" i="2"/>
  <c r="FK75" i="2"/>
  <c r="FL75" i="2"/>
  <c r="FM75" i="2"/>
  <c r="FN75" i="2"/>
  <c r="FO75" i="2"/>
  <c r="FP75" i="2"/>
  <c r="FQ75" i="2"/>
  <c r="FR75" i="2"/>
  <c r="FS75" i="2"/>
  <c r="FT75" i="2"/>
  <c r="FU75" i="2"/>
  <c r="FV75" i="2"/>
  <c r="FW75" i="2"/>
  <c r="FX75" i="2"/>
  <c r="FY75" i="2"/>
  <c r="FZ75" i="2"/>
  <c r="GA75" i="2"/>
  <c r="GB75" i="2"/>
  <c r="GC75" i="2"/>
  <c r="GD75" i="2"/>
  <c r="GE75" i="2"/>
  <c r="GF75" i="2"/>
  <c r="GG75" i="2"/>
  <c r="GH75" i="2"/>
  <c r="GI75" i="2"/>
  <c r="GJ75" i="2"/>
  <c r="GK75" i="2"/>
  <c r="GL75" i="2"/>
  <c r="GM75" i="2"/>
  <c r="GN75" i="2"/>
  <c r="GO75" i="2"/>
  <c r="GP75" i="2"/>
  <c r="GQ75" i="2"/>
  <c r="GR75" i="2"/>
  <c r="GS75" i="2"/>
  <c r="GT75" i="2"/>
  <c r="GU75" i="2"/>
  <c r="GV75" i="2"/>
  <c r="GW75" i="2"/>
  <c r="GX75" i="2"/>
  <c r="AS91" i="2"/>
  <c r="AT91" i="2"/>
  <c r="AU91" i="2"/>
  <c r="AV91" i="2"/>
  <c r="AX91" i="2"/>
  <c r="AY91" i="2"/>
  <c r="AZ91" i="2"/>
  <c r="BA91" i="2"/>
  <c r="BB91" i="2"/>
  <c r="BC91" i="2"/>
  <c r="BD91" i="2"/>
  <c r="BE91" i="2"/>
  <c r="BF91" i="2"/>
  <c r="BG91" i="2"/>
  <c r="BH91" i="2"/>
  <c r="BI91" i="2"/>
  <c r="BJ91" i="2"/>
  <c r="BK91" i="2"/>
  <c r="BL91" i="2"/>
  <c r="BM91" i="2"/>
  <c r="BN91" i="2"/>
  <c r="BP91" i="2"/>
  <c r="BQ91" i="2"/>
  <c r="BR91" i="2"/>
  <c r="BS91" i="2"/>
  <c r="BT91" i="2"/>
  <c r="BU91" i="2"/>
  <c r="BV91" i="2"/>
  <c r="BW91" i="2"/>
  <c r="BX91" i="2"/>
  <c r="BY91" i="2"/>
  <c r="BZ91" i="2"/>
  <c r="CA91" i="2"/>
  <c r="CB91" i="2"/>
  <c r="CC91" i="2"/>
  <c r="CD91" i="2"/>
  <c r="CE91" i="2"/>
  <c r="CF91" i="2"/>
  <c r="CG91" i="2"/>
  <c r="CH91" i="2"/>
  <c r="CI91" i="2"/>
  <c r="CJ91" i="2"/>
  <c r="CK91" i="2"/>
  <c r="CL91" i="2"/>
  <c r="CM91" i="2"/>
  <c r="CN91" i="2"/>
  <c r="CO91" i="2"/>
  <c r="CP91" i="2"/>
  <c r="CQ91" i="2"/>
  <c r="CR91" i="2"/>
  <c r="CS91" i="2"/>
  <c r="CT91" i="2"/>
  <c r="CU91" i="2"/>
  <c r="CV91" i="2"/>
  <c r="CW91" i="2"/>
  <c r="CX91" i="2"/>
  <c r="CY91" i="2"/>
  <c r="CZ91" i="2"/>
  <c r="DA91" i="2"/>
  <c r="DB91" i="2"/>
  <c r="DC91" i="2"/>
  <c r="DD91" i="2"/>
  <c r="DE91" i="2"/>
  <c r="DF91" i="2"/>
  <c r="DG91" i="2"/>
  <c r="DH91" i="2"/>
  <c r="DI91" i="2"/>
  <c r="DJ91" i="2"/>
  <c r="DK91" i="2"/>
  <c r="DL91" i="2"/>
  <c r="DM91" i="2"/>
  <c r="DN91" i="2"/>
  <c r="DO91" i="2"/>
  <c r="DP91" i="2"/>
  <c r="DQ91" i="2"/>
  <c r="DR91" i="2"/>
  <c r="DS91" i="2"/>
  <c r="DT91" i="2"/>
  <c r="DU91" i="2"/>
  <c r="DV91" i="2"/>
  <c r="DW91" i="2"/>
  <c r="DX91" i="2"/>
  <c r="DY91" i="2"/>
  <c r="DZ91" i="2"/>
  <c r="EA91" i="2"/>
  <c r="EB91" i="2"/>
  <c r="EC91" i="2"/>
  <c r="ED91" i="2"/>
  <c r="EE91" i="2"/>
  <c r="EF91" i="2"/>
  <c r="EG91" i="2"/>
  <c r="EH91" i="2"/>
  <c r="EI91" i="2"/>
  <c r="EJ91" i="2"/>
  <c r="EK91" i="2"/>
  <c r="EL91" i="2"/>
  <c r="EM91" i="2"/>
  <c r="EN91" i="2"/>
  <c r="EO91" i="2"/>
  <c r="EP91" i="2"/>
  <c r="EQ91" i="2"/>
  <c r="ER91" i="2"/>
  <c r="ES91" i="2"/>
  <c r="ET91" i="2"/>
  <c r="EU91" i="2"/>
  <c r="EV91" i="2"/>
  <c r="EW91" i="2"/>
  <c r="EX91" i="2"/>
  <c r="EY91" i="2"/>
  <c r="EZ91" i="2"/>
  <c r="FA91" i="2"/>
  <c r="FB91" i="2"/>
  <c r="FC91" i="2"/>
  <c r="FD91" i="2"/>
  <c r="FE91" i="2"/>
  <c r="FF91" i="2"/>
  <c r="FG91" i="2"/>
  <c r="FH91" i="2"/>
  <c r="FI91" i="2"/>
  <c r="FJ91" i="2"/>
  <c r="FK91" i="2"/>
  <c r="FL91" i="2"/>
  <c r="FM91" i="2"/>
  <c r="FN91" i="2"/>
  <c r="FO91" i="2"/>
  <c r="FP91" i="2"/>
  <c r="FQ91" i="2"/>
  <c r="FR91" i="2"/>
  <c r="FS91" i="2"/>
  <c r="FT91" i="2"/>
  <c r="FU91" i="2"/>
  <c r="FV91" i="2"/>
  <c r="FW91" i="2"/>
  <c r="FX91" i="2"/>
  <c r="FY91" i="2"/>
  <c r="FZ91" i="2"/>
  <c r="GA91" i="2"/>
  <c r="GB91" i="2"/>
  <c r="GC91" i="2"/>
  <c r="GD91" i="2"/>
  <c r="GE91" i="2"/>
  <c r="GF91" i="2"/>
  <c r="GG91" i="2"/>
  <c r="GH91" i="2"/>
  <c r="GI91" i="2"/>
  <c r="GJ91" i="2"/>
  <c r="GK91" i="2"/>
  <c r="GL91" i="2"/>
  <c r="GM91" i="2"/>
  <c r="GN91" i="2"/>
  <c r="GO91" i="2"/>
  <c r="GP91" i="2"/>
  <c r="GQ91" i="2"/>
  <c r="GR91" i="2"/>
  <c r="GS91" i="2"/>
  <c r="GT91" i="2"/>
  <c r="GU91" i="2"/>
  <c r="GV91" i="2"/>
  <c r="GW91" i="2"/>
  <c r="GX91" i="2"/>
  <c r="AS63" i="2"/>
  <c r="AT63" i="2"/>
  <c r="AU63" i="2"/>
  <c r="AV63" i="2"/>
  <c r="AW63" i="2"/>
  <c r="AX63" i="2"/>
  <c r="AY63" i="2"/>
  <c r="AZ63" i="2"/>
  <c r="BA63" i="2"/>
  <c r="BB63" i="2"/>
  <c r="BC63" i="2"/>
  <c r="BD63" i="2"/>
  <c r="BE63" i="2"/>
  <c r="BF63" i="2"/>
  <c r="BG63" i="2"/>
  <c r="BH63" i="2"/>
  <c r="BI63" i="2"/>
  <c r="BJ63" i="2"/>
  <c r="BM63" i="2"/>
  <c r="BN63" i="2"/>
  <c r="BO63" i="2"/>
  <c r="BP63" i="2"/>
  <c r="BQ63" i="2"/>
  <c r="BR63" i="2"/>
  <c r="BS63" i="2"/>
  <c r="BT63" i="2"/>
  <c r="BU63" i="2"/>
  <c r="BV63" i="2"/>
  <c r="BW63" i="2"/>
  <c r="BX63" i="2"/>
  <c r="BY63" i="2"/>
  <c r="BZ63" i="2"/>
  <c r="CA63" i="2"/>
  <c r="CB63" i="2"/>
  <c r="CC63" i="2"/>
  <c r="CD63" i="2"/>
  <c r="CE63" i="2"/>
  <c r="CF63" i="2"/>
  <c r="CG63" i="2"/>
  <c r="CH63" i="2"/>
  <c r="CI63" i="2"/>
  <c r="CJ63" i="2"/>
  <c r="CK63" i="2"/>
  <c r="CL63" i="2"/>
  <c r="CM63" i="2"/>
  <c r="CN63" i="2"/>
  <c r="CO63" i="2"/>
  <c r="CP63" i="2"/>
  <c r="CQ63" i="2"/>
  <c r="CR63" i="2"/>
  <c r="CS63" i="2"/>
  <c r="CT63" i="2"/>
  <c r="CU63" i="2"/>
  <c r="CV63" i="2"/>
  <c r="CW63" i="2"/>
  <c r="CX63" i="2"/>
  <c r="CY63" i="2"/>
  <c r="CZ63" i="2"/>
  <c r="DA63" i="2"/>
  <c r="DB63" i="2"/>
  <c r="DC63" i="2"/>
  <c r="DD63" i="2"/>
  <c r="DE63" i="2"/>
  <c r="DF63" i="2"/>
  <c r="DG63" i="2"/>
  <c r="DH63" i="2"/>
  <c r="DI63" i="2"/>
  <c r="DJ63" i="2"/>
  <c r="DK63" i="2"/>
  <c r="DL63" i="2"/>
  <c r="DM63" i="2"/>
  <c r="DN63" i="2"/>
  <c r="DO63" i="2"/>
  <c r="DP63" i="2"/>
  <c r="DQ63" i="2"/>
  <c r="DR63" i="2"/>
  <c r="DS63" i="2"/>
  <c r="DT63" i="2"/>
  <c r="DU63" i="2"/>
  <c r="DV63" i="2"/>
  <c r="DW63" i="2"/>
  <c r="DX63" i="2"/>
  <c r="DY63" i="2"/>
  <c r="DZ63" i="2"/>
  <c r="EA63" i="2"/>
  <c r="EB63" i="2"/>
  <c r="EC63" i="2"/>
  <c r="ED63" i="2"/>
  <c r="EE63" i="2"/>
  <c r="EF63" i="2"/>
  <c r="EG63" i="2"/>
  <c r="EH63" i="2"/>
  <c r="EI63" i="2"/>
  <c r="EJ63" i="2"/>
  <c r="EK63" i="2"/>
  <c r="EL63" i="2"/>
  <c r="EM63" i="2"/>
  <c r="EN63" i="2"/>
  <c r="EO63" i="2"/>
  <c r="EP63" i="2"/>
  <c r="EQ63" i="2"/>
  <c r="ER63" i="2"/>
  <c r="ES63" i="2"/>
  <c r="ET63" i="2"/>
  <c r="EU63" i="2"/>
  <c r="EV63" i="2"/>
  <c r="EW63" i="2"/>
  <c r="EX63" i="2"/>
  <c r="EY63" i="2"/>
  <c r="EZ63" i="2"/>
  <c r="FA63" i="2"/>
  <c r="FB63" i="2"/>
  <c r="FC63" i="2"/>
  <c r="FD63" i="2"/>
  <c r="FE63" i="2"/>
  <c r="FF63" i="2"/>
  <c r="FG63" i="2"/>
  <c r="FH63" i="2"/>
  <c r="FI63" i="2"/>
  <c r="FJ63" i="2"/>
  <c r="FK63" i="2"/>
  <c r="FL63" i="2"/>
  <c r="FM63" i="2"/>
  <c r="FN63" i="2"/>
  <c r="FO63" i="2"/>
  <c r="FP63" i="2"/>
  <c r="FQ63" i="2"/>
  <c r="FR63" i="2"/>
  <c r="FS63" i="2"/>
  <c r="FT63" i="2"/>
  <c r="FU63" i="2"/>
  <c r="FV63" i="2"/>
  <c r="FW63" i="2"/>
  <c r="FX63" i="2"/>
  <c r="FY63" i="2"/>
  <c r="FZ63" i="2"/>
  <c r="GA63" i="2"/>
  <c r="GB63" i="2"/>
  <c r="GC63" i="2"/>
  <c r="GD63" i="2"/>
  <c r="GE63" i="2"/>
  <c r="GF63" i="2"/>
  <c r="GG63" i="2"/>
  <c r="GH63" i="2"/>
  <c r="GI63" i="2"/>
  <c r="GJ63" i="2"/>
  <c r="GK63" i="2"/>
  <c r="GL63" i="2"/>
  <c r="GM63" i="2"/>
  <c r="GN63" i="2"/>
  <c r="GO63" i="2"/>
  <c r="GP63" i="2"/>
  <c r="GQ63" i="2"/>
  <c r="GR63" i="2"/>
  <c r="GS63" i="2"/>
  <c r="GT63" i="2"/>
  <c r="GU63" i="2"/>
  <c r="GV63" i="2"/>
  <c r="GW63" i="2"/>
  <c r="GX63" i="2"/>
  <c r="AT34" i="2"/>
  <c r="AU34" i="2"/>
  <c r="AV34" i="2"/>
  <c r="AW34" i="2"/>
  <c r="AX34" i="2"/>
  <c r="AY34" i="2"/>
  <c r="AZ34" i="2"/>
  <c r="BA34" i="2"/>
  <c r="BB34" i="2"/>
  <c r="BC34" i="2"/>
  <c r="BD34" i="2"/>
  <c r="BE34" i="2"/>
  <c r="BF34" i="2"/>
  <c r="BH34" i="2"/>
  <c r="BI34" i="2"/>
  <c r="BJ34" i="2"/>
  <c r="BK34" i="2"/>
  <c r="BL34" i="2"/>
  <c r="BM34" i="2"/>
  <c r="BN34" i="2"/>
  <c r="BO34" i="2"/>
  <c r="BP34" i="2"/>
  <c r="BQ34" i="2"/>
  <c r="BR34" i="2"/>
  <c r="BS34" i="2"/>
  <c r="BT34" i="2"/>
  <c r="BU34" i="2"/>
  <c r="BV34" i="2"/>
  <c r="BW34" i="2"/>
  <c r="BX34" i="2"/>
  <c r="BY34" i="2"/>
  <c r="BZ34" i="2"/>
  <c r="CA34" i="2"/>
  <c r="CB34" i="2"/>
  <c r="CC34" i="2"/>
  <c r="CD34" i="2"/>
  <c r="CE34" i="2"/>
  <c r="CF34" i="2"/>
  <c r="CG34" i="2"/>
  <c r="CH34" i="2"/>
  <c r="CI34" i="2"/>
  <c r="CJ34" i="2"/>
  <c r="CK34" i="2"/>
  <c r="CL34" i="2"/>
  <c r="CM34" i="2"/>
  <c r="CN34" i="2"/>
  <c r="CO34" i="2"/>
  <c r="CP34" i="2"/>
  <c r="CQ34" i="2"/>
  <c r="CR34" i="2"/>
  <c r="CS34" i="2"/>
  <c r="CT34" i="2"/>
  <c r="CU34" i="2"/>
  <c r="CV34" i="2"/>
  <c r="CW34" i="2"/>
  <c r="CX34" i="2"/>
  <c r="CY34" i="2"/>
  <c r="CZ34" i="2"/>
  <c r="DA34" i="2"/>
  <c r="DB34" i="2"/>
  <c r="DC34" i="2"/>
  <c r="DD34" i="2"/>
  <c r="DE34" i="2"/>
  <c r="DF34" i="2"/>
  <c r="DG34" i="2"/>
  <c r="DH34" i="2"/>
  <c r="DI34" i="2"/>
  <c r="DJ34" i="2"/>
  <c r="DK34" i="2"/>
  <c r="DL34" i="2"/>
  <c r="DM34" i="2"/>
  <c r="DN34" i="2"/>
  <c r="DO34" i="2"/>
  <c r="DP34" i="2"/>
  <c r="DQ34" i="2"/>
  <c r="DR34" i="2"/>
  <c r="DS34" i="2"/>
  <c r="DT34" i="2"/>
  <c r="DU34" i="2"/>
  <c r="DV34" i="2"/>
  <c r="DW34" i="2"/>
  <c r="DX34" i="2"/>
  <c r="DY34" i="2"/>
  <c r="DZ34" i="2"/>
  <c r="EA34" i="2"/>
  <c r="EB34" i="2"/>
  <c r="EC34" i="2"/>
  <c r="ED34" i="2"/>
  <c r="EE34" i="2"/>
  <c r="EF34" i="2"/>
  <c r="EG34" i="2"/>
  <c r="EH34" i="2"/>
  <c r="EI34" i="2"/>
  <c r="EJ34" i="2"/>
  <c r="EK34" i="2"/>
  <c r="EL34" i="2"/>
  <c r="EM34" i="2"/>
  <c r="EN34" i="2"/>
  <c r="EO34" i="2"/>
  <c r="EP34" i="2"/>
  <c r="EQ34" i="2"/>
  <c r="ER34" i="2"/>
  <c r="ES34" i="2"/>
  <c r="ET34" i="2"/>
  <c r="EU34" i="2"/>
  <c r="EV34" i="2"/>
  <c r="EW34" i="2"/>
  <c r="EX34" i="2"/>
  <c r="EY34" i="2"/>
  <c r="EZ34" i="2"/>
  <c r="FA34" i="2"/>
  <c r="FB34" i="2"/>
  <c r="FC34" i="2"/>
  <c r="FD34" i="2"/>
  <c r="FE34" i="2"/>
  <c r="FF34" i="2"/>
  <c r="FG34" i="2"/>
  <c r="FH34" i="2"/>
  <c r="FI34" i="2"/>
  <c r="FJ34" i="2"/>
  <c r="FK34" i="2"/>
  <c r="FL34" i="2"/>
  <c r="FM34" i="2"/>
  <c r="FN34" i="2"/>
  <c r="FO34" i="2"/>
  <c r="FP34" i="2"/>
  <c r="FQ34" i="2"/>
  <c r="FR34" i="2"/>
  <c r="FS34" i="2"/>
  <c r="FT34" i="2"/>
  <c r="FU34" i="2"/>
  <c r="FV34" i="2"/>
  <c r="FW34" i="2"/>
  <c r="FX34" i="2"/>
  <c r="FY34" i="2"/>
  <c r="FZ34" i="2"/>
  <c r="GA34" i="2"/>
  <c r="GB34" i="2"/>
  <c r="GC34" i="2"/>
  <c r="GD34" i="2"/>
  <c r="GE34" i="2"/>
  <c r="GF34" i="2"/>
  <c r="GG34" i="2"/>
  <c r="GH34" i="2"/>
  <c r="GI34" i="2"/>
  <c r="GJ34" i="2"/>
  <c r="GK34" i="2"/>
  <c r="GL34" i="2"/>
  <c r="GM34" i="2"/>
  <c r="GN34" i="2"/>
  <c r="GO34" i="2"/>
  <c r="GP34" i="2"/>
  <c r="GQ34" i="2"/>
  <c r="GR34" i="2"/>
  <c r="GS34" i="2"/>
  <c r="GT34" i="2"/>
  <c r="GU34" i="2"/>
  <c r="GV34" i="2"/>
  <c r="GW34" i="2"/>
  <c r="GX34" i="2"/>
  <c r="AS51" i="2"/>
  <c r="AU51" i="2"/>
  <c r="AV51" i="2"/>
  <c r="AW51" i="2"/>
  <c r="AX51" i="2"/>
  <c r="AY51" i="2"/>
  <c r="AZ51" i="2"/>
  <c r="BA51" i="2"/>
  <c r="BB51" i="2"/>
  <c r="BC51" i="2"/>
  <c r="BD51" i="2"/>
  <c r="BE51" i="2"/>
  <c r="BF51" i="2"/>
  <c r="BG51" i="2"/>
  <c r="BH51" i="2"/>
  <c r="BI51" i="2"/>
  <c r="BJ51" i="2"/>
  <c r="BK51" i="2"/>
  <c r="BL51" i="2"/>
  <c r="BM51" i="2"/>
  <c r="BN51" i="2"/>
  <c r="BO51" i="2"/>
  <c r="BP51" i="2"/>
  <c r="BQ51" i="2"/>
  <c r="BR51" i="2"/>
  <c r="BS51" i="2"/>
  <c r="BT51" i="2"/>
  <c r="BU51" i="2"/>
  <c r="BV51" i="2"/>
  <c r="BW51" i="2"/>
  <c r="BX51" i="2"/>
  <c r="BY51" i="2"/>
  <c r="BZ51" i="2"/>
  <c r="CA51" i="2"/>
  <c r="CB51" i="2"/>
  <c r="CC51" i="2"/>
  <c r="CD51" i="2"/>
  <c r="CE51" i="2"/>
  <c r="CF51" i="2"/>
  <c r="CG51" i="2"/>
  <c r="CH51" i="2"/>
  <c r="CI51" i="2"/>
  <c r="CJ51" i="2"/>
  <c r="CK51" i="2"/>
  <c r="CL51" i="2"/>
  <c r="CM51" i="2"/>
  <c r="CN51" i="2"/>
  <c r="CO51" i="2"/>
  <c r="CP51" i="2"/>
  <c r="CQ51" i="2"/>
  <c r="CR51" i="2"/>
  <c r="CS51" i="2"/>
  <c r="CT51" i="2"/>
  <c r="CU51" i="2"/>
  <c r="CV51" i="2"/>
  <c r="CW51" i="2"/>
  <c r="CX51" i="2"/>
  <c r="CY51" i="2"/>
  <c r="CZ51" i="2"/>
  <c r="DA51" i="2"/>
  <c r="DB51" i="2"/>
  <c r="DC51" i="2"/>
  <c r="DD51" i="2"/>
  <c r="DE51" i="2"/>
  <c r="DF51" i="2"/>
  <c r="DG51" i="2"/>
  <c r="DH51" i="2"/>
  <c r="DI51" i="2"/>
  <c r="DJ51" i="2"/>
  <c r="DK51" i="2"/>
  <c r="DL51" i="2"/>
  <c r="DM51" i="2"/>
  <c r="DN51" i="2"/>
  <c r="DO51" i="2"/>
  <c r="DP51" i="2"/>
  <c r="DQ51" i="2"/>
  <c r="DR51" i="2"/>
  <c r="DS51" i="2"/>
  <c r="DT51" i="2"/>
  <c r="DU51" i="2"/>
  <c r="DV51" i="2"/>
  <c r="DW51" i="2"/>
  <c r="DX51" i="2"/>
  <c r="DY51" i="2"/>
  <c r="DZ51" i="2"/>
  <c r="EA51" i="2"/>
  <c r="EB51" i="2"/>
  <c r="EC51" i="2"/>
  <c r="ED51" i="2"/>
  <c r="EE51" i="2"/>
  <c r="EF51" i="2"/>
  <c r="EG51" i="2"/>
  <c r="EH51" i="2"/>
  <c r="EI51" i="2"/>
  <c r="EJ51" i="2"/>
  <c r="EK51" i="2"/>
  <c r="EL51" i="2"/>
  <c r="EM51" i="2"/>
  <c r="EN51" i="2"/>
  <c r="EO51" i="2"/>
  <c r="EP51" i="2"/>
  <c r="EQ51" i="2"/>
  <c r="ER51" i="2"/>
  <c r="ES51" i="2"/>
  <c r="ET51" i="2"/>
  <c r="EU51" i="2"/>
  <c r="EV51" i="2"/>
  <c r="EW51" i="2"/>
  <c r="EX51" i="2"/>
  <c r="EY51" i="2"/>
  <c r="EZ51" i="2"/>
  <c r="FA51" i="2"/>
  <c r="FB51" i="2"/>
  <c r="FC51" i="2"/>
  <c r="FD51" i="2"/>
  <c r="FE51" i="2"/>
  <c r="FF51" i="2"/>
  <c r="FG51" i="2"/>
  <c r="FH51" i="2"/>
  <c r="FI51" i="2"/>
  <c r="FJ51" i="2"/>
  <c r="FK51" i="2"/>
  <c r="FL51" i="2"/>
  <c r="FM51" i="2"/>
  <c r="FN51" i="2"/>
  <c r="FO51" i="2"/>
  <c r="FP51" i="2"/>
  <c r="FQ51" i="2"/>
  <c r="FR51" i="2"/>
  <c r="FS51" i="2"/>
  <c r="FT51" i="2"/>
  <c r="FU51" i="2"/>
  <c r="FV51" i="2"/>
  <c r="FW51" i="2"/>
  <c r="FX51" i="2"/>
  <c r="FY51" i="2"/>
  <c r="FZ51" i="2"/>
  <c r="GA51" i="2"/>
  <c r="GB51" i="2"/>
  <c r="GC51" i="2"/>
  <c r="GD51" i="2"/>
  <c r="GE51" i="2"/>
  <c r="GF51" i="2"/>
  <c r="GG51" i="2"/>
  <c r="GH51" i="2"/>
  <c r="GI51" i="2"/>
  <c r="GJ51" i="2"/>
  <c r="GK51" i="2"/>
  <c r="GL51" i="2"/>
  <c r="GM51" i="2"/>
  <c r="GN51" i="2"/>
  <c r="GO51" i="2"/>
  <c r="GP51" i="2"/>
  <c r="GQ51" i="2"/>
  <c r="GR51" i="2"/>
  <c r="GS51" i="2"/>
  <c r="GT51" i="2"/>
  <c r="GU51" i="2"/>
  <c r="GV51" i="2"/>
  <c r="GW51" i="2"/>
  <c r="GX51" i="2"/>
  <c r="AS36" i="2"/>
  <c r="AT36" i="2"/>
  <c r="AU36" i="2"/>
  <c r="AV36" i="2"/>
  <c r="AW36" i="2"/>
  <c r="AX36" i="2"/>
  <c r="AY36" i="2"/>
  <c r="AZ36" i="2"/>
  <c r="BB36" i="2"/>
  <c r="BC36" i="2"/>
  <c r="BD36" i="2"/>
  <c r="BE36" i="2"/>
  <c r="BF36" i="2"/>
  <c r="BG36" i="2"/>
  <c r="BH36" i="2"/>
  <c r="BI36" i="2"/>
  <c r="BJ36" i="2"/>
  <c r="BK36" i="2"/>
  <c r="BL36" i="2"/>
  <c r="BM36" i="2"/>
  <c r="BN36" i="2"/>
  <c r="BO36" i="2"/>
  <c r="BP36" i="2"/>
  <c r="BQ36" i="2"/>
  <c r="BR36" i="2"/>
  <c r="BS36" i="2"/>
  <c r="BT36" i="2"/>
  <c r="BU36" i="2"/>
  <c r="BV36" i="2"/>
  <c r="BW36" i="2"/>
  <c r="BX36" i="2"/>
  <c r="BY36" i="2"/>
  <c r="BZ36" i="2"/>
  <c r="CA36" i="2"/>
  <c r="CB36" i="2"/>
  <c r="CC36" i="2"/>
  <c r="CD36" i="2"/>
  <c r="CE36" i="2"/>
  <c r="CF36" i="2"/>
  <c r="CG36" i="2"/>
  <c r="CH36" i="2"/>
  <c r="CI36" i="2"/>
  <c r="CJ36" i="2"/>
  <c r="CK36" i="2"/>
  <c r="CL36" i="2"/>
  <c r="CM36" i="2"/>
  <c r="CN36" i="2"/>
  <c r="CO36" i="2"/>
  <c r="CP36" i="2"/>
  <c r="CQ36" i="2"/>
  <c r="CR36" i="2"/>
  <c r="CS36" i="2"/>
  <c r="CT36" i="2"/>
  <c r="CU36" i="2"/>
  <c r="CV36" i="2"/>
  <c r="CW36" i="2"/>
  <c r="CX36" i="2"/>
  <c r="CY36" i="2"/>
  <c r="CZ36" i="2"/>
  <c r="DA36" i="2"/>
  <c r="DB36" i="2"/>
  <c r="DC36" i="2"/>
  <c r="DD36" i="2"/>
  <c r="DE36" i="2"/>
  <c r="DF36" i="2"/>
  <c r="DG36" i="2"/>
  <c r="DH36" i="2"/>
  <c r="DI36" i="2"/>
  <c r="DJ36" i="2"/>
  <c r="DK36" i="2"/>
  <c r="DL36" i="2"/>
  <c r="DM36" i="2"/>
  <c r="DN36" i="2"/>
  <c r="DO36" i="2"/>
  <c r="DP36" i="2"/>
  <c r="DQ36" i="2"/>
  <c r="DR36" i="2"/>
  <c r="DS36" i="2"/>
  <c r="DT36" i="2"/>
  <c r="DU36" i="2"/>
  <c r="DV36" i="2"/>
  <c r="DW36" i="2"/>
  <c r="DX36" i="2"/>
  <c r="DY36" i="2"/>
  <c r="DZ36" i="2"/>
  <c r="EA36" i="2"/>
  <c r="EB36" i="2"/>
  <c r="EC36" i="2"/>
  <c r="ED36" i="2"/>
  <c r="EE36" i="2"/>
  <c r="EF36" i="2"/>
  <c r="EG36" i="2"/>
  <c r="EH36" i="2"/>
  <c r="EI36" i="2"/>
  <c r="EJ36" i="2"/>
  <c r="EK36" i="2"/>
  <c r="EL36" i="2"/>
  <c r="EM36" i="2"/>
  <c r="EN36" i="2"/>
  <c r="EO36" i="2"/>
  <c r="EP36" i="2"/>
  <c r="EQ36" i="2"/>
  <c r="ER36" i="2"/>
  <c r="ES36" i="2"/>
  <c r="ET36" i="2"/>
  <c r="EU36" i="2"/>
  <c r="EV36" i="2"/>
  <c r="EW36" i="2"/>
  <c r="EX36" i="2"/>
  <c r="EY36" i="2"/>
  <c r="EZ36" i="2"/>
  <c r="FA36" i="2"/>
  <c r="FB36" i="2"/>
  <c r="FC36" i="2"/>
  <c r="FD36" i="2"/>
  <c r="FE36" i="2"/>
  <c r="FF36" i="2"/>
  <c r="FG36" i="2"/>
  <c r="FH36" i="2"/>
  <c r="FI36" i="2"/>
  <c r="FJ36" i="2"/>
  <c r="FK36" i="2"/>
  <c r="FL36" i="2"/>
  <c r="FM36" i="2"/>
  <c r="FN36" i="2"/>
  <c r="FO36" i="2"/>
  <c r="FP36" i="2"/>
  <c r="FQ36" i="2"/>
  <c r="FR36" i="2"/>
  <c r="FS36" i="2"/>
  <c r="FT36" i="2"/>
  <c r="FU36" i="2"/>
  <c r="FV36" i="2"/>
  <c r="FW36" i="2"/>
  <c r="FX36" i="2"/>
  <c r="FY36" i="2"/>
  <c r="FZ36" i="2"/>
  <c r="GA36" i="2"/>
  <c r="GB36" i="2"/>
  <c r="GC36" i="2"/>
  <c r="GD36" i="2"/>
  <c r="GE36" i="2"/>
  <c r="GF36" i="2"/>
  <c r="GG36" i="2"/>
  <c r="GH36" i="2"/>
  <c r="GI36" i="2"/>
  <c r="GJ36" i="2"/>
  <c r="GK36" i="2"/>
  <c r="GL36" i="2"/>
  <c r="GM36" i="2"/>
  <c r="GN36" i="2"/>
  <c r="GO36" i="2"/>
  <c r="GP36" i="2"/>
  <c r="GQ36" i="2"/>
  <c r="GR36" i="2"/>
  <c r="GS36" i="2"/>
  <c r="GT36" i="2"/>
  <c r="GU36" i="2"/>
  <c r="GV36" i="2"/>
  <c r="GW36" i="2"/>
  <c r="GX36" i="2"/>
  <c r="AS85" i="2"/>
  <c r="AT85" i="2"/>
  <c r="AU85" i="2"/>
  <c r="AV85" i="2"/>
  <c r="AW85" i="2"/>
  <c r="AX85" i="2"/>
  <c r="AY85" i="2"/>
  <c r="AS54" i="2"/>
  <c r="AT54" i="2"/>
  <c r="AU54" i="2"/>
  <c r="AV54" i="2"/>
  <c r="AW54" i="2"/>
  <c r="AX54" i="2"/>
  <c r="AZ54" i="2"/>
  <c r="BA54" i="2"/>
  <c r="BB54" i="2"/>
  <c r="BC54" i="2"/>
  <c r="BD54" i="2"/>
  <c r="BE54" i="2"/>
  <c r="BF54" i="2"/>
  <c r="BG54" i="2"/>
  <c r="BH54" i="2"/>
  <c r="BI54" i="2"/>
  <c r="BJ54" i="2"/>
  <c r="BK54" i="2"/>
  <c r="BL54" i="2"/>
  <c r="BM54" i="2"/>
  <c r="BN54" i="2"/>
  <c r="BO54" i="2"/>
  <c r="BP54" i="2"/>
  <c r="BQ54" i="2"/>
  <c r="BR54" i="2"/>
  <c r="BS54" i="2"/>
  <c r="BT54" i="2"/>
  <c r="BU54" i="2"/>
  <c r="BV54" i="2"/>
  <c r="BW54" i="2"/>
  <c r="BX54" i="2"/>
  <c r="BY54" i="2"/>
  <c r="BZ54" i="2"/>
  <c r="CA54" i="2"/>
  <c r="CB54" i="2"/>
  <c r="CC54" i="2"/>
  <c r="CD54" i="2"/>
  <c r="CE54" i="2"/>
  <c r="CF54" i="2"/>
  <c r="CG54" i="2"/>
  <c r="CH54" i="2"/>
  <c r="CI54" i="2"/>
  <c r="CJ54" i="2"/>
  <c r="CK54" i="2"/>
  <c r="CL54" i="2"/>
  <c r="CM54" i="2"/>
  <c r="CN54" i="2"/>
  <c r="CO54" i="2"/>
  <c r="CP54" i="2"/>
  <c r="CQ54" i="2"/>
  <c r="CR54" i="2"/>
  <c r="CS54" i="2"/>
  <c r="CT54" i="2"/>
  <c r="CU54" i="2"/>
  <c r="CV54" i="2"/>
  <c r="CW54" i="2"/>
  <c r="CX54" i="2"/>
  <c r="CY54" i="2"/>
  <c r="CZ54" i="2"/>
  <c r="DA54" i="2"/>
  <c r="DB54" i="2"/>
  <c r="DC54" i="2"/>
  <c r="DD54" i="2"/>
  <c r="DE54" i="2"/>
  <c r="DF54" i="2"/>
  <c r="DG54" i="2"/>
  <c r="DH54" i="2"/>
  <c r="DI54" i="2"/>
  <c r="DJ54" i="2"/>
  <c r="DK54" i="2"/>
  <c r="DL54" i="2"/>
  <c r="DM54" i="2"/>
  <c r="DN54" i="2"/>
  <c r="DO54" i="2"/>
  <c r="DP54" i="2"/>
  <c r="DQ54" i="2"/>
  <c r="DR54" i="2"/>
  <c r="DS54" i="2"/>
  <c r="DT54" i="2"/>
  <c r="DU54" i="2"/>
  <c r="DV54" i="2"/>
  <c r="DW54" i="2"/>
  <c r="DX54" i="2"/>
  <c r="DY54" i="2"/>
  <c r="DZ54" i="2"/>
  <c r="EA54" i="2"/>
  <c r="EB54" i="2"/>
  <c r="EC54" i="2"/>
  <c r="ED54" i="2"/>
  <c r="EE54" i="2"/>
  <c r="EF54" i="2"/>
  <c r="EG54" i="2"/>
  <c r="EH54" i="2"/>
  <c r="EI54" i="2"/>
  <c r="EJ54" i="2"/>
  <c r="EK54" i="2"/>
  <c r="EL54" i="2"/>
  <c r="EM54" i="2"/>
  <c r="EN54" i="2"/>
  <c r="EO54" i="2"/>
  <c r="EP54" i="2"/>
  <c r="EQ54" i="2"/>
  <c r="ER54" i="2"/>
  <c r="ES54" i="2"/>
  <c r="ET54" i="2"/>
  <c r="EU54" i="2"/>
  <c r="EV54" i="2"/>
  <c r="EW54" i="2"/>
  <c r="EX54" i="2"/>
  <c r="EY54" i="2"/>
  <c r="EZ54" i="2"/>
  <c r="FA54" i="2"/>
  <c r="FB54" i="2"/>
  <c r="FC54" i="2"/>
  <c r="FD54" i="2"/>
  <c r="FE54" i="2"/>
  <c r="FF54" i="2"/>
  <c r="FG54" i="2"/>
  <c r="FH54" i="2"/>
  <c r="FI54" i="2"/>
  <c r="FJ54" i="2"/>
  <c r="FK54" i="2"/>
  <c r="FL54" i="2"/>
  <c r="FM54" i="2"/>
  <c r="FN54" i="2"/>
  <c r="FO54" i="2"/>
  <c r="FP54" i="2"/>
  <c r="FQ54" i="2"/>
  <c r="FR54" i="2"/>
  <c r="FS54" i="2"/>
  <c r="FT54" i="2"/>
  <c r="FU54" i="2"/>
  <c r="FV54" i="2"/>
  <c r="FW54" i="2"/>
  <c r="FX54" i="2"/>
  <c r="FY54" i="2"/>
  <c r="FZ54" i="2"/>
  <c r="GA54" i="2"/>
  <c r="GB54" i="2"/>
  <c r="GC54" i="2"/>
  <c r="GD54" i="2"/>
  <c r="GE54" i="2"/>
  <c r="GF54" i="2"/>
  <c r="GG54" i="2"/>
  <c r="GH54" i="2"/>
  <c r="GI54" i="2"/>
  <c r="GJ54" i="2"/>
  <c r="GK54" i="2"/>
  <c r="GL54" i="2"/>
  <c r="GM54" i="2"/>
  <c r="GN54" i="2"/>
  <c r="GO54" i="2"/>
  <c r="GP54" i="2"/>
  <c r="GQ54" i="2"/>
  <c r="GR54" i="2"/>
  <c r="GS54" i="2"/>
  <c r="GT54" i="2"/>
  <c r="GU54" i="2"/>
  <c r="GV54" i="2"/>
  <c r="GW54" i="2"/>
  <c r="GX54" i="2"/>
  <c r="AS71" i="2"/>
  <c r="AT71" i="2"/>
  <c r="AU71" i="2"/>
  <c r="AV71" i="2"/>
  <c r="AW71" i="2"/>
  <c r="AX71" i="2"/>
  <c r="AY71" i="2"/>
  <c r="AZ71" i="2"/>
  <c r="BA71" i="2"/>
  <c r="BC71" i="2"/>
  <c r="BD71" i="2"/>
  <c r="BE71" i="2"/>
  <c r="BF71" i="2"/>
  <c r="BG71" i="2"/>
  <c r="BH71" i="2"/>
  <c r="BI71" i="2"/>
  <c r="BJ71" i="2"/>
  <c r="BK71" i="2"/>
  <c r="BL71" i="2"/>
  <c r="BM71" i="2"/>
  <c r="BN71" i="2"/>
  <c r="BO71" i="2"/>
  <c r="BP71" i="2"/>
  <c r="BQ71" i="2"/>
  <c r="BR71" i="2"/>
  <c r="BS71" i="2"/>
  <c r="BT71" i="2"/>
  <c r="BU71" i="2"/>
  <c r="BV71" i="2"/>
  <c r="BW71" i="2"/>
  <c r="BX71" i="2"/>
  <c r="BY71" i="2"/>
  <c r="BZ71" i="2"/>
  <c r="CA71" i="2"/>
  <c r="CB71" i="2"/>
  <c r="CC71" i="2"/>
  <c r="CD71" i="2"/>
  <c r="CE71" i="2"/>
  <c r="CF71" i="2"/>
  <c r="CG71" i="2"/>
  <c r="CH71" i="2"/>
  <c r="CI71" i="2"/>
  <c r="CJ71" i="2"/>
  <c r="CK71" i="2"/>
  <c r="CL71" i="2"/>
  <c r="CM71" i="2"/>
  <c r="CN71" i="2"/>
  <c r="CO71" i="2"/>
  <c r="CP71" i="2"/>
  <c r="CQ71" i="2"/>
  <c r="CR71" i="2"/>
  <c r="CS71" i="2"/>
  <c r="CT71" i="2"/>
  <c r="CU71" i="2"/>
  <c r="CV71" i="2"/>
  <c r="CW71" i="2"/>
  <c r="CX71" i="2"/>
  <c r="CY71" i="2"/>
  <c r="CZ71" i="2"/>
  <c r="DA71" i="2"/>
  <c r="DB71" i="2"/>
  <c r="DC71" i="2"/>
  <c r="DD71" i="2"/>
  <c r="DE71" i="2"/>
  <c r="DF71" i="2"/>
  <c r="DG71" i="2"/>
  <c r="DH71" i="2"/>
  <c r="DI71" i="2"/>
  <c r="DJ71" i="2"/>
  <c r="DK71" i="2"/>
  <c r="DL71" i="2"/>
  <c r="DM71" i="2"/>
  <c r="DN71" i="2"/>
  <c r="DO71" i="2"/>
  <c r="DP71" i="2"/>
  <c r="DQ71" i="2"/>
  <c r="DR71" i="2"/>
  <c r="DS71" i="2"/>
  <c r="DT71" i="2"/>
  <c r="DU71" i="2"/>
  <c r="DV71" i="2"/>
  <c r="DW71" i="2"/>
  <c r="DX71" i="2"/>
  <c r="DY71" i="2"/>
  <c r="DZ71" i="2"/>
  <c r="EA71" i="2"/>
  <c r="EB71" i="2"/>
  <c r="EC71" i="2"/>
  <c r="ED71" i="2"/>
  <c r="EE71" i="2"/>
  <c r="EF71" i="2"/>
  <c r="EG71" i="2"/>
  <c r="EH71" i="2"/>
  <c r="EI71" i="2"/>
  <c r="EJ71" i="2"/>
  <c r="EK71" i="2"/>
  <c r="EL71" i="2"/>
  <c r="EM71" i="2"/>
  <c r="EN71" i="2"/>
  <c r="EO71" i="2"/>
  <c r="EP71" i="2"/>
  <c r="EQ71" i="2"/>
  <c r="ER71" i="2"/>
  <c r="ES71" i="2"/>
  <c r="ET71" i="2"/>
  <c r="EU71" i="2"/>
  <c r="EV71" i="2"/>
  <c r="EW71" i="2"/>
  <c r="EX71" i="2"/>
  <c r="EY71" i="2"/>
  <c r="EZ71" i="2"/>
  <c r="FA71" i="2"/>
  <c r="FB71" i="2"/>
  <c r="FC71" i="2"/>
  <c r="FD71" i="2"/>
  <c r="FE71" i="2"/>
  <c r="FF71" i="2"/>
  <c r="FG71" i="2"/>
  <c r="FH71" i="2"/>
  <c r="FI71" i="2"/>
  <c r="FJ71" i="2"/>
  <c r="FK71" i="2"/>
  <c r="FL71" i="2"/>
  <c r="FM71" i="2"/>
  <c r="FN71" i="2"/>
  <c r="FO71" i="2"/>
  <c r="FP71" i="2"/>
  <c r="FQ71" i="2"/>
  <c r="FR71" i="2"/>
  <c r="FS71" i="2"/>
  <c r="FT71" i="2"/>
  <c r="FU71" i="2"/>
  <c r="FV71" i="2"/>
  <c r="FW71" i="2"/>
  <c r="FX71" i="2"/>
  <c r="FY71" i="2"/>
  <c r="FZ71" i="2"/>
  <c r="GA71" i="2"/>
  <c r="GB71" i="2"/>
  <c r="GC71" i="2"/>
  <c r="GD71" i="2"/>
  <c r="GE71" i="2"/>
  <c r="GF71" i="2"/>
  <c r="GG71" i="2"/>
  <c r="GH71" i="2"/>
  <c r="GI71" i="2"/>
  <c r="GJ71" i="2"/>
  <c r="GK71" i="2"/>
  <c r="GL71" i="2"/>
  <c r="GM71" i="2"/>
  <c r="GN71" i="2"/>
  <c r="GO71" i="2"/>
  <c r="GP71" i="2"/>
  <c r="GQ71" i="2"/>
  <c r="GR71" i="2"/>
  <c r="GS71" i="2"/>
  <c r="GT71" i="2"/>
  <c r="GU71" i="2"/>
  <c r="GV71" i="2"/>
  <c r="GW71" i="2"/>
  <c r="GX71" i="2"/>
  <c r="AS72" i="2"/>
  <c r="AT72" i="2"/>
  <c r="AU72" i="2"/>
  <c r="AV72" i="2"/>
  <c r="AW72" i="2"/>
  <c r="AX72" i="2"/>
  <c r="AY72" i="2"/>
  <c r="AZ72" i="2"/>
  <c r="BA72" i="2"/>
  <c r="BB72" i="2"/>
  <c r="BC72" i="2"/>
  <c r="BE72" i="2"/>
  <c r="BF72" i="2"/>
  <c r="BG72" i="2"/>
  <c r="BH72" i="2"/>
  <c r="BI72" i="2"/>
  <c r="BJ72" i="2"/>
  <c r="BK72" i="2"/>
  <c r="BL72" i="2"/>
  <c r="BM72" i="2"/>
  <c r="BN72" i="2"/>
  <c r="BO72" i="2"/>
  <c r="BP72" i="2"/>
  <c r="BQ72" i="2"/>
  <c r="BR72" i="2"/>
  <c r="BS72" i="2"/>
  <c r="BT72" i="2"/>
  <c r="BU72" i="2"/>
  <c r="BV72" i="2"/>
  <c r="BW72" i="2"/>
  <c r="BX72" i="2"/>
  <c r="BY72" i="2"/>
  <c r="BZ72" i="2"/>
  <c r="CA72" i="2"/>
  <c r="CB72" i="2"/>
  <c r="CC72" i="2"/>
  <c r="CD72" i="2"/>
  <c r="CE72" i="2"/>
  <c r="CF72" i="2"/>
  <c r="CG72" i="2"/>
  <c r="CH72" i="2"/>
  <c r="CI72" i="2"/>
  <c r="CJ72" i="2"/>
  <c r="CK72" i="2"/>
  <c r="CL72" i="2"/>
  <c r="CM72" i="2"/>
  <c r="CN72" i="2"/>
  <c r="CO72" i="2"/>
  <c r="CP72" i="2"/>
  <c r="CQ72" i="2"/>
  <c r="CR72" i="2"/>
  <c r="CS72" i="2"/>
  <c r="CT72" i="2"/>
  <c r="CU72" i="2"/>
  <c r="CV72" i="2"/>
  <c r="CW72" i="2"/>
  <c r="CX72" i="2"/>
  <c r="CY72" i="2"/>
  <c r="CZ72" i="2"/>
  <c r="DA72" i="2"/>
  <c r="DB72" i="2"/>
  <c r="DC72" i="2"/>
  <c r="DD72" i="2"/>
  <c r="DE72" i="2"/>
  <c r="DF72" i="2"/>
  <c r="DG72" i="2"/>
  <c r="DH72" i="2"/>
  <c r="DI72" i="2"/>
  <c r="DJ72" i="2"/>
  <c r="DK72" i="2"/>
  <c r="DL72" i="2"/>
  <c r="DM72" i="2"/>
  <c r="DN72" i="2"/>
  <c r="DO72" i="2"/>
  <c r="DP72" i="2"/>
  <c r="DQ72" i="2"/>
  <c r="DR72" i="2"/>
  <c r="DS72" i="2"/>
  <c r="DT72" i="2"/>
  <c r="DU72" i="2"/>
  <c r="DV72" i="2"/>
  <c r="DW72" i="2"/>
  <c r="DX72" i="2"/>
  <c r="DY72" i="2"/>
  <c r="DZ72" i="2"/>
  <c r="EA72" i="2"/>
  <c r="EB72" i="2"/>
  <c r="EC72" i="2"/>
  <c r="ED72" i="2"/>
  <c r="EE72" i="2"/>
  <c r="EF72" i="2"/>
  <c r="EG72" i="2"/>
  <c r="EH72" i="2"/>
  <c r="EI72" i="2"/>
  <c r="EJ72" i="2"/>
  <c r="EK72" i="2"/>
  <c r="EL72" i="2"/>
  <c r="EM72" i="2"/>
  <c r="EN72" i="2"/>
  <c r="EO72" i="2"/>
  <c r="EP72" i="2"/>
  <c r="EQ72" i="2"/>
  <c r="ER72" i="2"/>
  <c r="ES72" i="2"/>
  <c r="ET72" i="2"/>
  <c r="EU72" i="2"/>
  <c r="EV72" i="2"/>
  <c r="EW72" i="2"/>
  <c r="EX72" i="2"/>
  <c r="EY72" i="2"/>
  <c r="EZ72" i="2"/>
  <c r="FA72" i="2"/>
  <c r="FB72" i="2"/>
  <c r="FC72" i="2"/>
  <c r="FD72" i="2"/>
  <c r="FE72" i="2"/>
  <c r="FF72" i="2"/>
  <c r="FG72" i="2"/>
  <c r="FH72" i="2"/>
  <c r="FI72" i="2"/>
  <c r="FJ72" i="2"/>
  <c r="FK72" i="2"/>
  <c r="FL72" i="2"/>
  <c r="FM72" i="2"/>
  <c r="FN72" i="2"/>
  <c r="FO72" i="2"/>
  <c r="FP72" i="2"/>
  <c r="FQ72" i="2"/>
  <c r="FR72" i="2"/>
  <c r="FS72" i="2"/>
  <c r="FT72" i="2"/>
  <c r="FU72" i="2"/>
  <c r="FV72" i="2"/>
  <c r="FW72" i="2"/>
  <c r="FX72" i="2"/>
  <c r="FY72" i="2"/>
  <c r="FZ72" i="2"/>
  <c r="GA72" i="2"/>
  <c r="GB72" i="2"/>
  <c r="GC72" i="2"/>
  <c r="GD72" i="2"/>
  <c r="GE72" i="2"/>
  <c r="GF72" i="2"/>
  <c r="GG72" i="2"/>
  <c r="GH72" i="2"/>
  <c r="GI72" i="2"/>
  <c r="GJ72" i="2"/>
  <c r="GK72" i="2"/>
  <c r="GL72" i="2"/>
  <c r="GM72" i="2"/>
  <c r="GN72" i="2"/>
  <c r="GO72" i="2"/>
  <c r="GP72" i="2"/>
  <c r="GQ72" i="2"/>
  <c r="GR72" i="2"/>
  <c r="GS72" i="2"/>
  <c r="GT72" i="2"/>
  <c r="GU72" i="2"/>
  <c r="GV72" i="2"/>
  <c r="GW72" i="2"/>
  <c r="GX72" i="2"/>
  <c r="AS12" i="2"/>
  <c r="AT12" i="2"/>
  <c r="AV12" i="2"/>
  <c r="AW12" i="2"/>
  <c r="AX12" i="2"/>
  <c r="AY12" i="2"/>
  <c r="AZ12" i="2"/>
  <c r="BA12" i="2"/>
  <c r="BB12" i="2"/>
  <c r="BC12" i="2"/>
  <c r="BD12" i="2"/>
  <c r="BE12" i="2"/>
  <c r="BF12" i="2"/>
  <c r="BG12" i="2"/>
  <c r="BH12" i="2"/>
  <c r="BI12" i="2"/>
  <c r="BJ12" i="2"/>
  <c r="BK12" i="2"/>
  <c r="BL12" i="2"/>
  <c r="BM12" i="2"/>
  <c r="BN12" i="2"/>
  <c r="BP12" i="2"/>
  <c r="BQ12" i="2"/>
  <c r="BR12" i="2"/>
  <c r="BS12" i="2"/>
  <c r="BT12" i="2"/>
  <c r="BU12" i="2"/>
  <c r="BV12" i="2"/>
  <c r="BW12" i="2"/>
  <c r="BX12" i="2"/>
  <c r="BY12" i="2"/>
  <c r="BZ12" i="2"/>
  <c r="CA12" i="2"/>
  <c r="CB12" i="2"/>
  <c r="CC12" i="2"/>
  <c r="CD12" i="2"/>
  <c r="CE12" i="2"/>
  <c r="CF12" i="2"/>
  <c r="CG12" i="2"/>
  <c r="CH12" i="2"/>
  <c r="CI12" i="2"/>
  <c r="CJ12" i="2"/>
  <c r="CK12" i="2"/>
  <c r="CL12" i="2"/>
  <c r="CM12" i="2"/>
  <c r="CN12" i="2"/>
  <c r="CO12" i="2"/>
  <c r="CP12" i="2"/>
  <c r="CQ12" i="2"/>
  <c r="CR12" i="2"/>
  <c r="CS12" i="2"/>
  <c r="CT12" i="2"/>
  <c r="CU12" i="2"/>
  <c r="CV12" i="2"/>
  <c r="CW12" i="2"/>
  <c r="CX12" i="2"/>
  <c r="CY12" i="2"/>
  <c r="CZ12" i="2"/>
  <c r="DA12" i="2"/>
  <c r="DB12" i="2"/>
  <c r="DC12" i="2"/>
  <c r="DD12" i="2"/>
  <c r="DE12" i="2"/>
  <c r="DF12" i="2"/>
  <c r="DG12" i="2"/>
  <c r="DH12" i="2"/>
  <c r="DI12" i="2"/>
  <c r="DJ12" i="2"/>
  <c r="DK12" i="2"/>
  <c r="DL12" i="2"/>
  <c r="DM12" i="2"/>
  <c r="DN12" i="2"/>
  <c r="DO12" i="2"/>
  <c r="DP12" i="2"/>
  <c r="DQ12" i="2"/>
  <c r="DR12" i="2"/>
  <c r="DS12" i="2"/>
  <c r="DT12" i="2"/>
  <c r="DU12" i="2"/>
  <c r="DV12" i="2"/>
  <c r="DW12" i="2"/>
  <c r="DX12" i="2"/>
  <c r="DY12" i="2"/>
  <c r="DZ12" i="2"/>
  <c r="EA12" i="2"/>
  <c r="EB12" i="2"/>
  <c r="EC12" i="2"/>
  <c r="ED12" i="2"/>
  <c r="EE12" i="2"/>
  <c r="EF12" i="2"/>
  <c r="EG12" i="2"/>
  <c r="EH12" i="2"/>
  <c r="EI12" i="2"/>
  <c r="EJ12" i="2"/>
  <c r="EK12" i="2"/>
  <c r="EL12" i="2"/>
  <c r="EM12" i="2"/>
  <c r="EN12" i="2"/>
  <c r="EO12" i="2"/>
  <c r="EP12" i="2"/>
  <c r="EQ12" i="2"/>
  <c r="ER12" i="2"/>
  <c r="ES12" i="2"/>
  <c r="ET12" i="2"/>
  <c r="EU12" i="2"/>
  <c r="EV12" i="2"/>
  <c r="EW12" i="2"/>
  <c r="EX12" i="2"/>
  <c r="EY12" i="2"/>
  <c r="EZ12" i="2"/>
  <c r="FA12" i="2"/>
  <c r="FB12" i="2"/>
  <c r="FC12" i="2"/>
  <c r="FD12" i="2"/>
  <c r="FE12" i="2"/>
  <c r="FF12" i="2"/>
  <c r="FG12" i="2"/>
  <c r="FH12" i="2"/>
  <c r="FI12" i="2"/>
  <c r="FJ12" i="2"/>
  <c r="FK12" i="2"/>
  <c r="FL12" i="2"/>
  <c r="FM12" i="2"/>
  <c r="FN12" i="2"/>
  <c r="FO12" i="2"/>
  <c r="FP12" i="2"/>
  <c r="FQ12" i="2"/>
  <c r="FR12" i="2"/>
  <c r="FS12" i="2"/>
  <c r="FT12" i="2"/>
  <c r="FU12" i="2"/>
  <c r="FV12" i="2"/>
  <c r="FW12" i="2"/>
  <c r="FX12" i="2"/>
  <c r="FY12" i="2"/>
  <c r="FZ12" i="2"/>
  <c r="GA12" i="2"/>
  <c r="GB12" i="2"/>
  <c r="GC12" i="2"/>
  <c r="GD12" i="2"/>
  <c r="GE12" i="2"/>
  <c r="GF12" i="2"/>
  <c r="GG12" i="2"/>
  <c r="GH12" i="2"/>
  <c r="GI12" i="2"/>
  <c r="GJ12" i="2"/>
  <c r="GK12" i="2"/>
  <c r="GL12" i="2"/>
  <c r="GM12" i="2"/>
  <c r="GN12" i="2"/>
  <c r="GO12" i="2"/>
  <c r="GP12" i="2"/>
  <c r="GQ12" i="2"/>
  <c r="GR12" i="2"/>
  <c r="GS12" i="2"/>
  <c r="GT12" i="2"/>
  <c r="GU12" i="2"/>
  <c r="GV12" i="2"/>
  <c r="GW12" i="2"/>
  <c r="GX12" i="2"/>
  <c r="AS28" i="2"/>
  <c r="AT28" i="2"/>
  <c r="AU28" i="2"/>
  <c r="AV28" i="2"/>
  <c r="AW28" i="2"/>
  <c r="AX28" i="2"/>
  <c r="AZ28" i="2"/>
  <c r="BA28" i="2"/>
  <c r="BB28" i="2"/>
  <c r="BC28" i="2"/>
  <c r="BD28" i="2"/>
  <c r="BE28" i="2"/>
  <c r="BF28" i="2"/>
  <c r="BG28" i="2"/>
  <c r="BH28" i="2"/>
  <c r="BI28" i="2"/>
  <c r="BJ28" i="2"/>
  <c r="BK28" i="2"/>
  <c r="BL28" i="2"/>
  <c r="BM28" i="2"/>
  <c r="BN28" i="2"/>
  <c r="BP28" i="2"/>
  <c r="BQ28" i="2"/>
  <c r="BR28" i="2"/>
  <c r="BS28" i="2"/>
  <c r="BT28" i="2"/>
  <c r="BU28" i="2"/>
  <c r="BV28" i="2"/>
  <c r="BW28" i="2"/>
  <c r="BX28" i="2"/>
  <c r="BY28" i="2"/>
  <c r="BZ28" i="2"/>
  <c r="CA28" i="2"/>
  <c r="CB28" i="2"/>
  <c r="CC28" i="2"/>
  <c r="CD28" i="2"/>
  <c r="CE28" i="2"/>
  <c r="CF28" i="2"/>
  <c r="CG28" i="2"/>
  <c r="CH28" i="2"/>
  <c r="CI28" i="2"/>
  <c r="CJ28" i="2"/>
  <c r="CK28" i="2"/>
  <c r="CL28" i="2"/>
  <c r="CM28" i="2"/>
  <c r="CN28" i="2"/>
  <c r="CO28" i="2"/>
  <c r="CP28" i="2"/>
  <c r="CQ28" i="2"/>
  <c r="CR28" i="2"/>
  <c r="CS28" i="2"/>
  <c r="CT28" i="2"/>
  <c r="CU28" i="2"/>
  <c r="CV28" i="2"/>
  <c r="CW28" i="2"/>
  <c r="CX28" i="2"/>
  <c r="CY28" i="2"/>
  <c r="CZ28" i="2"/>
  <c r="DA28" i="2"/>
  <c r="DB28" i="2"/>
  <c r="DC28" i="2"/>
  <c r="DD28" i="2"/>
  <c r="DE28" i="2"/>
  <c r="DF28" i="2"/>
  <c r="DG28" i="2"/>
  <c r="DH28" i="2"/>
  <c r="DI28" i="2"/>
  <c r="DJ28" i="2"/>
  <c r="DK28" i="2"/>
  <c r="DL28" i="2"/>
  <c r="DM28" i="2"/>
  <c r="DN28" i="2"/>
  <c r="DO28" i="2"/>
  <c r="DP28" i="2"/>
  <c r="DQ28" i="2"/>
  <c r="DR28" i="2"/>
  <c r="DS28" i="2"/>
  <c r="DT28" i="2"/>
  <c r="DU28" i="2"/>
  <c r="DV28" i="2"/>
  <c r="DW28" i="2"/>
  <c r="DX28" i="2"/>
  <c r="DY28" i="2"/>
  <c r="DZ28" i="2"/>
  <c r="EA28" i="2"/>
  <c r="EB28" i="2"/>
  <c r="EC28" i="2"/>
  <c r="ED28" i="2"/>
  <c r="EE28" i="2"/>
  <c r="EF28" i="2"/>
  <c r="EG28" i="2"/>
  <c r="EH28" i="2"/>
  <c r="EI28" i="2"/>
  <c r="EJ28" i="2"/>
  <c r="EK28" i="2"/>
  <c r="EL28" i="2"/>
  <c r="EM28" i="2"/>
  <c r="EN28" i="2"/>
  <c r="EO28" i="2"/>
  <c r="EP28" i="2"/>
  <c r="EQ28" i="2"/>
  <c r="ER28" i="2"/>
  <c r="ES28" i="2"/>
  <c r="ET28" i="2"/>
  <c r="EU28" i="2"/>
  <c r="EV28" i="2"/>
  <c r="EW28" i="2"/>
  <c r="EX28" i="2"/>
  <c r="EY28" i="2"/>
  <c r="EZ28" i="2"/>
  <c r="FA28" i="2"/>
  <c r="FB28" i="2"/>
  <c r="FC28" i="2"/>
  <c r="FD28" i="2"/>
  <c r="FE28" i="2"/>
  <c r="FF28" i="2"/>
  <c r="FG28" i="2"/>
  <c r="FH28" i="2"/>
  <c r="FI28" i="2"/>
  <c r="FJ28" i="2"/>
  <c r="FK28" i="2"/>
  <c r="FL28" i="2"/>
  <c r="FM28" i="2"/>
  <c r="FN28" i="2"/>
  <c r="FO28" i="2"/>
  <c r="FP28" i="2"/>
  <c r="FQ28" i="2"/>
  <c r="FR28" i="2"/>
  <c r="FS28" i="2"/>
  <c r="FT28" i="2"/>
  <c r="FU28" i="2"/>
  <c r="FV28" i="2"/>
  <c r="FW28" i="2"/>
  <c r="FX28" i="2"/>
  <c r="FY28" i="2"/>
  <c r="FZ28" i="2"/>
  <c r="GA28" i="2"/>
  <c r="GB28" i="2"/>
  <c r="GC28" i="2"/>
  <c r="GD28" i="2"/>
  <c r="GE28" i="2"/>
  <c r="GF28" i="2"/>
  <c r="GG28" i="2"/>
  <c r="GH28" i="2"/>
  <c r="GI28" i="2"/>
  <c r="GJ28" i="2"/>
  <c r="GK28" i="2"/>
  <c r="GL28" i="2"/>
  <c r="GM28" i="2"/>
  <c r="GN28" i="2"/>
  <c r="GO28" i="2"/>
  <c r="GP28" i="2"/>
  <c r="GQ28" i="2"/>
  <c r="GR28" i="2"/>
  <c r="GS28" i="2"/>
  <c r="GT28" i="2"/>
  <c r="GU28" i="2"/>
  <c r="GV28" i="2"/>
  <c r="GW28" i="2"/>
  <c r="GX28" i="2"/>
  <c r="AS44" i="2"/>
  <c r="AT44" i="2"/>
  <c r="AU44" i="2"/>
  <c r="AV44" i="2"/>
  <c r="AW44" i="2"/>
  <c r="AY44" i="2"/>
  <c r="AZ44" i="2"/>
  <c r="BA44" i="2"/>
  <c r="BB44" i="2"/>
  <c r="BC44" i="2"/>
  <c r="BD44" i="2"/>
  <c r="BE44" i="2"/>
  <c r="BF44" i="2"/>
  <c r="BG44" i="2"/>
  <c r="BH44" i="2"/>
  <c r="BI44" i="2"/>
  <c r="BJ44" i="2"/>
  <c r="BK44" i="2"/>
  <c r="BL44" i="2"/>
  <c r="BM44" i="2"/>
  <c r="BN44" i="2"/>
  <c r="BO44" i="2"/>
  <c r="BP44" i="2"/>
  <c r="BQ44" i="2"/>
  <c r="BR44" i="2"/>
  <c r="BS44" i="2"/>
  <c r="BT44" i="2"/>
  <c r="BU44" i="2"/>
  <c r="BV44" i="2"/>
  <c r="BW44" i="2"/>
  <c r="BX44" i="2"/>
  <c r="BY44" i="2"/>
  <c r="BZ44" i="2"/>
  <c r="CA44" i="2"/>
  <c r="CB44" i="2"/>
  <c r="CC44" i="2"/>
  <c r="CD44" i="2"/>
  <c r="CE44" i="2"/>
  <c r="CF44" i="2"/>
  <c r="CG44" i="2"/>
  <c r="CH44" i="2"/>
  <c r="CI44" i="2"/>
  <c r="CJ44" i="2"/>
  <c r="CK44" i="2"/>
  <c r="CL44" i="2"/>
  <c r="CM44" i="2"/>
  <c r="CN44" i="2"/>
  <c r="CO44" i="2"/>
  <c r="CP44" i="2"/>
  <c r="CQ44" i="2"/>
  <c r="CR44" i="2"/>
  <c r="CS44" i="2"/>
  <c r="CT44" i="2"/>
  <c r="CU44" i="2"/>
  <c r="CV44" i="2"/>
  <c r="CW44" i="2"/>
  <c r="CX44" i="2"/>
  <c r="CY44" i="2"/>
  <c r="CZ44" i="2"/>
  <c r="DA44" i="2"/>
  <c r="DB44" i="2"/>
  <c r="DC44" i="2"/>
  <c r="DD44" i="2"/>
  <c r="DE44" i="2"/>
  <c r="DF44" i="2"/>
  <c r="DG44" i="2"/>
  <c r="DH44" i="2"/>
  <c r="DI44" i="2"/>
  <c r="DJ44" i="2"/>
  <c r="DK44" i="2"/>
  <c r="DL44" i="2"/>
  <c r="DM44" i="2"/>
  <c r="DN44" i="2"/>
  <c r="DO44" i="2"/>
  <c r="DP44" i="2"/>
  <c r="DQ44" i="2"/>
  <c r="DR44" i="2"/>
  <c r="DS44" i="2"/>
  <c r="DT44" i="2"/>
  <c r="DU44" i="2"/>
  <c r="DV44" i="2"/>
  <c r="DW44" i="2"/>
  <c r="DX44" i="2"/>
  <c r="DY44" i="2"/>
  <c r="DZ44" i="2"/>
  <c r="EA44" i="2"/>
  <c r="EB44" i="2"/>
  <c r="EC44" i="2"/>
  <c r="ED44" i="2"/>
  <c r="EE44" i="2"/>
  <c r="EF44" i="2"/>
  <c r="EG44" i="2"/>
  <c r="EH44" i="2"/>
  <c r="EI44" i="2"/>
  <c r="EJ44" i="2"/>
  <c r="EK44" i="2"/>
  <c r="EL44" i="2"/>
  <c r="EM44" i="2"/>
  <c r="EN44" i="2"/>
  <c r="EO44" i="2"/>
  <c r="EP44" i="2"/>
  <c r="EQ44" i="2"/>
  <c r="ER44" i="2"/>
  <c r="ES44" i="2"/>
  <c r="ET44" i="2"/>
  <c r="EU44" i="2"/>
  <c r="EV44" i="2"/>
  <c r="EW44" i="2"/>
  <c r="EX44" i="2"/>
  <c r="EY44" i="2"/>
  <c r="EZ44" i="2"/>
  <c r="FA44" i="2"/>
  <c r="FB44" i="2"/>
  <c r="FC44" i="2"/>
  <c r="FD44" i="2"/>
  <c r="FE44" i="2"/>
  <c r="FF44" i="2"/>
  <c r="FG44" i="2"/>
  <c r="FH44" i="2"/>
  <c r="FI44" i="2"/>
  <c r="FJ44" i="2"/>
  <c r="FK44" i="2"/>
  <c r="FL44" i="2"/>
  <c r="FM44" i="2"/>
  <c r="FN44" i="2"/>
  <c r="FO44" i="2"/>
  <c r="FP44" i="2"/>
  <c r="FQ44" i="2"/>
  <c r="FR44" i="2"/>
  <c r="FS44" i="2"/>
  <c r="FT44" i="2"/>
  <c r="FU44" i="2"/>
  <c r="FV44" i="2"/>
  <c r="FW44" i="2"/>
  <c r="FX44" i="2"/>
  <c r="FY44" i="2"/>
  <c r="FZ44" i="2"/>
  <c r="GA44" i="2"/>
  <c r="GB44" i="2"/>
  <c r="GC44" i="2"/>
  <c r="GD44" i="2"/>
  <c r="GE44" i="2"/>
  <c r="GF44" i="2"/>
  <c r="GG44" i="2"/>
  <c r="GH44" i="2"/>
  <c r="GI44" i="2"/>
  <c r="GJ44" i="2"/>
  <c r="GK44" i="2"/>
  <c r="GL44" i="2"/>
  <c r="GM44" i="2"/>
  <c r="GN44" i="2"/>
  <c r="GO44" i="2"/>
  <c r="GP44" i="2"/>
  <c r="GQ44" i="2"/>
  <c r="GR44" i="2"/>
  <c r="GS44" i="2"/>
  <c r="GT44" i="2"/>
  <c r="GU44" i="2"/>
  <c r="GV44" i="2"/>
  <c r="GW44" i="2"/>
  <c r="GX44" i="2"/>
  <c r="AS60" i="2"/>
  <c r="AT60" i="2"/>
  <c r="AU60" i="2"/>
  <c r="AV60" i="2"/>
  <c r="AW60" i="2"/>
  <c r="AX60" i="2"/>
  <c r="AY60" i="2"/>
  <c r="AZ60" i="2"/>
  <c r="BA60" i="2"/>
  <c r="BB60" i="2"/>
  <c r="BC60" i="2"/>
  <c r="BD60" i="2"/>
  <c r="BE60" i="2"/>
  <c r="BG60" i="2"/>
  <c r="BH60" i="2"/>
  <c r="BI60" i="2"/>
  <c r="BJ60" i="2"/>
  <c r="BK60" i="2"/>
  <c r="BL60" i="2"/>
  <c r="BM60" i="2"/>
  <c r="BN60" i="2"/>
  <c r="BO60" i="2"/>
  <c r="BP60" i="2"/>
  <c r="BQ60" i="2"/>
  <c r="BR60" i="2"/>
  <c r="BS60" i="2"/>
  <c r="BT60" i="2"/>
  <c r="BU60" i="2"/>
  <c r="BV60" i="2"/>
  <c r="BW60" i="2"/>
  <c r="BX60" i="2"/>
  <c r="BY60" i="2"/>
  <c r="BZ60" i="2"/>
  <c r="CA60" i="2"/>
  <c r="CB60" i="2"/>
  <c r="CC60" i="2"/>
  <c r="CD60" i="2"/>
  <c r="CE60" i="2"/>
  <c r="CF60" i="2"/>
  <c r="CG60" i="2"/>
  <c r="CH60" i="2"/>
  <c r="CI60" i="2"/>
  <c r="CJ60" i="2"/>
  <c r="CK60" i="2"/>
  <c r="CL60" i="2"/>
  <c r="CM60" i="2"/>
  <c r="CN60" i="2"/>
  <c r="CO60" i="2"/>
  <c r="CP60" i="2"/>
  <c r="CQ60" i="2"/>
  <c r="CR60" i="2"/>
  <c r="CS60" i="2"/>
  <c r="CT60" i="2"/>
  <c r="CU60" i="2"/>
  <c r="CV60" i="2"/>
  <c r="CW60" i="2"/>
  <c r="CX60" i="2"/>
  <c r="CY60" i="2"/>
  <c r="CZ60" i="2"/>
  <c r="DA60" i="2"/>
  <c r="DB60" i="2"/>
  <c r="DC60" i="2"/>
  <c r="DD60" i="2"/>
  <c r="DE60" i="2"/>
  <c r="DF60" i="2"/>
  <c r="DG60" i="2"/>
  <c r="DH60" i="2"/>
  <c r="DI60" i="2"/>
  <c r="DJ60" i="2"/>
  <c r="DK60" i="2"/>
  <c r="DL60" i="2"/>
  <c r="DM60" i="2"/>
  <c r="DN60" i="2"/>
  <c r="DO60" i="2"/>
  <c r="DP60" i="2"/>
  <c r="DQ60" i="2"/>
  <c r="DR60" i="2"/>
  <c r="DS60" i="2"/>
  <c r="DT60" i="2"/>
  <c r="DU60" i="2"/>
  <c r="DV60" i="2"/>
  <c r="DW60" i="2"/>
  <c r="DX60" i="2"/>
  <c r="DY60" i="2"/>
  <c r="DZ60" i="2"/>
  <c r="EA60" i="2"/>
  <c r="EB60" i="2"/>
  <c r="EC60" i="2"/>
  <c r="ED60" i="2"/>
  <c r="EE60" i="2"/>
  <c r="EF60" i="2"/>
  <c r="EG60" i="2"/>
  <c r="EH60" i="2"/>
  <c r="EI60" i="2"/>
  <c r="EJ60" i="2"/>
  <c r="EK60" i="2"/>
  <c r="EL60" i="2"/>
  <c r="EM60" i="2"/>
  <c r="EN60" i="2"/>
  <c r="EO60" i="2"/>
  <c r="EP60" i="2"/>
  <c r="EQ60" i="2"/>
  <c r="ER60" i="2"/>
  <c r="ES60" i="2"/>
  <c r="ET60" i="2"/>
  <c r="EU60" i="2"/>
  <c r="EV60" i="2"/>
  <c r="EW60" i="2"/>
  <c r="EX60" i="2"/>
  <c r="EY60" i="2"/>
  <c r="EZ60" i="2"/>
  <c r="FA60" i="2"/>
  <c r="FB60" i="2"/>
  <c r="FC60" i="2"/>
  <c r="FD60" i="2"/>
  <c r="FE60" i="2"/>
  <c r="FF60" i="2"/>
  <c r="FG60" i="2"/>
  <c r="FH60" i="2"/>
  <c r="FI60" i="2"/>
  <c r="FJ60" i="2"/>
  <c r="FK60" i="2"/>
  <c r="FL60" i="2"/>
  <c r="FM60" i="2"/>
  <c r="FN60" i="2"/>
  <c r="FO60" i="2"/>
  <c r="FP60" i="2"/>
  <c r="FQ60" i="2"/>
  <c r="FR60" i="2"/>
  <c r="FS60" i="2"/>
  <c r="FT60" i="2"/>
  <c r="FU60" i="2"/>
  <c r="FV60" i="2"/>
  <c r="FW60" i="2"/>
  <c r="FX60" i="2"/>
  <c r="FY60" i="2"/>
  <c r="FZ60" i="2"/>
  <c r="GA60" i="2"/>
  <c r="GB60" i="2"/>
  <c r="GC60" i="2"/>
  <c r="GD60" i="2"/>
  <c r="GE60" i="2"/>
  <c r="GF60" i="2"/>
  <c r="GG60" i="2"/>
  <c r="GH60" i="2"/>
  <c r="GI60" i="2"/>
  <c r="GJ60" i="2"/>
  <c r="GK60" i="2"/>
  <c r="GL60" i="2"/>
  <c r="GM60" i="2"/>
  <c r="GN60" i="2"/>
  <c r="GO60" i="2"/>
  <c r="GP60" i="2"/>
  <c r="GQ60" i="2"/>
  <c r="GR60" i="2"/>
  <c r="GS60" i="2"/>
  <c r="GT60" i="2"/>
  <c r="GU60" i="2"/>
  <c r="GV60" i="2"/>
  <c r="GW60" i="2"/>
  <c r="GX60" i="2"/>
  <c r="AS76" i="2"/>
  <c r="AT76" i="2"/>
  <c r="AV76" i="2"/>
  <c r="AW76" i="2"/>
  <c r="AX76" i="2"/>
  <c r="AY76" i="2"/>
  <c r="AZ76" i="2"/>
  <c r="BA76" i="2"/>
  <c r="BB76" i="2"/>
  <c r="BC76" i="2"/>
  <c r="BD76" i="2"/>
  <c r="BE76" i="2"/>
  <c r="BF76" i="2"/>
  <c r="BG76" i="2"/>
  <c r="BH76" i="2"/>
  <c r="BI76" i="2"/>
  <c r="BJ76" i="2"/>
  <c r="BL76" i="2"/>
  <c r="BM76" i="2"/>
  <c r="BN76" i="2"/>
  <c r="BO76" i="2"/>
  <c r="BP76" i="2"/>
  <c r="BQ76" i="2"/>
  <c r="BR76" i="2"/>
  <c r="BS76" i="2"/>
  <c r="BT76" i="2"/>
  <c r="BU76" i="2"/>
  <c r="BV76" i="2"/>
  <c r="BW76" i="2"/>
  <c r="BX76" i="2"/>
  <c r="BY76" i="2"/>
  <c r="BZ76" i="2"/>
  <c r="CA76" i="2"/>
  <c r="CB76" i="2"/>
  <c r="CC76" i="2"/>
  <c r="CD76" i="2"/>
  <c r="CE76" i="2"/>
  <c r="CF76" i="2"/>
  <c r="CG76" i="2"/>
  <c r="CH76" i="2"/>
  <c r="CI76" i="2"/>
  <c r="CJ76" i="2"/>
  <c r="CK76" i="2"/>
  <c r="CL76" i="2"/>
  <c r="CM76" i="2"/>
  <c r="CN76" i="2"/>
  <c r="CO76" i="2"/>
  <c r="CP76" i="2"/>
  <c r="CQ76" i="2"/>
  <c r="CR76" i="2"/>
  <c r="CS76" i="2"/>
  <c r="CT76" i="2"/>
  <c r="CU76" i="2"/>
  <c r="CV76" i="2"/>
  <c r="CW76" i="2"/>
  <c r="CX76" i="2"/>
  <c r="CY76" i="2"/>
  <c r="CZ76" i="2"/>
  <c r="DA76" i="2"/>
  <c r="DB76" i="2"/>
  <c r="DC76" i="2"/>
  <c r="DD76" i="2"/>
  <c r="DE76" i="2"/>
  <c r="DF76" i="2"/>
  <c r="DG76" i="2"/>
  <c r="DH76" i="2"/>
  <c r="DI76" i="2"/>
  <c r="DJ76" i="2"/>
  <c r="DK76" i="2"/>
  <c r="DL76" i="2"/>
  <c r="DM76" i="2"/>
  <c r="DN76" i="2"/>
  <c r="DO76" i="2"/>
  <c r="DP76" i="2"/>
  <c r="DQ76" i="2"/>
  <c r="DR76" i="2"/>
  <c r="DS76" i="2"/>
  <c r="DT76" i="2"/>
  <c r="DU76" i="2"/>
  <c r="DV76" i="2"/>
  <c r="DW76" i="2"/>
  <c r="DX76" i="2"/>
  <c r="DY76" i="2"/>
  <c r="DZ76" i="2"/>
  <c r="EA76" i="2"/>
  <c r="EB76" i="2"/>
  <c r="EC76" i="2"/>
  <c r="ED76" i="2"/>
  <c r="EE76" i="2"/>
  <c r="EF76" i="2"/>
  <c r="EG76" i="2"/>
  <c r="EH76" i="2"/>
  <c r="EI76" i="2"/>
  <c r="EJ76" i="2"/>
  <c r="EK76" i="2"/>
  <c r="EL76" i="2"/>
  <c r="EM76" i="2"/>
  <c r="EN76" i="2"/>
  <c r="EO76" i="2"/>
  <c r="EP76" i="2"/>
  <c r="EQ76" i="2"/>
  <c r="ER76" i="2"/>
  <c r="ES76" i="2"/>
  <c r="ET76" i="2"/>
  <c r="EU76" i="2"/>
  <c r="EV76" i="2"/>
  <c r="EW76" i="2"/>
  <c r="EX76" i="2"/>
  <c r="EY76" i="2"/>
  <c r="EZ76" i="2"/>
  <c r="FA76" i="2"/>
  <c r="FB76" i="2"/>
  <c r="FC76" i="2"/>
  <c r="FD76" i="2"/>
  <c r="FE76" i="2"/>
  <c r="FF76" i="2"/>
  <c r="FG76" i="2"/>
  <c r="FH76" i="2"/>
  <c r="FI76" i="2"/>
  <c r="FJ76" i="2"/>
  <c r="FK76" i="2"/>
  <c r="FL76" i="2"/>
  <c r="FM76" i="2"/>
  <c r="FN76" i="2"/>
  <c r="FO76" i="2"/>
  <c r="FP76" i="2"/>
  <c r="FQ76" i="2"/>
  <c r="FR76" i="2"/>
  <c r="FS76" i="2"/>
  <c r="FT76" i="2"/>
  <c r="FU76" i="2"/>
  <c r="FV76" i="2"/>
  <c r="FW76" i="2"/>
  <c r="FX76" i="2"/>
  <c r="FY76" i="2"/>
  <c r="FZ76" i="2"/>
  <c r="GA76" i="2"/>
  <c r="GB76" i="2"/>
  <c r="GC76" i="2"/>
  <c r="GD76" i="2"/>
  <c r="GE76" i="2"/>
  <c r="GF76" i="2"/>
  <c r="GG76" i="2"/>
  <c r="GH76" i="2"/>
  <c r="GI76" i="2"/>
  <c r="GJ76" i="2"/>
  <c r="GK76" i="2"/>
  <c r="GL76" i="2"/>
  <c r="GM76" i="2"/>
  <c r="GN76" i="2"/>
  <c r="GO76" i="2"/>
  <c r="GP76" i="2"/>
  <c r="GQ76" i="2"/>
  <c r="GR76" i="2"/>
  <c r="GS76" i="2"/>
  <c r="GT76" i="2"/>
  <c r="GU76" i="2"/>
  <c r="GV76" i="2"/>
  <c r="GW76" i="2"/>
  <c r="GX76" i="2"/>
  <c r="AS92" i="2"/>
  <c r="AT92" i="2"/>
  <c r="AU92" i="2"/>
  <c r="AV92" i="2"/>
  <c r="AX92" i="2"/>
  <c r="AY92" i="2"/>
  <c r="AZ92" i="2"/>
  <c r="BA92" i="2"/>
  <c r="BB92" i="2"/>
  <c r="BC92" i="2"/>
  <c r="BD92" i="2"/>
  <c r="BE92" i="2"/>
  <c r="BF92" i="2"/>
  <c r="BG92" i="2"/>
  <c r="BH92" i="2"/>
  <c r="BI92" i="2"/>
  <c r="BJ92" i="2"/>
  <c r="BK92" i="2"/>
  <c r="BL92" i="2"/>
  <c r="BN92" i="2"/>
  <c r="BO92" i="2"/>
  <c r="BP92" i="2"/>
  <c r="BQ92" i="2"/>
  <c r="BR92" i="2"/>
  <c r="BS92" i="2"/>
  <c r="BT92" i="2"/>
  <c r="BU92" i="2"/>
  <c r="BV92" i="2"/>
  <c r="BW92" i="2"/>
  <c r="BX92" i="2"/>
  <c r="BY92" i="2"/>
  <c r="BZ92" i="2"/>
  <c r="CA92" i="2"/>
  <c r="CB92" i="2"/>
  <c r="CC92" i="2"/>
  <c r="CD92" i="2"/>
  <c r="CE92" i="2"/>
  <c r="CF92" i="2"/>
  <c r="CG92" i="2"/>
  <c r="CH92" i="2"/>
  <c r="CI92" i="2"/>
  <c r="CJ92" i="2"/>
  <c r="CK92" i="2"/>
  <c r="CL92" i="2"/>
  <c r="CM92" i="2"/>
  <c r="CN92" i="2"/>
  <c r="CO92" i="2"/>
  <c r="CP92" i="2"/>
  <c r="CQ92" i="2"/>
  <c r="CR92" i="2"/>
  <c r="CS92" i="2"/>
  <c r="CT92" i="2"/>
  <c r="CU92" i="2"/>
  <c r="CV92" i="2"/>
  <c r="CW92" i="2"/>
  <c r="CX92" i="2"/>
  <c r="CY92" i="2"/>
  <c r="CZ92" i="2"/>
  <c r="DA92" i="2"/>
  <c r="DB92" i="2"/>
  <c r="DC92" i="2"/>
  <c r="DD92" i="2"/>
  <c r="DE92" i="2"/>
  <c r="DF92" i="2"/>
  <c r="DG92" i="2"/>
  <c r="DH92" i="2"/>
  <c r="DI92" i="2"/>
  <c r="DJ92" i="2"/>
  <c r="DK92" i="2"/>
  <c r="DL92" i="2"/>
  <c r="DM92" i="2"/>
  <c r="DN92" i="2"/>
  <c r="DO92" i="2"/>
  <c r="DP92" i="2"/>
  <c r="DQ92" i="2"/>
  <c r="DR92" i="2"/>
  <c r="DS92" i="2"/>
  <c r="DT92" i="2"/>
  <c r="DU92" i="2"/>
  <c r="DV92" i="2"/>
  <c r="DW92" i="2"/>
  <c r="DX92" i="2"/>
  <c r="DY92" i="2"/>
  <c r="DZ92" i="2"/>
  <c r="EA92" i="2"/>
  <c r="EB92" i="2"/>
  <c r="EC92" i="2"/>
  <c r="ED92" i="2"/>
  <c r="EE92" i="2"/>
  <c r="EF92" i="2"/>
  <c r="EG92" i="2"/>
  <c r="EH92" i="2"/>
  <c r="EI92" i="2"/>
  <c r="EJ92" i="2"/>
  <c r="EK92" i="2"/>
  <c r="EL92" i="2"/>
  <c r="EM92" i="2"/>
  <c r="EN92" i="2"/>
  <c r="EO92" i="2"/>
  <c r="EP92" i="2"/>
  <c r="EQ92" i="2"/>
  <c r="ER92" i="2"/>
  <c r="ES92" i="2"/>
  <c r="ET92" i="2"/>
  <c r="EU92" i="2"/>
  <c r="EV92" i="2"/>
  <c r="EW92" i="2"/>
  <c r="EX92" i="2"/>
  <c r="EY92" i="2"/>
  <c r="EZ92" i="2"/>
  <c r="FA92" i="2"/>
  <c r="FB92" i="2"/>
  <c r="FC92" i="2"/>
  <c r="FD92" i="2"/>
  <c r="FE92" i="2"/>
  <c r="FF92" i="2"/>
  <c r="FG92" i="2"/>
  <c r="FH92" i="2"/>
  <c r="FI92" i="2"/>
  <c r="FJ92" i="2"/>
  <c r="FK92" i="2"/>
  <c r="FL92" i="2"/>
  <c r="FM92" i="2"/>
  <c r="FN92" i="2"/>
  <c r="FO92" i="2"/>
  <c r="FP92" i="2"/>
  <c r="FQ92" i="2"/>
  <c r="FR92" i="2"/>
  <c r="FS92" i="2"/>
  <c r="FT92" i="2"/>
  <c r="FU92" i="2"/>
  <c r="FV92" i="2"/>
  <c r="FW92" i="2"/>
  <c r="FX92" i="2"/>
  <c r="FY92" i="2"/>
  <c r="FZ92" i="2"/>
  <c r="GA92" i="2"/>
  <c r="GB92" i="2"/>
  <c r="GC92" i="2"/>
  <c r="GD92" i="2"/>
  <c r="GE92" i="2"/>
  <c r="GF92" i="2"/>
  <c r="GG92" i="2"/>
  <c r="GH92" i="2"/>
  <c r="GI92" i="2"/>
  <c r="GJ92" i="2"/>
  <c r="GK92" i="2"/>
  <c r="GL92" i="2"/>
  <c r="GM92" i="2"/>
  <c r="GN92" i="2"/>
  <c r="GO92" i="2"/>
  <c r="GP92" i="2"/>
  <c r="GQ92" i="2"/>
  <c r="GR92" i="2"/>
  <c r="GS92" i="2"/>
  <c r="GT92" i="2"/>
  <c r="GU92" i="2"/>
  <c r="GV92" i="2"/>
  <c r="GW92" i="2"/>
  <c r="GX92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BG15" i="2"/>
  <c r="BH15" i="2"/>
  <c r="BI15" i="2"/>
  <c r="BJ15" i="2"/>
  <c r="BK15" i="2"/>
  <c r="BL15" i="2"/>
  <c r="BM15" i="2"/>
  <c r="BN15" i="2"/>
  <c r="BO15" i="2"/>
  <c r="BP15" i="2"/>
  <c r="BQ15" i="2"/>
  <c r="BR15" i="2"/>
  <c r="BS15" i="2"/>
  <c r="BT15" i="2"/>
  <c r="BU15" i="2"/>
  <c r="BV15" i="2"/>
  <c r="BW15" i="2"/>
  <c r="BX15" i="2"/>
  <c r="BY15" i="2"/>
  <c r="BZ15" i="2"/>
  <c r="CA15" i="2"/>
  <c r="CB15" i="2"/>
  <c r="CC15" i="2"/>
  <c r="CD15" i="2"/>
  <c r="CE15" i="2"/>
  <c r="CF15" i="2"/>
  <c r="CG15" i="2"/>
  <c r="CH15" i="2"/>
  <c r="CI15" i="2"/>
  <c r="CJ15" i="2"/>
  <c r="CK15" i="2"/>
  <c r="CL15" i="2"/>
  <c r="CM15" i="2"/>
  <c r="CN15" i="2"/>
  <c r="CO15" i="2"/>
  <c r="CP15" i="2"/>
  <c r="CQ15" i="2"/>
  <c r="CR15" i="2"/>
  <c r="CS15" i="2"/>
  <c r="CT15" i="2"/>
  <c r="CU15" i="2"/>
  <c r="CV15" i="2"/>
  <c r="CW15" i="2"/>
  <c r="CX15" i="2"/>
  <c r="CY15" i="2"/>
  <c r="CZ15" i="2"/>
  <c r="DA15" i="2"/>
  <c r="DB15" i="2"/>
  <c r="DC15" i="2"/>
  <c r="DD15" i="2"/>
  <c r="DE15" i="2"/>
  <c r="DF15" i="2"/>
  <c r="DG15" i="2"/>
  <c r="DH15" i="2"/>
  <c r="DI15" i="2"/>
  <c r="DJ15" i="2"/>
  <c r="DK15" i="2"/>
  <c r="DL15" i="2"/>
  <c r="DM15" i="2"/>
  <c r="DN15" i="2"/>
  <c r="DO15" i="2"/>
  <c r="DP15" i="2"/>
  <c r="DQ15" i="2"/>
  <c r="DR15" i="2"/>
  <c r="DS15" i="2"/>
  <c r="DT15" i="2"/>
  <c r="DU15" i="2"/>
  <c r="DV15" i="2"/>
  <c r="DW15" i="2"/>
  <c r="DX15" i="2"/>
  <c r="DY15" i="2"/>
  <c r="DZ15" i="2"/>
  <c r="EA15" i="2"/>
  <c r="EB15" i="2"/>
  <c r="EC15" i="2"/>
  <c r="ED15" i="2"/>
  <c r="EE15" i="2"/>
  <c r="EF15" i="2"/>
  <c r="EG15" i="2"/>
  <c r="EH15" i="2"/>
  <c r="EI15" i="2"/>
  <c r="EJ15" i="2"/>
  <c r="EK15" i="2"/>
  <c r="EL15" i="2"/>
  <c r="EM15" i="2"/>
  <c r="EN15" i="2"/>
  <c r="EO15" i="2"/>
  <c r="EP15" i="2"/>
  <c r="EQ15" i="2"/>
  <c r="ER15" i="2"/>
  <c r="ES15" i="2"/>
  <c r="ET15" i="2"/>
  <c r="EU15" i="2"/>
  <c r="EV15" i="2"/>
  <c r="EW15" i="2"/>
  <c r="EX15" i="2"/>
  <c r="EY15" i="2"/>
  <c r="EZ15" i="2"/>
  <c r="FA15" i="2"/>
  <c r="FB15" i="2"/>
  <c r="FC15" i="2"/>
  <c r="FD15" i="2"/>
  <c r="FE15" i="2"/>
  <c r="FF15" i="2"/>
  <c r="FG15" i="2"/>
  <c r="FH15" i="2"/>
  <c r="FI15" i="2"/>
  <c r="FJ15" i="2"/>
  <c r="FK15" i="2"/>
  <c r="FL15" i="2"/>
  <c r="FM15" i="2"/>
  <c r="FN15" i="2"/>
  <c r="FO15" i="2"/>
  <c r="FP15" i="2"/>
  <c r="FQ15" i="2"/>
  <c r="FR15" i="2"/>
  <c r="FS15" i="2"/>
  <c r="FT15" i="2"/>
  <c r="FU15" i="2"/>
  <c r="FV15" i="2"/>
  <c r="FW15" i="2"/>
  <c r="FX15" i="2"/>
  <c r="FY15" i="2"/>
  <c r="FZ15" i="2"/>
  <c r="GA15" i="2"/>
  <c r="GB15" i="2"/>
  <c r="GC15" i="2"/>
  <c r="GD15" i="2"/>
  <c r="GE15" i="2"/>
  <c r="GF15" i="2"/>
  <c r="GG15" i="2"/>
  <c r="GH15" i="2"/>
  <c r="GI15" i="2"/>
  <c r="GJ15" i="2"/>
  <c r="GK15" i="2"/>
  <c r="GL15" i="2"/>
  <c r="GM15" i="2"/>
  <c r="GN15" i="2"/>
  <c r="GO15" i="2"/>
  <c r="GP15" i="2"/>
  <c r="GQ15" i="2"/>
  <c r="GR15" i="2"/>
  <c r="GS15" i="2"/>
  <c r="GT15" i="2"/>
  <c r="GU15" i="2"/>
  <c r="GV15" i="2"/>
  <c r="GW15" i="2"/>
  <c r="GX15" i="2"/>
  <c r="AS68" i="2"/>
  <c r="AU68" i="2"/>
  <c r="AV68" i="2"/>
  <c r="AW68" i="2"/>
  <c r="AX68" i="2"/>
  <c r="AY68" i="2"/>
  <c r="AZ68" i="2"/>
  <c r="BA68" i="2"/>
  <c r="BB68" i="2"/>
  <c r="BC68" i="2"/>
  <c r="BD68" i="2"/>
  <c r="BE68" i="2"/>
  <c r="BF68" i="2"/>
  <c r="BG68" i="2"/>
  <c r="BH68" i="2"/>
  <c r="BI68" i="2"/>
  <c r="BJ68" i="2"/>
  <c r="BK68" i="2"/>
  <c r="BL68" i="2"/>
  <c r="BN68" i="2"/>
  <c r="BO68" i="2"/>
  <c r="BP68" i="2"/>
  <c r="BQ68" i="2"/>
  <c r="BR68" i="2"/>
  <c r="BS68" i="2"/>
  <c r="BT68" i="2"/>
  <c r="BU68" i="2"/>
  <c r="BV68" i="2"/>
  <c r="BW68" i="2"/>
  <c r="BX68" i="2"/>
  <c r="BY68" i="2"/>
  <c r="BZ68" i="2"/>
  <c r="CA68" i="2"/>
  <c r="CB68" i="2"/>
  <c r="CC68" i="2"/>
  <c r="CD68" i="2"/>
  <c r="CE68" i="2"/>
  <c r="CF68" i="2"/>
  <c r="CG68" i="2"/>
  <c r="CH68" i="2"/>
  <c r="CI68" i="2"/>
  <c r="CJ68" i="2"/>
  <c r="CK68" i="2"/>
  <c r="CL68" i="2"/>
  <c r="CM68" i="2"/>
  <c r="CN68" i="2"/>
  <c r="CO68" i="2"/>
  <c r="CP68" i="2"/>
  <c r="CQ68" i="2"/>
  <c r="CR68" i="2"/>
  <c r="CS68" i="2"/>
  <c r="CT68" i="2"/>
  <c r="CU68" i="2"/>
  <c r="CV68" i="2"/>
  <c r="CW68" i="2"/>
  <c r="CX68" i="2"/>
  <c r="CY68" i="2"/>
  <c r="CZ68" i="2"/>
  <c r="DA68" i="2"/>
  <c r="DB68" i="2"/>
  <c r="DC68" i="2"/>
  <c r="DD68" i="2"/>
  <c r="DE68" i="2"/>
  <c r="DF68" i="2"/>
  <c r="DG68" i="2"/>
  <c r="DH68" i="2"/>
  <c r="DI68" i="2"/>
  <c r="DJ68" i="2"/>
  <c r="DK68" i="2"/>
  <c r="DL68" i="2"/>
  <c r="DM68" i="2"/>
  <c r="DN68" i="2"/>
  <c r="DO68" i="2"/>
  <c r="DP68" i="2"/>
  <c r="DQ68" i="2"/>
  <c r="DR68" i="2"/>
  <c r="DS68" i="2"/>
  <c r="DT68" i="2"/>
  <c r="DU68" i="2"/>
  <c r="DV68" i="2"/>
  <c r="DW68" i="2"/>
  <c r="DX68" i="2"/>
  <c r="DY68" i="2"/>
  <c r="DZ68" i="2"/>
  <c r="EA68" i="2"/>
  <c r="EB68" i="2"/>
  <c r="EC68" i="2"/>
  <c r="ED68" i="2"/>
  <c r="EE68" i="2"/>
  <c r="EF68" i="2"/>
  <c r="EG68" i="2"/>
  <c r="EH68" i="2"/>
  <c r="EI68" i="2"/>
  <c r="EJ68" i="2"/>
  <c r="EK68" i="2"/>
  <c r="EL68" i="2"/>
  <c r="EM68" i="2"/>
  <c r="EN68" i="2"/>
  <c r="EO68" i="2"/>
  <c r="EP68" i="2"/>
  <c r="EQ68" i="2"/>
  <c r="ER68" i="2"/>
  <c r="ES68" i="2"/>
  <c r="ET68" i="2"/>
  <c r="EU68" i="2"/>
  <c r="EV68" i="2"/>
  <c r="EW68" i="2"/>
  <c r="EX68" i="2"/>
  <c r="EY68" i="2"/>
  <c r="EZ68" i="2"/>
  <c r="FA68" i="2"/>
  <c r="FB68" i="2"/>
  <c r="FC68" i="2"/>
  <c r="FD68" i="2"/>
  <c r="FE68" i="2"/>
  <c r="FF68" i="2"/>
  <c r="FG68" i="2"/>
  <c r="FH68" i="2"/>
  <c r="FI68" i="2"/>
  <c r="FJ68" i="2"/>
  <c r="FK68" i="2"/>
  <c r="FL68" i="2"/>
  <c r="FM68" i="2"/>
  <c r="FN68" i="2"/>
  <c r="FO68" i="2"/>
  <c r="FP68" i="2"/>
  <c r="FQ68" i="2"/>
  <c r="FR68" i="2"/>
  <c r="FS68" i="2"/>
  <c r="FT68" i="2"/>
  <c r="FU68" i="2"/>
  <c r="FV68" i="2"/>
  <c r="FW68" i="2"/>
  <c r="FX68" i="2"/>
  <c r="FY68" i="2"/>
  <c r="FZ68" i="2"/>
  <c r="GA68" i="2"/>
  <c r="GB68" i="2"/>
  <c r="GC68" i="2"/>
  <c r="GD68" i="2"/>
  <c r="GE68" i="2"/>
  <c r="GF68" i="2"/>
  <c r="GG68" i="2"/>
  <c r="GH68" i="2"/>
  <c r="GI68" i="2"/>
  <c r="GJ68" i="2"/>
  <c r="GK68" i="2"/>
  <c r="GL68" i="2"/>
  <c r="GM68" i="2"/>
  <c r="GN68" i="2"/>
  <c r="GO68" i="2"/>
  <c r="GP68" i="2"/>
  <c r="GQ68" i="2"/>
  <c r="GR68" i="2"/>
  <c r="GS68" i="2"/>
  <c r="GT68" i="2"/>
  <c r="GU68" i="2"/>
  <c r="GV68" i="2"/>
  <c r="GW68" i="2"/>
  <c r="GX68" i="2"/>
  <c r="AS53" i="2"/>
  <c r="AT53" i="2"/>
  <c r="AU53" i="2"/>
  <c r="AV53" i="2"/>
  <c r="AW53" i="2"/>
  <c r="AX53" i="2"/>
  <c r="AY53" i="2"/>
  <c r="AZ53" i="2"/>
  <c r="BA53" i="2"/>
  <c r="BB53" i="2"/>
  <c r="BC53" i="2"/>
  <c r="BD53" i="2"/>
  <c r="BE53" i="2"/>
  <c r="BF53" i="2"/>
  <c r="BG53" i="2"/>
  <c r="BH53" i="2"/>
  <c r="BJ53" i="2"/>
  <c r="BK53" i="2"/>
  <c r="BL53" i="2"/>
  <c r="BM53" i="2"/>
  <c r="BN53" i="2"/>
  <c r="BO53" i="2"/>
  <c r="BP53" i="2"/>
  <c r="BQ53" i="2"/>
  <c r="BR53" i="2"/>
  <c r="BS53" i="2"/>
  <c r="BT53" i="2"/>
  <c r="BU53" i="2"/>
  <c r="BV53" i="2"/>
  <c r="BW53" i="2"/>
  <c r="BX53" i="2"/>
  <c r="BY53" i="2"/>
  <c r="BZ53" i="2"/>
  <c r="CA53" i="2"/>
  <c r="CB53" i="2"/>
  <c r="CC53" i="2"/>
  <c r="CD53" i="2"/>
  <c r="CE53" i="2"/>
  <c r="CF53" i="2"/>
  <c r="CG53" i="2"/>
  <c r="CH53" i="2"/>
  <c r="CI53" i="2"/>
  <c r="CJ53" i="2"/>
  <c r="CK53" i="2"/>
  <c r="CL53" i="2"/>
  <c r="CM53" i="2"/>
  <c r="CN53" i="2"/>
  <c r="CO53" i="2"/>
  <c r="CP53" i="2"/>
  <c r="CQ53" i="2"/>
  <c r="CR53" i="2"/>
  <c r="CS53" i="2"/>
  <c r="CT53" i="2"/>
  <c r="CU53" i="2"/>
  <c r="CV53" i="2"/>
  <c r="CW53" i="2"/>
  <c r="CX53" i="2"/>
  <c r="CY53" i="2"/>
  <c r="CZ53" i="2"/>
  <c r="DA53" i="2"/>
  <c r="DB53" i="2"/>
  <c r="DC53" i="2"/>
  <c r="DD53" i="2"/>
  <c r="DE53" i="2"/>
  <c r="DF53" i="2"/>
  <c r="DG53" i="2"/>
  <c r="DH53" i="2"/>
  <c r="DI53" i="2"/>
  <c r="DJ53" i="2"/>
  <c r="DK53" i="2"/>
  <c r="DL53" i="2"/>
  <c r="DM53" i="2"/>
  <c r="DN53" i="2"/>
  <c r="DO53" i="2"/>
  <c r="DP53" i="2"/>
  <c r="DQ53" i="2"/>
  <c r="DR53" i="2"/>
  <c r="DS53" i="2"/>
  <c r="DT53" i="2"/>
  <c r="DU53" i="2"/>
  <c r="DV53" i="2"/>
  <c r="DW53" i="2"/>
  <c r="DX53" i="2"/>
  <c r="DY53" i="2"/>
  <c r="DZ53" i="2"/>
  <c r="EA53" i="2"/>
  <c r="EB53" i="2"/>
  <c r="EC53" i="2"/>
  <c r="ED53" i="2"/>
  <c r="EE53" i="2"/>
  <c r="EF53" i="2"/>
  <c r="EG53" i="2"/>
  <c r="EH53" i="2"/>
  <c r="EI53" i="2"/>
  <c r="EJ53" i="2"/>
  <c r="EK53" i="2"/>
  <c r="EL53" i="2"/>
  <c r="EM53" i="2"/>
  <c r="EN53" i="2"/>
  <c r="EO53" i="2"/>
  <c r="EP53" i="2"/>
  <c r="EQ53" i="2"/>
  <c r="ER53" i="2"/>
  <c r="ES53" i="2"/>
  <c r="ET53" i="2"/>
  <c r="EU53" i="2"/>
  <c r="EV53" i="2"/>
  <c r="EW53" i="2"/>
  <c r="EX53" i="2"/>
  <c r="EY53" i="2"/>
  <c r="EZ53" i="2"/>
  <c r="FA53" i="2"/>
  <c r="FB53" i="2"/>
  <c r="FC53" i="2"/>
  <c r="FD53" i="2"/>
  <c r="FE53" i="2"/>
  <c r="FF53" i="2"/>
  <c r="FG53" i="2"/>
  <c r="FH53" i="2"/>
  <c r="FI53" i="2"/>
  <c r="FJ53" i="2"/>
  <c r="FK53" i="2"/>
  <c r="FL53" i="2"/>
  <c r="FM53" i="2"/>
  <c r="FN53" i="2"/>
  <c r="FO53" i="2"/>
  <c r="FP53" i="2"/>
  <c r="FQ53" i="2"/>
  <c r="FR53" i="2"/>
  <c r="FS53" i="2"/>
  <c r="FT53" i="2"/>
  <c r="FU53" i="2"/>
  <c r="FV53" i="2"/>
  <c r="FW53" i="2"/>
  <c r="FX53" i="2"/>
  <c r="FY53" i="2"/>
  <c r="FZ53" i="2"/>
  <c r="GA53" i="2"/>
  <c r="GB53" i="2"/>
  <c r="GC53" i="2"/>
  <c r="GD53" i="2"/>
  <c r="GE53" i="2"/>
  <c r="GF53" i="2"/>
  <c r="GG53" i="2"/>
  <c r="GH53" i="2"/>
  <c r="GI53" i="2"/>
  <c r="GJ53" i="2"/>
  <c r="GK53" i="2"/>
  <c r="GL53" i="2"/>
  <c r="GM53" i="2"/>
  <c r="GN53" i="2"/>
  <c r="GO53" i="2"/>
  <c r="GP53" i="2"/>
  <c r="GQ53" i="2"/>
  <c r="GR53" i="2"/>
  <c r="GS53" i="2"/>
  <c r="GT53" i="2"/>
  <c r="GU53" i="2"/>
  <c r="GV53" i="2"/>
  <c r="GW53" i="2"/>
  <c r="GX53" i="2"/>
  <c r="AS38" i="2"/>
  <c r="AT38" i="2"/>
  <c r="AU38" i="2"/>
  <c r="AV38" i="2"/>
  <c r="AW38" i="2"/>
  <c r="AX38" i="2"/>
  <c r="AY38" i="2"/>
  <c r="AZ38" i="2"/>
  <c r="BA38" i="2"/>
  <c r="BB38" i="2"/>
  <c r="BC38" i="2"/>
  <c r="BD38" i="2"/>
  <c r="BF38" i="2"/>
  <c r="BG38" i="2"/>
  <c r="BH38" i="2"/>
  <c r="BI38" i="2"/>
  <c r="BJ38" i="2"/>
  <c r="BK38" i="2"/>
  <c r="BL38" i="2"/>
  <c r="BM38" i="2"/>
  <c r="BN38" i="2"/>
  <c r="BO38" i="2"/>
  <c r="BP38" i="2"/>
  <c r="BQ38" i="2"/>
  <c r="BR38" i="2"/>
  <c r="BS38" i="2"/>
  <c r="BT38" i="2"/>
  <c r="BU38" i="2"/>
  <c r="BV38" i="2"/>
  <c r="BW38" i="2"/>
  <c r="BX38" i="2"/>
  <c r="BY38" i="2"/>
  <c r="BZ38" i="2"/>
  <c r="CA38" i="2"/>
  <c r="CB38" i="2"/>
  <c r="CC38" i="2"/>
  <c r="CD38" i="2"/>
  <c r="CE38" i="2"/>
  <c r="CF38" i="2"/>
  <c r="CG38" i="2"/>
  <c r="CH38" i="2"/>
  <c r="CI38" i="2"/>
  <c r="CJ38" i="2"/>
  <c r="CK38" i="2"/>
  <c r="CL38" i="2"/>
  <c r="CM38" i="2"/>
  <c r="CN38" i="2"/>
  <c r="CO38" i="2"/>
  <c r="CP38" i="2"/>
  <c r="CQ38" i="2"/>
  <c r="CR38" i="2"/>
  <c r="CS38" i="2"/>
  <c r="CT38" i="2"/>
  <c r="CU38" i="2"/>
  <c r="CV38" i="2"/>
  <c r="CW38" i="2"/>
  <c r="CX38" i="2"/>
  <c r="CY38" i="2"/>
  <c r="CZ38" i="2"/>
  <c r="DA38" i="2"/>
  <c r="DB38" i="2"/>
  <c r="DC38" i="2"/>
  <c r="DD38" i="2"/>
  <c r="DE38" i="2"/>
  <c r="DF38" i="2"/>
  <c r="DG38" i="2"/>
  <c r="DH38" i="2"/>
  <c r="DI38" i="2"/>
  <c r="DJ38" i="2"/>
  <c r="DK38" i="2"/>
  <c r="DL38" i="2"/>
  <c r="DM38" i="2"/>
  <c r="DN38" i="2"/>
  <c r="DO38" i="2"/>
  <c r="DP38" i="2"/>
  <c r="DQ38" i="2"/>
  <c r="DR38" i="2"/>
  <c r="DS38" i="2"/>
  <c r="DT38" i="2"/>
  <c r="DU38" i="2"/>
  <c r="DV38" i="2"/>
  <c r="DW38" i="2"/>
  <c r="DX38" i="2"/>
  <c r="DY38" i="2"/>
  <c r="DZ38" i="2"/>
  <c r="EA38" i="2"/>
  <c r="EB38" i="2"/>
  <c r="EC38" i="2"/>
  <c r="ED38" i="2"/>
  <c r="EE38" i="2"/>
  <c r="EF38" i="2"/>
  <c r="EG38" i="2"/>
  <c r="EH38" i="2"/>
  <c r="EI38" i="2"/>
  <c r="EJ38" i="2"/>
  <c r="EK38" i="2"/>
  <c r="EL38" i="2"/>
  <c r="EM38" i="2"/>
  <c r="EN38" i="2"/>
  <c r="EO38" i="2"/>
  <c r="EP38" i="2"/>
  <c r="EQ38" i="2"/>
  <c r="ER38" i="2"/>
  <c r="ES38" i="2"/>
  <c r="ET38" i="2"/>
  <c r="EU38" i="2"/>
  <c r="EV38" i="2"/>
  <c r="EW38" i="2"/>
  <c r="EX38" i="2"/>
  <c r="EY38" i="2"/>
  <c r="EZ38" i="2"/>
  <c r="FA38" i="2"/>
  <c r="FB38" i="2"/>
  <c r="FC38" i="2"/>
  <c r="FD38" i="2"/>
  <c r="FE38" i="2"/>
  <c r="FF38" i="2"/>
  <c r="FG38" i="2"/>
  <c r="FH38" i="2"/>
  <c r="FI38" i="2"/>
  <c r="FJ38" i="2"/>
  <c r="FK38" i="2"/>
  <c r="FL38" i="2"/>
  <c r="FM38" i="2"/>
  <c r="FN38" i="2"/>
  <c r="FO38" i="2"/>
  <c r="FP38" i="2"/>
  <c r="FQ38" i="2"/>
  <c r="FR38" i="2"/>
  <c r="FS38" i="2"/>
  <c r="FT38" i="2"/>
  <c r="FU38" i="2"/>
  <c r="FV38" i="2"/>
  <c r="FW38" i="2"/>
  <c r="FX38" i="2"/>
  <c r="FY38" i="2"/>
  <c r="FZ38" i="2"/>
  <c r="GA38" i="2"/>
  <c r="GB38" i="2"/>
  <c r="GC38" i="2"/>
  <c r="GD38" i="2"/>
  <c r="GE38" i="2"/>
  <c r="GF38" i="2"/>
  <c r="GG38" i="2"/>
  <c r="GH38" i="2"/>
  <c r="GI38" i="2"/>
  <c r="GJ38" i="2"/>
  <c r="GK38" i="2"/>
  <c r="GL38" i="2"/>
  <c r="GM38" i="2"/>
  <c r="GN38" i="2"/>
  <c r="GO38" i="2"/>
  <c r="GP38" i="2"/>
  <c r="GQ38" i="2"/>
  <c r="GR38" i="2"/>
  <c r="GS38" i="2"/>
  <c r="GT38" i="2"/>
  <c r="GU38" i="2"/>
  <c r="GV38" i="2"/>
  <c r="GW38" i="2"/>
  <c r="GX38" i="2"/>
  <c r="AS55" i="2"/>
  <c r="AT55" i="2"/>
  <c r="AU55" i="2"/>
  <c r="AV55" i="2"/>
  <c r="AW55" i="2"/>
  <c r="AX55" i="2"/>
  <c r="AY55" i="2"/>
  <c r="AZ55" i="2"/>
  <c r="BA55" i="2"/>
  <c r="BB55" i="2"/>
  <c r="BC55" i="2"/>
  <c r="BD55" i="2"/>
  <c r="BE55" i="2"/>
  <c r="BF55" i="2"/>
  <c r="BG55" i="2"/>
  <c r="BH55" i="2"/>
  <c r="BI55" i="2"/>
  <c r="BJ55" i="2"/>
  <c r="BK55" i="2"/>
  <c r="AS56" i="2"/>
  <c r="AT56" i="2"/>
  <c r="AU56" i="2"/>
  <c r="AV56" i="2"/>
  <c r="AW56" i="2"/>
  <c r="AX56" i="2"/>
  <c r="AY56" i="2"/>
  <c r="AZ56" i="2"/>
  <c r="BA56" i="2"/>
  <c r="BB56" i="2"/>
  <c r="BC56" i="2"/>
  <c r="BD56" i="2"/>
  <c r="BE56" i="2"/>
  <c r="BF56" i="2"/>
  <c r="BG56" i="2"/>
  <c r="BH56" i="2"/>
  <c r="BI56" i="2"/>
  <c r="BJ56" i="2"/>
  <c r="BK56" i="2"/>
  <c r="AS73" i="2"/>
  <c r="AT73" i="2"/>
  <c r="AU73" i="2"/>
  <c r="AV73" i="2"/>
  <c r="AW73" i="2"/>
  <c r="AX73" i="2"/>
  <c r="AY73" i="2"/>
  <c r="AZ73" i="2"/>
  <c r="BA73" i="2"/>
  <c r="BB73" i="2"/>
  <c r="BC73" i="2"/>
  <c r="BE73" i="2"/>
  <c r="BF73" i="2"/>
  <c r="BG73" i="2"/>
  <c r="BH73" i="2"/>
  <c r="BI73" i="2"/>
  <c r="BJ73" i="2"/>
  <c r="BK73" i="2"/>
  <c r="BL73" i="2"/>
  <c r="BM73" i="2"/>
  <c r="BN73" i="2"/>
  <c r="BO73" i="2"/>
  <c r="BP73" i="2"/>
  <c r="BQ73" i="2"/>
  <c r="BR73" i="2"/>
  <c r="BS73" i="2"/>
  <c r="BT73" i="2"/>
  <c r="BU73" i="2"/>
  <c r="BV73" i="2"/>
  <c r="BW73" i="2"/>
  <c r="BX73" i="2"/>
  <c r="BY73" i="2"/>
  <c r="BZ73" i="2"/>
  <c r="CA73" i="2"/>
  <c r="CB73" i="2"/>
  <c r="CC73" i="2"/>
  <c r="CD73" i="2"/>
  <c r="CE73" i="2"/>
  <c r="CF73" i="2"/>
  <c r="CG73" i="2"/>
  <c r="CH73" i="2"/>
  <c r="CI73" i="2"/>
  <c r="CJ73" i="2"/>
  <c r="CK73" i="2"/>
  <c r="CL73" i="2"/>
  <c r="CM73" i="2"/>
  <c r="CN73" i="2"/>
  <c r="CO73" i="2"/>
  <c r="CP73" i="2"/>
  <c r="CQ73" i="2"/>
  <c r="CR73" i="2"/>
  <c r="CS73" i="2"/>
  <c r="CT73" i="2"/>
  <c r="CU73" i="2"/>
  <c r="CV73" i="2"/>
  <c r="CW73" i="2"/>
  <c r="CX73" i="2"/>
  <c r="CY73" i="2"/>
  <c r="CZ73" i="2"/>
  <c r="DA73" i="2"/>
  <c r="DB73" i="2"/>
  <c r="DC73" i="2"/>
  <c r="DD73" i="2"/>
  <c r="DE73" i="2"/>
  <c r="DF73" i="2"/>
  <c r="DG73" i="2"/>
  <c r="DH73" i="2"/>
  <c r="DI73" i="2"/>
  <c r="DJ73" i="2"/>
  <c r="DK73" i="2"/>
  <c r="DL73" i="2"/>
  <c r="DM73" i="2"/>
  <c r="DN73" i="2"/>
  <c r="DO73" i="2"/>
  <c r="DP73" i="2"/>
  <c r="DQ73" i="2"/>
  <c r="DR73" i="2"/>
  <c r="DS73" i="2"/>
  <c r="DT73" i="2"/>
  <c r="DU73" i="2"/>
  <c r="DV73" i="2"/>
  <c r="DW73" i="2"/>
  <c r="DX73" i="2"/>
  <c r="DY73" i="2"/>
  <c r="DZ73" i="2"/>
  <c r="EA73" i="2"/>
  <c r="EB73" i="2"/>
  <c r="EC73" i="2"/>
  <c r="ED73" i="2"/>
  <c r="EE73" i="2"/>
  <c r="EF73" i="2"/>
  <c r="EG73" i="2"/>
  <c r="EH73" i="2"/>
  <c r="EI73" i="2"/>
  <c r="EJ73" i="2"/>
  <c r="EK73" i="2"/>
  <c r="EL73" i="2"/>
  <c r="EM73" i="2"/>
  <c r="EN73" i="2"/>
  <c r="EO73" i="2"/>
  <c r="EP73" i="2"/>
  <c r="EQ73" i="2"/>
  <c r="ER73" i="2"/>
  <c r="ES73" i="2"/>
  <c r="ET73" i="2"/>
  <c r="EU73" i="2"/>
  <c r="EV73" i="2"/>
  <c r="EW73" i="2"/>
  <c r="EX73" i="2"/>
  <c r="EY73" i="2"/>
  <c r="EZ73" i="2"/>
  <c r="FA73" i="2"/>
  <c r="FB73" i="2"/>
  <c r="FC73" i="2"/>
  <c r="FD73" i="2"/>
  <c r="FE73" i="2"/>
  <c r="FF73" i="2"/>
  <c r="FG73" i="2"/>
  <c r="FH73" i="2"/>
  <c r="FI73" i="2"/>
  <c r="FJ73" i="2"/>
  <c r="FK73" i="2"/>
  <c r="FL73" i="2"/>
  <c r="FM73" i="2"/>
  <c r="FN73" i="2"/>
  <c r="FO73" i="2"/>
  <c r="FP73" i="2"/>
  <c r="FQ73" i="2"/>
  <c r="FR73" i="2"/>
  <c r="FS73" i="2"/>
  <c r="FT73" i="2"/>
  <c r="FU73" i="2"/>
  <c r="FV73" i="2"/>
  <c r="FW73" i="2"/>
  <c r="FX73" i="2"/>
  <c r="FY73" i="2"/>
  <c r="FZ73" i="2"/>
  <c r="GA73" i="2"/>
  <c r="GB73" i="2"/>
  <c r="GC73" i="2"/>
  <c r="GD73" i="2"/>
  <c r="GE73" i="2"/>
  <c r="GF73" i="2"/>
  <c r="GG73" i="2"/>
  <c r="GH73" i="2"/>
  <c r="GI73" i="2"/>
  <c r="GJ73" i="2"/>
  <c r="GK73" i="2"/>
  <c r="GL73" i="2"/>
  <c r="GM73" i="2"/>
  <c r="GN73" i="2"/>
  <c r="GO73" i="2"/>
  <c r="GP73" i="2"/>
  <c r="GQ73" i="2"/>
  <c r="GR73" i="2"/>
  <c r="GS73" i="2"/>
  <c r="GT73" i="2"/>
  <c r="GU73" i="2"/>
  <c r="GV73" i="2"/>
  <c r="GW73" i="2"/>
  <c r="GX73" i="2"/>
  <c r="AS13" i="2"/>
  <c r="AT13" i="2"/>
  <c r="AU13" i="2"/>
  <c r="AV13" i="2"/>
  <c r="AX13" i="2"/>
  <c r="AY13" i="2"/>
  <c r="AZ13" i="2"/>
  <c r="BA13" i="2"/>
  <c r="BB13" i="2"/>
  <c r="BC13" i="2"/>
  <c r="BD13" i="2"/>
  <c r="BE13" i="2"/>
  <c r="BF13" i="2"/>
  <c r="BG13" i="2"/>
  <c r="BH13" i="2"/>
  <c r="BI13" i="2"/>
  <c r="BJ13" i="2"/>
  <c r="BK13" i="2"/>
  <c r="BL13" i="2"/>
  <c r="BM13" i="2"/>
  <c r="BN13" i="2"/>
  <c r="BO13" i="2"/>
  <c r="BP13" i="2"/>
  <c r="BQ13" i="2"/>
  <c r="BR13" i="2"/>
  <c r="BS13" i="2"/>
  <c r="BT13" i="2"/>
  <c r="BU13" i="2"/>
  <c r="BV13" i="2"/>
  <c r="BW13" i="2"/>
  <c r="BX13" i="2"/>
  <c r="BY13" i="2"/>
  <c r="BZ13" i="2"/>
  <c r="CA13" i="2"/>
  <c r="CB13" i="2"/>
  <c r="CC13" i="2"/>
  <c r="CD13" i="2"/>
  <c r="CE13" i="2"/>
  <c r="CF13" i="2"/>
  <c r="CG13" i="2"/>
  <c r="CH13" i="2"/>
  <c r="CI13" i="2"/>
  <c r="CJ13" i="2"/>
  <c r="CK13" i="2"/>
  <c r="CL13" i="2"/>
  <c r="CM13" i="2"/>
  <c r="CN13" i="2"/>
  <c r="CO13" i="2"/>
  <c r="CP13" i="2"/>
  <c r="CQ13" i="2"/>
  <c r="CR13" i="2"/>
  <c r="CS13" i="2"/>
  <c r="CT13" i="2"/>
  <c r="CU13" i="2"/>
  <c r="CV13" i="2"/>
  <c r="CW13" i="2"/>
  <c r="CX13" i="2"/>
  <c r="CY13" i="2"/>
  <c r="CZ13" i="2"/>
  <c r="DA13" i="2"/>
  <c r="DB13" i="2"/>
  <c r="DC13" i="2"/>
  <c r="DD13" i="2"/>
  <c r="DE13" i="2"/>
  <c r="DF13" i="2"/>
  <c r="DG13" i="2"/>
  <c r="DH13" i="2"/>
  <c r="DI13" i="2"/>
  <c r="DJ13" i="2"/>
  <c r="DK13" i="2"/>
  <c r="DL13" i="2"/>
  <c r="DM13" i="2"/>
  <c r="DN13" i="2"/>
  <c r="DO13" i="2"/>
  <c r="DP13" i="2"/>
  <c r="DQ13" i="2"/>
  <c r="DR13" i="2"/>
  <c r="DS13" i="2"/>
  <c r="DT13" i="2"/>
  <c r="DU13" i="2"/>
  <c r="DV13" i="2"/>
  <c r="DW13" i="2"/>
  <c r="DX13" i="2"/>
  <c r="DY13" i="2"/>
  <c r="DZ13" i="2"/>
  <c r="EA13" i="2"/>
  <c r="EB13" i="2"/>
  <c r="EC13" i="2"/>
  <c r="ED13" i="2"/>
  <c r="EE13" i="2"/>
  <c r="EF13" i="2"/>
  <c r="EG13" i="2"/>
  <c r="EH13" i="2"/>
  <c r="EI13" i="2"/>
  <c r="EJ13" i="2"/>
  <c r="EK13" i="2"/>
  <c r="EL13" i="2"/>
  <c r="EM13" i="2"/>
  <c r="EN13" i="2"/>
  <c r="EO13" i="2"/>
  <c r="EP13" i="2"/>
  <c r="EQ13" i="2"/>
  <c r="ER13" i="2"/>
  <c r="ES13" i="2"/>
  <c r="ET13" i="2"/>
  <c r="EU13" i="2"/>
  <c r="EV13" i="2"/>
  <c r="EW13" i="2"/>
  <c r="EX13" i="2"/>
  <c r="EY13" i="2"/>
  <c r="EZ13" i="2"/>
  <c r="FA13" i="2"/>
  <c r="FB13" i="2"/>
  <c r="FC13" i="2"/>
  <c r="FD13" i="2"/>
  <c r="FE13" i="2"/>
  <c r="FF13" i="2"/>
  <c r="FG13" i="2"/>
  <c r="FH13" i="2"/>
  <c r="FI13" i="2"/>
  <c r="FJ13" i="2"/>
  <c r="FK13" i="2"/>
  <c r="FL13" i="2"/>
  <c r="FM13" i="2"/>
  <c r="FN13" i="2"/>
  <c r="FO13" i="2"/>
  <c r="FP13" i="2"/>
  <c r="FQ13" i="2"/>
  <c r="FR13" i="2"/>
  <c r="FS13" i="2"/>
  <c r="FT13" i="2"/>
  <c r="FU13" i="2"/>
  <c r="FV13" i="2"/>
  <c r="FW13" i="2"/>
  <c r="FX13" i="2"/>
  <c r="FY13" i="2"/>
  <c r="FZ13" i="2"/>
  <c r="GA13" i="2"/>
  <c r="GB13" i="2"/>
  <c r="GC13" i="2"/>
  <c r="GD13" i="2"/>
  <c r="GE13" i="2"/>
  <c r="GF13" i="2"/>
  <c r="GG13" i="2"/>
  <c r="GH13" i="2"/>
  <c r="GI13" i="2"/>
  <c r="GJ13" i="2"/>
  <c r="GK13" i="2"/>
  <c r="GL13" i="2"/>
  <c r="GM13" i="2"/>
  <c r="GN13" i="2"/>
  <c r="GO13" i="2"/>
  <c r="GP13" i="2"/>
  <c r="GQ13" i="2"/>
  <c r="GR13" i="2"/>
  <c r="GS13" i="2"/>
  <c r="GT13" i="2"/>
  <c r="GU13" i="2"/>
  <c r="GV13" i="2"/>
  <c r="GW13" i="2"/>
  <c r="GX13" i="2"/>
  <c r="AS29" i="2"/>
  <c r="AT29" i="2"/>
  <c r="AU29" i="2"/>
  <c r="AV29" i="2"/>
  <c r="AW29" i="2"/>
  <c r="AX29" i="2"/>
  <c r="AY29" i="2"/>
  <c r="AZ29" i="2"/>
  <c r="BA29" i="2"/>
  <c r="BB29" i="2"/>
  <c r="BC29" i="2"/>
  <c r="BD29" i="2"/>
  <c r="BE29" i="2"/>
  <c r="BF29" i="2"/>
  <c r="BH29" i="2"/>
  <c r="BI29" i="2"/>
  <c r="BJ29" i="2"/>
  <c r="BK29" i="2"/>
  <c r="BL29" i="2"/>
  <c r="BM29" i="2"/>
  <c r="BN29" i="2"/>
  <c r="BO29" i="2"/>
  <c r="BP29" i="2"/>
  <c r="BQ29" i="2"/>
  <c r="BR29" i="2"/>
  <c r="BS29" i="2"/>
  <c r="BT29" i="2"/>
  <c r="BU29" i="2"/>
  <c r="BV29" i="2"/>
  <c r="BW29" i="2"/>
  <c r="BX29" i="2"/>
  <c r="BY29" i="2"/>
  <c r="BZ29" i="2"/>
  <c r="CA29" i="2"/>
  <c r="CB29" i="2"/>
  <c r="CC29" i="2"/>
  <c r="CD29" i="2"/>
  <c r="CE29" i="2"/>
  <c r="CF29" i="2"/>
  <c r="CG29" i="2"/>
  <c r="CH29" i="2"/>
  <c r="CI29" i="2"/>
  <c r="CJ29" i="2"/>
  <c r="CK29" i="2"/>
  <c r="CL29" i="2"/>
  <c r="CM29" i="2"/>
  <c r="CN29" i="2"/>
  <c r="CO29" i="2"/>
  <c r="CP29" i="2"/>
  <c r="CQ29" i="2"/>
  <c r="CR29" i="2"/>
  <c r="CS29" i="2"/>
  <c r="CT29" i="2"/>
  <c r="CU29" i="2"/>
  <c r="CV29" i="2"/>
  <c r="CW29" i="2"/>
  <c r="CX29" i="2"/>
  <c r="CY29" i="2"/>
  <c r="CZ29" i="2"/>
  <c r="DA29" i="2"/>
  <c r="DB29" i="2"/>
  <c r="DC29" i="2"/>
  <c r="DD29" i="2"/>
  <c r="DE29" i="2"/>
  <c r="DF29" i="2"/>
  <c r="DG29" i="2"/>
  <c r="DH29" i="2"/>
  <c r="DI29" i="2"/>
  <c r="DJ29" i="2"/>
  <c r="DK29" i="2"/>
  <c r="DL29" i="2"/>
  <c r="DM29" i="2"/>
  <c r="DN29" i="2"/>
  <c r="DO29" i="2"/>
  <c r="DP29" i="2"/>
  <c r="DQ29" i="2"/>
  <c r="DR29" i="2"/>
  <c r="DS29" i="2"/>
  <c r="DT29" i="2"/>
  <c r="DU29" i="2"/>
  <c r="DV29" i="2"/>
  <c r="DW29" i="2"/>
  <c r="DX29" i="2"/>
  <c r="DY29" i="2"/>
  <c r="DZ29" i="2"/>
  <c r="EA29" i="2"/>
  <c r="EB29" i="2"/>
  <c r="EC29" i="2"/>
  <c r="ED29" i="2"/>
  <c r="EE29" i="2"/>
  <c r="EF29" i="2"/>
  <c r="EG29" i="2"/>
  <c r="EH29" i="2"/>
  <c r="EI29" i="2"/>
  <c r="EJ29" i="2"/>
  <c r="EK29" i="2"/>
  <c r="EL29" i="2"/>
  <c r="EM29" i="2"/>
  <c r="EN29" i="2"/>
  <c r="EO29" i="2"/>
  <c r="EP29" i="2"/>
  <c r="EQ29" i="2"/>
  <c r="ER29" i="2"/>
  <c r="ES29" i="2"/>
  <c r="ET29" i="2"/>
  <c r="EU29" i="2"/>
  <c r="EV29" i="2"/>
  <c r="EW29" i="2"/>
  <c r="EX29" i="2"/>
  <c r="EY29" i="2"/>
  <c r="EZ29" i="2"/>
  <c r="FA29" i="2"/>
  <c r="FB29" i="2"/>
  <c r="FC29" i="2"/>
  <c r="FD29" i="2"/>
  <c r="FE29" i="2"/>
  <c r="FF29" i="2"/>
  <c r="FG29" i="2"/>
  <c r="FH29" i="2"/>
  <c r="FI29" i="2"/>
  <c r="FJ29" i="2"/>
  <c r="FK29" i="2"/>
  <c r="FL29" i="2"/>
  <c r="FM29" i="2"/>
  <c r="FN29" i="2"/>
  <c r="FO29" i="2"/>
  <c r="FP29" i="2"/>
  <c r="FQ29" i="2"/>
  <c r="FR29" i="2"/>
  <c r="FS29" i="2"/>
  <c r="FT29" i="2"/>
  <c r="FU29" i="2"/>
  <c r="FV29" i="2"/>
  <c r="FW29" i="2"/>
  <c r="FX29" i="2"/>
  <c r="FY29" i="2"/>
  <c r="FZ29" i="2"/>
  <c r="GA29" i="2"/>
  <c r="GB29" i="2"/>
  <c r="GC29" i="2"/>
  <c r="GD29" i="2"/>
  <c r="GE29" i="2"/>
  <c r="GF29" i="2"/>
  <c r="GG29" i="2"/>
  <c r="GH29" i="2"/>
  <c r="GI29" i="2"/>
  <c r="GJ29" i="2"/>
  <c r="GK29" i="2"/>
  <c r="GL29" i="2"/>
  <c r="GM29" i="2"/>
  <c r="GN29" i="2"/>
  <c r="GO29" i="2"/>
  <c r="GP29" i="2"/>
  <c r="GQ29" i="2"/>
  <c r="GR29" i="2"/>
  <c r="GS29" i="2"/>
  <c r="GT29" i="2"/>
  <c r="GU29" i="2"/>
  <c r="GV29" i="2"/>
  <c r="GW29" i="2"/>
  <c r="GX29" i="2"/>
  <c r="AS45" i="2"/>
  <c r="AT45" i="2"/>
  <c r="AU45" i="2"/>
  <c r="AV45" i="2"/>
  <c r="AX45" i="2"/>
  <c r="AY45" i="2"/>
  <c r="AZ45" i="2"/>
  <c r="BA45" i="2"/>
  <c r="BB45" i="2"/>
  <c r="BC45" i="2"/>
  <c r="BD45" i="2"/>
  <c r="BE45" i="2"/>
  <c r="BF45" i="2"/>
  <c r="BG45" i="2"/>
  <c r="BH45" i="2"/>
  <c r="BI45" i="2"/>
  <c r="BJ45" i="2"/>
  <c r="AS61" i="2"/>
  <c r="AT61" i="2"/>
  <c r="AU61" i="2"/>
  <c r="AV61" i="2"/>
  <c r="AW61" i="2"/>
  <c r="AX61" i="2"/>
  <c r="AY61" i="2"/>
  <c r="AZ61" i="2"/>
  <c r="BA61" i="2"/>
  <c r="BB61" i="2"/>
  <c r="BC61" i="2"/>
  <c r="BD61" i="2"/>
  <c r="BE61" i="2"/>
  <c r="BF61" i="2"/>
  <c r="BG61" i="2"/>
  <c r="BH61" i="2"/>
  <c r="BJ61" i="2"/>
  <c r="BK61" i="2"/>
  <c r="BL61" i="2"/>
  <c r="BM61" i="2"/>
  <c r="BN61" i="2"/>
  <c r="BO61" i="2"/>
  <c r="BP61" i="2"/>
  <c r="BQ61" i="2"/>
  <c r="BR61" i="2"/>
  <c r="BS61" i="2"/>
  <c r="BT61" i="2"/>
  <c r="BU61" i="2"/>
  <c r="BV61" i="2"/>
  <c r="BW61" i="2"/>
  <c r="BX61" i="2"/>
  <c r="BY61" i="2"/>
  <c r="BZ61" i="2"/>
  <c r="CA61" i="2"/>
  <c r="CB61" i="2"/>
  <c r="CC61" i="2"/>
  <c r="CD61" i="2"/>
  <c r="CE61" i="2"/>
  <c r="CF61" i="2"/>
  <c r="CG61" i="2"/>
  <c r="CH61" i="2"/>
  <c r="CI61" i="2"/>
  <c r="CJ61" i="2"/>
  <c r="CK61" i="2"/>
  <c r="CL61" i="2"/>
  <c r="CM61" i="2"/>
  <c r="CN61" i="2"/>
  <c r="CO61" i="2"/>
  <c r="CP61" i="2"/>
  <c r="CQ61" i="2"/>
  <c r="CR61" i="2"/>
  <c r="CS61" i="2"/>
  <c r="CT61" i="2"/>
  <c r="CU61" i="2"/>
  <c r="CV61" i="2"/>
  <c r="CW61" i="2"/>
  <c r="CX61" i="2"/>
  <c r="CY61" i="2"/>
  <c r="CZ61" i="2"/>
  <c r="DA61" i="2"/>
  <c r="DB61" i="2"/>
  <c r="DC61" i="2"/>
  <c r="DD61" i="2"/>
  <c r="DE61" i="2"/>
  <c r="DF61" i="2"/>
  <c r="DG61" i="2"/>
  <c r="DH61" i="2"/>
  <c r="DI61" i="2"/>
  <c r="DJ61" i="2"/>
  <c r="DK61" i="2"/>
  <c r="DL61" i="2"/>
  <c r="DM61" i="2"/>
  <c r="DN61" i="2"/>
  <c r="DO61" i="2"/>
  <c r="DP61" i="2"/>
  <c r="DQ61" i="2"/>
  <c r="DR61" i="2"/>
  <c r="DS61" i="2"/>
  <c r="DT61" i="2"/>
  <c r="DU61" i="2"/>
  <c r="DV61" i="2"/>
  <c r="DW61" i="2"/>
  <c r="DX61" i="2"/>
  <c r="DY61" i="2"/>
  <c r="DZ61" i="2"/>
  <c r="EA61" i="2"/>
  <c r="EB61" i="2"/>
  <c r="EC61" i="2"/>
  <c r="ED61" i="2"/>
  <c r="EE61" i="2"/>
  <c r="EF61" i="2"/>
  <c r="EG61" i="2"/>
  <c r="EH61" i="2"/>
  <c r="EI61" i="2"/>
  <c r="EJ61" i="2"/>
  <c r="EK61" i="2"/>
  <c r="EL61" i="2"/>
  <c r="EM61" i="2"/>
  <c r="EN61" i="2"/>
  <c r="EO61" i="2"/>
  <c r="EP61" i="2"/>
  <c r="EQ61" i="2"/>
  <c r="ER61" i="2"/>
  <c r="ES61" i="2"/>
  <c r="ET61" i="2"/>
  <c r="EU61" i="2"/>
  <c r="EV61" i="2"/>
  <c r="EW61" i="2"/>
  <c r="EX61" i="2"/>
  <c r="EY61" i="2"/>
  <c r="EZ61" i="2"/>
  <c r="FA61" i="2"/>
  <c r="FB61" i="2"/>
  <c r="FC61" i="2"/>
  <c r="FD61" i="2"/>
  <c r="FE61" i="2"/>
  <c r="FF61" i="2"/>
  <c r="FG61" i="2"/>
  <c r="FH61" i="2"/>
  <c r="FI61" i="2"/>
  <c r="FJ61" i="2"/>
  <c r="FK61" i="2"/>
  <c r="FL61" i="2"/>
  <c r="FM61" i="2"/>
  <c r="FN61" i="2"/>
  <c r="FO61" i="2"/>
  <c r="FP61" i="2"/>
  <c r="FQ61" i="2"/>
  <c r="FR61" i="2"/>
  <c r="FS61" i="2"/>
  <c r="FT61" i="2"/>
  <c r="FU61" i="2"/>
  <c r="FV61" i="2"/>
  <c r="FW61" i="2"/>
  <c r="FX61" i="2"/>
  <c r="FY61" i="2"/>
  <c r="FZ61" i="2"/>
  <c r="GA61" i="2"/>
  <c r="GB61" i="2"/>
  <c r="GC61" i="2"/>
  <c r="GD61" i="2"/>
  <c r="GE61" i="2"/>
  <c r="GF61" i="2"/>
  <c r="GG61" i="2"/>
  <c r="GH61" i="2"/>
  <c r="GI61" i="2"/>
  <c r="GJ61" i="2"/>
  <c r="GK61" i="2"/>
  <c r="GL61" i="2"/>
  <c r="GM61" i="2"/>
  <c r="GN61" i="2"/>
  <c r="GO61" i="2"/>
  <c r="GP61" i="2"/>
  <c r="GQ61" i="2"/>
  <c r="GR61" i="2"/>
  <c r="GS61" i="2"/>
  <c r="GT61" i="2"/>
  <c r="GU61" i="2"/>
  <c r="GV61" i="2"/>
  <c r="GW61" i="2"/>
  <c r="GX61" i="2"/>
  <c r="AS77" i="2"/>
  <c r="AT77" i="2"/>
  <c r="AU77" i="2"/>
  <c r="AV77" i="2"/>
  <c r="AW77" i="2"/>
  <c r="AX77" i="2"/>
  <c r="AY77" i="2"/>
  <c r="AZ77" i="2"/>
  <c r="BA77" i="2"/>
  <c r="BB77" i="2"/>
  <c r="BC77" i="2"/>
  <c r="BD77" i="2"/>
  <c r="BE77" i="2"/>
  <c r="BF77" i="2"/>
  <c r="BH77" i="2"/>
  <c r="BI77" i="2"/>
  <c r="BJ77" i="2"/>
  <c r="BK77" i="2"/>
  <c r="BL77" i="2"/>
  <c r="BM77" i="2"/>
  <c r="BN77" i="2"/>
  <c r="BO77" i="2"/>
  <c r="BP77" i="2"/>
  <c r="BQ77" i="2"/>
  <c r="BR77" i="2"/>
  <c r="BS77" i="2"/>
  <c r="BT77" i="2"/>
  <c r="BU77" i="2"/>
  <c r="BV77" i="2"/>
  <c r="BW77" i="2"/>
  <c r="BX77" i="2"/>
  <c r="BY77" i="2"/>
  <c r="BZ77" i="2"/>
  <c r="CA77" i="2"/>
  <c r="CB77" i="2"/>
  <c r="CC77" i="2"/>
  <c r="CD77" i="2"/>
  <c r="CE77" i="2"/>
  <c r="CF77" i="2"/>
  <c r="CG77" i="2"/>
  <c r="CH77" i="2"/>
  <c r="CI77" i="2"/>
  <c r="CJ77" i="2"/>
  <c r="CK77" i="2"/>
  <c r="CL77" i="2"/>
  <c r="CM77" i="2"/>
  <c r="CN77" i="2"/>
  <c r="CO77" i="2"/>
  <c r="CP77" i="2"/>
  <c r="CQ77" i="2"/>
  <c r="CR77" i="2"/>
  <c r="CS77" i="2"/>
  <c r="CT77" i="2"/>
  <c r="CU77" i="2"/>
  <c r="CV77" i="2"/>
  <c r="CW77" i="2"/>
  <c r="CX77" i="2"/>
  <c r="CY77" i="2"/>
  <c r="CZ77" i="2"/>
  <c r="DA77" i="2"/>
  <c r="DB77" i="2"/>
  <c r="DC77" i="2"/>
  <c r="DD77" i="2"/>
  <c r="DE77" i="2"/>
  <c r="DF77" i="2"/>
  <c r="DG77" i="2"/>
  <c r="DH77" i="2"/>
  <c r="DI77" i="2"/>
  <c r="DJ77" i="2"/>
  <c r="DK77" i="2"/>
  <c r="DL77" i="2"/>
  <c r="DM77" i="2"/>
  <c r="DN77" i="2"/>
  <c r="DO77" i="2"/>
  <c r="DP77" i="2"/>
  <c r="DQ77" i="2"/>
  <c r="DR77" i="2"/>
  <c r="DS77" i="2"/>
  <c r="DT77" i="2"/>
  <c r="DU77" i="2"/>
  <c r="DV77" i="2"/>
  <c r="DW77" i="2"/>
  <c r="DX77" i="2"/>
  <c r="DY77" i="2"/>
  <c r="DZ77" i="2"/>
  <c r="EA77" i="2"/>
  <c r="EB77" i="2"/>
  <c r="EC77" i="2"/>
  <c r="ED77" i="2"/>
  <c r="EE77" i="2"/>
  <c r="EF77" i="2"/>
  <c r="EG77" i="2"/>
  <c r="EH77" i="2"/>
  <c r="EI77" i="2"/>
  <c r="EJ77" i="2"/>
  <c r="EK77" i="2"/>
  <c r="EL77" i="2"/>
  <c r="EM77" i="2"/>
  <c r="EN77" i="2"/>
  <c r="EO77" i="2"/>
  <c r="EP77" i="2"/>
  <c r="EQ77" i="2"/>
  <c r="ER77" i="2"/>
  <c r="ES77" i="2"/>
  <c r="ET77" i="2"/>
  <c r="EU77" i="2"/>
  <c r="EV77" i="2"/>
  <c r="EW77" i="2"/>
  <c r="EX77" i="2"/>
  <c r="EY77" i="2"/>
  <c r="EZ77" i="2"/>
  <c r="FA77" i="2"/>
  <c r="FB77" i="2"/>
  <c r="FC77" i="2"/>
  <c r="FD77" i="2"/>
  <c r="FE77" i="2"/>
  <c r="FF77" i="2"/>
  <c r="FG77" i="2"/>
  <c r="FH77" i="2"/>
  <c r="FI77" i="2"/>
  <c r="FJ77" i="2"/>
  <c r="FK77" i="2"/>
  <c r="FL77" i="2"/>
  <c r="FM77" i="2"/>
  <c r="FN77" i="2"/>
  <c r="FO77" i="2"/>
  <c r="FP77" i="2"/>
  <c r="FQ77" i="2"/>
  <c r="FR77" i="2"/>
  <c r="FS77" i="2"/>
  <c r="FT77" i="2"/>
  <c r="FU77" i="2"/>
  <c r="FV77" i="2"/>
  <c r="FW77" i="2"/>
  <c r="FX77" i="2"/>
  <c r="FY77" i="2"/>
  <c r="FZ77" i="2"/>
  <c r="GA77" i="2"/>
  <c r="GB77" i="2"/>
  <c r="GC77" i="2"/>
  <c r="GD77" i="2"/>
  <c r="GE77" i="2"/>
  <c r="GF77" i="2"/>
  <c r="GG77" i="2"/>
  <c r="GH77" i="2"/>
  <c r="GI77" i="2"/>
  <c r="GJ77" i="2"/>
  <c r="GK77" i="2"/>
  <c r="GL77" i="2"/>
  <c r="GM77" i="2"/>
  <c r="GN77" i="2"/>
  <c r="GO77" i="2"/>
  <c r="GP77" i="2"/>
  <c r="GQ77" i="2"/>
  <c r="GR77" i="2"/>
  <c r="GS77" i="2"/>
  <c r="GT77" i="2"/>
  <c r="GU77" i="2"/>
  <c r="GV77" i="2"/>
  <c r="GW77" i="2"/>
  <c r="GX77" i="2"/>
  <c r="AS93" i="2"/>
  <c r="AT93" i="2"/>
  <c r="AU93" i="2"/>
  <c r="AV93" i="2"/>
  <c r="AX93" i="2"/>
  <c r="AY93" i="2"/>
  <c r="AZ93" i="2"/>
  <c r="BA93" i="2"/>
  <c r="BB93" i="2"/>
  <c r="BC93" i="2"/>
  <c r="BD93" i="2"/>
  <c r="BE93" i="2"/>
  <c r="BF93" i="2"/>
  <c r="BG93" i="2"/>
  <c r="BH93" i="2"/>
  <c r="BI93" i="2"/>
  <c r="BJ93" i="2"/>
  <c r="BK93" i="2"/>
  <c r="BL93" i="2"/>
  <c r="BN93" i="2"/>
  <c r="BO93" i="2"/>
  <c r="BP93" i="2"/>
  <c r="BQ93" i="2"/>
  <c r="BR93" i="2"/>
  <c r="BS93" i="2"/>
  <c r="BT93" i="2"/>
  <c r="BU93" i="2"/>
  <c r="BV93" i="2"/>
  <c r="BW93" i="2"/>
  <c r="BX93" i="2"/>
  <c r="BY93" i="2"/>
  <c r="BZ93" i="2"/>
  <c r="CA93" i="2"/>
  <c r="CB93" i="2"/>
  <c r="CC93" i="2"/>
  <c r="CD93" i="2"/>
  <c r="CE93" i="2"/>
  <c r="CF93" i="2"/>
  <c r="CG93" i="2"/>
  <c r="CH93" i="2"/>
  <c r="CI93" i="2"/>
  <c r="CJ93" i="2"/>
  <c r="CK93" i="2"/>
  <c r="CL93" i="2"/>
  <c r="CM93" i="2"/>
  <c r="CN93" i="2"/>
  <c r="CO93" i="2"/>
  <c r="CP93" i="2"/>
  <c r="CQ93" i="2"/>
  <c r="CR93" i="2"/>
  <c r="CS93" i="2"/>
  <c r="CT93" i="2"/>
  <c r="CU93" i="2"/>
  <c r="CV93" i="2"/>
  <c r="CW93" i="2"/>
  <c r="CX93" i="2"/>
  <c r="CY93" i="2"/>
  <c r="CZ93" i="2"/>
  <c r="DA93" i="2"/>
  <c r="DB93" i="2"/>
  <c r="DC93" i="2"/>
  <c r="DD93" i="2"/>
  <c r="DE93" i="2"/>
  <c r="DF93" i="2"/>
  <c r="DG93" i="2"/>
  <c r="DH93" i="2"/>
  <c r="DI93" i="2"/>
  <c r="DJ93" i="2"/>
  <c r="DK93" i="2"/>
  <c r="DL93" i="2"/>
  <c r="DM93" i="2"/>
  <c r="DN93" i="2"/>
  <c r="DO93" i="2"/>
  <c r="DP93" i="2"/>
  <c r="DQ93" i="2"/>
  <c r="DR93" i="2"/>
  <c r="DS93" i="2"/>
  <c r="DT93" i="2"/>
  <c r="DU93" i="2"/>
  <c r="DV93" i="2"/>
  <c r="DW93" i="2"/>
  <c r="DX93" i="2"/>
  <c r="DY93" i="2"/>
  <c r="DZ93" i="2"/>
  <c r="EA93" i="2"/>
  <c r="EB93" i="2"/>
  <c r="EC93" i="2"/>
  <c r="ED93" i="2"/>
  <c r="EE93" i="2"/>
  <c r="EF93" i="2"/>
  <c r="EG93" i="2"/>
  <c r="EH93" i="2"/>
  <c r="EI93" i="2"/>
  <c r="EJ93" i="2"/>
  <c r="EK93" i="2"/>
  <c r="EL93" i="2"/>
  <c r="EM93" i="2"/>
  <c r="EN93" i="2"/>
  <c r="EO93" i="2"/>
  <c r="EP93" i="2"/>
  <c r="EQ93" i="2"/>
  <c r="ER93" i="2"/>
  <c r="ES93" i="2"/>
  <c r="ET93" i="2"/>
  <c r="EU93" i="2"/>
  <c r="EV93" i="2"/>
  <c r="EW93" i="2"/>
  <c r="EX93" i="2"/>
  <c r="EY93" i="2"/>
  <c r="EZ93" i="2"/>
  <c r="FA93" i="2"/>
  <c r="FB93" i="2"/>
  <c r="FC93" i="2"/>
  <c r="FD93" i="2"/>
  <c r="FE93" i="2"/>
  <c r="FF93" i="2"/>
  <c r="FG93" i="2"/>
  <c r="FH93" i="2"/>
  <c r="FI93" i="2"/>
  <c r="FJ93" i="2"/>
  <c r="FK93" i="2"/>
  <c r="FL93" i="2"/>
  <c r="FM93" i="2"/>
  <c r="FN93" i="2"/>
  <c r="FO93" i="2"/>
  <c r="FP93" i="2"/>
  <c r="FQ93" i="2"/>
  <c r="FR93" i="2"/>
  <c r="FS93" i="2"/>
  <c r="FT93" i="2"/>
  <c r="FU93" i="2"/>
  <c r="FV93" i="2"/>
  <c r="FW93" i="2"/>
  <c r="FX93" i="2"/>
  <c r="FY93" i="2"/>
  <c r="FZ93" i="2"/>
  <c r="GA93" i="2"/>
  <c r="GB93" i="2"/>
  <c r="GC93" i="2"/>
  <c r="GD93" i="2"/>
  <c r="GE93" i="2"/>
  <c r="GF93" i="2"/>
  <c r="GG93" i="2"/>
  <c r="GH93" i="2"/>
  <c r="GI93" i="2"/>
  <c r="GJ93" i="2"/>
  <c r="GK93" i="2"/>
  <c r="GL93" i="2"/>
  <c r="GM93" i="2"/>
  <c r="GN93" i="2"/>
  <c r="GO93" i="2"/>
  <c r="GP93" i="2"/>
  <c r="GQ93" i="2"/>
  <c r="GR93" i="2"/>
  <c r="GS93" i="2"/>
  <c r="GT93" i="2"/>
  <c r="GU93" i="2"/>
  <c r="GV93" i="2"/>
  <c r="GW93" i="2"/>
  <c r="GX93" i="2"/>
  <c r="AS62" i="2"/>
  <c r="AT62" i="2"/>
  <c r="AU62" i="2"/>
  <c r="AV62" i="2"/>
  <c r="AW62" i="2"/>
  <c r="AX62" i="2"/>
  <c r="AY62" i="2"/>
  <c r="AZ62" i="2"/>
  <c r="BA62" i="2"/>
  <c r="BB62" i="2"/>
  <c r="BC62" i="2"/>
  <c r="BD62" i="2"/>
  <c r="BE62" i="2"/>
  <c r="BF62" i="2"/>
  <c r="BG62" i="2"/>
  <c r="BH62" i="2"/>
  <c r="BI62" i="2"/>
  <c r="BJ62" i="2"/>
  <c r="BL62" i="2"/>
  <c r="BM62" i="2"/>
  <c r="BN62" i="2"/>
  <c r="BO62" i="2"/>
  <c r="BP62" i="2"/>
  <c r="BQ62" i="2"/>
  <c r="BR62" i="2"/>
  <c r="BS62" i="2"/>
  <c r="BT62" i="2"/>
  <c r="BU62" i="2"/>
  <c r="BV62" i="2"/>
  <c r="BW62" i="2"/>
  <c r="BX62" i="2"/>
  <c r="BY62" i="2"/>
  <c r="BZ62" i="2"/>
  <c r="CA62" i="2"/>
  <c r="CB62" i="2"/>
  <c r="CC62" i="2"/>
  <c r="CD62" i="2"/>
  <c r="CE62" i="2"/>
  <c r="CF62" i="2"/>
  <c r="CG62" i="2"/>
  <c r="CH62" i="2"/>
  <c r="CI62" i="2"/>
  <c r="CJ62" i="2"/>
  <c r="CK62" i="2"/>
  <c r="CL62" i="2"/>
  <c r="CM62" i="2"/>
  <c r="CN62" i="2"/>
  <c r="CO62" i="2"/>
  <c r="CP62" i="2"/>
  <c r="CQ62" i="2"/>
  <c r="CR62" i="2"/>
  <c r="CS62" i="2"/>
  <c r="CT62" i="2"/>
  <c r="CU62" i="2"/>
  <c r="CV62" i="2"/>
  <c r="CW62" i="2"/>
  <c r="CX62" i="2"/>
  <c r="CY62" i="2"/>
  <c r="CZ62" i="2"/>
  <c r="DA62" i="2"/>
  <c r="DB62" i="2"/>
  <c r="DC62" i="2"/>
  <c r="DD62" i="2"/>
  <c r="DE62" i="2"/>
  <c r="DF62" i="2"/>
  <c r="DG62" i="2"/>
  <c r="DH62" i="2"/>
  <c r="DI62" i="2"/>
  <c r="DJ62" i="2"/>
  <c r="DK62" i="2"/>
  <c r="DL62" i="2"/>
  <c r="DM62" i="2"/>
  <c r="DN62" i="2"/>
  <c r="DO62" i="2"/>
  <c r="DP62" i="2"/>
  <c r="DQ62" i="2"/>
  <c r="DR62" i="2"/>
  <c r="DS62" i="2"/>
  <c r="DT62" i="2"/>
  <c r="DU62" i="2"/>
  <c r="DV62" i="2"/>
  <c r="DW62" i="2"/>
  <c r="DX62" i="2"/>
  <c r="DY62" i="2"/>
  <c r="DZ62" i="2"/>
  <c r="EA62" i="2"/>
  <c r="EB62" i="2"/>
  <c r="EC62" i="2"/>
  <c r="ED62" i="2"/>
  <c r="EE62" i="2"/>
  <c r="EF62" i="2"/>
  <c r="EG62" i="2"/>
  <c r="EH62" i="2"/>
  <c r="EI62" i="2"/>
  <c r="EJ62" i="2"/>
  <c r="EK62" i="2"/>
  <c r="EL62" i="2"/>
  <c r="EM62" i="2"/>
  <c r="EN62" i="2"/>
  <c r="EO62" i="2"/>
  <c r="EP62" i="2"/>
  <c r="EQ62" i="2"/>
  <c r="ER62" i="2"/>
  <c r="ES62" i="2"/>
  <c r="ET62" i="2"/>
  <c r="EU62" i="2"/>
  <c r="EV62" i="2"/>
  <c r="EW62" i="2"/>
  <c r="EX62" i="2"/>
  <c r="EY62" i="2"/>
  <c r="EZ62" i="2"/>
  <c r="FA62" i="2"/>
  <c r="FB62" i="2"/>
  <c r="FC62" i="2"/>
  <c r="FD62" i="2"/>
  <c r="FE62" i="2"/>
  <c r="FF62" i="2"/>
  <c r="FG62" i="2"/>
  <c r="FH62" i="2"/>
  <c r="FI62" i="2"/>
  <c r="FJ62" i="2"/>
  <c r="FK62" i="2"/>
  <c r="FL62" i="2"/>
  <c r="FM62" i="2"/>
  <c r="FN62" i="2"/>
  <c r="FO62" i="2"/>
  <c r="FP62" i="2"/>
  <c r="FQ62" i="2"/>
  <c r="FR62" i="2"/>
  <c r="FS62" i="2"/>
  <c r="FT62" i="2"/>
  <c r="FU62" i="2"/>
  <c r="FV62" i="2"/>
  <c r="FW62" i="2"/>
  <c r="FX62" i="2"/>
  <c r="FY62" i="2"/>
  <c r="FZ62" i="2"/>
  <c r="GA62" i="2"/>
  <c r="GB62" i="2"/>
  <c r="GC62" i="2"/>
  <c r="GD62" i="2"/>
  <c r="GE62" i="2"/>
  <c r="GF62" i="2"/>
  <c r="GG62" i="2"/>
  <c r="GH62" i="2"/>
  <c r="GI62" i="2"/>
  <c r="GJ62" i="2"/>
  <c r="GK62" i="2"/>
  <c r="GL62" i="2"/>
  <c r="GM62" i="2"/>
  <c r="GN62" i="2"/>
  <c r="GO62" i="2"/>
  <c r="GP62" i="2"/>
  <c r="GQ62" i="2"/>
  <c r="GR62" i="2"/>
  <c r="GS62" i="2"/>
  <c r="GT62" i="2"/>
  <c r="GU62" i="2"/>
  <c r="GV62" i="2"/>
  <c r="GW62" i="2"/>
  <c r="GX62" i="2"/>
  <c r="AS47" i="2"/>
  <c r="AT47" i="2"/>
  <c r="AU47" i="2"/>
  <c r="AV47" i="2"/>
  <c r="AW47" i="2"/>
  <c r="AX47" i="2"/>
  <c r="AY47" i="2"/>
  <c r="BA47" i="2"/>
  <c r="BB47" i="2"/>
  <c r="BC47" i="2"/>
  <c r="BD47" i="2"/>
  <c r="BE47" i="2"/>
  <c r="BF47" i="2"/>
  <c r="BG47" i="2"/>
  <c r="BH47" i="2"/>
  <c r="BI47" i="2"/>
  <c r="BJ47" i="2"/>
  <c r="BL47" i="2"/>
  <c r="BM47" i="2"/>
  <c r="BN47" i="2"/>
  <c r="BO47" i="2"/>
  <c r="BP47" i="2"/>
  <c r="BQ47" i="2"/>
  <c r="BR47" i="2"/>
  <c r="BS47" i="2"/>
  <c r="BT47" i="2"/>
  <c r="BU47" i="2"/>
  <c r="BV47" i="2"/>
  <c r="BW47" i="2"/>
  <c r="BX47" i="2"/>
  <c r="BY47" i="2"/>
  <c r="BZ47" i="2"/>
  <c r="CA47" i="2"/>
  <c r="CB47" i="2"/>
  <c r="CC47" i="2"/>
  <c r="CD47" i="2"/>
  <c r="CE47" i="2"/>
  <c r="CF47" i="2"/>
  <c r="CG47" i="2"/>
  <c r="CH47" i="2"/>
  <c r="CI47" i="2"/>
  <c r="CJ47" i="2"/>
  <c r="CK47" i="2"/>
  <c r="CL47" i="2"/>
  <c r="CM47" i="2"/>
  <c r="CN47" i="2"/>
  <c r="CO47" i="2"/>
  <c r="CP47" i="2"/>
  <c r="CQ47" i="2"/>
  <c r="CR47" i="2"/>
  <c r="CS47" i="2"/>
  <c r="CT47" i="2"/>
  <c r="CU47" i="2"/>
  <c r="CV47" i="2"/>
  <c r="CW47" i="2"/>
  <c r="CX47" i="2"/>
  <c r="CY47" i="2"/>
  <c r="CZ47" i="2"/>
  <c r="DA47" i="2"/>
  <c r="DB47" i="2"/>
  <c r="DC47" i="2"/>
  <c r="DD47" i="2"/>
  <c r="DE47" i="2"/>
  <c r="DF47" i="2"/>
  <c r="DG47" i="2"/>
  <c r="DH47" i="2"/>
  <c r="DI47" i="2"/>
  <c r="DJ47" i="2"/>
  <c r="DK47" i="2"/>
  <c r="DL47" i="2"/>
  <c r="DM47" i="2"/>
  <c r="DN47" i="2"/>
  <c r="DO47" i="2"/>
  <c r="DP47" i="2"/>
  <c r="DQ47" i="2"/>
  <c r="DR47" i="2"/>
  <c r="DS47" i="2"/>
  <c r="DT47" i="2"/>
  <c r="DU47" i="2"/>
  <c r="DV47" i="2"/>
  <c r="DW47" i="2"/>
  <c r="DX47" i="2"/>
  <c r="DY47" i="2"/>
  <c r="DZ47" i="2"/>
  <c r="EA47" i="2"/>
  <c r="EB47" i="2"/>
  <c r="EC47" i="2"/>
  <c r="ED47" i="2"/>
  <c r="EE47" i="2"/>
  <c r="EF47" i="2"/>
  <c r="EG47" i="2"/>
  <c r="EH47" i="2"/>
  <c r="EI47" i="2"/>
  <c r="EJ47" i="2"/>
  <c r="EK47" i="2"/>
  <c r="EL47" i="2"/>
  <c r="EM47" i="2"/>
  <c r="EN47" i="2"/>
  <c r="EO47" i="2"/>
  <c r="EP47" i="2"/>
  <c r="EQ47" i="2"/>
  <c r="ER47" i="2"/>
  <c r="ES47" i="2"/>
  <c r="ET47" i="2"/>
  <c r="EU47" i="2"/>
  <c r="EV47" i="2"/>
  <c r="EW47" i="2"/>
  <c r="EX47" i="2"/>
  <c r="EY47" i="2"/>
  <c r="EZ47" i="2"/>
  <c r="FA47" i="2"/>
  <c r="FB47" i="2"/>
  <c r="FC47" i="2"/>
  <c r="FD47" i="2"/>
  <c r="FE47" i="2"/>
  <c r="FF47" i="2"/>
  <c r="FG47" i="2"/>
  <c r="FH47" i="2"/>
  <c r="FI47" i="2"/>
  <c r="FJ47" i="2"/>
  <c r="FK47" i="2"/>
  <c r="FL47" i="2"/>
  <c r="FM47" i="2"/>
  <c r="FN47" i="2"/>
  <c r="FO47" i="2"/>
  <c r="FP47" i="2"/>
  <c r="FQ47" i="2"/>
  <c r="FR47" i="2"/>
  <c r="FS47" i="2"/>
  <c r="FT47" i="2"/>
  <c r="FU47" i="2"/>
  <c r="FV47" i="2"/>
  <c r="FW47" i="2"/>
  <c r="FX47" i="2"/>
  <c r="FY47" i="2"/>
  <c r="FZ47" i="2"/>
  <c r="GA47" i="2"/>
  <c r="GB47" i="2"/>
  <c r="GC47" i="2"/>
  <c r="GD47" i="2"/>
  <c r="GE47" i="2"/>
  <c r="GF47" i="2"/>
  <c r="GG47" i="2"/>
  <c r="GH47" i="2"/>
  <c r="GI47" i="2"/>
  <c r="GJ47" i="2"/>
  <c r="GK47" i="2"/>
  <c r="GL47" i="2"/>
  <c r="GM47" i="2"/>
  <c r="GN47" i="2"/>
  <c r="GO47" i="2"/>
  <c r="GP47" i="2"/>
  <c r="GQ47" i="2"/>
  <c r="GR47" i="2"/>
  <c r="GS47" i="2"/>
  <c r="GT47" i="2"/>
  <c r="GU47" i="2"/>
  <c r="GV47" i="2"/>
  <c r="GW47" i="2"/>
  <c r="GX47" i="2"/>
  <c r="AS50" i="2"/>
  <c r="AT50" i="2"/>
  <c r="AU50" i="2"/>
  <c r="AV50" i="2"/>
  <c r="AW50" i="2"/>
  <c r="AX50" i="2"/>
  <c r="AY50" i="2"/>
  <c r="AZ50" i="2"/>
  <c r="BA50" i="2"/>
  <c r="BB50" i="2"/>
  <c r="BC50" i="2"/>
  <c r="BD50" i="2"/>
  <c r="BE50" i="2"/>
  <c r="BF50" i="2"/>
  <c r="BG50" i="2"/>
  <c r="BH50" i="2"/>
  <c r="BJ50" i="2"/>
  <c r="BK50" i="2"/>
  <c r="BL50" i="2"/>
  <c r="BM50" i="2"/>
  <c r="BN50" i="2"/>
  <c r="BO50" i="2"/>
  <c r="BP50" i="2"/>
  <c r="BQ50" i="2"/>
  <c r="BR50" i="2"/>
  <c r="BS50" i="2"/>
  <c r="BT50" i="2"/>
  <c r="BU50" i="2"/>
  <c r="BV50" i="2"/>
  <c r="BW50" i="2"/>
  <c r="BX50" i="2"/>
  <c r="BY50" i="2"/>
  <c r="BZ50" i="2"/>
  <c r="CA50" i="2"/>
  <c r="CB50" i="2"/>
  <c r="CC50" i="2"/>
  <c r="CD50" i="2"/>
  <c r="CE50" i="2"/>
  <c r="CF50" i="2"/>
  <c r="CG50" i="2"/>
  <c r="CH50" i="2"/>
  <c r="CI50" i="2"/>
  <c r="CJ50" i="2"/>
  <c r="CK50" i="2"/>
  <c r="CL50" i="2"/>
  <c r="CM50" i="2"/>
  <c r="CN50" i="2"/>
  <c r="CO50" i="2"/>
  <c r="CP50" i="2"/>
  <c r="CQ50" i="2"/>
  <c r="CR50" i="2"/>
  <c r="CS50" i="2"/>
  <c r="CT50" i="2"/>
  <c r="CU50" i="2"/>
  <c r="CV50" i="2"/>
  <c r="CW50" i="2"/>
  <c r="CX50" i="2"/>
  <c r="CY50" i="2"/>
  <c r="CZ50" i="2"/>
  <c r="DA50" i="2"/>
  <c r="DB50" i="2"/>
  <c r="DC50" i="2"/>
  <c r="DD50" i="2"/>
  <c r="DE50" i="2"/>
  <c r="DF50" i="2"/>
  <c r="DG50" i="2"/>
  <c r="DH50" i="2"/>
  <c r="DI50" i="2"/>
  <c r="DJ50" i="2"/>
  <c r="DK50" i="2"/>
  <c r="DL50" i="2"/>
  <c r="DM50" i="2"/>
  <c r="DN50" i="2"/>
  <c r="DO50" i="2"/>
  <c r="DP50" i="2"/>
  <c r="DQ50" i="2"/>
  <c r="DR50" i="2"/>
  <c r="DS50" i="2"/>
  <c r="DT50" i="2"/>
  <c r="DU50" i="2"/>
  <c r="DV50" i="2"/>
  <c r="DW50" i="2"/>
  <c r="DX50" i="2"/>
  <c r="DY50" i="2"/>
  <c r="DZ50" i="2"/>
  <c r="EA50" i="2"/>
  <c r="EB50" i="2"/>
  <c r="EC50" i="2"/>
  <c r="ED50" i="2"/>
  <c r="EE50" i="2"/>
  <c r="EF50" i="2"/>
  <c r="EG50" i="2"/>
  <c r="EH50" i="2"/>
  <c r="EI50" i="2"/>
  <c r="EJ50" i="2"/>
  <c r="EK50" i="2"/>
  <c r="EL50" i="2"/>
  <c r="EM50" i="2"/>
  <c r="EN50" i="2"/>
  <c r="EO50" i="2"/>
  <c r="EP50" i="2"/>
  <c r="EQ50" i="2"/>
  <c r="ER50" i="2"/>
  <c r="ES50" i="2"/>
  <c r="ET50" i="2"/>
  <c r="EU50" i="2"/>
  <c r="EV50" i="2"/>
  <c r="EW50" i="2"/>
  <c r="EX50" i="2"/>
  <c r="EY50" i="2"/>
  <c r="EZ50" i="2"/>
  <c r="FA50" i="2"/>
  <c r="FB50" i="2"/>
  <c r="FC50" i="2"/>
  <c r="FD50" i="2"/>
  <c r="FE50" i="2"/>
  <c r="FF50" i="2"/>
  <c r="FG50" i="2"/>
  <c r="FH50" i="2"/>
  <c r="FI50" i="2"/>
  <c r="FJ50" i="2"/>
  <c r="FK50" i="2"/>
  <c r="FL50" i="2"/>
  <c r="FM50" i="2"/>
  <c r="FN50" i="2"/>
  <c r="FO50" i="2"/>
  <c r="FP50" i="2"/>
  <c r="FQ50" i="2"/>
  <c r="FR50" i="2"/>
  <c r="FS50" i="2"/>
  <c r="FT50" i="2"/>
  <c r="FU50" i="2"/>
  <c r="FV50" i="2"/>
  <c r="FW50" i="2"/>
  <c r="FX50" i="2"/>
  <c r="FY50" i="2"/>
  <c r="FZ50" i="2"/>
  <c r="GA50" i="2"/>
  <c r="GB50" i="2"/>
  <c r="GC50" i="2"/>
  <c r="GD50" i="2"/>
  <c r="GE50" i="2"/>
  <c r="GF50" i="2"/>
  <c r="GG50" i="2"/>
  <c r="GH50" i="2"/>
  <c r="GI50" i="2"/>
  <c r="GJ50" i="2"/>
  <c r="GK50" i="2"/>
  <c r="GL50" i="2"/>
  <c r="GM50" i="2"/>
  <c r="GN50" i="2"/>
  <c r="GO50" i="2"/>
  <c r="GP50" i="2"/>
  <c r="GQ50" i="2"/>
  <c r="GR50" i="2"/>
  <c r="GS50" i="2"/>
  <c r="GT50" i="2"/>
  <c r="GU50" i="2"/>
  <c r="GV50" i="2"/>
  <c r="GW50" i="2"/>
  <c r="GX50" i="2"/>
  <c r="AS83" i="2"/>
  <c r="AT83" i="2"/>
  <c r="AU83" i="2"/>
  <c r="AV83" i="2"/>
  <c r="AW83" i="2"/>
  <c r="AX83" i="2"/>
  <c r="AY83" i="2"/>
  <c r="AS84" i="2"/>
  <c r="AT84" i="2"/>
  <c r="AU84" i="2"/>
  <c r="AV84" i="2"/>
  <c r="AW84" i="2"/>
  <c r="AX84" i="2"/>
  <c r="AY84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BH21" i="2"/>
  <c r="BI21" i="2"/>
  <c r="BJ21" i="2"/>
  <c r="BK21" i="2"/>
  <c r="BL21" i="2"/>
  <c r="BM21" i="2"/>
  <c r="BN21" i="2"/>
  <c r="BO21" i="2"/>
  <c r="BP21" i="2"/>
  <c r="BQ21" i="2"/>
  <c r="BR21" i="2"/>
  <c r="BS21" i="2"/>
  <c r="BT21" i="2"/>
  <c r="BU21" i="2"/>
  <c r="BV21" i="2"/>
  <c r="BW21" i="2"/>
  <c r="BX21" i="2"/>
  <c r="BY21" i="2"/>
  <c r="BZ21" i="2"/>
  <c r="CA21" i="2"/>
  <c r="CB21" i="2"/>
  <c r="CC21" i="2"/>
  <c r="CD21" i="2"/>
  <c r="CE21" i="2"/>
  <c r="CF21" i="2"/>
  <c r="CG21" i="2"/>
  <c r="CH21" i="2"/>
  <c r="CI21" i="2"/>
  <c r="CJ21" i="2"/>
  <c r="CK21" i="2"/>
  <c r="CL21" i="2"/>
  <c r="CM21" i="2"/>
  <c r="CN21" i="2"/>
  <c r="CO21" i="2"/>
  <c r="CP21" i="2"/>
  <c r="CQ21" i="2"/>
  <c r="CR21" i="2"/>
  <c r="CS21" i="2"/>
  <c r="CT21" i="2"/>
  <c r="CU21" i="2"/>
  <c r="CV21" i="2"/>
  <c r="CW21" i="2"/>
  <c r="CX21" i="2"/>
  <c r="CY21" i="2"/>
  <c r="CZ21" i="2"/>
  <c r="DA21" i="2"/>
  <c r="DB21" i="2"/>
  <c r="DC21" i="2"/>
  <c r="DD21" i="2"/>
  <c r="DE21" i="2"/>
  <c r="DF21" i="2"/>
  <c r="DG21" i="2"/>
  <c r="DH21" i="2"/>
  <c r="DI21" i="2"/>
  <c r="DJ21" i="2"/>
  <c r="DK21" i="2"/>
  <c r="DL21" i="2"/>
  <c r="DM21" i="2"/>
  <c r="DN21" i="2"/>
  <c r="DO21" i="2"/>
  <c r="DP21" i="2"/>
  <c r="DQ21" i="2"/>
  <c r="DR21" i="2"/>
  <c r="DS21" i="2"/>
  <c r="DT21" i="2"/>
  <c r="DU21" i="2"/>
  <c r="DV21" i="2"/>
  <c r="DW21" i="2"/>
  <c r="DX21" i="2"/>
  <c r="DY21" i="2"/>
  <c r="DZ21" i="2"/>
  <c r="EA21" i="2"/>
  <c r="EB21" i="2"/>
  <c r="EC21" i="2"/>
  <c r="ED21" i="2"/>
  <c r="EE21" i="2"/>
  <c r="EF21" i="2"/>
  <c r="EG21" i="2"/>
  <c r="EH21" i="2"/>
  <c r="EI21" i="2"/>
  <c r="EJ21" i="2"/>
  <c r="EK21" i="2"/>
  <c r="EL21" i="2"/>
  <c r="EM21" i="2"/>
  <c r="EN21" i="2"/>
  <c r="EO21" i="2"/>
  <c r="EP21" i="2"/>
  <c r="EQ21" i="2"/>
  <c r="ER21" i="2"/>
  <c r="ES21" i="2"/>
  <c r="ET21" i="2"/>
  <c r="EU21" i="2"/>
  <c r="EV21" i="2"/>
  <c r="EW21" i="2"/>
  <c r="EX21" i="2"/>
  <c r="EY21" i="2"/>
  <c r="EZ21" i="2"/>
  <c r="FA21" i="2"/>
  <c r="FB21" i="2"/>
  <c r="FC21" i="2"/>
  <c r="FD21" i="2"/>
  <c r="FE21" i="2"/>
  <c r="FF21" i="2"/>
  <c r="FG21" i="2"/>
  <c r="FH21" i="2"/>
  <c r="FI21" i="2"/>
  <c r="FJ21" i="2"/>
  <c r="FK21" i="2"/>
  <c r="FL21" i="2"/>
  <c r="FM21" i="2"/>
  <c r="FN21" i="2"/>
  <c r="FO21" i="2"/>
  <c r="FP21" i="2"/>
  <c r="FQ21" i="2"/>
  <c r="FR21" i="2"/>
  <c r="FS21" i="2"/>
  <c r="FT21" i="2"/>
  <c r="FU21" i="2"/>
  <c r="FV21" i="2"/>
  <c r="FW21" i="2"/>
  <c r="FX21" i="2"/>
  <c r="FY21" i="2"/>
  <c r="FZ21" i="2"/>
  <c r="GA21" i="2"/>
  <c r="GB21" i="2"/>
  <c r="GC21" i="2"/>
  <c r="GD21" i="2"/>
  <c r="GE21" i="2"/>
  <c r="GF21" i="2"/>
  <c r="GG21" i="2"/>
  <c r="GH21" i="2"/>
  <c r="GI21" i="2"/>
  <c r="GJ21" i="2"/>
  <c r="GK21" i="2"/>
  <c r="GL21" i="2"/>
  <c r="GM21" i="2"/>
  <c r="GN21" i="2"/>
  <c r="GO21" i="2"/>
  <c r="GP21" i="2"/>
  <c r="GQ21" i="2"/>
  <c r="GR21" i="2"/>
  <c r="GS21" i="2"/>
  <c r="GT21" i="2"/>
  <c r="GU21" i="2"/>
  <c r="GV21" i="2"/>
  <c r="GW21" i="2"/>
  <c r="GX21" i="2"/>
  <c r="AS7" i="2"/>
  <c r="AT7" i="2"/>
  <c r="AU7" i="2"/>
  <c r="AV7" i="2"/>
  <c r="AW7" i="2"/>
  <c r="AX7" i="2"/>
  <c r="AY7" i="2"/>
  <c r="AZ7" i="2"/>
  <c r="BA7" i="2"/>
  <c r="BC7" i="2"/>
  <c r="BD7" i="2"/>
  <c r="BE7" i="2"/>
  <c r="BF7" i="2"/>
  <c r="BG7" i="2"/>
  <c r="BH7" i="2"/>
  <c r="BI7" i="2"/>
  <c r="BJ7" i="2"/>
  <c r="BK7" i="2"/>
  <c r="BL7" i="2"/>
  <c r="BM7" i="2"/>
  <c r="BN7" i="2"/>
  <c r="BO7" i="2"/>
  <c r="BP7" i="2"/>
  <c r="BQ7" i="2"/>
  <c r="BR7" i="2"/>
  <c r="BS7" i="2"/>
  <c r="BT7" i="2"/>
  <c r="BU7" i="2"/>
  <c r="BV7" i="2"/>
  <c r="BW7" i="2"/>
  <c r="BX7" i="2"/>
  <c r="BY7" i="2"/>
  <c r="BZ7" i="2"/>
  <c r="CA7" i="2"/>
  <c r="CB7" i="2"/>
  <c r="CC7" i="2"/>
  <c r="CD7" i="2"/>
  <c r="CE7" i="2"/>
  <c r="CF7" i="2"/>
  <c r="CG7" i="2"/>
  <c r="CH7" i="2"/>
  <c r="CI7" i="2"/>
  <c r="CJ7" i="2"/>
  <c r="CK7" i="2"/>
  <c r="CL7" i="2"/>
  <c r="CM7" i="2"/>
  <c r="CN7" i="2"/>
  <c r="CO7" i="2"/>
  <c r="CP7" i="2"/>
  <c r="CQ7" i="2"/>
  <c r="CR7" i="2"/>
  <c r="CS7" i="2"/>
  <c r="CT7" i="2"/>
  <c r="CU7" i="2"/>
  <c r="CV7" i="2"/>
  <c r="CW7" i="2"/>
  <c r="CX7" i="2"/>
  <c r="CY7" i="2"/>
  <c r="CZ7" i="2"/>
  <c r="DA7" i="2"/>
  <c r="DB7" i="2"/>
  <c r="DC7" i="2"/>
  <c r="DD7" i="2"/>
  <c r="DE7" i="2"/>
  <c r="DF7" i="2"/>
  <c r="DG7" i="2"/>
  <c r="DH7" i="2"/>
  <c r="DI7" i="2"/>
  <c r="DJ7" i="2"/>
  <c r="DK7" i="2"/>
  <c r="DL7" i="2"/>
  <c r="DM7" i="2"/>
  <c r="DN7" i="2"/>
  <c r="DO7" i="2"/>
  <c r="DP7" i="2"/>
  <c r="DQ7" i="2"/>
  <c r="DR7" i="2"/>
  <c r="DS7" i="2"/>
  <c r="DT7" i="2"/>
  <c r="DU7" i="2"/>
  <c r="DV7" i="2"/>
  <c r="DW7" i="2"/>
  <c r="DX7" i="2"/>
  <c r="DY7" i="2"/>
  <c r="DZ7" i="2"/>
  <c r="EA7" i="2"/>
  <c r="EB7" i="2"/>
  <c r="EC7" i="2"/>
  <c r="ED7" i="2"/>
  <c r="EE7" i="2"/>
  <c r="EF7" i="2"/>
  <c r="EG7" i="2"/>
  <c r="EH7" i="2"/>
  <c r="EI7" i="2"/>
  <c r="EJ7" i="2"/>
  <c r="EK7" i="2"/>
  <c r="EL7" i="2"/>
  <c r="EM7" i="2"/>
  <c r="EN7" i="2"/>
  <c r="EO7" i="2"/>
  <c r="EP7" i="2"/>
  <c r="EQ7" i="2"/>
  <c r="ER7" i="2"/>
  <c r="ES7" i="2"/>
  <c r="ET7" i="2"/>
  <c r="EU7" i="2"/>
  <c r="EV7" i="2"/>
  <c r="EW7" i="2"/>
  <c r="EX7" i="2"/>
  <c r="EY7" i="2"/>
  <c r="EZ7" i="2"/>
  <c r="FA7" i="2"/>
  <c r="FB7" i="2"/>
  <c r="FC7" i="2"/>
  <c r="FD7" i="2"/>
  <c r="FE7" i="2"/>
  <c r="FF7" i="2"/>
  <c r="FG7" i="2"/>
  <c r="FH7" i="2"/>
  <c r="FI7" i="2"/>
  <c r="FJ7" i="2"/>
  <c r="FK7" i="2"/>
  <c r="FL7" i="2"/>
  <c r="FM7" i="2"/>
  <c r="FN7" i="2"/>
  <c r="FO7" i="2"/>
  <c r="FP7" i="2"/>
  <c r="FQ7" i="2"/>
  <c r="FR7" i="2"/>
  <c r="FS7" i="2"/>
  <c r="FT7" i="2"/>
  <c r="FU7" i="2"/>
  <c r="FV7" i="2"/>
  <c r="FW7" i="2"/>
  <c r="FX7" i="2"/>
  <c r="FY7" i="2"/>
  <c r="FZ7" i="2"/>
  <c r="GA7" i="2"/>
  <c r="GB7" i="2"/>
  <c r="GC7" i="2"/>
  <c r="GD7" i="2"/>
  <c r="GE7" i="2"/>
  <c r="GF7" i="2"/>
  <c r="GG7" i="2"/>
  <c r="GH7" i="2"/>
  <c r="GI7" i="2"/>
  <c r="GJ7" i="2"/>
  <c r="GK7" i="2"/>
  <c r="GL7" i="2"/>
  <c r="GM7" i="2"/>
  <c r="GN7" i="2"/>
  <c r="GO7" i="2"/>
  <c r="GP7" i="2"/>
  <c r="GQ7" i="2"/>
  <c r="GR7" i="2"/>
  <c r="GS7" i="2"/>
  <c r="GT7" i="2"/>
  <c r="GU7" i="2"/>
  <c r="GV7" i="2"/>
  <c r="GW7" i="2"/>
  <c r="GX7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BJ9" i="2"/>
  <c r="BL9" i="2"/>
  <c r="BM9" i="2"/>
  <c r="BN9" i="2"/>
  <c r="BO9" i="2"/>
  <c r="BP9" i="2"/>
  <c r="BQ9" i="2"/>
  <c r="BR9" i="2"/>
  <c r="BS9" i="2"/>
  <c r="BT9" i="2"/>
  <c r="BU9" i="2"/>
  <c r="BV9" i="2"/>
  <c r="BW9" i="2"/>
  <c r="BX9" i="2"/>
  <c r="BY9" i="2"/>
  <c r="BZ9" i="2"/>
  <c r="CA9" i="2"/>
  <c r="CB9" i="2"/>
  <c r="CC9" i="2"/>
  <c r="CD9" i="2"/>
  <c r="CE9" i="2"/>
  <c r="CF9" i="2"/>
  <c r="CG9" i="2"/>
  <c r="CH9" i="2"/>
  <c r="CI9" i="2"/>
  <c r="CJ9" i="2"/>
  <c r="CK9" i="2"/>
  <c r="CL9" i="2"/>
  <c r="CM9" i="2"/>
  <c r="CN9" i="2"/>
  <c r="CO9" i="2"/>
  <c r="CP9" i="2"/>
  <c r="CQ9" i="2"/>
  <c r="CR9" i="2"/>
  <c r="CS9" i="2"/>
  <c r="CT9" i="2"/>
  <c r="CU9" i="2"/>
  <c r="CV9" i="2"/>
  <c r="CW9" i="2"/>
  <c r="CX9" i="2"/>
  <c r="CY9" i="2"/>
  <c r="CZ9" i="2"/>
  <c r="DA9" i="2"/>
  <c r="DB9" i="2"/>
  <c r="DC9" i="2"/>
  <c r="DD9" i="2"/>
  <c r="DE9" i="2"/>
  <c r="DF9" i="2"/>
  <c r="DG9" i="2"/>
  <c r="DH9" i="2"/>
  <c r="DI9" i="2"/>
  <c r="DJ9" i="2"/>
  <c r="DK9" i="2"/>
  <c r="DL9" i="2"/>
  <c r="DM9" i="2"/>
  <c r="DN9" i="2"/>
  <c r="DO9" i="2"/>
  <c r="DP9" i="2"/>
  <c r="DQ9" i="2"/>
  <c r="DR9" i="2"/>
  <c r="DS9" i="2"/>
  <c r="DT9" i="2"/>
  <c r="DU9" i="2"/>
  <c r="DV9" i="2"/>
  <c r="DW9" i="2"/>
  <c r="DX9" i="2"/>
  <c r="DY9" i="2"/>
  <c r="DZ9" i="2"/>
  <c r="EA9" i="2"/>
  <c r="EB9" i="2"/>
  <c r="EC9" i="2"/>
  <c r="ED9" i="2"/>
  <c r="EE9" i="2"/>
  <c r="EF9" i="2"/>
  <c r="EG9" i="2"/>
  <c r="EH9" i="2"/>
  <c r="EI9" i="2"/>
  <c r="EJ9" i="2"/>
  <c r="EK9" i="2"/>
  <c r="EL9" i="2"/>
  <c r="EM9" i="2"/>
  <c r="EN9" i="2"/>
  <c r="EO9" i="2"/>
  <c r="EP9" i="2"/>
  <c r="EQ9" i="2"/>
  <c r="ER9" i="2"/>
  <c r="ES9" i="2"/>
  <c r="ET9" i="2"/>
  <c r="EU9" i="2"/>
  <c r="EV9" i="2"/>
  <c r="EW9" i="2"/>
  <c r="EX9" i="2"/>
  <c r="EY9" i="2"/>
  <c r="EZ9" i="2"/>
  <c r="FA9" i="2"/>
  <c r="FB9" i="2"/>
  <c r="FC9" i="2"/>
  <c r="FD9" i="2"/>
  <c r="FE9" i="2"/>
  <c r="FF9" i="2"/>
  <c r="FG9" i="2"/>
  <c r="FH9" i="2"/>
  <c r="FI9" i="2"/>
  <c r="FJ9" i="2"/>
  <c r="FK9" i="2"/>
  <c r="FL9" i="2"/>
  <c r="FM9" i="2"/>
  <c r="FN9" i="2"/>
  <c r="FO9" i="2"/>
  <c r="FP9" i="2"/>
  <c r="FQ9" i="2"/>
  <c r="FR9" i="2"/>
  <c r="FS9" i="2"/>
  <c r="FT9" i="2"/>
  <c r="FU9" i="2"/>
  <c r="FV9" i="2"/>
  <c r="FW9" i="2"/>
  <c r="FX9" i="2"/>
  <c r="FY9" i="2"/>
  <c r="FZ9" i="2"/>
  <c r="GA9" i="2"/>
  <c r="GB9" i="2"/>
  <c r="GC9" i="2"/>
  <c r="GD9" i="2"/>
  <c r="GE9" i="2"/>
  <c r="GF9" i="2"/>
  <c r="GG9" i="2"/>
  <c r="GH9" i="2"/>
  <c r="GI9" i="2"/>
  <c r="GJ9" i="2"/>
  <c r="GK9" i="2"/>
  <c r="GL9" i="2"/>
  <c r="GM9" i="2"/>
  <c r="GN9" i="2"/>
  <c r="GO9" i="2"/>
  <c r="GP9" i="2"/>
  <c r="GQ9" i="2"/>
  <c r="GR9" i="2"/>
  <c r="GS9" i="2"/>
  <c r="GT9" i="2"/>
  <c r="GU9" i="2"/>
  <c r="GV9" i="2"/>
  <c r="GW9" i="2"/>
  <c r="GX9" i="2"/>
  <c r="AS14" i="2"/>
  <c r="AT14" i="2"/>
  <c r="AU14" i="2"/>
  <c r="AV14" i="2"/>
  <c r="AX14" i="2"/>
  <c r="AY14" i="2"/>
  <c r="AZ14" i="2"/>
  <c r="BA14" i="2"/>
  <c r="BB14" i="2"/>
  <c r="BC14" i="2"/>
  <c r="BD14" i="2"/>
  <c r="BE14" i="2"/>
  <c r="BF14" i="2"/>
  <c r="BG14" i="2"/>
  <c r="BH14" i="2"/>
  <c r="BI14" i="2"/>
  <c r="BJ14" i="2"/>
  <c r="BK14" i="2"/>
  <c r="BL14" i="2"/>
  <c r="BM14" i="2"/>
  <c r="BN14" i="2"/>
  <c r="BO14" i="2"/>
  <c r="BP14" i="2"/>
  <c r="BQ14" i="2"/>
  <c r="BR14" i="2"/>
  <c r="BS14" i="2"/>
  <c r="BT14" i="2"/>
  <c r="BU14" i="2"/>
  <c r="BV14" i="2"/>
  <c r="BW14" i="2"/>
  <c r="BX14" i="2"/>
  <c r="BY14" i="2"/>
  <c r="BZ14" i="2"/>
  <c r="CA14" i="2"/>
  <c r="CB14" i="2"/>
  <c r="CC14" i="2"/>
  <c r="CD14" i="2"/>
  <c r="CE14" i="2"/>
  <c r="CF14" i="2"/>
  <c r="CG14" i="2"/>
  <c r="CH14" i="2"/>
  <c r="CI14" i="2"/>
  <c r="CJ14" i="2"/>
  <c r="CK14" i="2"/>
  <c r="CL14" i="2"/>
  <c r="CM14" i="2"/>
  <c r="CN14" i="2"/>
  <c r="CO14" i="2"/>
  <c r="CP14" i="2"/>
  <c r="CQ14" i="2"/>
  <c r="CR14" i="2"/>
  <c r="CS14" i="2"/>
  <c r="CT14" i="2"/>
  <c r="CU14" i="2"/>
  <c r="CV14" i="2"/>
  <c r="CW14" i="2"/>
  <c r="CX14" i="2"/>
  <c r="CY14" i="2"/>
  <c r="CZ14" i="2"/>
  <c r="DA14" i="2"/>
  <c r="DB14" i="2"/>
  <c r="DC14" i="2"/>
  <c r="DD14" i="2"/>
  <c r="DE14" i="2"/>
  <c r="DF14" i="2"/>
  <c r="DG14" i="2"/>
  <c r="DH14" i="2"/>
  <c r="DI14" i="2"/>
  <c r="DJ14" i="2"/>
  <c r="DK14" i="2"/>
  <c r="DL14" i="2"/>
  <c r="DM14" i="2"/>
  <c r="DN14" i="2"/>
  <c r="DO14" i="2"/>
  <c r="DP14" i="2"/>
  <c r="DQ14" i="2"/>
  <c r="DR14" i="2"/>
  <c r="DS14" i="2"/>
  <c r="DT14" i="2"/>
  <c r="DU14" i="2"/>
  <c r="DV14" i="2"/>
  <c r="DW14" i="2"/>
  <c r="DX14" i="2"/>
  <c r="DY14" i="2"/>
  <c r="DZ14" i="2"/>
  <c r="EA14" i="2"/>
  <c r="EB14" i="2"/>
  <c r="EC14" i="2"/>
  <c r="ED14" i="2"/>
  <c r="EE14" i="2"/>
  <c r="EF14" i="2"/>
  <c r="EG14" i="2"/>
  <c r="EH14" i="2"/>
  <c r="EI14" i="2"/>
  <c r="EJ14" i="2"/>
  <c r="EK14" i="2"/>
  <c r="EL14" i="2"/>
  <c r="EM14" i="2"/>
  <c r="EN14" i="2"/>
  <c r="EO14" i="2"/>
  <c r="EP14" i="2"/>
  <c r="EQ14" i="2"/>
  <c r="ER14" i="2"/>
  <c r="ES14" i="2"/>
  <c r="ET14" i="2"/>
  <c r="EU14" i="2"/>
  <c r="EV14" i="2"/>
  <c r="EW14" i="2"/>
  <c r="EX14" i="2"/>
  <c r="EY14" i="2"/>
  <c r="EZ14" i="2"/>
  <c r="FA14" i="2"/>
  <c r="FB14" i="2"/>
  <c r="FC14" i="2"/>
  <c r="FD14" i="2"/>
  <c r="FE14" i="2"/>
  <c r="FF14" i="2"/>
  <c r="FG14" i="2"/>
  <c r="FH14" i="2"/>
  <c r="FI14" i="2"/>
  <c r="FJ14" i="2"/>
  <c r="FK14" i="2"/>
  <c r="FL14" i="2"/>
  <c r="FM14" i="2"/>
  <c r="FN14" i="2"/>
  <c r="FO14" i="2"/>
  <c r="FP14" i="2"/>
  <c r="FQ14" i="2"/>
  <c r="FR14" i="2"/>
  <c r="FS14" i="2"/>
  <c r="FT14" i="2"/>
  <c r="FU14" i="2"/>
  <c r="FV14" i="2"/>
  <c r="FW14" i="2"/>
  <c r="FX14" i="2"/>
  <c r="FY14" i="2"/>
  <c r="FZ14" i="2"/>
  <c r="GA14" i="2"/>
  <c r="GB14" i="2"/>
  <c r="GC14" i="2"/>
  <c r="GD14" i="2"/>
  <c r="GE14" i="2"/>
  <c r="GF14" i="2"/>
  <c r="GG14" i="2"/>
  <c r="GH14" i="2"/>
  <c r="GI14" i="2"/>
  <c r="GJ14" i="2"/>
  <c r="GK14" i="2"/>
  <c r="GL14" i="2"/>
  <c r="GM14" i="2"/>
  <c r="GN14" i="2"/>
  <c r="GO14" i="2"/>
  <c r="GP14" i="2"/>
  <c r="GQ14" i="2"/>
  <c r="GR14" i="2"/>
  <c r="GS14" i="2"/>
  <c r="GT14" i="2"/>
  <c r="GU14" i="2"/>
  <c r="GV14" i="2"/>
  <c r="GW14" i="2"/>
  <c r="GX14" i="2"/>
  <c r="AS30" i="2"/>
  <c r="AT30" i="2"/>
  <c r="AU30" i="2"/>
  <c r="AV30" i="2"/>
  <c r="AW30" i="2"/>
  <c r="AY30" i="2"/>
  <c r="AZ30" i="2"/>
  <c r="BA30" i="2"/>
  <c r="BB30" i="2"/>
  <c r="BC30" i="2"/>
  <c r="BD30" i="2"/>
  <c r="BE30" i="2"/>
  <c r="BF30" i="2"/>
  <c r="BG30" i="2"/>
  <c r="BH30" i="2"/>
  <c r="BI30" i="2"/>
  <c r="BJ30" i="2"/>
  <c r="BK30" i="2"/>
  <c r="BL30" i="2"/>
  <c r="BM30" i="2"/>
  <c r="BN30" i="2"/>
  <c r="BP30" i="2"/>
  <c r="BQ30" i="2"/>
  <c r="BR30" i="2"/>
  <c r="BS30" i="2"/>
  <c r="BT30" i="2"/>
  <c r="BU30" i="2"/>
  <c r="BV30" i="2"/>
  <c r="BW30" i="2"/>
  <c r="BX30" i="2"/>
  <c r="BY30" i="2"/>
  <c r="BZ30" i="2"/>
  <c r="CA30" i="2"/>
  <c r="CB30" i="2"/>
  <c r="CC30" i="2"/>
  <c r="CD30" i="2"/>
  <c r="CE30" i="2"/>
  <c r="CF30" i="2"/>
  <c r="CG30" i="2"/>
  <c r="CH30" i="2"/>
  <c r="CI30" i="2"/>
  <c r="CJ30" i="2"/>
  <c r="CK30" i="2"/>
  <c r="CL30" i="2"/>
  <c r="CM30" i="2"/>
  <c r="CN30" i="2"/>
  <c r="CO30" i="2"/>
  <c r="CP30" i="2"/>
  <c r="CQ30" i="2"/>
  <c r="CR30" i="2"/>
  <c r="CS30" i="2"/>
  <c r="CT30" i="2"/>
  <c r="CU30" i="2"/>
  <c r="CV30" i="2"/>
  <c r="CW30" i="2"/>
  <c r="CX30" i="2"/>
  <c r="CY30" i="2"/>
  <c r="CZ30" i="2"/>
  <c r="DA30" i="2"/>
  <c r="DB30" i="2"/>
  <c r="DC30" i="2"/>
  <c r="DD30" i="2"/>
  <c r="DE30" i="2"/>
  <c r="DF30" i="2"/>
  <c r="DG30" i="2"/>
  <c r="DH30" i="2"/>
  <c r="DI30" i="2"/>
  <c r="DJ30" i="2"/>
  <c r="DK30" i="2"/>
  <c r="DL30" i="2"/>
  <c r="DM30" i="2"/>
  <c r="DN30" i="2"/>
  <c r="DO30" i="2"/>
  <c r="DP30" i="2"/>
  <c r="DQ30" i="2"/>
  <c r="DR30" i="2"/>
  <c r="DS30" i="2"/>
  <c r="DT30" i="2"/>
  <c r="DU30" i="2"/>
  <c r="DV30" i="2"/>
  <c r="DW30" i="2"/>
  <c r="DX30" i="2"/>
  <c r="DY30" i="2"/>
  <c r="DZ30" i="2"/>
  <c r="EA30" i="2"/>
  <c r="EB30" i="2"/>
  <c r="EC30" i="2"/>
  <c r="ED30" i="2"/>
  <c r="EE30" i="2"/>
  <c r="EF30" i="2"/>
  <c r="EG30" i="2"/>
  <c r="EH30" i="2"/>
  <c r="EI30" i="2"/>
  <c r="EJ30" i="2"/>
  <c r="EK30" i="2"/>
  <c r="EL30" i="2"/>
  <c r="EM30" i="2"/>
  <c r="EN30" i="2"/>
  <c r="EO30" i="2"/>
  <c r="EP30" i="2"/>
  <c r="EQ30" i="2"/>
  <c r="ER30" i="2"/>
  <c r="ES30" i="2"/>
  <c r="ET30" i="2"/>
  <c r="EU30" i="2"/>
  <c r="EV30" i="2"/>
  <c r="EW30" i="2"/>
  <c r="EX30" i="2"/>
  <c r="EY30" i="2"/>
  <c r="EZ30" i="2"/>
  <c r="FA30" i="2"/>
  <c r="FB30" i="2"/>
  <c r="FC30" i="2"/>
  <c r="FD30" i="2"/>
  <c r="FE30" i="2"/>
  <c r="FF30" i="2"/>
  <c r="FG30" i="2"/>
  <c r="FH30" i="2"/>
  <c r="FI30" i="2"/>
  <c r="FJ30" i="2"/>
  <c r="FK30" i="2"/>
  <c r="FL30" i="2"/>
  <c r="FM30" i="2"/>
  <c r="FN30" i="2"/>
  <c r="FO30" i="2"/>
  <c r="FP30" i="2"/>
  <c r="FQ30" i="2"/>
  <c r="FR30" i="2"/>
  <c r="FS30" i="2"/>
  <c r="FT30" i="2"/>
  <c r="FU30" i="2"/>
  <c r="FV30" i="2"/>
  <c r="FW30" i="2"/>
  <c r="FX30" i="2"/>
  <c r="FY30" i="2"/>
  <c r="FZ30" i="2"/>
  <c r="GA30" i="2"/>
  <c r="GB30" i="2"/>
  <c r="GC30" i="2"/>
  <c r="GD30" i="2"/>
  <c r="GE30" i="2"/>
  <c r="GF30" i="2"/>
  <c r="GG30" i="2"/>
  <c r="GH30" i="2"/>
  <c r="GI30" i="2"/>
  <c r="GJ30" i="2"/>
  <c r="GK30" i="2"/>
  <c r="GL30" i="2"/>
  <c r="GM30" i="2"/>
  <c r="GN30" i="2"/>
  <c r="GO30" i="2"/>
  <c r="GP30" i="2"/>
  <c r="GQ30" i="2"/>
  <c r="GR30" i="2"/>
  <c r="GS30" i="2"/>
  <c r="GT30" i="2"/>
  <c r="GU30" i="2"/>
  <c r="GV30" i="2"/>
  <c r="GW30" i="2"/>
  <c r="GX30" i="2"/>
  <c r="AS46" i="2"/>
  <c r="AT46" i="2"/>
  <c r="AU46" i="2"/>
  <c r="AV46" i="2"/>
  <c r="AW46" i="2"/>
  <c r="AX46" i="2"/>
  <c r="AY46" i="2"/>
  <c r="AZ46" i="2"/>
  <c r="BB46" i="2"/>
  <c r="BC46" i="2"/>
  <c r="BD46" i="2"/>
  <c r="BE46" i="2"/>
  <c r="BF46" i="2"/>
  <c r="BG46" i="2"/>
  <c r="BH46" i="2"/>
  <c r="BI46" i="2"/>
  <c r="BJ46" i="2"/>
  <c r="AS94" i="2"/>
  <c r="AT94" i="2"/>
  <c r="AU94" i="2"/>
  <c r="AV94" i="2"/>
  <c r="AX94" i="2"/>
  <c r="AY94" i="2"/>
  <c r="AZ94" i="2"/>
  <c r="BA94" i="2"/>
  <c r="BB94" i="2"/>
  <c r="BC94" i="2"/>
  <c r="BD94" i="2"/>
  <c r="BE94" i="2"/>
  <c r="BF94" i="2"/>
  <c r="BG94" i="2"/>
  <c r="BH94" i="2"/>
  <c r="BI94" i="2"/>
  <c r="BJ94" i="2"/>
  <c r="BK94" i="2"/>
  <c r="BL94" i="2"/>
  <c r="BN94" i="2"/>
  <c r="BO94" i="2"/>
  <c r="BP94" i="2"/>
  <c r="BQ94" i="2"/>
  <c r="BR94" i="2"/>
  <c r="BS94" i="2"/>
  <c r="BT94" i="2"/>
  <c r="BU94" i="2"/>
  <c r="BV94" i="2"/>
  <c r="BW94" i="2"/>
  <c r="BX94" i="2"/>
  <c r="BY94" i="2"/>
  <c r="BZ94" i="2"/>
  <c r="CA94" i="2"/>
  <c r="CB94" i="2"/>
  <c r="CC94" i="2"/>
  <c r="CD94" i="2"/>
  <c r="CE94" i="2"/>
  <c r="CF94" i="2"/>
  <c r="CG94" i="2"/>
  <c r="CH94" i="2"/>
  <c r="CI94" i="2"/>
  <c r="CJ94" i="2"/>
  <c r="CK94" i="2"/>
  <c r="CL94" i="2"/>
  <c r="CM94" i="2"/>
  <c r="CN94" i="2"/>
  <c r="CO94" i="2"/>
  <c r="CP94" i="2"/>
  <c r="CQ94" i="2"/>
  <c r="CR94" i="2"/>
  <c r="CS94" i="2"/>
  <c r="CT94" i="2"/>
  <c r="CU94" i="2"/>
  <c r="CV94" i="2"/>
  <c r="CW94" i="2"/>
  <c r="CX94" i="2"/>
  <c r="CY94" i="2"/>
  <c r="CZ94" i="2"/>
  <c r="DA94" i="2"/>
  <c r="DB94" i="2"/>
  <c r="DC94" i="2"/>
  <c r="DD94" i="2"/>
  <c r="DE94" i="2"/>
  <c r="DF94" i="2"/>
  <c r="DG94" i="2"/>
  <c r="DH94" i="2"/>
  <c r="DI94" i="2"/>
  <c r="DJ94" i="2"/>
  <c r="DK94" i="2"/>
  <c r="DL94" i="2"/>
  <c r="DM94" i="2"/>
  <c r="DN94" i="2"/>
  <c r="DO94" i="2"/>
  <c r="DP94" i="2"/>
  <c r="DQ94" i="2"/>
  <c r="DR94" i="2"/>
  <c r="DS94" i="2"/>
  <c r="DT94" i="2"/>
  <c r="DU94" i="2"/>
  <c r="DV94" i="2"/>
  <c r="DW94" i="2"/>
  <c r="DX94" i="2"/>
  <c r="DY94" i="2"/>
  <c r="DZ94" i="2"/>
  <c r="EA94" i="2"/>
  <c r="EB94" i="2"/>
  <c r="EC94" i="2"/>
  <c r="ED94" i="2"/>
  <c r="EE94" i="2"/>
  <c r="EF94" i="2"/>
  <c r="EG94" i="2"/>
  <c r="EH94" i="2"/>
  <c r="EI94" i="2"/>
  <c r="EJ94" i="2"/>
  <c r="EK94" i="2"/>
  <c r="EL94" i="2"/>
  <c r="EM94" i="2"/>
  <c r="EN94" i="2"/>
  <c r="EO94" i="2"/>
  <c r="EP94" i="2"/>
  <c r="EQ94" i="2"/>
  <c r="ER94" i="2"/>
  <c r="ES94" i="2"/>
  <c r="ET94" i="2"/>
  <c r="EU94" i="2"/>
  <c r="EV94" i="2"/>
  <c r="EW94" i="2"/>
  <c r="EX94" i="2"/>
  <c r="EY94" i="2"/>
  <c r="EZ94" i="2"/>
  <c r="FA94" i="2"/>
  <c r="FB94" i="2"/>
  <c r="FC94" i="2"/>
  <c r="FD94" i="2"/>
  <c r="FE94" i="2"/>
  <c r="FF94" i="2"/>
  <c r="FG94" i="2"/>
  <c r="FH94" i="2"/>
  <c r="FI94" i="2"/>
  <c r="FJ94" i="2"/>
  <c r="FK94" i="2"/>
  <c r="FL94" i="2"/>
  <c r="FM94" i="2"/>
  <c r="FN94" i="2"/>
  <c r="FO94" i="2"/>
  <c r="FP94" i="2"/>
  <c r="FQ94" i="2"/>
  <c r="FR94" i="2"/>
  <c r="FS94" i="2"/>
  <c r="FT94" i="2"/>
  <c r="FU94" i="2"/>
  <c r="FV94" i="2"/>
  <c r="FW94" i="2"/>
  <c r="FX94" i="2"/>
  <c r="FY94" i="2"/>
  <c r="FZ94" i="2"/>
  <c r="GA94" i="2"/>
  <c r="GB94" i="2"/>
  <c r="GC94" i="2"/>
  <c r="GD94" i="2"/>
  <c r="GE94" i="2"/>
  <c r="GF94" i="2"/>
  <c r="GG94" i="2"/>
  <c r="GH94" i="2"/>
  <c r="GI94" i="2"/>
  <c r="GJ94" i="2"/>
  <c r="GK94" i="2"/>
  <c r="GL94" i="2"/>
  <c r="GM94" i="2"/>
  <c r="GN94" i="2"/>
  <c r="GO94" i="2"/>
  <c r="GP94" i="2"/>
  <c r="GQ94" i="2"/>
  <c r="GR94" i="2"/>
  <c r="GS94" i="2"/>
  <c r="GT94" i="2"/>
  <c r="GU94" i="2"/>
  <c r="GV94" i="2"/>
  <c r="GW94" i="2"/>
  <c r="GX94" i="2"/>
  <c r="AS79" i="2"/>
  <c r="AT79" i="2"/>
  <c r="AU79" i="2"/>
  <c r="AV79" i="2"/>
  <c r="AW79" i="2"/>
  <c r="AX79" i="2"/>
  <c r="AY79" i="2"/>
  <c r="AZ79" i="2"/>
  <c r="BA79" i="2"/>
  <c r="BB79" i="2"/>
  <c r="BC79" i="2"/>
  <c r="BD79" i="2"/>
  <c r="BE79" i="2"/>
  <c r="BF79" i="2"/>
  <c r="BG79" i="2"/>
  <c r="BI79" i="2"/>
  <c r="BJ79" i="2"/>
  <c r="BK79" i="2"/>
  <c r="BL79" i="2"/>
  <c r="BM79" i="2"/>
  <c r="BN79" i="2"/>
  <c r="BO79" i="2"/>
  <c r="BP79" i="2"/>
  <c r="BQ79" i="2"/>
  <c r="BR79" i="2"/>
  <c r="BS79" i="2"/>
  <c r="BT79" i="2"/>
  <c r="BU79" i="2"/>
  <c r="BV79" i="2"/>
  <c r="BW79" i="2"/>
  <c r="BX79" i="2"/>
  <c r="BY79" i="2"/>
  <c r="BZ79" i="2"/>
  <c r="CA79" i="2"/>
  <c r="CB79" i="2"/>
  <c r="CC79" i="2"/>
  <c r="CD79" i="2"/>
  <c r="CE79" i="2"/>
  <c r="CF79" i="2"/>
  <c r="CG79" i="2"/>
  <c r="CH79" i="2"/>
  <c r="CI79" i="2"/>
  <c r="CJ79" i="2"/>
  <c r="CK79" i="2"/>
  <c r="CL79" i="2"/>
  <c r="CM79" i="2"/>
  <c r="CN79" i="2"/>
  <c r="CO79" i="2"/>
  <c r="CP79" i="2"/>
  <c r="CQ79" i="2"/>
  <c r="CR79" i="2"/>
  <c r="CS79" i="2"/>
  <c r="CT79" i="2"/>
  <c r="CU79" i="2"/>
  <c r="CV79" i="2"/>
  <c r="CW79" i="2"/>
  <c r="CX79" i="2"/>
  <c r="CY79" i="2"/>
  <c r="CZ79" i="2"/>
  <c r="DA79" i="2"/>
  <c r="DB79" i="2"/>
  <c r="DC79" i="2"/>
  <c r="DD79" i="2"/>
  <c r="DE79" i="2"/>
  <c r="DF79" i="2"/>
  <c r="DG79" i="2"/>
  <c r="DH79" i="2"/>
  <c r="DI79" i="2"/>
  <c r="DJ79" i="2"/>
  <c r="DK79" i="2"/>
  <c r="DL79" i="2"/>
  <c r="DM79" i="2"/>
  <c r="DN79" i="2"/>
  <c r="DO79" i="2"/>
  <c r="DP79" i="2"/>
  <c r="DQ79" i="2"/>
  <c r="DR79" i="2"/>
  <c r="DS79" i="2"/>
  <c r="DT79" i="2"/>
  <c r="DU79" i="2"/>
  <c r="DV79" i="2"/>
  <c r="DW79" i="2"/>
  <c r="DX79" i="2"/>
  <c r="DY79" i="2"/>
  <c r="DZ79" i="2"/>
  <c r="EA79" i="2"/>
  <c r="EB79" i="2"/>
  <c r="EC79" i="2"/>
  <c r="ED79" i="2"/>
  <c r="EE79" i="2"/>
  <c r="EF79" i="2"/>
  <c r="EG79" i="2"/>
  <c r="EH79" i="2"/>
  <c r="EI79" i="2"/>
  <c r="EJ79" i="2"/>
  <c r="EK79" i="2"/>
  <c r="EL79" i="2"/>
  <c r="EM79" i="2"/>
  <c r="EN79" i="2"/>
  <c r="EO79" i="2"/>
  <c r="EP79" i="2"/>
  <c r="EQ79" i="2"/>
  <c r="ER79" i="2"/>
  <c r="ES79" i="2"/>
  <c r="ET79" i="2"/>
  <c r="EU79" i="2"/>
  <c r="EV79" i="2"/>
  <c r="EW79" i="2"/>
  <c r="EX79" i="2"/>
  <c r="EY79" i="2"/>
  <c r="EZ79" i="2"/>
  <c r="FA79" i="2"/>
  <c r="FB79" i="2"/>
  <c r="FC79" i="2"/>
  <c r="FD79" i="2"/>
  <c r="FE79" i="2"/>
  <c r="FF79" i="2"/>
  <c r="FG79" i="2"/>
  <c r="FH79" i="2"/>
  <c r="FI79" i="2"/>
  <c r="FJ79" i="2"/>
  <c r="FK79" i="2"/>
  <c r="FL79" i="2"/>
  <c r="FM79" i="2"/>
  <c r="FN79" i="2"/>
  <c r="FO79" i="2"/>
  <c r="FP79" i="2"/>
  <c r="FQ79" i="2"/>
  <c r="FR79" i="2"/>
  <c r="FS79" i="2"/>
  <c r="FT79" i="2"/>
  <c r="FU79" i="2"/>
  <c r="FV79" i="2"/>
  <c r="FW79" i="2"/>
  <c r="FX79" i="2"/>
  <c r="FY79" i="2"/>
  <c r="FZ79" i="2"/>
  <c r="GA79" i="2"/>
  <c r="GB79" i="2"/>
  <c r="GC79" i="2"/>
  <c r="GD79" i="2"/>
  <c r="GE79" i="2"/>
  <c r="GF79" i="2"/>
  <c r="GG79" i="2"/>
  <c r="GH79" i="2"/>
  <c r="GI79" i="2"/>
  <c r="GJ79" i="2"/>
  <c r="GK79" i="2"/>
  <c r="GL79" i="2"/>
  <c r="GM79" i="2"/>
  <c r="GN79" i="2"/>
  <c r="GO79" i="2"/>
  <c r="GP79" i="2"/>
  <c r="GQ79" i="2"/>
  <c r="GR79" i="2"/>
  <c r="GS79" i="2"/>
  <c r="GT79" i="2"/>
  <c r="GU79" i="2"/>
  <c r="GV79" i="2"/>
  <c r="GW79" i="2"/>
  <c r="GX79" i="2"/>
  <c r="AS66" i="2"/>
  <c r="AU66" i="2"/>
  <c r="AV66" i="2"/>
  <c r="AW66" i="2"/>
  <c r="AX66" i="2"/>
  <c r="AY66" i="2"/>
  <c r="AZ66" i="2"/>
  <c r="BA66" i="2"/>
  <c r="BB66" i="2"/>
  <c r="BC66" i="2"/>
  <c r="BD66" i="2"/>
  <c r="BE66" i="2"/>
  <c r="BF66" i="2"/>
  <c r="BG66" i="2"/>
  <c r="BH66" i="2"/>
  <c r="BI66" i="2"/>
  <c r="BJ66" i="2"/>
  <c r="BK66" i="2"/>
  <c r="BL66" i="2"/>
  <c r="BN66" i="2"/>
  <c r="BO66" i="2"/>
  <c r="BP66" i="2"/>
  <c r="BQ66" i="2"/>
  <c r="BR66" i="2"/>
  <c r="BS66" i="2"/>
  <c r="BT66" i="2"/>
  <c r="BU66" i="2"/>
  <c r="BV66" i="2"/>
  <c r="BW66" i="2"/>
  <c r="BX66" i="2"/>
  <c r="BY66" i="2"/>
  <c r="BZ66" i="2"/>
  <c r="CA66" i="2"/>
  <c r="CB66" i="2"/>
  <c r="CC66" i="2"/>
  <c r="CD66" i="2"/>
  <c r="CE66" i="2"/>
  <c r="CF66" i="2"/>
  <c r="CG66" i="2"/>
  <c r="CH66" i="2"/>
  <c r="CI66" i="2"/>
  <c r="CJ66" i="2"/>
  <c r="CK66" i="2"/>
  <c r="CL66" i="2"/>
  <c r="CM66" i="2"/>
  <c r="CN66" i="2"/>
  <c r="CO66" i="2"/>
  <c r="CP66" i="2"/>
  <c r="CQ66" i="2"/>
  <c r="CR66" i="2"/>
  <c r="CS66" i="2"/>
  <c r="CT66" i="2"/>
  <c r="CU66" i="2"/>
  <c r="CV66" i="2"/>
  <c r="CW66" i="2"/>
  <c r="CX66" i="2"/>
  <c r="CY66" i="2"/>
  <c r="CZ66" i="2"/>
  <c r="DA66" i="2"/>
  <c r="DB66" i="2"/>
  <c r="DC66" i="2"/>
  <c r="DD66" i="2"/>
  <c r="DE66" i="2"/>
  <c r="DF66" i="2"/>
  <c r="DG66" i="2"/>
  <c r="DH66" i="2"/>
  <c r="DI66" i="2"/>
  <c r="DJ66" i="2"/>
  <c r="DK66" i="2"/>
  <c r="DL66" i="2"/>
  <c r="DM66" i="2"/>
  <c r="DN66" i="2"/>
  <c r="DO66" i="2"/>
  <c r="DP66" i="2"/>
  <c r="DQ66" i="2"/>
  <c r="DR66" i="2"/>
  <c r="DS66" i="2"/>
  <c r="DT66" i="2"/>
  <c r="DU66" i="2"/>
  <c r="DV66" i="2"/>
  <c r="DW66" i="2"/>
  <c r="DX66" i="2"/>
  <c r="DY66" i="2"/>
  <c r="DZ66" i="2"/>
  <c r="EA66" i="2"/>
  <c r="EB66" i="2"/>
  <c r="EC66" i="2"/>
  <c r="ED66" i="2"/>
  <c r="EE66" i="2"/>
  <c r="EF66" i="2"/>
  <c r="EG66" i="2"/>
  <c r="EH66" i="2"/>
  <c r="EI66" i="2"/>
  <c r="EJ66" i="2"/>
  <c r="EK66" i="2"/>
  <c r="EL66" i="2"/>
  <c r="EM66" i="2"/>
  <c r="EN66" i="2"/>
  <c r="EO66" i="2"/>
  <c r="EP66" i="2"/>
  <c r="EQ66" i="2"/>
  <c r="ER66" i="2"/>
  <c r="ES66" i="2"/>
  <c r="ET66" i="2"/>
  <c r="EU66" i="2"/>
  <c r="EV66" i="2"/>
  <c r="EW66" i="2"/>
  <c r="EX66" i="2"/>
  <c r="EY66" i="2"/>
  <c r="EZ66" i="2"/>
  <c r="FA66" i="2"/>
  <c r="FB66" i="2"/>
  <c r="FC66" i="2"/>
  <c r="FD66" i="2"/>
  <c r="FE66" i="2"/>
  <c r="FF66" i="2"/>
  <c r="FG66" i="2"/>
  <c r="FH66" i="2"/>
  <c r="FI66" i="2"/>
  <c r="FJ66" i="2"/>
  <c r="FK66" i="2"/>
  <c r="FL66" i="2"/>
  <c r="FM66" i="2"/>
  <c r="FN66" i="2"/>
  <c r="FO66" i="2"/>
  <c r="FP66" i="2"/>
  <c r="FQ66" i="2"/>
  <c r="FR66" i="2"/>
  <c r="FS66" i="2"/>
  <c r="FT66" i="2"/>
  <c r="FU66" i="2"/>
  <c r="FV66" i="2"/>
  <c r="FW66" i="2"/>
  <c r="FX66" i="2"/>
  <c r="FY66" i="2"/>
  <c r="FZ66" i="2"/>
  <c r="GA66" i="2"/>
  <c r="GB66" i="2"/>
  <c r="GC66" i="2"/>
  <c r="GD66" i="2"/>
  <c r="GE66" i="2"/>
  <c r="GF66" i="2"/>
  <c r="GG66" i="2"/>
  <c r="GH66" i="2"/>
  <c r="GI66" i="2"/>
  <c r="GJ66" i="2"/>
  <c r="GK66" i="2"/>
  <c r="GL66" i="2"/>
  <c r="GM66" i="2"/>
  <c r="GN66" i="2"/>
  <c r="GO66" i="2"/>
  <c r="GP66" i="2"/>
  <c r="GQ66" i="2"/>
  <c r="GR66" i="2"/>
  <c r="GS66" i="2"/>
  <c r="GT66" i="2"/>
  <c r="GU66" i="2"/>
  <c r="GV66" i="2"/>
  <c r="GW66" i="2"/>
  <c r="GX66" i="2"/>
  <c r="AS70" i="2"/>
  <c r="AT70" i="2"/>
  <c r="AV70" i="2"/>
  <c r="AW70" i="2"/>
  <c r="AX70" i="2"/>
  <c r="AY70" i="2"/>
  <c r="AZ70" i="2"/>
  <c r="BA70" i="2"/>
  <c r="BB70" i="2"/>
  <c r="BC70" i="2"/>
  <c r="BD70" i="2"/>
  <c r="BE70" i="2"/>
  <c r="BF70" i="2"/>
  <c r="BG70" i="2"/>
  <c r="BH70" i="2"/>
  <c r="BI70" i="2"/>
  <c r="BJ70" i="2"/>
  <c r="BK70" i="2"/>
  <c r="BL70" i="2"/>
  <c r="BM70" i="2"/>
  <c r="BN70" i="2"/>
  <c r="BP70" i="2"/>
  <c r="BQ70" i="2"/>
  <c r="BR70" i="2"/>
  <c r="BS70" i="2"/>
  <c r="BT70" i="2"/>
  <c r="BU70" i="2"/>
  <c r="BV70" i="2"/>
  <c r="BW70" i="2"/>
  <c r="BX70" i="2"/>
  <c r="BY70" i="2"/>
  <c r="BZ70" i="2"/>
  <c r="CA70" i="2"/>
  <c r="CB70" i="2"/>
  <c r="CC70" i="2"/>
  <c r="CD70" i="2"/>
  <c r="CE70" i="2"/>
  <c r="CF70" i="2"/>
  <c r="CG70" i="2"/>
  <c r="CH70" i="2"/>
  <c r="CI70" i="2"/>
  <c r="CJ70" i="2"/>
  <c r="CK70" i="2"/>
  <c r="CL70" i="2"/>
  <c r="CM70" i="2"/>
  <c r="CN70" i="2"/>
  <c r="CO70" i="2"/>
  <c r="CP70" i="2"/>
  <c r="CQ70" i="2"/>
  <c r="CR70" i="2"/>
  <c r="CS70" i="2"/>
  <c r="CT70" i="2"/>
  <c r="CU70" i="2"/>
  <c r="CV70" i="2"/>
  <c r="CW70" i="2"/>
  <c r="CX70" i="2"/>
  <c r="CY70" i="2"/>
  <c r="CZ70" i="2"/>
  <c r="DA70" i="2"/>
  <c r="DB70" i="2"/>
  <c r="DC70" i="2"/>
  <c r="DD70" i="2"/>
  <c r="DE70" i="2"/>
  <c r="DF70" i="2"/>
  <c r="DG70" i="2"/>
  <c r="DH70" i="2"/>
  <c r="DI70" i="2"/>
  <c r="DJ70" i="2"/>
  <c r="DK70" i="2"/>
  <c r="DL70" i="2"/>
  <c r="DM70" i="2"/>
  <c r="DN70" i="2"/>
  <c r="DO70" i="2"/>
  <c r="DP70" i="2"/>
  <c r="DQ70" i="2"/>
  <c r="DR70" i="2"/>
  <c r="DS70" i="2"/>
  <c r="DT70" i="2"/>
  <c r="DU70" i="2"/>
  <c r="DV70" i="2"/>
  <c r="DW70" i="2"/>
  <c r="DX70" i="2"/>
  <c r="DY70" i="2"/>
  <c r="DZ70" i="2"/>
  <c r="EA70" i="2"/>
  <c r="EB70" i="2"/>
  <c r="EC70" i="2"/>
  <c r="ED70" i="2"/>
  <c r="EE70" i="2"/>
  <c r="EF70" i="2"/>
  <c r="EG70" i="2"/>
  <c r="EH70" i="2"/>
  <c r="EI70" i="2"/>
  <c r="EJ70" i="2"/>
  <c r="EK70" i="2"/>
  <c r="EL70" i="2"/>
  <c r="EM70" i="2"/>
  <c r="EN70" i="2"/>
  <c r="EO70" i="2"/>
  <c r="EP70" i="2"/>
  <c r="EQ70" i="2"/>
  <c r="ER70" i="2"/>
  <c r="ES70" i="2"/>
  <c r="ET70" i="2"/>
  <c r="EU70" i="2"/>
  <c r="EV70" i="2"/>
  <c r="EW70" i="2"/>
  <c r="EX70" i="2"/>
  <c r="EY70" i="2"/>
  <c r="EZ70" i="2"/>
  <c r="FA70" i="2"/>
  <c r="FB70" i="2"/>
  <c r="FC70" i="2"/>
  <c r="FD70" i="2"/>
  <c r="FE70" i="2"/>
  <c r="FF70" i="2"/>
  <c r="FG70" i="2"/>
  <c r="FH70" i="2"/>
  <c r="FI70" i="2"/>
  <c r="FJ70" i="2"/>
  <c r="FK70" i="2"/>
  <c r="FL70" i="2"/>
  <c r="FM70" i="2"/>
  <c r="FN70" i="2"/>
  <c r="FO70" i="2"/>
  <c r="FP70" i="2"/>
  <c r="FQ70" i="2"/>
  <c r="FR70" i="2"/>
  <c r="FS70" i="2"/>
  <c r="FT70" i="2"/>
  <c r="FU70" i="2"/>
  <c r="FV70" i="2"/>
  <c r="FW70" i="2"/>
  <c r="FX70" i="2"/>
  <c r="FY70" i="2"/>
  <c r="FZ70" i="2"/>
  <c r="GA70" i="2"/>
  <c r="GB70" i="2"/>
  <c r="GC70" i="2"/>
  <c r="GD70" i="2"/>
  <c r="GE70" i="2"/>
  <c r="GF70" i="2"/>
  <c r="GG70" i="2"/>
  <c r="GH70" i="2"/>
  <c r="GI70" i="2"/>
  <c r="GJ70" i="2"/>
  <c r="GK70" i="2"/>
  <c r="GL70" i="2"/>
  <c r="GM70" i="2"/>
  <c r="GN70" i="2"/>
  <c r="GO70" i="2"/>
  <c r="GP70" i="2"/>
  <c r="GQ70" i="2"/>
  <c r="GR70" i="2"/>
  <c r="GS70" i="2"/>
  <c r="GT70" i="2"/>
  <c r="GU70" i="2"/>
  <c r="GV70" i="2"/>
  <c r="GW70" i="2"/>
  <c r="GX70" i="2"/>
  <c r="AS37" i="2"/>
  <c r="AT37" i="2"/>
  <c r="AU37" i="2"/>
  <c r="AV37" i="2"/>
  <c r="AW37" i="2"/>
  <c r="AX37" i="2"/>
  <c r="AZ37" i="2"/>
  <c r="BA37" i="2"/>
  <c r="BB37" i="2"/>
  <c r="BC37" i="2"/>
  <c r="BD37" i="2"/>
  <c r="BE37" i="2"/>
  <c r="BF37" i="2"/>
  <c r="BG37" i="2"/>
  <c r="BH37" i="2"/>
  <c r="BI37" i="2"/>
  <c r="BJ37" i="2"/>
  <c r="BK37" i="2"/>
  <c r="BL37" i="2"/>
  <c r="BM37" i="2"/>
  <c r="BN37" i="2"/>
  <c r="BP37" i="2"/>
  <c r="BQ37" i="2"/>
  <c r="BR37" i="2"/>
  <c r="BS37" i="2"/>
  <c r="BT37" i="2"/>
  <c r="BU37" i="2"/>
  <c r="BV37" i="2"/>
  <c r="BW37" i="2"/>
  <c r="BX37" i="2"/>
  <c r="BY37" i="2"/>
  <c r="BZ37" i="2"/>
  <c r="CA37" i="2"/>
  <c r="CB37" i="2"/>
  <c r="CC37" i="2"/>
  <c r="CD37" i="2"/>
  <c r="CE37" i="2"/>
  <c r="CF37" i="2"/>
  <c r="CG37" i="2"/>
  <c r="CH37" i="2"/>
  <c r="CI37" i="2"/>
  <c r="CJ37" i="2"/>
  <c r="CK37" i="2"/>
  <c r="CL37" i="2"/>
  <c r="CM37" i="2"/>
  <c r="CN37" i="2"/>
  <c r="CO37" i="2"/>
  <c r="CP37" i="2"/>
  <c r="CQ37" i="2"/>
  <c r="CR37" i="2"/>
  <c r="CS37" i="2"/>
  <c r="CT37" i="2"/>
  <c r="CU37" i="2"/>
  <c r="CV37" i="2"/>
  <c r="CW37" i="2"/>
  <c r="CX37" i="2"/>
  <c r="CY37" i="2"/>
  <c r="CZ37" i="2"/>
  <c r="DA37" i="2"/>
  <c r="DB37" i="2"/>
  <c r="DC37" i="2"/>
  <c r="DD37" i="2"/>
  <c r="DE37" i="2"/>
  <c r="DF37" i="2"/>
  <c r="DG37" i="2"/>
  <c r="DH37" i="2"/>
  <c r="DI37" i="2"/>
  <c r="DJ37" i="2"/>
  <c r="DK37" i="2"/>
  <c r="DL37" i="2"/>
  <c r="DM37" i="2"/>
  <c r="DN37" i="2"/>
  <c r="DO37" i="2"/>
  <c r="DP37" i="2"/>
  <c r="DQ37" i="2"/>
  <c r="DR37" i="2"/>
  <c r="DS37" i="2"/>
  <c r="DT37" i="2"/>
  <c r="DU37" i="2"/>
  <c r="DV37" i="2"/>
  <c r="DW37" i="2"/>
  <c r="DX37" i="2"/>
  <c r="DY37" i="2"/>
  <c r="DZ37" i="2"/>
  <c r="EA37" i="2"/>
  <c r="EB37" i="2"/>
  <c r="EC37" i="2"/>
  <c r="ED37" i="2"/>
  <c r="EE37" i="2"/>
  <c r="EF37" i="2"/>
  <c r="EG37" i="2"/>
  <c r="EH37" i="2"/>
  <c r="EI37" i="2"/>
  <c r="EJ37" i="2"/>
  <c r="EK37" i="2"/>
  <c r="EL37" i="2"/>
  <c r="EM37" i="2"/>
  <c r="EN37" i="2"/>
  <c r="EO37" i="2"/>
  <c r="EP37" i="2"/>
  <c r="EQ37" i="2"/>
  <c r="ER37" i="2"/>
  <c r="ES37" i="2"/>
  <c r="ET37" i="2"/>
  <c r="EU37" i="2"/>
  <c r="EV37" i="2"/>
  <c r="EW37" i="2"/>
  <c r="EX37" i="2"/>
  <c r="EY37" i="2"/>
  <c r="EZ37" i="2"/>
  <c r="FA37" i="2"/>
  <c r="FB37" i="2"/>
  <c r="FC37" i="2"/>
  <c r="FD37" i="2"/>
  <c r="FE37" i="2"/>
  <c r="FF37" i="2"/>
  <c r="FG37" i="2"/>
  <c r="FH37" i="2"/>
  <c r="FI37" i="2"/>
  <c r="FJ37" i="2"/>
  <c r="FK37" i="2"/>
  <c r="FL37" i="2"/>
  <c r="FM37" i="2"/>
  <c r="FN37" i="2"/>
  <c r="FO37" i="2"/>
  <c r="FP37" i="2"/>
  <c r="FQ37" i="2"/>
  <c r="FR37" i="2"/>
  <c r="FS37" i="2"/>
  <c r="FT37" i="2"/>
  <c r="FU37" i="2"/>
  <c r="FV37" i="2"/>
  <c r="FW37" i="2"/>
  <c r="FX37" i="2"/>
  <c r="FY37" i="2"/>
  <c r="FZ37" i="2"/>
  <c r="GA37" i="2"/>
  <c r="GB37" i="2"/>
  <c r="GC37" i="2"/>
  <c r="GD37" i="2"/>
  <c r="GE37" i="2"/>
  <c r="GF37" i="2"/>
  <c r="GG37" i="2"/>
  <c r="GH37" i="2"/>
  <c r="GI37" i="2"/>
  <c r="GJ37" i="2"/>
  <c r="GK37" i="2"/>
  <c r="GL37" i="2"/>
  <c r="GM37" i="2"/>
  <c r="GN37" i="2"/>
  <c r="GO37" i="2"/>
  <c r="GP37" i="2"/>
  <c r="GQ37" i="2"/>
  <c r="GR37" i="2"/>
  <c r="GS37" i="2"/>
  <c r="GT37" i="2"/>
  <c r="GU37" i="2"/>
  <c r="GV37" i="2"/>
  <c r="GW37" i="2"/>
  <c r="GX37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G16" i="2"/>
  <c r="BH16" i="2"/>
  <c r="BI16" i="2"/>
  <c r="BJ16" i="2"/>
  <c r="BK16" i="2"/>
  <c r="BL16" i="2"/>
  <c r="BM16" i="2"/>
  <c r="BN16" i="2"/>
  <c r="BO16" i="2"/>
  <c r="BP16" i="2"/>
  <c r="BQ16" i="2"/>
  <c r="BR16" i="2"/>
  <c r="BS16" i="2"/>
  <c r="BT16" i="2"/>
  <c r="BU16" i="2"/>
  <c r="BV16" i="2"/>
  <c r="BW16" i="2"/>
  <c r="BX16" i="2"/>
  <c r="BY16" i="2"/>
  <c r="BZ16" i="2"/>
  <c r="CA16" i="2"/>
  <c r="CB16" i="2"/>
  <c r="CC16" i="2"/>
  <c r="CD16" i="2"/>
  <c r="CE16" i="2"/>
  <c r="CF16" i="2"/>
  <c r="CG16" i="2"/>
  <c r="CH16" i="2"/>
  <c r="CI16" i="2"/>
  <c r="CJ16" i="2"/>
  <c r="CK16" i="2"/>
  <c r="CL16" i="2"/>
  <c r="CM16" i="2"/>
  <c r="CN16" i="2"/>
  <c r="CO16" i="2"/>
  <c r="CP16" i="2"/>
  <c r="CQ16" i="2"/>
  <c r="CR16" i="2"/>
  <c r="CS16" i="2"/>
  <c r="CT16" i="2"/>
  <c r="CU16" i="2"/>
  <c r="CV16" i="2"/>
  <c r="CW16" i="2"/>
  <c r="CX16" i="2"/>
  <c r="CY16" i="2"/>
  <c r="CZ16" i="2"/>
  <c r="DA16" i="2"/>
  <c r="DB16" i="2"/>
  <c r="DC16" i="2"/>
  <c r="DD16" i="2"/>
  <c r="DE16" i="2"/>
  <c r="DF16" i="2"/>
  <c r="DG16" i="2"/>
  <c r="DH16" i="2"/>
  <c r="DI16" i="2"/>
  <c r="DJ16" i="2"/>
  <c r="DK16" i="2"/>
  <c r="DL16" i="2"/>
  <c r="DM16" i="2"/>
  <c r="DN16" i="2"/>
  <c r="DO16" i="2"/>
  <c r="DP16" i="2"/>
  <c r="DQ16" i="2"/>
  <c r="DR16" i="2"/>
  <c r="DS16" i="2"/>
  <c r="DT16" i="2"/>
  <c r="DU16" i="2"/>
  <c r="DV16" i="2"/>
  <c r="DW16" i="2"/>
  <c r="DX16" i="2"/>
  <c r="DY16" i="2"/>
  <c r="DZ16" i="2"/>
  <c r="EA16" i="2"/>
  <c r="EB16" i="2"/>
  <c r="EC16" i="2"/>
  <c r="ED16" i="2"/>
  <c r="EE16" i="2"/>
  <c r="EF16" i="2"/>
  <c r="EG16" i="2"/>
  <c r="EH16" i="2"/>
  <c r="EI16" i="2"/>
  <c r="EJ16" i="2"/>
  <c r="EK16" i="2"/>
  <c r="EL16" i="2"/>
  <c r="EM16" i="2"/>
  <c r="EN16" i="2"/>
  <c r="EO16" i="2"/>
  <c r="EP16" i="2"/>
  <c r="EQ16" i="2"/>
  <c r="ER16" i="2"/>
  <c r="ES16" i="2"/>
  <c r="ET16" i="2"/>
  <c r="EU16" i="2"/>
  <c r="EV16" i="2"/>
  <c r="EW16" i="2"/>
  <c r="EX16" i="2"/>
  <c r="EY16" i="2"/>
  <c r="EZ16" i="2"/>
  <c r="FA16" i="2"/>
  <c r="FB16" i="2"/>
  <c r="FC16" i="2"/>
  <c r="FD16" i="2"/>
  <c r="FE16" i="2"/>
  <c r="FF16" i="2"/>
  <c r="FG16" i="2"/>
  <c r="FH16" i="2"/>
  <c r="FI16" i="2"/>
  <c r="FJ16" i="2"/>
  <c r="FK16" i="2"/>
  <c r="FL16" i="2"/>
  <c r="FM16" i="2"/>
  <c r="FN16" i="2"/>
  <c r="FO16" i="2"/>
  <c r="FP16" i="2"/>
  <c r="FQ16" i="2"/>
  <c r="FR16" i="2"/>
  <c r="FS16" i="2"/>
  <c r="FT16" i="2"/>
  <c r="FU16" i="2"/>
  <c r="FV16" i="2"/>
  <c r="FW16" i="2"/>
  <c r="FX16" i="2"/>
  <c r="FY16" i="2"/>
  <c r="FZ16" i="2"/>
  <c r="GA16" i="2"/>
  <c r="GB16" i="2"/>
  <c r="GC16" i="2"/>
  <c r="GD16" i="2"/>
  <c r="GE16" i="2"/>
  <c r="GF16" i="2"/>
  <c r="GG16" i="2"/>
  <c r="GH16" i="2"/>
  <c r="GI16" i="2"/>
  <c r="GJ16" i="2"/>
  <c r="GK16" i="2"/>
  <c r="GL16" i="2"/>
  <c r="GM16" i="2"/>
  <c r="GN16" i="2"/>
  <c r="GO16" i="2"/>
  <c r="GP16" i="2"/>
  <c r="GQ16" i="2"/>
  <c r="GR16" i="2"/>
  <c r="GS16" i="2"/>
  <c r="GT16" i="2"/>
  <c r="GU16" i="2"/>
  <c r="GV16" i="2"/>
  <c r="GW16" i="2"/>
  <c r="GX16" i="2"/>
  <c r="AS32" i="2"/>
  <c r="AT32" i="2"/>
  <c r="AU32" i="2"/>
  <c r="AV32" i="2"/>
  <c r="AW32" i="2"/>
  <c r="AX32" i="2"/>
  <c r="AY32" i="2"/>
  <c r="AZ32" i="2"/>
  <c r="BA32" i="2"/>
  <c r="BB32" i="2"/>
  <c r="BC32" i="2"/>
  <c r="BD32" i="2"/>
  <c r="BE32" i="2"/>
  <c r="BG32" i="2"/>
  <c r="BH32" i="2"/>
  <c r="BI32" i="2"/>
  <c r="BJ32" i="2"/>
  <c r="BK32" i="2"/>
  <c r="BL32" i="2"/>
  <c r="BM32" i="2"/>
  <c r="BN32" i="2"/>
  <c r="BO32" i="2"/>
  <c r="BP32" i="2"/>
  <c r="BQ32" i="2"/>
  <c r="BR32" i="2"/>
  <c r="BS32" i="2"/>
  <c r="BT32" i="2"/>
  <c r="BU32" i="2"/>
  <c r="BV32" i="2"/>
  <c r="BW32" i="2"/>
  <c r="BX32" i="2"/>
  <c r="BY32" i="2"/>
  <c r="BZ32" i="2"/>
  <c r="CA32" i="2"/>
  <c r="CB32" i="2"/>
  <c r="CC32" i="2"/>
  <c r="CD32" i="2"/>
  <c r="CE32" i="2"/>
  <c r="CF32" i="2"/>
  <c r="CG32" i="2"/>
  <c r="CH32" i="2"/>
  <c r="CI32" i="2"/>
  <c r="CJ32" i="2"/>
  <c r="CK32" i="2"/>
  <c r="CL32" i="2"/>
  <c r="CM32" i="2"/>
  <c r="CN32" i="2"/>
  <c r="CO32" i="2"/>
  <c r="CP32" i="2"/>
  <c r="CQ32" i="2"/>
  <c r="CR32" i="2"/>
  <c r="CS32" i="2"/>
  <c r="CT32" i="2"/>
  <c r="CU32" i="2"/>
  <c r="CV32" i="2"/>
  <c r="CW32" i="2"/>
  <c r="CX32" i="2"/>
  <c r="CY32" i="2"/>
  <c r="CZ32" i="2"/>
  <c r="DA32" i="2"/>
  <c r="DB32" i="2"/>
  <c r="DC32" i="2"/>
  <c r="DD32" i="2"/>
  <c r="DE32" i="2"/>
  <c r="DF32" i="2"/>
  <c r="DG32" i="2"/>
  <c r="DH32" i="2"/>
  <c r="DI32" i="2"/>
  <c r="DJ32" i="2"/>
  <c r="DK32" i="2"/>
  <c r="DL32" i="2"/>
  <c r="DM32" i="2"/>
  <c r="DN32" i="2"/>
  <c r="DO32" i="2"/>
  <c r="DP32" i="2"/>
  <c r="DQ32" i="2"/>
  <c r="DR32" i="2"/>
  <c r="DS32" i="2"/>
  <c r="DT32" i="2"/>
  <c r="DU32" i="2"/>
  <c r="DV32" i="2"/>
  <c r="DW32" i="2"/>
  <c r="DX32" i="2"/>
  <c r="DY32" i="2"/>
  <c r="DZ32" i="2"/>
  <c r="EA32" i="2"/>
  <c r="EB32" i="2"/>
  <c r="EC32" i="2"/>
  <c r="ED32" i="2"/>
  <c r="EE32" i="2"/>
  <c r="EF32" i="2"/>
  <c r="EG32" i="2"/>
  <c r="EH32" i="2"/>
  <c r="EI32" i="2"/>
  <c r="EJ32" i="2"/>
  <c r="EK32" i="2"/>
  <c r="EL32" i="2"/>
  <c r="EM32" i="2"/>
  <c r="EN32" i="2"/>
  <c r="EO32" i="2"/>
  <c r="EP32" i="2"/>
  <c r="EQ32" i="2"/>
  <c r="ER32" i="2"/>
  <c r="ES32" i="2"/>
  <c r="ET32" i="2"/>
  <c r="EU32" i="2"/>
  <c r="EV32" i="2"/>
  <c r="EW32" i="2"/>
  <c r="EX32" i="2"/>
  <c r="EY32" i="2"/>
  <c r="EZ32" i="2"/>
  <c r="FA32" i="2"/>
  <c r="FB32" i="2"/>
  <c r="FC32" i="2"/>
  <c r="FD32" i="2"/>
  <c r="FE32" i="2"/>
  <c r="FF32" i="2"/>
  <c r="FG32" i="2"/>
  <c r="FH32" i="2"/>
  <c r="FI32" i="2"/>
  <c r="FJ32" i="2"/>
  <c r="FK32" i="2"/>
  <c r="FL32" i="2"/>
  <c r="FM32" i="2"/>
  <c r="FN32" i="2"/>
  <c r="FO32" i="2"/>
  <c r="FP32" i="2"/>
  <c r="FQ32" i="2"/>
  <c r="FR32" i="2"/>
  <c r="FS32" i="2"/>
  <c r="FT32" i="2"/>
  <c r="FU32" i="2"/>
  <c r="FV32" i="2"/>
  <c r="FW32" i="2"/>
  <c r="FX32" i="2"/>
  <c r="FY32" i="2"/>
  <c r="FZ32" i="2"/>
  <c r="GA32" i="2"/>
  <c r="GB32" i="2"/>
  <c r="GC32" i="2"/>
  <c r="GD32" i="2"/>
  <c r="GE32" i="2"/>
  <c r="GF32" i="2"/>
  <c r="GG32" i="2"/>
  <c r="GH32" i="2"/>
  <c r="GI32" i="2"/>
  <c r="GJ32" i="2"/>
  <c r="GK32" i="2"/>
  <c r="GL32" i="2"/>
  <c r="GM32" i="2"/>
  <c r="GN32" i="2"/>
  <c r="GO32" i="2"/>
  <c r="GP32" i="2"/>
  <c r="GQ32" i="2"/>
  <c r="GR32" i="2"/>
  <c r="GS32" i="2"/>
  <c r="GT32" i="2"/>
  <c r="GU32" i="2"/>
  <c r="GV32" i="2"/>
  <c r="GW32" i="2"/>
  <c r="GX32" i="2"/>
  <c r="AS48" i="2"/>
  <c r="AT48" i="2"/>
  <c r="AU48" i="2"/>
  <c r="AV48" i="2"/>
  <c r="AW48" i="2"/>
  <c r="AX48" i="2"/>
  <c r="AZ48" i="2"/>
  <c r="BA48" i="2"/>
  <c r="BB48" i="2"/>
  <c r="BC48" i="2"/>
  <c r="BD48" i="2"/>
  <c r="BE48" i="2"/>
  <c r="BF48" i="2"/>
  <c r="BG48" i="2"/>
  <c r="BH48" i="2"/>
  <c r="BI48" i="2"/>
  <c r="BJ48" i="2"/>
  <c r="BK48" i="2"/>
  <c r="BL48" i="2"/>
  <c r="BM48" i="2"/>
  <c r="BN48" i="2"/>
  <c r="BO48" i="2"/>
  <c r="BP48" i="2"/>
  <c r="BQ48" i="2"/>
  <c r="BR48" i="2"/>
  <c r="BS48" i="2"/>
  <c r="BT48" i="2"/>
  <c r="BU48" i="2"/>
  <c r="BV48" i="2"/>
  <c r="BW48" i="2"/>
  <c r="BX48" i="2"/>
  <c r="BY48" i="2"/>
  <c r="BZ48" i="2"/>
  <c r="CA48" i="2"/>
  <c r="CB48" i="2"/>
  <c r="CC48" i="2"/>
  <c r="CD48" i="2"/>
  <c r="CE48" i="2"/>
  <c r="CF48" i="2"/>
  <c r="CG48" i="2"/>
  <c r="CH48" i="2"/>
  <c r="CI48" i="2"/>
  <c r="CJ48" i="2"/>
  <c r="CK48" i="2"/>
  <c r="CL48" i="2"/>
  <c r="CM48" i="2"/>
  <c r="CN48" i="2"/>
  <c r="CO48" i="2"/>
  <c r="CP48" i="2"/>
  <c r="CQ48" i="2"/>
  <c r="CR48" i="2"/>
  <c r="CS48" i="2"/>
  <c r="CT48" i="2"/>
  <c r="CU48" i="2"/>
  <c r="CV48" i="2"/>
  <c r="CW48" i="2"/>
  <c r="CX48" i="2"/>
  <c r="CY48" i="2"/>
  <c r="CZ48" i="2"/>
  <c r="DA48" i="2"/>
  <c r="DB48" i="2"/>
  <c r="DC48" i="2"/>
  <c r="DD48" i="2"/>
  <c r="DE48" i="2"/>
  <c r="DF48" i="2"/>
  <c r="DG48" i="2"/>
  <c r="DH48" i="2"/>
  <c r="DI48" i="2"/>
  <c r="DJ48" i="2"/>
  <c r="DK48" i="2"/>
  <c r="DL48" i="2"/>
  <c r="DM48" i="2"/>
  <c r="DN48" i="2"/>
  <c r="DO48" i="2"/>
  <c r="DP48" i="2"/>
  <c r="DQ48" i="2"/>
  <c r="DR48" i="2"/>
  <c r="DS48" i="2"/>
  <c r="DT48" i="2"/>
  <c r="DU48" i="2"/>
  <c r="DV48" i="2"/>
  <c r="DW48" i="2"/>
  <c r="DX48" i="2"/>
  <c r="DY48" i="2"/>
  <c r="DZ48" i="2"/>
  <c r="EA48" i="2"/>
  <c r="EB48" i="2"/>
  <c r="EC48" i="2"/>
  <c r="ED48" i="2"/>
  <c r="EE48" i="2"/>
  <c r="EF48" i="2"/>
  <c r="EG48" i="2"/>
  <c r="EH48" i="2"/>
  <c r="EI48" i="2"/>
  <c r="EJ48" i="2"/>
  <c r="EK48" i="2"/>
  <c r="EL48" i="2"/>
  <c r="EM48" i="2"/>
  <c r="EN48" i="2"/>
  <c r="EO48" i="2"/>
  <c r="EP48" i="2"/>
  <c r="EQ48" i="2"/>
  <c r="ER48" i="2"/>
  <c r="ES48" i="2"/>
  <c r="ET48" i="2"/>
  <c r="EU48" i="2"/>
  <c r="EV48" i="2"/>
  <c r="EW48" i="2"/>
  <c r="EX48" i="2"/>
  <c r="EY48" i="2"/>
  <c r="EZ48" i="2"/>
  <c r="FA48" i="2"/>
  <c r="FB48" i="2"/>
  <c r="FC48" i="2"/>
  <c r="FD48" i="2"/>
  <c r="FE48" i="2"/>
  <c r="FF48" i="2"/>
  <c r="FG48" i="2"/>
  <c r="FH48" i="2"/>
  <c r="FI48" i="2"/>
  <c r="FJ48" i="2"/>
  <c r="FK48" i="2"/>
  <c r="FL48" i="2"/>
  <c r="FM48" i="2"/>
  <c r="FN48" i="2"/>
  <c r="FO48" i="2"/>
  <c r="FP48" i="2"/>
  <c r="FQ48" i="2"/>
  <c r="FR48" i="2"/>
  <c r="FS48" i="2"/>
  <c r="FT48" i="2"/>
  <c r="FU48" i="2"/>
  <c r="FV48" i="2"/>
  <c r="FW48" i="2"/>
  <c r="FX48" i="2"/>
  <c r="FY48" i="2"/>
  <c r="FZ48" i="2"/>
  <c r="GA48" i="2"/>
  <c r="GB48" i="2"/>
  <c r="GC48" i="2"/>
  <c r="GD48" i="2"/>
  <c r="GE48" i="2"/>
  <c r="GF48" i="2"/>
  <c r="GG48" i="2"/>
  <c r="GH48" i="2"/>
  <c r="GI48" i="2"/>
  <c r="GJ48" i="2"/>
  <c r="GK48" i="2"/>
  <c r="GL48" i="2"/>
  <c r="GM48" i="2"/>
  <c r="GN48" i="2"/>
  <c r="GO48" i="2"/>
  <c r="GP48" i="2"/>
  <c r="GQ48" i="2"/>
  <c r="GR48" i="2"/>
  <c r="GS48" i="2"/>
  <c r="GT48" i="2"/>
  <c r="GU48" i="2"/>
  <c r="GV48" i="2"/>
  <c r="GW48" i="2"/>
  <c r="GX48" i="2"/>
  <c r="AT64" i="2"/>
  <c r="AU64" i="2"/>
  <c r="AV64" i="2"/>
  <c r="AW64" i="2"/>
  <c r="AX64" i="2"/>
  <c r="AY64" i="2"/>
  <c r="AZ64" i="2"/>
  <c r="BA64" i="2"/>
  <c r="BB64" i="2"/>
  <c r="BC64" i="2"/>
  <c r="BD64" i="2"/>
  <c r="BE64" i="2"/>
  <c r="BF64" i="2"/>
  <c r="BG64" i="2"/>
  <c r="BH64" i="2"/>
  <c r="BI64" i="2"/>
  <c r="BJ64" i="2"/>
  <c r="BL64" i="2"/>
  <c r="BM64" i="2"/>
  <c r="BN64" i="2"/>
  <c r="BO64" i="2"/>
  <c r="BP64" i="2"/>
  <c r="BQ64" i="2"/>
  <c r="BR64" i="2"/>
  <c r="BS64" i="2"/>
  <c r="BT64" i="2"/>
  <c r="BU64" i="2"/>
  <c r="BV64" i="2"/>
  <c r="BW64" i="2"/>
  <c r="BX64" i="2"/>
  <c r="BY64" i="2"/>
  <c r="BZ64" i="2"/>
  <c r="CA64" i="2"/>
  <c r="CB64" i="2"/>
  <c r="CC64" i="2"/>
  <c r="CD64" i="2"/>
  <c r="CE64" i="2"/>
  <c r="CF64" i="2"/>
  <c r="CG64" i="2"/>
  <c r="CH64" i="2"/>
  <c r="CI64" i="2"/>
  <c r="CJ64" i="2"/>
  <c r="CK64" i="2"/>
  <c r="CL64" i="2"/>
  <c r="CM64" i="2"/>
  <c r="CN64" i="2"/>
  <c r="CO64" i="2"/>
  <c r="CP64" i="2"/>
  <c r="CQ64" i="2"/>
  <c r="CR64" i="2"/>
  <c r="CS64" i="2"/>
  <c r="CT64" i="2"/>
  <c r="CU64" i="2"/>
  <c r="CV64" i="2"/>
  <c r="CW64" i="2"/>
  <c r="CX64" i="2"/>
  <c r="CY64" i="2"/>
  <c r="CZ64" i="2"/>
  <c r="DA64" i="2"/>
  <c r="DB64" i="2"/>
  <c r="DC64" i="2"/>
  <c r="DD64" i="2"/>
  <c r="DE64" i="2"/>
  <c r="DF64" i="2"/>
  <c r="DG64" i="2"/>
  <c r="DH64" i="2"/>
  <c r="DI64" i="2"/>
  <c r="DJ64" i="2"/>
  <c r="DK64" i="2"/>
  <c r="DL64" i="2"/>
  <c r="DM64" i="2"/>
  <c r="DN64" i="2"/>
  <c r="DO64" i="2"/>
  <c r="DP64" i="2"/>
  <c r="DQ64" i="2"/>
  <c r="DR64" i="2"/>
  <c r="DS64" i="2"/>
  <c r="DT64" i="2"/>
  <c r="DU64" i="2"/>
  <c r="DV64" i="2"/>
  <c r="DW64" i="2"/>
  <c r="DX64" i="2"/>
  <c r="DY64" i="2"/>
  <c r="DZ64" i="2"/>
  <c r="EA64" i="2"/>
  <c r="EB64" i="2"/>
  <c r="EC64" i="2"/>
  <c r="ED64" i="2"/>
  <c r="EE64" i="2"/>
  <c r="EF64" i="2"/>
  <c r="EG64" i="2"/>
  <c r="EH64" i="2"/>
  <c r="EI64" i="2"/>
  <c r="EJ64" i="2"/>
  <c r="EK64" i="2"/>
  <c r="EL64" i="2"/>
  <c r="EM64" i="2"/>
  <c r="EN64" i="2"/>
  <c r="EO64" i="2"/>
  <c r="EP64" i="2"/>
  <c r="EQ64" i="2"/>
  <c r="ER64" i="2"/>
  <c r="ES64" i="2"/>
  <c r="ET64" i="2"/>
  <c r="EU64" i="2"/>
  <c r="EV64" i="2"/>
  <c r="EW64" i="2"/>
  <c r="EX64" i="2"/>
  <c r="EY64" i="2"/>
  <c r="EZ64" i="2"/>
  <c r="FA64" i="2"/>
  <c r="FB64" i="2"/>
  <c r="FC64" i="2"/>
  <c r="FD64" i="2"/>
  <c r="FE64" i="2"/>
  <c r="FF64" i="2"/>
  <c r="FG64" i="2"/>
  <c r="FH64" i="2"/>
  <c r="FI64" i="2"/>
  <c r="FJ64" i="2"/>
  <c r="FK64" i="2"/>
  <c r="FL64" i="2"/>
  <c r="FM64" i="2"/>
  <c r="FN64" i="2"/>
  <c r="FO64" i="2"/>
  <c r="FP64" i="2"/>
  <c r="FQ64" i="2"/>
  <c r="FR64" i="2"/>
  <c r="FS64" i="2"/>
  <c r="FT64" i="2"/>
  <c r="FU64" i="2"/>
  <c r="FV64" i="2"/>
  <c r="FW64" i="2"/>
  <c r="FX64" i="2"/>
  <c r="FY64" i="2"/>
  <c r="FZ64" i="2"/>
  <c r="GA64" i="2"/>
  <c r="GB64" i="2"/>
  <c r="GC64" i="2"/>
  <c r="GD64" i="2"/>
  <c r="GE64" i="2"/>
  <c r="GF64" i="2"/>
  <c r="GG64" i="2"/>
  <c r="GH64" i="2"/>
  <c r="GI64" i="2"/>
  <c r="GJ64" i="2"/>
  <c r="GK64" i="2"/>
  <c r="GL64" i="2"/>
  <c r="GM64" i="2"/>
  <c r="GN64" i="2"/>
  <c r="GO64" i="2"/>
  <c r="GP64" i="2"/>
  <c r="GQ64" i="2"/>
  <c r="GR64" i="2"/>
  <c r="GS64" i="2"/>
  <c r="GT64" i="2"/>
  <c r="GU64" i="2"/>
  <c r="GV64" i="2"/>
  <c r="GW64" i="2"/>
  <c r="GX64" i="2"/>
  <c r="AS80" i="2"/>
  <c r="AT80" i="2"/>
  <c r="AU80" i="2"/>
  <c r="AV80" i="2"/>
  <c r="AW80" i="2"/>
  <c r="AX80" i="2"/>
  <c r="AY80" i="2"/>
  <c r="AZ80" i="2"/>
  <c r="BA80" i="2"/>
  <c r="BB80" i="2"/>
  <c r="BC80" i="2"/>
  <c r="BE80" i="2"/>
  <c r="BF80" i="2"/>
  <c r="BG80" i="2"/>
  <c r="BH80" i="2"/>
  <c r="BI80" i="2"/>
  <c r="BJ80" i="2"/>
  <c r="BK80" i="2"/>
  <c r="BL80" i="2"/>
  <c r="BM80" i="2"/>
  <c r="BN80" i="2"/>
  <c r="BO80" i="2"/>
  <c r="BP80" i="2"/>
  <c r="BQ80" i="2"/>
  <c r="BR80" i="2"/>
  <c r="BS80" i="2"/>
  <c r="BT80" i="2"/>
  <c r="BU80" i="2"/>
  <c r="BV80" i="2"/>
  <c r="BW80" i="2"/>
  <c r="BX80" i="2"/>
  <c r="BY80" i="2"/>
  <c r="BZ80" i="2"/>
  <c r="CA80" i="2"/>
  <c r="CB80" i="2"/>
  <c r="CC80" i="2"/>
  <c r="CD80" i="2"/>
  <c r="CE80" i="2"/>
  <c r="CF80" i="2"/>
  <c r="CG80" i="2"/>
  <c r="CH80" i="2"/>
  <c r="CI80" i="2"/>
  <c r="CJ80" i="2"/>
  <c r="CK80" i="2"/>
  <c r="CL80" i="2"/>
  <c r="CM80" i="2"/>
  <c r="CN80" i="2"/>
  <c r="CO80" i="2"/>
  <c r="CP80" i="2"/>
  <c r="CQ80" i="2"/>
  <c r="CR80" i="2"/>
  <c r="CS80" i="2"/>
  <c r="CT80" i="2"/>
  <c r="CU80" i="2"/>
  <c r="CV80" i="2"/>
  <c r="CW80" i="2"/>
  <c r="CX80" i="2"/>
  <c r="CY80" i="2"/>
  <c r="CZ80" i="2"/>
  <c r="DA80" i="2"/>
  <c r="DB80" i="2"/>
  <c r="DC80" i="2"/>
  <c r="DD80" i="2"/>
  <c r="DE80" i="2"/>
  <c r="DF80" i="2"/>
  <c r="DG80" i="2"/>
  <c r="DH80" i="2"/>
  <c r="DI80" i="2"/>
  <c r="DJ80" i="2"/>
  <c r="DK80" i="2"/>
  <c r="DL80" i="2"/>
  <c r="DM80" i="2"/>
  <c r="DN80" i="2"/>
  <c r="DO80" i="2"/>
  <c r="DP80" i="2"/>
  <c r="DQ80" i="2"/>
  <c r="DR80" i="2"/>
  <c r="DS80" i="2"/>
  <c r="DT80" i="2"/>
  <c r="DU80" i="2"/>
  <c r="DV80" i="2"/>
  <c r="DW80" i="2"/>
  <c r="DX80" i="2"/>
  <c r="DY80" i="2"/>
  <c r="DZ80" i="2"/>
  <c r="EA80" i="2"/>
  <c r="EB80" i="2"/>
  <c r="EC80" i="2"/>
  <c r="ED80" i="2"/>
  <c r="EE80" i="2"/>
  <c r="EF80" i="2"/>
  <c r="EG80" i="2"/>
  <c r="EH80" i="2"/>
  <c r="EI80" i="2"/>
  <c r="EJ80" i="2"/>
  <c r="EK80" i="2"/>
  <c r="EL80" i="2"/>
  <c r="EM80" i="2"/>
  <c r="EN80" i="2"/>
  <c r="EO80" i="2"/>
  <c r="EP80" i="2"/>
  <c r="EQ80" i="2"/>
  <c r="ER80" i="2"/>
  <c r="ES80" i="2"/>
  <c r="ET80" i="2"/>
  <c r="EU80" i="2"/>
  <c r="EV80" i="2"/>
  <c r="EW80" i="2"/>
  <c r="EX80" i="2"/>
  <c r="EY80" i="2"/>
  <c r="EZ80" i="2"/>
  <c r="FA80" i="2"/>
  <c r="FB80" i="2"/>
  <c r="FC80" i="2"/>
  <c r="FD80" i="2"/>
  <c r="FE80" i="2"/>
  <c r="FF80" i="2"/>
  <c r="FG80" i="2"/>
  <c r="FH80" i="2"/>
  <c r="FI80" i="2"/>
  <c r="FJ80" i="2"/>
  <c r="FK80" i="2"/>
  <c r="FL80" i="2"/>
  <c r="FM80" i="2"/>
  <c r="FN80" i="2"/>
  <c r="FO80" i="2"/>
  <c r="FP80" i="2"/>
  <c r="FQ80" i="2"/>
  <c r="FR80" i="2"/>
  <c r="FS80" i="2"/>
  <c r="FT80" i="2"/>
  <c r="FU80" i="2"/>
  <c r="FV80" i="2"/>
  <c r="FW80" i="2"/>
  <c r="FX80" i="2"/>
  <c r="FY80" i="2"/>
  <c r="FZ80" i="2"/>
  <c r="GA80" i="2"/>
  <c r="GB80" i="2"/>
  <c r="GC80" i="2"/>
  <c r="GD80" i="2"/>
  <c r="GE80" i="2"/>
  <c r="GF80" i="2"/>
  <c r="GG80" i="2"/>
  <c r="GH80" i="2"/>
  <c r="GI80" i="2"/>
  <c r="GJ80" i="2"/>
  <c r="GK80" i="2"/>
  <c r="GL80" i="2"/>
  <c r="GM80" i="2"/>
  <c r="GN80" i="2"/>
  <c r="GO80" i="2"/>
  <c r="GP80" i="2"/>
  <c r="GQ80" i="2"/>
  <c r="GR80" i="2"/>
  <c r="GS80" i="2"/>
  <c r="GT80" i="2"/>
  <c r="GU80" i="2"/>
  <c r="GV80" i="2"/>
  <c r="GW80" i="2"/>
  <c r="GX80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F18" i="2"/>
  <c r="BG18" i="2"/>
  <c r="BH18" i="2"/>
  <c r="BI18" i="2"/>
  <c r="BJ18" i="2"/>
  <c r="BK18" i="2"/>
  <c r="BL18" i="2"/>
  <c r="BM18" i="2"/>
  <c r="BN18" i="2"/>
  <c r="BO18" i="2"/>
  <c r="BP18" i="2"/>
  <c r="BQ18" i="2"/>
  <c r="BR18" i="2"/>
  <c r="BS18" i="2"/>
  <c r="BT18" i="2"/>
  <c r="BU18" i="2"/>
  <c r="BV18" i="2"/>
  <c r="BW18" i="2"/>
  <c r="BX18" i="2"/>
  <c r="BY18" i="2"/>
  <c r="BZ18" i="2"/>
  <c r="CA18" i="2"/>
  <c r="CB18" i="2"/>
  <c r="CC18" i="2"/>
  <c r="CD18" i="2"/>
  <c r="CE18" i="2"/>
  <c r="CF18" i="2"/>
  <c r="CG18" i="2"/>
  <c r="CH18" i="2"/>
  <c r="CI18" i="2"/>
  <c r="CJ18" i="2"/>
  <c r="CK18" i="2"/>
  <c r="CL18" i="2"/>
  <c r="CM18" i="2"/>
  <c r="CN18" i="2"/>
  <c r="CO18" i="2"/>
  <c r="CP18" i="2"/>
  <c r="CQ18" i="2"/>
  <c r="CR18" i="2"/>
  <c r="CS18" i="2"/>
  <c r="CT18" i="2"/>
  <c r="CU18" i="2"/>
  <c r="CV18" i="2"/>
  <c r="CW18" i="2"/>
  <c r="CX18" i="2"/>
  <c r="CY18" i="2"/>
  <c r="CZ18" i="2"/>
  <c r="DA18" i="2"/>
  <c r="DB18" i="2"/>
  <c r="DC18" i="2"/>
  <c r="DD18" i="2"/>
  <c r="DE18" i="2"/>
  <c r="DF18" i="2"/>
  <c r="DG18" i="2"/>
  <c r="DH18" i="2"/>
  <c r="DI18" i="2"/>
  <c r="DJ18" i="2"/>
  <c r="DK18" i="2"/>
  <c r="DL18" i="2"/>
  <c r="DM18" i="2"/>
  <c r="DN18" i="2"/>
  <c r="DO18" i="2"/>
  <c r="DP18" i="2"/>
  <c r="DQ18" i="2"/>
  <c r="DR18" i="2"/>
  <c r="DS18" i="2"/>
  <c r="DT18" i="2"/>
  <c r="DU18" i="2"/>
  <c r="DV18" i="2"/>
  <c r="DW18" i="2"/>
  <c r="DX18" i="2"/>
  <c r="DY18" i="2"/>
  <c r="DZ18" i="2"/>
  <c r="EA18" i="2"/>
  <c r="EB18" i="2"/>
  <c r="EC18" i="2"/>
  <c r="ED18" i="2"/>
  <c r="EE18" i="2"/>
  <c r="EF18" i="2"/>
  <c r="EG18" i="2"/>
  <c r="EH18" i="2"/>
  <c r="EI18" i="2"/>
  <c r="EJ18" i="2"/>
  <c r="EK18" i="2"/>
  <c r="EL18" i="2"/>
  <c r="EM18" i="2"/>
  <c r="EN18" i="2"/>
  <c r="EO18" i="2"/>
  <c r="EP18" i="2"/>
  <c r="EQ18" i="2"/>
  <c r="ER18" i="2"/>
  <c r="ES18" i="2"/>
  <c r="ET18" i="2"/>
  <c r="EU18" i="2"/>
  <c r="EV18" i="2"/>
  <c r="EW18" i="2"/>
  <c r="EX18" i="2"/>
  <c r="EY18" i="2"/>
  <c r="EZ18" i="2"/>
  <c r="FA18" i="2"/>
  <c r="FB18" i="2"/>
  <c r="FC18" i="2"/>
  <c r="FD18" i="2"/>
  <c r="FE18" i="2"/>
  <c r="FF18" i="2"/>
  <c r="FG18" i="2"/>
  <c r="FH18" i="2"/>
  <c r="FI18" i="2"/>
  <c r="FJ18" i="2"/>
  <c r="FK18" i="2"/>
  <c r="FL18" i="2"/>
  <c r="FM18" i="2"/>
  <c r="FN18" i="2"/>
  <c r="FO18" i="2"/>
  <c r="FP18" i="2"/>
  <c r="FQ18" i="2"/>
  <c r="FR18" i="2"/>
  <c r="FS18" i="2"/>
  <c r="FT18" i="2"/>
  <c r="FU18" i="2"/>
  <c r="FV18" i="2"/>
  <c r="FW18" i="2"/>
  <c r="FX18" i="2"/>
  <c r="FY18" i="2"/>
  <c r="FZ18" i="2"/>
  <c r="GA18" i="2"/>
  <c r="GB18" i="2"/>
  <c r="GC18" i="2"/>
  <c r="GD18" i="2"/>
  <c r="GE18" i="2"/>
  <c r="GF18" i="2"/>
  <c r="GG18" i="2"/>
  <c r="GH18" i="2"/>
  <c r="GI18" i="2"/>
  <c r="GJ18" i="2"/>
  <c r="GK18" i="2"/>
  <c r="GL18" i="2"/>
  <c r="GM18" i="2"/>
  <c r="GN18" i="2"/>
  <c r="GO18" i="2"/>
  <c r="GP18" i="2"/>
  <c r="GQ18" i="2"/>
  <c r="GR18" i="2"/>
  <c r="GS18" i="2"/>
  <c r="GT18" i="2"/>
  <c r="GU18" i="2"/>
  <c r="GV18" i="2"/>
  <c r="GW18" i="2"/>
  <c r="GX18" i="2"/>
  <c r="AS3" i="2"/>
  <c r="AT3" i="2"/>
  <c r="AU3" i="2"/>
  <c r="AV3" i="2"/>
  <c r="AW3" i="2"/>
  <c r="AX3" i="2"/>
  <c r="AS52" i="2"/>
  <c r="AT52" i="2"/>
  <c r="AU52" i="2"/>
  <c r="AV52" i="2"/>
  <c r="AW52" i="2"/>
  <c r="AX52" i="2"/>
  <c r="AY52" i="2"/>
  <c r="AZ52" i="2"/>
  <c r="BA52" i="2"/>
  <c r="BB52" i="2"/>
  <c r="BC52" i="2"/>
  <c r="BD52" i="2"/>
  <c r="BE52" i="2"/>
  <c r="BF52" i="2"/>
  <c r="BG52" i="2"/>
  <c r="BH52" i="2"/>
  <c r="BI52" i="2"/>
  <c r="BJ52" i="2"/>
  <c r="BK52" i="2"/>
  <c r="AS5" i="2"/>
  <c r="AT5" i="2"/>
  <c r="AU5" i="2"/>
  <c r="AV5" i="2"/>
  <c r="AW5" i="2"/>
  <c r="AX5" i="2"/>
  <c r="AY5" i="2"/>
  <c r="AZ5" i="2"/>
  <c r="BB5" i="2"/>
  <c r="BC5" i="2"/>
  <c r="BD5" i="2"/>
  <c r="BE5" i="2"/>
  <c r="BF5" i="2"/>
  <c r="BG5" i="2"/>
  <c r="BH5" i="2"/>
  <c r="BI5" i="2"/>
  <c r="BJ5" i="2"/>
  <c r="BK5" i="2"/>
  <c r="BL5" i="2"/>
  <c r="BM5" i="2"/>
  <c r="BN5" i="2"/>
  <c r="BO5" i="2"/>
  <c r="BP5" i="2"/>
  <c r="BQ5" i="2"/>
  <c r="BR5" i="2"/>
  <c r="BS5" i="2"/>
  <c r="BT5" i="2"/>
  <c r="BU5" i="2"/>
  <c r="BV5" i="2"/>
  <c r="BW5" i="2"/>
  <c r="BX5" i="2"/>
  <c r="BY5" i="2"/>
  <c r="BZ5" i="2"/>
  <c r="CA5" i="2"/>
  <c r="CB5" i="2"/>
  <c r="CC5" i="2"/>
  <c r="CD5" i="2"/>
  <c r="CE5" i="2"/>
  <c r="CF5" i="2"/>
  <c r="CG5" i="2"/>
  <c r="CH5" i="2"/>
  <c r="CI5" i="2"/>
  <c r="CJ5" i="2"/>
  <c r="CK5" i="2"/>
  <c r="CL5" i="2"/>
  <c r="CM5" i="2"/>
  <c r="CN5" i="2"/>
  <c r="CO5" i="2"/>
  <c r="CP5" i="2"/>
  <c r="CQ5" i="2"/>
  <c r="CR5" i="2"/>
  <c r="CS5" i="2"/>
  <c r="CT5" i="2"/>
  <c r="CU5" i="2"/>
  <c r="CV5" i="2"/>
  <c r="CW5" i="2"/>
  <c r="CX5" i="2"/>
  <c r="CY5" i="2"/>
  <c r="CZ5" i="2"/>
  <c r="DA5" i="2"/>
  <c r="DB5" i="2"/>
  <c r="DC5" i="2"/>
  <c r="DD5" i="2"/>
  <c r="DE5" i="2"/>
  <c r="DF5" i="2"/>
  <c r="DG5" i="2"/>
  <c r="DH5" i="2"/>
  <c r="DI5" i="2"/>
  <c r="DJ5" i="2"/>
  <c r="DK5" i="2"/>
  <c r="DL5" i="2"/>
  <c r="DM5" i="2"/>
  <c r="DN5" i="2"/>
  <c r="DO5" i="2"/>
  <c r="DP5" i="2"/>
  <c r="DQ5" i="2"/>
  <c r="DR5" i="2"/>
  <c r="DS5" i="2"/>
  <c r="DT5" i="2"/>
  <c r="DU5" i="2"/>
  <c r="DV5" i="2"/>
  <c r="DW5" i="2"/>
  <c r="DX5" i="2"/>
  <c r="DY5" i="2"/>
  <c r="DZ5" i="2"/>
  <c r="EA5" i="2"/>
  <c r="EB5" i="2"/>
  <c r="EC5" i="2"/>
  <c r="ED5" i="2"/>
  <c r="EE5" i="2"/>
  <c r="EF5" i="2"/>
  <c r="EG5" i="2"/>
  <c r="EH5" i="2"/>
  <c r="EI5" i="2"/>
  <c r="EJ5" i="2"/>
  <c r="EK5" i="2"/>
  <c r="EL5" i="2"/>
  <c r="EM5" i="2"/>
  <c r="EN5" i="2"/>
  <c r="EO5" i="2"/>
  <c r="EP5" i="2"/>
  <c r="EQ5" i="2"/>
  <c r="ER5" i="2"/>
  <c r="ES5" i="2"/>
  <c r="ET5" i="2"/>
  <c r="EU5" i="2"/>
  <c r="EV5" i="2"/>
  <c r="EW5" i="2"/>
  <c r="EX5" i="2"/>
  <c r="EY5" i="2"/>
  <c r="EZ5" i="2"/>
  <c r="FA5" i="2"/>
  <c r="FB5" i="2"/>
  <c r="FC5" i="2"/>
  <c r="FD5" i="2"/>
  <c r="FE5" i="2"/>
  <c r="FF5" i="2"/>
  <c r="FG5" i="2"/>
  <c r="FH5" i="2"/>
  <c r="FI5" i="2"/>
  <c r="FJ5" i="2"/>
  <c r="FK5" i="2"/>
  <c r="FL5" i="2"/>
  <c r="FM5" i="2"/>
  <c r="FN5" i="2"/>
  <c r="FO5" i="2"/>
  <c r="FP5" i="2"/>
  <c r="FQ5" i="2"/>
  <c r="FR5" i="2"/>
  <c r="FS5" i="2"/>
  <c r="FT5" i="2"/>
  <c r="FU5" i="2"/>
  <c r="FV5" i="2"/>
  <c r="FW5" i="2"/>
  <c r="FX5" i="2"/>
  <c r="FY5" i="2"/>
  <c r="FZ5" i="2"/>
  <c r="GA5" i="2"/>
  <c r="GB5" i="2"/>
  <c r="GC5" i="2"/>
  <c r="GD5" i="2"/>
  <c r="GE5" i="2"/>
  <c r="GF5" i="2"/>
  <c r="GG5" i="2"/>
  <c r="GH5" i="2"/>
  <c r="GI5" i="2"/>
  <c r="GJ5" i="2"/>
  <c r="GK5" i="2"/>
  <c r="GL5" i="2"/>
  <c r="GM5" i="2"/>
  <c r="GN5" i="2"/>
  <c r="GO5" i="2"/>
  <c r="GP5" i="2"/>
  <c r="GQ5" i="2"/>
  <c r="GR5" i="2"/>
  <c r="GS5" i="2"/>
  <c r="GT5" i="2"/>
  <c r="GU5" i="2"/>
  <c r="GV5" i="2"/>
  <c r="GW5" i="2"/>
  <c r="GX5" i="2"/>
  <c r="AS86" i="2"/>
  <c r="AT86" i="2"/>
  <c r="AU86" i="2"/>
  <c r="AV86" i="2"/>
  <c r="AW86" i="2"/>
  <c r="AX86" i="2"/>
  <c r="AY86" i="2"/>
  <c r="AS57" i="2"/>
  <c r="AT57" i="2"/>
  <c r="AU57" i="2"/>
  <c r="AV57" i="2"/>
  <c r="AW57" i="2"/>
  <c r="AX57" i="2"/>
  <c r="AY57" i="2"/>
  <c r="AZ57" i="2"/>
  <c r="BA57" i="2"/>
  <c r="BB57" i="2"/>
  <c r="BC57" i="2"/>
  <c r="BD57" i="2"/>
  <c r="BE57" i="2"/>
  <c r="BG57" i="2"/>
  <c r="BH57" i="2"/>
  <c r="BI57" i="2"/>
  <c r="BJ57" i="2"/>
  <c r="BK57" i="2"/>
  <c r="BL57" i="2"/>
  <c r="BM57" i="2"/>
  <c r="BN57" i="2"/>
  <c r="BO57" i="2"/>
  <c r="BP57" i="2"/>
  <c r="BQ57" i="2"/>
  <c r="BR57" i="2"/>
  <c r="BS57" i="2"/>
  <c r="BT57" i="2"/>
  <c r="BU57" i="2"/>
  <c r="BV57" i="2"/>
  <c r="BW57" i="2"/>
  <c r="BX57" i="2"/>
  <c r="BY57" i="2"/>
  <c r="BZ57" i="2"/>
  <c r="CA57" i="2"/>
  <c r="CB57" i="2"/>
  <c r="CC57" i="2"/>
  <c r="CD57" i="2"/>
  <c r="CE57" i="2"/>
  <c r="CF57" i="2"/>
  <c r="CG57" i="2"/>
  <c r="CH57" i="2"/>
  <c r="CI57" i="2"/>
  <c r="CJ57" i="2"/>
  <c r="CK57" i="2"/>
  <c r="CL57" i="2"/>
  <c r="CM57" i="2"/>
  <c r="CN57" i="2"/>
  <c r="CO57" i="2"/>
  <c r="CP57" i="2"/>
  <c r="CQ57" i="2"/>
  <c r="CR57" i="2"/>
  <c r="CS57" i="2"/>
  <c r="CT57" i="2"/>
  <c r="CU57" i="2"/>
  <c r="CV57" i="2"/>
  <c r="CW57" i="2"/>
  <c r="CX57" i="2"/>
  <c r="CY57" i="2"/>
  <c r="CZ57" i="2"/>
  <c r="DA57" i="2"/>
  <c r="DB57" i="2"/>
  <c r="DC57" i="2"/>
  <c r="DD57" i="2"/>
  <c r="DE57" i="2"/>
  <c r="DF57" i="2"/>
  <c r="DG57" i="2"/>
  <c r="DH57" i="2"/>
  <c r="DI57" i="2"/>
  <c r="DJ57" i="2"/>
  <c r="DK57" i="2"/>
  <c r="DL57" i="2"/>
  <c r="DM57" i="2"/>
  <c r="DN57" i="2"/>
  <c r="DO57" i="2"/>
  <c r="DP57" i="2"/>
  <c r="DQ57" i="2"/>
  <c r="DR57" i="2"/>
  <c r="DS57" i="2"/>
  <c r="DT57" i="2"/>
  <c r="DU57" i="2"/>
  <c r="DV57" i="2"/>
  <c r="DW57" i="2"/>
  <c r="DX57" i="2"/>
  <c r="DY57" i="2"/>
  <c r="DZ57" i="2"/>
  <c r="EA57" i="2"/>
  <c r="EB57" i="2"/>
  <c r="EC57" i="2"/>
  <c r="ED57" i="2"/>
  <c r="EE57" i="2"/>
  <c r="EF57" i="2"/>
  <c r="EG57" i="2"/>
  <c r="EH57" i="2"/>
  <c r="EI57" i="2"/>
  <c r="EJ57" i="2"/>
  <c r="EK57" i="2"/>
  <c r="EL57" i="2"/>
  <c r="EM57" i="2"/>
  <c r="EN57" i="2"/>
  <c r="EO57" i="2"/>
  <c r="EP57" i="2"/>
  <c r="EQ57" i="2"/>
  <c r="ER57" i="2"/>
  <c r="ES57" i="2"/>
  <c r="ET57" i="2"/>
  <c r="EU57" i="2"/>
  <c r="EV57" i="2"/>
  <c r="EW57" i="2"/>
  <c r="EX57" i="2"/>
  <c r="EY57" i="2"/>
  <c r="EZ57" i="2"/>
  <c r="FA57" i="2"/>
  <c r="FB57" i="2"/>
  <c r="FC57" i="2"/>
  <c r="FD57" i="2"/>
  <c r="FE57" i="2"/>
  <c r="FF57" i="2"/>
  <c r="FG57" i="2"/>
  <c r="FH57" i="2"/>
  <c r="FI57" i="2"/>
  <c r="FJ57" i="2"/>
  <c r="FK57" i="2"/>
  <c r="FL57" i="2"/>
  <c r="FM57" i="2"/>
  <c r="FN57" i="2"/>
  <c r="FO57" i="2"/>
  <c r="FP57" i="2"/>
  <c r="FQ57" i="2"/>
  <c r="FR57" i="2"/>
  <c r="FS57" i="2"/>
  <c r="FT57" i="2"/>
  <c r="FU57" i="2"/>
  <c r="FV57" i="2"/>
  <c r="FW57" i="2"/>
  <c r="FX57" i="2"/>
  <c r="FY57" i="2"/>
  <c r="FZ57" i="2"/>
  <c r="GA57" i="2"/>
  <c r="GB57" i="2"/>
  <c r="GC57" i="2"/>
  <c r="GD57" i="2"/>
  <c r="GE57" i="2"/>
  <c r="GF57" i="2"/>
  <c r="GG57" i="2"/>
  <c r="GH57" i="2"/>
  <c r="GI57" i="2"/>
  <c r="GJ57" i="2"/>
  <c r="GK57" i="2"/>
  <c r="GL57" i="2"/>
  <c r="GM57" i="2"/>
  <c r="GN57" i="2"/>
  <c r="GO57" i="2"/>
  <c r="GP57" i="2"/>
  <c r="GQ57" i="2"/>
  <c r="GR57" i="2"/>
  <c r="GS57" i="2"/>
  <c r="GT57" i="2"/>
  <c r="GU57" i="2"/>
  <c r="GV57" i="2"/>
  <c r="GW57" i="2"/>
  <c r="GX5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BG17" i="2"/>
  <c r="BH17" i="2"/>
  <c r="BI17" i="2"/>
  <c r="BJ17" i="2"/>
  <c r="BK17" i="2"/>
  <c r="BL17" i="2"/>
  <c r="BM17" i="2"/>
  <c r="BN17" i="2"/>
  <c r="BO17" i="2"/>
  <c r="BP17" i="2"/>
  <c r="BQ17" i="2"/>
  <c r="BR17" i="2"/>
  <c r="BS17" i="2"/>
  <c r="BT17" i="2"/>
  <c r="BU17" i="2"/>
  <c r="BV17" i="2"/>
  <c r="BW17" i="2"/>
  <c r="BX17" i="2"/>
  <c r="BY17" i="2"/>
  <c r="BZ17" i="2"/>
  <c r="CA17" i="2"/>
  <c r="CB17" i="2"/>
  <c r="CC17" i="2"/>
  <c r="CD17" i="2"/>
  <c r="CE17" i="2"/>
  <c r="CF17" i="2"/>
  <c r="CG17" i="2"/>
  <c r="CH17" i="2"/>
  <c r="CI17" i="2"/>
  <c r="CJ17" i="2"/>
  <c r="CK17" i="2"/>
  <c r="CL17" i="2"/>
  <c r="CM17" i="2"/>
  <c r="CN17" i="2"/>
  <c r="CO17" i="2"/>
  <c r="CP17" i="2"/>
  <c r="CQ17" i="2"/>
  <c r="CR17" i="2"/>
  <c r="CS17" i="2"/>
  <c r="CT17" i="2"/>
  <c r="CU17" i="2"/>
  <c r="CV17" i="2"/>
  <c r="CW17" i="2"/>
  <c r="CX17" i="2"/>
  <c r="CY17" i="2"/>
  <c r="CZ17" i="2"/>
  <c r="DA17" i="2"/>
  <c r="DB17" i="2"/>
  <c r="DC17" i="2"/>
  <c r="DD17" i="2"/>
  <c r="DE17" i="2"/>
  <c r="DF17" i="2"/>
  <c r="DG17" i="2"/>
  <c r="DH17" i="2"/>
  <c r="DI17" i="2"/>
  <c r="DJ17" i="2"/>
  <c r="DK17" i="2"/>
  <c r="DL17" i="2"/>
  <c r="DM17" i="2"/>
  <c r="DN17" i="2"/>
  <c r="DO17" i="2"/>
  <c r="DP17" i="2"/>
  <c r="DQ17" i="2"/>
  <c r="DR17" i="2"/>
  <c r="DS17" i="2"/>
  <c r="DT17" i="2"/>
  <c r="DU17" i="2"/>
  <c r="DV17" i="2"/>
  <c r="DW17" i="2"/>
  <c r="DX17" i="2"/>
  <c r="DY17" i="2"/>
  <c r="DZ17" i="2"/>
  <c r="EA17" i="2"/>
  <c r="EB17" i="2"/>
  <c r="EC17" i="2"/>
  <c r="ED17" i="2"/>
  <c r="EE17" i="2"/>
  <c r="EF17" i="2"/>
  <c r="EG17" i="2"/>
  <c r="EH17" i="2"/>
  <c r="EI17" i="2"/>
  <c r="EJ17" i="2"/>
  <c r="EK17" i="2"/>
  <c r="EL17" i="2"/>
  <c r="EM17" i="2"/>
  <c r="EN17" i="2"/>
  <c r="EO17" i="2"/>
  <c r="EP17" i="2"/>
  <c r="EQ17" i="2"/>
  <c r="ER17" i="2"/>
  <c r="ES17" i="2"/>
  <c r="ET17" i="2"/>
  <c r="EU17" i="2"/>
  <c r="EV17" i="2"/>
  <c r="EW17" i="2"/>
  <c r="EX17" i="2"/>
  <c r="EY17" i="2"/>
  <c r="EZ17" i="2"/>
  <c r="FA17" i="2"/>
  <c r="FB17" i="2"/>
  <c r="FC17" i="2"/>
  <c r="FD17" i="2"/>
  <c r="FE17" i="2"/>
  <c r="FF17" i="2"/>
  <c r="FG17" i="2"/>
  <c r="FH17" i="2"/>
  <c r="FI17" i="2"/>
  <c r="FJ17" i="2"/>
  <c r="FK17" i="2"/>
  <c r="FL17" i="2"/>
  <c r="FM17" i="2"/>
  <c r="FN17" i="2"/>
  <c r="FO17" i="2"/>
  <c r="FP17" i="2"/>
  <c r="FQ17" i="2"/>
  <c r="FR17" i="2"/>
  <c r="FS17" i="2"/>
  <c r="FT17" i="2"/>
  <c r="FU17" i="2"/>
  <c r="FV17" i="2"/>
  <c r="FW17" i="2"/>
  <c r="FX17" i="2"/>
  <c r="FY17" i="2"/>
  <c r="FZ17" i="2"/>
  <c r="GA17" i="2"/>
  <c r="GB17" i="2"/>
  <c r="GC17" i="2"/>
  <c r="GD17" i="2"/>
  <c r="GE17" i="2"/>
  <c r="GF17" i="2"/>
  <c r="GG17" i="2"/>
  <c r="GH17" i="2"/>
  <c r="GI17" i="2"/>
  <c r="GJ17" i="2"/>
  <c r="GK17" i="2"/>
  <c r="GL17" i="2"/>
  <c r="GM17" i="2"/>
  <c r="GN17" i="2"/>
  <c r="GO17" i="2"/>
  <c r="GP17" i="2"/>
  <c r="GQ17" i="2"/>
  <c r="GR17" i="2"/>
  <c r="GS17" i="2"/>
  <c r="GT17" i="2"/>
  <c r="GU17" i="2"/>
  <c r="GV17" i="2"/>
  <c r="GW17" i="2"/>
  <c r="GX17" i="2"/>
  <c r="AT33" i="2"/>
  <c r="AU33" i="2"/>
  <c r="AV33" i="2"/>
  <c r="AW33" i="2"/>
  <c r="AX33" i="2"/>
  <c r="AY33" i="2"/>
  <c r="AZ33" i="2"/>
  <c r="BA33" i="2"/>
  <c r="BB33" i="2"/>
  <c r="BC33" i="2"/>
  <c r="BD33" i="2"/>
  <c r="BE33" i="2"/>
  <c r="BF33" i="2"/>
  <c r="BH33" i="2"/>
  <c r="BI33" i="2"/>
  <c r="BJ33" i="2"/>
  <c r="BK33" i="2"/>
  <c r="BL33" i="2"/>
  <c r="BM33" i="2"/>
  <c r="BN33" i="2"/>
  <c r="BO33" i="2"/>
  <c r="BP33" i="2"/>
  <c r="BQ33" i="2"/>
  <c r="BR33" i="2"/>
  <c r="BS33" i="2"/>
  <c r="BT33" i="2"/>
  <c r="BU33" i="2"/>
  <c r="BV33" i="2"/>
  <c r="BW33" i="2"/>
  <c r="BX33" i="2"/>
  <c r="BY33" i="2"/>
  <c r="BZ33" i="2"/>
  <c r="CA33" i="2"/>
  <c r="CB33" i="2"/>
  <c r="CC33" i="2"/>
  <c r="CD33" i="2"/>
  <c r="CE33" i="2"/>
  <c r="CF33" i="2"/>
  <c r="CG33" i="2"/>
  <c r="CH33" i="2"/>
  <c r="CI33" i="2"/>
  <c r="CJ33" i="2"/>
  <c r="CK33" i="2"/>
  <c r="CL33" i="2"/>
  <c r="CM33" i="2"/>
  <c r="CN33" i="2"/>
  <c r="CO33" i="2"/>
  <c r="CP33" i="2"/>
  <c r="CQ33" i="2"/>
  <c r="CR33" i="2"/>
  <c r="CS33" i="2"/>
  <c r="CT33" i="2"/>
  <c r="CU33" i="2"/>
  <c r="CV33" i="2"/>
  <c r="CW33" i="2"/>
  <c r="CX33" i="2"/>
  <c r="CY33" i="2"/>
  <c r="CZ33" i="2"/>
  <c r="DA33" i="2"/>
  <c r="DB33" i="2"/>
  <c r="DC33" i="2"/>
  <c r="DD33" i="2"/>
  <c r="DE33" i="2"/>
  <c r="DF33" i="2"/>
  <c r="DG33" i="2"/>
  <c r="DH33" i="2"/>
  <c r="DI33" i="2"/>
  <c r="DJ33" i="2"/>
  <c r="DK33" i="2"/>
  <c r="DL33" i="2"/>
  <c r="DM33" i="2"/>
  <c r="DN33" i="2"/>
  <c r="DO33" i="2"/>
  <c r="DP33" i="2"/>
  <c r="DQ33" i="2"/>
  <c r="DR33" i="2"/>
  <c r="DS33" i="2"/>
  <c r="DT33" i="2"/>
  <c r="DU33" i="2"/>
  <c r="DV33" i="2"/>
  <c r="DW33" i="2"/>
  <c r="DX33" i="2"/>
  <c r="DY33" i="2"/>
  <c r="DZ33" i="2"/>
  <c r="EA33" i="2"/>
  <c r="EB33" i="2"/>
  <c r="EC33" i="2"/>
  <c r="ED33" i="2"/>
  <c r="EE33" i="2"/>
  <c r="EF33" i="2"/>
  <c r="EG33" i="2"/>
  <c r="EH33" i="2"/>
  <c r="EI33" i="2"/>
  <c r="EJ33" i="2"/>
  <c r="EK33" i="2"/>
  <c r="EL33" i="2"/>
  <c r="EM33" i="2"/>
  <c r="EN33" i="2"/>
  <c r="EO33" i="2"/>
  <c r="EP33" i="2"/>
  <c r="EQ33" i="2"/>
  <c r="ER33" i="2"/>
  <c r="ES33" i="2"/>
  <c r="ET33" i="2"/>
  <c r="EU33" i="2"/>
  <c r="EV33" i="2"/>
  <c r="EW33" i="2"/>
  <c r="EX33" i="2"/>
  <c r="EY33" i="2"/>
  <c r="EZ33" i="2"/>
  <c r="FA33" i="2"/>
  <c r="FB33" i="2"/>
  <c r="FC33" i="2"/>
  <c r="FD33" i="2"/>
  <c r="FE33" i="2"/>
  <c r="FF33" i="2"/>
  <c r="FG33" i="2"/>
  <c r="FH33" i="2"/>
  <c r="FI33" i="2"/>
  <c r="FJ33" i="2"/>
  <c r="FK33" i="2"/>
  <c r="FL33" i="2"/>
  <c r="FM33" i="2"/>
  <c r="FN33" i="2"/>
  <c r="FO33" i="2"/>
  <c r="FP33" i="2"/>
  <c r="FQ33" i="2"/>
  <c r="FR33" i="2"/>
  <c r="FS33" i="2"/>
  <c r="FT33" i="2"/>
  <c r="FU33" i="2"/>
  <c r="FV33" i="2"/>
  <c r="FW33" i="2"/>
  <c r="FX33" i="2"/>
  <c r="FY33" i="2"/>
  <c r="FZ33" i="2"/>
  <c r="GA33" i="2"/>
  <c r="GB33" i="2"/>
  <c r="GC33" i="2"/>
  <c r="GD33" i="2"/>
  <c r="GE33" i="2"/>
  <c r="GF33" i="2"/>
  <c r="GG33" i="2"/>
  <c r="GH33" i="2"/>
  <c r="GI33" i="2"/>
  <c r="GJ33" i="2"/>
  <c r="GK33" i="2"/>
  <c r="GL33" i="2"/>
  <c r="GM33" i="2"/>
  <c r="GN33" i="2"/>
  <c r="GO33" i="2"/>
  <c r="GP33" i="2"/>
  <c r="GQ33" i="2"/>
  <c r="GR33" i="2"/>
  <c r="GS33" i="2"/>
  <c r="GT33" i="2"/>
  <c r="GU33" i="2"/>
  <c r="GV33" i="2"/>
  <c r="GW33" i="2"/>
  <c r="GX33" i="2"/>
  <c r="AS49" i="2"/>
  <c r="AT49" i="2"/>
  <c r="AU49" i="2"/>
  <c r="AV49" i="2"/>
  <c r="AW49" i="2"/>
  <c r="AX49" i="2"/>
  <c r="AY49" i="2"/>
  <c r="AZ49" i="2"/>
  <c r="BA49" i="2"/>
  <c r="BB49" i="2"/>
  <c r="BC49" i="2"/>
  <c r="BD49" i="2"/>
  <c r="BE49" i="2"/>
  <c r="BF49" i="2"/>
  <c r="BH49" i="2"/>
  <c r="BI49" i="2"/>
  <c r="BJ49" i="2"/>
  <c r="BK49" i="2"/>
  <c r="BL49" i="2"/>
  <c r="BM49" i="2"/>
  <c r="BN49" i="2"/>
  <c r="BO49" i="2"/>
  <c r="BP49" i="2"/>
  <c r="BQ49" i="2"/>
  <c r="BR49" i="2"/>
  <c r="BS49" i="2"/>
  <c r="BT49" i="2"/>
  <c r="BU49" i="2"/>
  <c r="BV49" i="2"/>
  <c r="BW49" i="2"/>
  <c r="BX49" i="2"/>
  <c r="BY49" i="2"/>
  <c r="BZ49" i="2"/>
  <c r="CA49" i="2"/>
  <c r="CB49" i="2"/>
  <c r="CC49" i="2"/>
  <c r="CD49" i="2"/>
  <c r="CE49" i="2"/>
  <c r="CF49" i="2"/>
  <c r="CG49" i="2"/>
  <c r="CH49" i="2"/>
  <c r="CI49" i="2"/>
  <c r="CJ49" i="2"/>
  <c r="CK49" i="2"/>
  <c r="CL49" i="2"/>
  <c r="CM49" i="2"/>
  <c r="CN49" i="2"/>
  <c r="CO49" i="2"/>
  <c r="CP49" i="2"/>
  <c r="CQ49" i="2"/>
  <c r="CR49" i="2"/>
  <c r="CS49" i="2"/>
  <c r="CT49" i="2"/>
  <c r="CU49" i="2"/>
  <c r="CV49" i="2"/>
  <c r="CW49" i="2"/>
  <c r="CX49" i="2"/>
  <c r="CY49" i="2"/>
  <c r="CZ49" i="2"/>
  <c r="DA49" i="2"/>
  <c r="DB49" i="2"/>
  <c r="DC49" i="2"/>
  <c r="DD49" i="2"/>
  <c r="DE49" i="2"/>
  <c r="DF49" i="2"/>
  <c r="DG49" i="2"/>
  <c r="DH49" i="2"/>
  <c r="DI49" i="2"/>
  <c r="DJ49" i="2"/>
  <c r="DK49" i="2"/>
  <c r="DL49" i="2"/>
  <c r="DM49" i="2"/>
  <c r="DN49" i="2"/>
  <c r="DO49" i="2"/>
  <c r="DP49" i="2"/>
  <c r="DQ49" i="2"/>
  <c r="DR49" i="2"/>
  <c r="DS49" i="2"/>
  <c r="DT49" i="2"/>
  <c r="DU49" i="2"/>
  <c r="DV49" i="2"/>
  <c r="DW49" i="2"/>
  <c r="DX49" i="2"/>
  <c r="DY49" i="2"/>
  <c r="DZ49" i="2"/>
  <c r="EA49" i="2"/>
  <c r="EB49" i="2"/>
  <c r="EC49" i="2"/>
  <c r="ED49" i="2"/>
  <c r="EE49" i="2"/>
  <c r="EF49" i="2"/>
  <c r="EG49" i="2"/>
  <c r="EH49" i="2"/>
  <c r="EI49" i="2"/>
  <c r="EJ49" i="2"/>
  <c r="EK49" i="2"/>
  <c r="EL49" i="2"/>
  <c r="EM49" i="2"/>
  <c r="EN49" i="2"/>
  <c r="EO49" i="2"/>
  <c r="EP49" i="2"/>
  <c r="EQ49" i="2"/>
  <c r="ER49" i="2"/>
  <c r="ES49" i="2"/>
  <c r="ET49" i="2"/>
  <c r="EU49" i="2"/>
  <c r="EV49" i="2"/>
  <c r="EW49" i="2"/>
  <c r="EX49" i="2"/>
  <c r="EY49" i="2"/>
  <c r="EZ49" i="2"/>
  <c r="FA49" i="2"/>
  <c r="FB49" i="2"/>
  <c r="FC49" i="2"/>
  <c r="FD49" i="2"/>
  <c r="FE49" i="2"/>
  <c r="FF49" i="2"/>
  <c r="FG49" i="2"/>
  <c r="FH49" i="2"/>
  <c r="FI49" i="2"/>
  <c r="FJ49" i="2"/>
  <c r="FK49" i="2"/>
  <c r="FL49" i="2"/>
  <c r="FM49" i="2"/>
  <c r="FN49" i="2"/>
  <c r="FO49" i="2"/>
  <c r="FP49" i="2"/>
  <c r="FQ49" i="2"/>
  <c r="FR49" i="2"/>
  <c r="FS49" i="2"/>
  <c r="FT49" i="2"/>
  <c r="FU49" i="2"/>
  <c r="FV49" i="2"/>
  <c r="FW49" i="2"/>
  <c r="FX49" i="2"/>
  <c r="FY49" i="2"/>
  <c r="FZ49" i="2"/>
  <c r="GA49" i="2"/>
  <c r="GB49" i="2"/>
  <c r="GC49" i="2"/>
  <c r="GD49" i="2"/>
  <c r="GE49" i="2"/>
  <c r="GF49" i="2"/>
  <c r="GG49" i="2"/>
  <c r="GH49" i="2"/>
  <c r="GI49" i="2"/>
  <c r="GJ49" i="2"/>
  <c r="GK49" i="2"/>
  <c r="GL49" i="2"/>
  <c r="GM49" i="2"/>
  <c r="GN49" i="2"/>
  <c r="GO49" i="2"/>
  <c r="GP49" i="2"/>
  <c r="GQ49" i="2"/>
  <c r="GR49" i="2"/>
  <c r="GS49" i="2"/>
  <c r="GT49" i="2"/>
  <c r="GU49" i="2"/>
  <c r="GV49" i="2"/>
  <c r="GW49" i="2"/>
  <c r="GX49" i="2"/>
  <c r="AT65" i="2"/>
  <c r="AU65" i="2"/>
  <c r="AV65" i="2"/>
  <c r="AW65" i="2"/>
  <c r="AX65" i="2"/>
  <c r="AY65" i="2"/>
  <c r="AZ65" i="2"/>
  <c r="BA65" i="2"/>
  <c r="BB65" i="2"/>
  <c r="BC65" i="2"/>
  <c r="BD65" i="2"/>
  <c r="BE65" i="2"/>
  <c r="BF65" i="2"/>
  <c r="BG65" i="2"/>
  <c r="BH65" i="2"/>
  <c r="BI65" i="2"/>
  <c r="BJ65" i="2"/>
  <c r="AS81" i="2"/>
  <c r="AU81" i="2"/>
  <c r="AV81" i="2"/>
  <c r="AW81" i="2"/>
  <c r="AX81" i="2"/>
  <c r="AY81" i="2"/>
  <c r="AZ81" i="2"/>
  <c r="BA81" i="2"/>
  <c r="BB81" i="2"/>
  <c r="BC81" i="2"/>
  <c r="BD81" i="2"/>
  <c r="BE81" i="2"/>
  <c r="BF81" i="2"/>
  <c r="BH81" i="2"/>
  <c r="BI81" i="2"/>
  <c r="BJ81" i="2"/>
  <c r="BK81" i="2"/>
  <c r="BL81" i="2"/>
  <c r="BM81" i="2"/>
  <c r="BN81" i="2"/>
  <c r="BO81" i="2"/>
  <c r="BP81" i="2"/>
  <c r="BQ81" i="2"/>
  <c r="BR81" i="2"/>
  <c r="BS81" i="2"/>
  <c r="BT81" i="2"/>
  <c r="BU81" i="2"/>
  <c r="BV81" i="2"/>
  <c r="BW81" i="2"/>
  <c r="BX81" i="2"/>
  <c r="BY81" i="2"/>
  <c r="BZ81" i="2"/>
  <c r="CA81" i="2"/>
  <c r="CB81" i="2"/>
  <c r="CC81" i="2"/>
  <c r="CD81" i="2"/>
  <c r="CE81" i="2"/>
  <c r="CF81" i="2"/>
  <c r="CG81" i="2"/>
  <c r="CH81" i="2"/>
  <c r="CI81" i="2"/>
  <c r="CJ81" i="2"/>
  <c r="CK81" i="2"/>
  <c r="CL81" i="2"/>
  <c r="CM81" i="2"/>
  <c r="CN81" i="2"/>
  <c r="CO81" i="2"/>
  <c r="CP81" i="2"/>
  <c r="CQ81" i="2"/>
  <c r="CR81" i="2"/>
  <c r="CS81" i="2"/>
  <c r="CT81" i="2"/>
  <c r="CU81" i="2"/>
  <c r="CV81" i="2"/>
  <c r="CW81" i="2"/>
  <c r="CX81" i="2"/>
  <c r="CY81" i="2"/>
  <c r="CZ81" i="2"/>
  <c r="DA81" i="2"/>
  <c r="DB81" i="2"/>
  <c r="DC81" i="2"/>
  <c r="DD81" i="2"/>
  <c r="DE81" i="2"/>
  <c r="DF81" i="2"/>
  <c r="DG81" i="2"/>
  <c r="DH81" i="2"/>
  <c r="DI81" i="2"/>
  <c r="DJ81" i="2"/>
  <c r="DK81" i="2"/>
  <c r="DL81" i="2"/>
  <c r="DM81" i="2"/>
  <c r="DN81" i="2"/>
  <c r="DO81" i="2"/>
  <c r="DP81" i="2"/>
  <c r="DQ81" i="2"/>
  <c r="DR81" i="2"/>
  <c r="DS81" i="2"/>
  <c r="DT81" i="2"/>
  <c r="DU81" i="2"/>
  <c r="DV81" i="2"/>
  <c r="DW81" i="2"/>
  <c r="DX81" i="2"/>
  <c r="DY81" i="2"/>
  <c r="DZ81" i="2"/>
  <c r="EA81" i="2"/>
  <c r="EB81" i="2"/>
  <c r="EC81" i="2"/>
  <c r="ED81" i="2"/>
  <c r="EE81" i="2"/>
  <c r="EF81" i="2"/>
  <c r="EG81" i="2"/>
  <c r="EH81" i="2"/>
  <c r="EI81" i="2"/>
  <c r="EJ81" i="2"/>
  <c r="EK81" i="2"/>
  <c r="EL81" i="2"/>
  <c r="EM81" i="2"/>
  <c r="EN81" i="2"/>
  <c r="EO81" i="2"/>
  <c r="EP81" i="2"/>
  <c r="EQ81" i="2"/>
  <c r="ER81" i="2"/>
  <c r="ES81" i="2"/>
  <c r="ET81" i="2"/>
  <c r="EU81" i="2"/>
  <c r="EV81" i="2"/>
  <c r="EW81" i="2"/>
  <c r="EX81" i="2"/>
  <c r="EY81" i="2"/>
  <c r="EZ81" i="2"/>
  <c r="FA81" i="2"/>
  <c r="FB81" i="2"/>
  <c r="FC81" i="2"/>
  <c r="FD81" i="2"/>
  <c r="FE81" i="2"/>
  <c r="FF81" i="2"/>
  <c r="FG81" i="2"/>
  <c r="FH81" i="2"/>
  <c r="FI81" i="2"/>
  <c r="FJ81" i="2"/>
  <c r="FK81" i="2"/>
  <c r="FL81" i="2"/>
  <c r="FM81" i="2"/>
  <c r="FN81" i="2"/>
  <c r="FO81" i="2"/>
  <c r="FP81" i="2"/>
  <c r="FQ81" i="2"/>
  <c r="FR81" i="2"/>
  <c r="FS81" i="2"/>
  <c r="FT81" i="2"/>
  <c r="FU81" i="2"/>
  <c r="FV81" i="2"/>
  <c r="FW81" i="2"/>
  <c r="FX81" i="2"/>
  <c r="FY81" i="2"/>
  <c r="FZ81" i="2"/>
  <c r="GA81" i="2"/>
  <c r="GB81" i="2"/>
  <c r="GC81" i="2"/>
  <c r="GD81" i="2"/>
  <c r="GE81" i="2"/>
  <c r="GF81" i="2"/>
  <c r="GG81" i="2"/>
  <c r="GH81" i="2"/>
  <c r="GI81" i="2"/>
  <c r="GJ81" i="2"/>
  <c r="GK81" i="2"/>
  <c r="GL81" i="2"/>
  <c r="GM81" i="2"/>
  <c r="GN81" i="2"/>
  <c r="GO81" i="2"/>
  <c r="GP81" i="2"/>
  <c r="GQ81" i="2"/>
  <c r="GR81" i="2"/>
  <c r="GS81" i="2"/>
  <c r="GT81" i="2"/>
  <c r="GU81" i="2"/>
  <c r="GV81" i="2"/>
  <c r="GW81" i="2"/>
  <c r="GX81" i="2"/>
  <c r="AS35" i="2"/>
  <c r="AT35" i="2"/>
  <c r="AU35" i="2"/>
  <c r="AV35" i="2"/>
  <c r="AW35" i="2"/>
  <c r="AX35" i="2"/>
  <c r="AY35" i="2"/>
  <c r="AZ35" i="2"/>
  <c r="BA35" i="2"/>
  <c r="BB35" i="2"/>
  <c r="BC35" i="2"/>
  <c r="BD35" i="2"/>
  <c r="BF35" i="2"/>
  <c r="BG35" i="2"/>
  <c r="BH35" i="2"/>
  <c r="BI35" i="2"/>
  <c r="BJ35" i="2"/>
  <c r="BK35" i="2"/>
  <c r="BL35" i="2"/>
  <c r="BM35" i="2"/>
  <c r="BN35" i="2"/>
  <c r="BO35" i="2"/>
  <c r="BP35" i="2"/>
  <c r="BQ35" i="2"/>
  <c r="BR35" i="2"/>
  <c r="BS35" i="2"/>
  <c r="BT35" i="2"/>
  <c r="BU35" i="2"/>
  <c r="BV35" i="2"/>
  <c r="BW35" i="2"/>
  <c r="BX35" i="2"/>
  <c r="BY35" i="2"/>
  <c r="BZ35" i="2"/>
  <c r="CA35" i="2"/>
  <c r="CB35" i="2"/>
  <c r="CC35" i="2"/>
  <c r="CD35" i="2"/>
  <c r="CE35" i="2"/>
  <c r="CF35" i="2"/>
  <c r="CG35" i="2"/>
  <c r="CH35" i="2"/>
  <c r="CI35" i="2"/>
  <c r="CJ35" i="2"/>
  <c r="CK35" i="2"/>
  <c r="CL35" i="2"/>
  <c r="CM35" i="2"/>
  <c r="CN35" i="2"/>
  <c r="CO35" i="2"/>
  <c r="CP35" i="2"/>
  <c r="CQ35" i="2"/>
  <c r="CR35" i="2"/>
  <c r="CS35" i="2"/>
  <c r="CT35" i="2"/>
  <c r="CU35" i="2"/>
  <c r="CV35" i="2"/>
  <c r="CW35" i="2"/>
  <c r="CX35" i="2"/>
  <c r="CY35" i="2"/>
  <c r="CZ35" i="2"/>
  <c r="DA35" i="2"/>
  <c r="DB35" i="2"/>
  <c r="DC35" i="2"/>
  <c r="DD35" i="2"/>
  <c r="DE35" i="2"/>
  <c r="DF35" i="2"/>
  <c r="DG35" i="2"/>
  <c r="DH35" i="2"/>
  <c r="DI35" i="2"/>
  <c r="DJ35" i="2"/>
  <c r="DK35" i="2"/>
  <c r="DL35" i="2"/>
  <c r="DM35" i="2"/>
  <c r="DN35" i="2"/>
  <c r="DO35" i="2"/>
  <c r="DP35" i="2"/>
  <c r="DQ35" i="2"/>
  <c r="DR35" i="2"/>
  <c r="DS35" i="2"/>
  <c r="DT35" i="2"/>
  <c r="DU35" i="2"/>
  <c r="DV35" i="2"/>
  <c r="DW35" i="2"/>
  <c r="DX35" i="2"/>
  <c r="DY35" i="2"/>
  <c r="DZ35" i="2"/>
  <c r="EA35" i="2"/>
  <c r="EB35" i="2"/>
  <c r="EC35" i="2"/>
  <c r="ED35" i="2"/>
  <c r="EE35" i="2"/>
  <c r="EF35" i="2"/>
  <c r="EG35" i="2"/>
  <c r="EH35" i="2"/>
  <c r="EI35" i="2"/>
  <c r="EJ35" i="2"/>
  <c r="EK35" i="2"/>
  <c r="EL35" i="2"/>
  <c r="EM35" i="2"/>
  <c r="EN35" i="2"/>
  <c r="EO35" i="2"/>
  <c r="EP35" i="2"/>
  <c r="EQ35" i="2"/>
  <c r="ER35" i="2"/>
  <c r="ES35" i="2"/>
  <c r="ET35" i="2"/>
  <c r="EU35" i="2"/>
  <c r="EV35" i="2"/>
  <c r="EW35" i="2"/>
  <c r="EX35" i="2"/>
  <c r="EY35" i="2"/>
  <c r="EZ35" i="2"/>
  <c r="FA35" i="2"/>
  <c r="FB35" i="2"/>
  <c r="FC35" i="2"/>
  <c r="FD35" i="2"/>
  <c r="FE35" i="2"/>
  <c r="FF35" i="2"/>
  <c r="FG35" i="2"/>
  <c r="FH35" i="2"/>
  <c r="FI35" i="2"/>
  <c r="FJ35" i="2"/>
  <c r="FK35" i="2"/>
  <c r="FL35" i="2"/>
  <c r="FM35" i="2"/>
  <c r="FN35" i="2"/>
  <c r="FO35" i="2"/>
  <c r="FP35" i="2"/>
  <c r="FQ35" i="2"/>
  <c r="FR35" i="2"/>
  <c r="FS35" i="2"/>
  <c r="FT35" i="2"/>
  <c r="FU35" i="2"/>
  <c r="FV35" i="2"/>
  <c r="FW35" i="2"/>
  <c r="FX35" i="2"/>
  <c r="FY35" i="2"/>
  <c r="FZ35" i="2"/>
  <c r="GA35" i="2"/>
  <c r="GB35" i="2"/>
  <c r="GC35" i="2"/>
  <c r="GD35" i="2"/>
  <c r="GE35" i="2"/>
  <c r="GF35" i="2"/>
  <c r="GG35" i="2"/>
  <c r="GH35" i="2"/>
  <c r="GI35" i="2"/>
  <c r="GJ35" i="2"/>
  <c r="GK35" i="2"/>
  <c r="GL35" i="2"/>
  <c r="GM35" i="2"/>
  <c r="GN35" i="2"/>
  <c r="GO35" i="2"/>
  <c r="GP35" i="2"/>
  <c r="GQ35" i="2"/>
  <c r="GR35" i="2"/>
  <c r="GS35" i="2"/>
  <c r="GT35" i="2"/>
  <c r="GU35" i="2"/>
  <c r="GV35" i="2"/>
  <c r="GW35" i="2"/>
  <c r="GX35" i="2"/>
  <c r="AT20" i="2"/>
  <c r="AU20" i="2"/>
  <c r="AV20" i="2"/>
  <c r="AW20" i="2"/>
  <c r="AX20" i="2"/>
  <c r="AY20" i="2"/>
  <c r="AZ20" i="2"/>
  <c r="BA20" i="2"/>
  <c r="BB20" i="2"/>
  <c r="BC20" i="2"/>
  <c r="BD20" i="2"/>
  <c r="BE20" i="2"/>
  <c r="BF20" i="2"/>
  <c r="BH20" i="2"/>
  <c r="BI20" i="2"/>
  <c r="BJ20" i="2"/>
  <c r="BK20" i="2"/>
  <c r="BL20" i="2"/>
  <c r="BM20" i="2"/>
  <c r="BN20" i="2"/>
  <c r="BO20" i="2"/>
  <c r="BP20" i="2"/>
  <c r="BQ20" i="2"/>
  <c r="BR20" i="2"/>
  <c r="BS20" i="2"/>
  <c r="BT20" i="2"/>
  <c r="BU20" i="2"/>
  <c r="BV20" i="2"/>
  <c r="BW20" i="2"/>
  <c r="BX20" i="2"/>
  <c r="BY20" i="2"/>
  <c r="BZ20" i="2"/>
  <c r="CA20" i="2"/>
  <c r="CB20" i="2"/>
  <c r="CC20" i="2"/>
  <c r="CD20" i="2"/>
  <c r="CE20" i="2"/>
  <c r="CF20" i="2"/>
  <c r="CG20" i="2"/>
  <c r="CH20" i="2"/>
  <c r="CI20" i="2"/>
  <c r="CJ20" i="2"/>
  <c r="CK20" i="2"/>
  <c r="CL20" i="2"/>
  <c r="CM20" i="2"/>
  <c r="CN20" i="2"/>
  <c r="CO20" i="2"/>
  <c r="CP20" i="2"/>
  <c r="CQ20" i="2"/>
  <c r="CR20" i="2"/>
  <c r="CS20" i="2"/>
  <c r="CT20" i="2"/>
  <c r="CU20" i="2"/>
  <c r="CV20" i="2"/>
  <c r="CW20" i="2"/>
  <c r="CX20" i="2"/>
  <c r="CY20" i="2"/>
  <c r="CZ20" i="2"/>
  <c r="DA20" i="2"/>
  <c r="DB20" i="2"/>
  <c r="DC20" i="2"/>
  <c r="DD20" i="2"/>
  <c r="DE20" i="2"/>
  <c r="DF20" i="2"/>
  <c r="DG20" i="2"/>
  <c r="DH20" i="2"/>
  <c r="DI20" i="2"/>
  <c r="DJ20" i="2"/>
  <c r="DK20" i="2"/>
  <c r="DL20" i="2"/>
  <c r="DM20" i="2"/>
  <c r="DN20" i="2"/>
  <c r="DO20" i="2"/>
  <c r="DP20" i="2"/>
  <c r="DQ20" i="2"/>
  <c r="DR20" i="2"/>
  <c r="DS20" i="2"/>
  <c r="DT20" i="2"/>
  <c r="DU20" i="2"/>
  <c r="DV20" i="2"/>
  <c r="DW20" i="2"/>
  <c r="DX20" i="2"/>
  <c r="DY20" i="2"/>
  <c r="DZ20" i="2"/>
  <c r="EA20" i="2"/>
  <c r="EB20" i="2"/>
  <c r="EC20" i="2"/>
  <c r="ED20" i="2"/>
  <c r="EE20" i="2"/>
  <c r="EF20" i="2"/>
  <c r="EG20" i="2"/>
  <c r="EH20" i="2"/>
  <c r="EI20" i="2"/>
  <c r="EJ20" i="2"/>
  <c r="EK20" i="2"/>
  <c r="EL20" i="2"/>
  <c r="EM20" i="2"/>
  <c r="EN20" i="2"/>
  <c r="EO20" i="2"/>
  <c r="EP20" i="2"/>
  <c r="EQ20" i="2"/>
  <c r="ER20" i="2"/>
  <c r="ES20" i="2"/>
  <c r="ET20" i="2"/>
  <c r="EU20" i="2"/>
  <c r="EV20" i="2"/>
  <c r="EW20" i="2"/>
  <c r="EX20" i="2"/>
  <c r="EY20" i="2"/>
  <c r="EZ20" i="2"/>
  <c r="FA20" i="2"/>
  <c r="FB20" i="2"/>
  <c r="FC20" i="2"/>
  <c r="FD20" i="2"/>
  <c r="FE20" i="2"/>
  <c r="FF20" i="2"/>
  <c r="FG20" i="2"/>
  <c r="FH20" i="2"/>
  <c r="FI20" i="2"/>
  <c r="FJ20" i="2"/>
  <c r="FK20" i="2"/>
  <c r="FL20" i="2"/>
  <c r="FM20" i="2"/>
  <c r="FN20" i="2"/>
  <c r="FO20" i="2"/>
  <c r="FP20" i="2"/>
  <c r="FQ20" i="2"/>
  <c r="FR20" i="2"/>
  <c r="FS20" i="2"/>
  <c r="FT20" i="2"/>
  <c r="FU20" i="2"/>
  <c r="FV20" i="2"/>
  <c r="FW20" i="2"/>
  <c r="FX20" i="2"/>
  <c r="FY20" i="2"/>
  <c r="FZ20" i="2"/>
  <c r="GA20" i="2"/>
  <c r="GB20" i="2"/>
  <c r="GC20" i="2"/>
  <c r="GD20" i="2"/>
  <c r="GE20" i="2"/>
  <c r="GF20" i="2"/>
  <c r="GG20" i="2"/>
  <c r="GH20" i="2"/>
  <c r="GI20" i="2"/>
  <c r="GJ20" i="2"/>
  <c r="GK20" i="2"/>
  <c r="GL20" i="2"/>
  <c r="GM20" i="2"/>
  <c r="GN20" i="2"/>
  <c r="GO20" i="2"/>
  <c r="GP20" i="2"/>
  <c r="GQ20" i="2"/>
  <c r="GR20" i="2"/>
  <c r="GS20" i="2"/>
  <c r="GT20" i="2"/>
  <c r="GU20" i="2"/>
  <c r="GV20" i="2"/>
  <c r="GW20" i="2"/>
  <c r="GX20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BG22" i="2"/>
  <c r="BI22" i="2"/>
  <c r="BJ22" i="2"/>
  <c r="BK22" i="2"/>
  <c r="BL22" i="2"/>
  <c r="BM22" i="2"/>
  <c r="BN22" i="2"/>
  <c r="BO22" i="2"/>
  <c r="BP22" i="2"/>
  <c r="BQ22" i="2"/>
  <c r="BR22" i="2"/>
  <c r="BS22" i="2"/>
  <c r="BT22" i="2"/>
  <c r="BU22" i="2"/>
  <c r="BV22" i="2"/>
  <c r="BW22" i="2"/>
  <c r="BX22" i="2"/>
  <c r="BY22" i="2"/>
  <c r="BZ22" i="2"/>
  <c r="CA22" i="2"/>
  <c r="CB22" i="2"/>
  <c r="CC22" i="2"/>
  <c r="CD22" i="2"/>
  <c r="CE22" i="2"/>
  <c r="CF22" i="2"/>
  <c r="CG22" i="2"/>
  <c r="CH22" i="2"/>
  <c r="CI22" i="2"/>
  <c r="CJ22" i="2"/>
  <c r="CK22" i="2"/>
  <c r="CL22" i="2"/>
  <c r="CM22" i="2"/>
  <c r="CN22" i="2"/>
  <c r="CO22" i="2"/>
  <c r="CP22" i="2"/>
  <c r="CQ22" i="2"/>
  <c r="CR22" i="2"/>
  <c r="CS22" i="2"/>
  <c r="CT22" i="2"/>
  <c r="CU22" i="2"/>
  <c r="CV22" i="2"/>
  <c r="CW22" i="2"/>
  <c r="CX22" i="2"/>
  <c r="CY22" i="2"/>
  <c r="CZ22" i="2"/>
  <c r="DA22" i="2"/>
  <c r="DB22" i="2"/>
  <c r="DC22" i="2"/>
  <c r="DD22" i="2"/>
  <c r="DE22" i="2"/>
  <c r="DF22" i="2"/>
  <c r="DG22" i="2"/>
  <c r="DH22" i="2"/>
  <c r="DI22" i="2"/>
  <c r="DJ22" i="2"/>
  <c r="DK22" i="2"/>
  <c r="DL22" i="2"/>
  <c r="DM22" i="2"/>
  <c r="DN22" i="2"/>
  <c r="DO22" i="2"/>
  <c r="DP22" i="2"/>
  <c r="DQ22" i="2"/>
  <c r="DR22" i="2"/>
  <c r="DS22" i="2"/>
  <c r="DT22" i="2"/>
  <c r="DU22" i="2"/>
  <c r="DV22" i="2"/>
  <c r="DW22" i="2"/>
  <c r="DX22" i="2"/>
  <c r="DY22" i="2"/>
  <c r="DZ22" i="2"/>
  <c r="EA22" i="2"/>
  <c r="EB22" i="2"/>
  <c r="EC22" i="2"/>
  <c r="ED22" i="2"/>
  <c r="EE22" i="2"/>
  <c r="EF22" i="2"/>
  <c r="EG22" i="2"/>
  <c r="EH22" i="2"/>
  <c r="EI22" i="2"/>
  <c r="EJ22" i="2"/>
  <c r="EK22" i="2"/>
  <c r="EL22" i="2"/>
  <c r="EM22" i="2"/>
  <c r="EN22" i="2"/>
  <c r="EO22" i="2"/>
  <c r="EP22" i="2"/>
  <c r="EQ22" i="2"/>
  <c r="ER22" i="2"/>
  <c r="ES22" i="2"/>
  <c r="ET22" i="2"/>
  <c r="EU22" i="2"/>
  <c r="EV22" i="2"/>
  <c r="EW22" i="2"/>
  <c r="EX22" i="2"/>
  <c r="EY22" i="2"/>
  <c r="EZ22" i="2"/>
  <c r="FA22" i="2"/>
  <c r="FB22" i="2"/>
  <c r="FC22" i="2"/>
  <c r="FD22" i="2"/>
  <c r="FE22" i="2"/>
  <c r="FF22" i="2"/>
  <c r="FG22" i="2"/>
  <c r="FH22" i="2"/>
  <c r="FI22" i="2"/>
  <c r="FJ22" i="2"/>
  <c r="FK22" i="2"/>
  <c r="FL22" i="2"/>
  <c r="FM22" i="2"/>
  <c r="FN22" i="2"/>
  <c r="FO22" i="2"/>
  <c r="FP22" i="2"/>
  <c r="FQ22" i="2"/>
  <c r="FR22" i="2"/>
  <c r="FS22" i="2"/>
  <c r="FT22" i="2"/>
  <c r="FU22" i="2"/>
  <c r="FV22" i="2"/>
  <c r="FW22" i="2"/>
  <c r="FX22" i="2"/>
  <c r="FY22" i="2"/>
  <c r="FZ22" i="2"/>
  <c r="GA22" i="2"/>
  <c r="GB22" i="2"/>
  <c r="GC22" i="2"/>
  <c r="GD22" i="2"/>
  <c r="GE22" i="2"/>
  <c r="GF22" i="2"/>
  <c r="GG22" i="2"/>
  <c r="GH22" i="2"/>
  <c r="GI22" i="2"/>
  <c r="GJ22" i="2"/>
  <c r="GK22" i="2"/>
  <c r="GL22" i="2"/>
  <c r="GM22" i="2"/>
  <c r="GN22" i="2"/>
  <c r="GO22" i="2"/>
  <c r="GP22" i="2"/>
  <c r="GQ22" i="2"/>
  <c r="GR22" i="2"/>
  <c r="GS22" i="2"/>
  <c r="GT22" i="2"/>
  <c r="GU22" i="2"/>
  <c r="GV22" i="2"/>
  <c r="GW22" i="2"/>
  <c r="GX22" i="2"/>
  <c r="AS23" i="2"/>
  <c r="AT23" i="2"/>
  <c r="AU23" i="2"/>
  <c r="AV23" i="2"/>
  <c r="AW23" i="2"/>
  <c r="AX23" i="2"/>
  <c r="AY23" i="2"/>
  <c r="AZ23" i="2"/>
  <c r="BB23" i="2"/>
  <c r="BC23" i="2"/>
  <c r="BD23" i="2"/>
  <c r="BE23" i="2"/>
  <c r="BF23" i="2"/>
  <c r="BG23" i="2"/>
  <c r="BH23" i="2"/>
  <c r="BI23" i="2"/>
  <c r="BJ23" i="2"/>
  <c r="BK23" i="2"/>
  <c r="BL23" i="2"/>
  <c r="BM23" i="2"/>
  <c r="BN23" i="2"/>
  <c r="BO23" i="2"/>
  <c r="BP23" i="2"/>
  <c r="BQ23" i="2"/>
  <c r="BR23" i="2"/>
  <c r="BS23" i="2"/>
  <c r="BT23" i="2"/>
  <c r="BU23" i="2"/>
  <c r="BV23" i="2"/>
  <c r="BW23" i="2"/>
  <c r="BX23" i="2"/>
  <c r="BY23" i="2"/>
  <c r="BZ23" i="2"/>
  <c r="CA23" i="2"/>
  <c r="CB23" i="2"/>
  <c r="CC23" i="2"/>
  <c r="CD23" i="2"/>
  <c r="CE23" i="2"/>
  <c r="CF23" i="2"/>
  <c r="CG23" i="2"/>
  <c r="CH23" i="2"/>
  <c r="CI23" i="2"/>
  <c r="CJ23" i="2"/>
  <c r="CK23" i="2"/>
  <c r="CL23" i="2"/>
  <c r="CM23" i="2"/>
  <c r="CN23" i="2"/>
  <c r="CO23" i="2"/>
  <c r="CP23" i="2"/>
  <c r="CQ23" i="2"/>
  <c r="CR23" i="2"/>
  <c r="CS23" i="2"/>
  <c r="CT23" i="2"/>
  <c r="CU23" i="2"/>
  <c r="CV23" i="2"/>
  <c r="CW23" i="2"/>
  <c r="CX23" i="2"/>
  <c r="CY23" i="2"/>
  <c r="CZ23" i="2"/>
  <c r="DA23" i="2"/>
  <c r="DB23" i="2"/>
  <c r="DC23" i="2"/>
  <c r="DD23" i="2"/>
  <c r="DE23" i="2"/>
  <c r="DF23" i="2"/>
  <c r="DG23" i="2"/>
  <c r="DH23" i="2"/>
  <c r="DI23" i="2"/>
  <c r="DJ23" i="2"/>
  <c r="DK23" i="2"/>
  <c r="DL23" i="2"/>
  <c r="DM23" i="2"/>
  <c r="DN23" i="2"/>
  <c r="DO23" i="2"/>
  <c r="DP23" i="2"/>
  <c r="DQ23" i="2"/>
  <c r="DR23" i="2"/>
  <c r="DS23" i="2"/>
  <c r="DT23" i="2"/>
  <c r="DU23" i="2"/>
  <c r="DV23" i="2"/>
  <c r="DW23" i="2"/>
  <c r="DX23" i="2"/>
  <c r="DY23" i="2"/>
  <c r="DZ23" i="2"/>
  <c r="EA23" i="2"/>
  <c r="EB23" i="2"/>
  <c r="EC23" i="2"/>
  <c r="ED23" i="2"/>
  <c r="EE23" i="2"/>
  <c r="EF23" i="2"/>
  <c r="EG23" i="2"/>
  <c r="EH23" i="2"/>
  <c r="EI23" i="2"/>
  <c r="EJ23" i="2"/>
  <c r="EK23" i="2"/>
  <c r="EL23" i="2"/>
  <c r="EM23" i="2"/>
  <c r="EN23" i="2"/>
  <c r="EO23" i="2"/>
  <c r="EP23" i="2"/>
  <c r="EQ23" i="2"/>
  <c r="ER23" i="2"/>
  <c r="ES23" i="2"/>
  <c r="ET23" i="2"/>
  <c r="EU23" i="2"/>
  <c r="EV23" i="2"/>
  <c r="EW23" i="2"/>
  <c r="EX23" i="2"/>
  <c r="EY23" i="2"/>
  <c r="EZ23" i="2"/>
  <c r="FA23" i="2"/>
  <c r="FB23" i="2"/>
  <c r="FC23" i="2"/>
  <c r="FD23" i="2"/>
  <c r="FE23" i="2"/>
  <c r="FF23" i="2"/>
  <c r="FG23" i="2"/>
  <c r="FH23" i="2"/>
  <c r="FI23" i="2"/>
  <c r="FJ23" i="2"/>
  <c r="FK23" i="2"/>
  <c r="FL23" i="2"/>
  <c r="FM23" i="2"/>
  <c r="FN23" i="2"/>
  <c r="FO23" i="2"/>
  <c r="FP23" i="2"/>
  <c r="FQ23" i="2"/>
  <c r="FR23" i="2"/>
  <c r="FS23" i="2"/>
  <c r="FT23" i="2"/>
  <c r="FU23" i="2"/>
  <c r="FV23" i="2"/>
  <c r="FW23" i="2"/>
  <c r="FX23" i="2"/>
  <c r="FY23" i="2"/>
  <c r="FZ23" i="2"/>
  <c r="GA23" i="2"/>
  <c r="GB23" i="2"/>
  <c r="GC23" i="2"/>
  <c r="GD23" i="2"/>
  <c r="GE23" i="2"/>
  <c r="GF23" i="2"/>
  <c r="GG23" i="2"/>
  <c r="GH23" i="2"/>
  <c r="GI23" i="2"/>
  <c r="GJ23" i="2"/>
  <c r="GK23" i="2"/>
  <c r="GL23" i="2"/>
  <c r="GM23" i="2"/>
  <c r="GN23" i="2"/>
  <c r="GO23" i="2"/>
  <c r="GP23" i="2"/>
  <c r="GQ23" i="2"/>
  <c r="GR23" i="2"/>
  <c r="GS23" i="2"/>
  <c r="GT23" i="2"/>
  <c r="GU23" i="2"/>
  <c r="GV23" i="2"/>
  <c r="GW23" i="2"/>
  <c r="GX23" i="2"/>
  <c r="AS24" i="2"/>
  <c r="AT24" i="2"/>
  <c r="AU24" i="2"/>
  <c r="AV24" i="2"/>
  <c r="AW24" i="2"/>
  <c r="AX24" i="2"/>
  <c r="AY24" i="2"/>
  <c r="AZ24" i="2"/>
  <c r="BA24" i="2"/>
  <c r="BB24" i="2"/>
  <c r="BC24" i="2"/>
  <c r="BD24" i="2"/>
  <c r="BE24" i="2"/>
  <c r="BG24" i="2"/>
  <c r="BH24" i="2"/>
  <c r="BI24" i="2"/>
  <c r="BJ24" i="2"/>
  <c r="BK24" i="2"/>
  <c r="BL24" i="2"/>
  <c r="BM24" i="2"/>
  <c r="BN24" i="2"/>
  <c r="BO24" i="2"/>
  <c r="BP24" i="2"/>
  <c r="BQ24" i="2"/>
  <c r="BR24" i="2"/>
  <c r="BS24" i="2"/>
  <c r="BT24" i="2"/>
  <c r="BU24" i="2"/>
  <c r="BV24" i="2"/>
  <c r="BW24" i="2"/>
  <c r="BX24" i="2"/>
  <c r="BY24" i="2"/>
  <c r="BZ24" i="2"/>
  <c r="CA24" i="2"/>
  <c r="CB24" i="2"/>
  <c r="CC24" i="2"/>
  <c r="CD24" i="2"/>
  <c r="CE24" i="2"/>
  <c r="CF24" i="2"/>
  <c r="CG24" i="2"/>
  <c r="CH24" i="2"/>
  <c r="CI24" i="2"/>
  <c r="CJ24" i="2"/>
  <c r="CK24" i="2"/>
  <c r="CL24" i="2"/>
  <c r="CM24" i="2"/>
  <c r="CN24" i="2"/>
  <c r="CO24" i="2"/>
  <c r="CP24" i="2"/>
  <c r="CQ24" i="2"/>
  <c r="CR24" i="2"/>
  <c r="CS24" i="2"/>
  <c r="CT24" i="2"/>
  <c r="CU24" i="2"/>
  <c r="CV24" i="2"/>
  <c r="CW24" i="2"/>
  <c r="CX24" i="2"/>
  <c r="CY24" i="2"/>
  <c r="CZ24" i="2"/>
  <c r="DA24" i="2"/>
  <c r="DB24" i="2"/>
  <c r="DC24" i="2"/>
  <c r="DD24" i="2"/>
  <c r="DE24" i="2"/>
  <c r="DF24" i="2"/>
  <c r="DG24" i="2"/>
  <c r="DH24" i="2"/>
  <c r="DI24" i="2"/>
  <c r="DJ24" i="2"/>
  <c r="DK24" i="2"/>
  <c r="DL24" i="2"/>
  <c r="DM24" i="2"/>
  <c r="DN24" i="2"/>
  <c r="DO24" i="2"/>
  <c r="DP24" i="2"/>
  <c r="DQ24" i="2"/>
  <c r="DR24" i="2"/>
  <c r="DS24" i="2"/>
  <c r="DT24" i="2"/>
  <c r="DU24" i="2"/>
  <c r="DV24" i="2"/>
  <c r="DW24" i="2"/>
  <c r="DX24" i="2"/>
  <c r="DY24" i="2"/>
  <c r="DZ24" i="2"/>
  <c r="EA24" i="2"/>
  <c r="EB24" i="2"/>
  <c r="EC24" i="2"/>
  <c r="ED24" i="2"/>
  <c r="EE24" i="2"/>
  <c r="EF24" i="2"/>
  <c r="EG24" i="2"/>
  <c r="EH24" i="2"/>
  <c r="EI24" i="2"/>
  <c r="EJ24" i="2"/>
  <c r="EK24" i="2"/>
  <c r="EL24" i="2"/>
  <c r="EM24" i="2"/>
  <c r="EN24" i="2"/>
  <c r="EO24" i="2"/>
  <c r="EP24" i="2"/>
  <c r="EQ24" i="2"/>
  <c r="ER24" i="2"/>
  <c r="ES24" i="2"/>
  <c r="ET24" i="2"/>
  <c r="EU24" i="2"/>
  <c r="EV24" i="2"/>
  <c r="EW24" i="2"/>
  <c r="EX24" i="2"/>
  <c r="EY24" i="2"/>
  <c r="EZ24" i="2"/>
  <c r="FA24" i="2"/>
  <c r="FB24" i="2"/>
  <c r="FC24" i="2"/>
  <c r="FD24" i="2"/>
  <c r="FE24" i="2"/>
  <c r="FF24" i="2"/>
  <c r="FG24" i="2"/>
  <c r="FH24" i="2"/>
  <c r="FI24" i="2"/>
  <c r="FJ24" i="2"/>
  <c r="FK24" i="2"/>
  <c r="FL24" i="2"/>
  <c r="FM24" i="2"/>
  <c r="FN24" i="2"/>
  <c r="FO24" i="2"/>
  <c r="FP24" i="2"/>
  <c r="FQ24" i="2"/>
  <c r="FR24" i="2"/>
  <c r="FS24" i="2"/>
  <c r="FT24" i="2"/>
  <c r="FU24" i="2"/>
  <c r="FV24" i="2"/>
  <c r="FW24" i="2"/>
  <c r="FX24" i="2"/>
  <c r="FY24" i="2"/>
  <c r="FZ24" i="2"/>
  <c r="GA24" i="2"/>
  <c r="GB24" i="2"/>
  <c r="GC24" i="2"/>
  <c r="GD24" i="2"/>
  <c r="GE24" i="2"/>
  <c r="GF24" i="2"/>
  <c r="GG24" i="2"/>
  <c r="GH24" i="2"/>
  <c r="GI24" i="2"/>
  <c r="GJ24" i="2"/>
  <c r="GK24" i="2"/>
  <c r="GL24" i="2"/>
  <c r="GM24" i="2"/>
  <c r="GN24" i="2"/>
  <c r="GO24" i="2"/>
  <c r="GP24" i="2"/>
  <c r="GQ24" i="2"/>
  <c r="GR24" i="2"/>
  <c r="GS24" i="2"/>
  <c r="GT24" i="2"/>
  <c r="GU24" i="2"/>
  <c r="GV24" i="2"/>
  <c r="GW24" i="2"/>
  <c r="GX24" i="2"/>
  <c r="AS25" i="2"/>
  <c r="AT25" i="2"/>
  <c r="AU25" i="2"/>
  <c r="AV25" i="2"/>
  <c r="AW25" i="2"/>
  <c r="AX25" i="2"/>
  <c r="AY25" i="2"/>
  <c r="BA25" i="2"/>
  <c r="BB25" i="2"/>
  <c r="BC25" i="2"/>
  <c r="BD25" i="2"/>
  <c r="BE25" i="2"/>
  <c r="BF25" i="2"/>
  <c r="BG25" i="2"/>
  <c r="BH25" i="2"/>
  <c r="BI25" i="2"/>
  <c r="BJ25" i="2"/>
  <c r="BK25" i="2"/>
  <c r="BL25" i="2"/>
  <c r="BM25" i="2"/>
  <c r="BN25" i="2"/>
  <c r="BO25" i="2"/>
  <c r="BP25" i="2"/>
  <c r="BQ25" i="2"/>
  <c r="BR25" i="2"/>
  <c r="BS25" i="2"/>
  <c r="BT25" i="2"/>
  <c r="BU25" i="2"/>
  <c r="BV25" i="2"/>
  <c r="BW25" i="2"/>
  <c r="BX25" i="2"/>
  <c r="BY25" i="2"/>
  <c r="BZ25" i="2"/>
  <c r="CA25" i="2"/>
  <c r="CB25" i="2"/>
  <c r="CC25" i="2"/>
  <c r="CD25" i="2"/>
  <c r="CE25" i="2"/>
  <c r="CF25" i="2"/>
  <c r="CG25" i="2"/>
  <c r="CH25" i="2"/>
  <c r="CI25" i="2"/>
  <c r="CJ25" i="2"/>
  <c r="CK25" i="2"/>
  <c r="CL25" i="2"/>
  <c r="CM25" i="2"/>
  <c r="CN25" i="2"/>
  <c r="CO25" i="2"/>
  <c r="CP25" i="2"/>
  <c r="CQ25" i="2"/>
  <c r="CR25" i="2"/>
  <c r="CS25" i="2"/>
  <c r="CT25" i="2"/>
  <c r="CU25" i="2"/>
  <c r="CV25" i="2"/>
  <c r="CW25" i="2"/>
  <c r="CX25" i="2"/>
  <c r="CY25" i="2"/>
  <c r="CZ25" i="2"/>
  <c r="DA25" i="2"/>
  <c r="DB25" i="2"/>
  <c r="DC25" i="2"/>
  <c r="DD25" i="2"/>
  <c r="DE25" i="2"/>
  <c r="DF25" i="2"/>
  <c r="DG25" i="2"/>
  <c r="DH25" i="2"/>
  <c r="DI25" i="2"/>
  <c r="DJ25" i="2"/>
  <c r="DK25" i="2"/>
  <c r="DL25" i="2"/>
  <c r="DM25" i="2"/>
  <c r="DN25" i="2"/>
  <c r="DO25" i="2"/>
  <c r="DP25" i="2"/>
  <c r="DQ25" i="2"/>
  <c r="DR25" i="2"/>
  <c r="DS25" i="2"/>
  <c r="DT25" i="2"/>
  <c r="DU25" i="2"/>
  <c r="DV25" i="2"/>
  <c r="DW25" i="2"/>
  <c r="DX25" i="2"/>
  <c r="DY25" i="2"/>
  <c r="DZ25" i="2"/>
  <c r="EA25" i="2"/>
  <c r="EB25" i="2"/>
  <c r="EC25" i="2"/>
  <c r="ED25" i="2"/>
  <c r="EE25" i="2"/>
  <c r="EF25" i="2"/>
  <c r="EG25" i="2"/>
  <c r="EH25" i="2"/>
  <c r="EI25" i="2"/>
  <c r="EJ25" i="2"/>
  <c r="EK25" i="2"/>
  <c r="EL25" i="2"/>
  <c r="EM25" i="2"/>
  <c r="EN25" i="2"/>
  <c r="EO25" i="2"/>
  <c r="EP25" i="2"/>
  <c r="EQ25" i="2"/>
  <c r="ER25" i="2"/>
  <c r="ES25" i="2"/>
  <c r="ET25" i="2"/>
  <c r="EU25" i="2"/>
  <c r="EV25" i="2"/>
  <c r="EW25" i="2"/>
  <c r="EX25" i="2"/>
  <c r="EY25" i="2"/>
  <c r="EZ25" i="2"/>
  <c r="FA25" i="2"/>
  <c r="FB25" i="2"/>
  <c r="FC25" i="2"/>
  <c r="FD25" i="2"/>
  <c r="FE25" i="2"/>
  <c r="FF25" i="2"/>
  <c r="FG25" i="2"/>
  <c r="FH25" i="2"/>
  <c r="FI25" i="2"/>
  <c r="FJ25" i="2"/>
  <c r="FK25" i="2"/>
  <c r="FL25" i="2"/>
  <c r="FM25" i="2"/>
  <c r="FN25" i="2"/>
  <c r="FO25" i="2"/>
  <c r="FP25" i="2"/>
  <c r="FQ25" i="2"/>
  <c r="FR25" i="2"/>
  <c r="FS25" i="2"/>
  <c r="FT25" i="2"/>
  <c r="FU25" i="2"/>
  <c r="FV25" i="2"/>
  <c r="FW25" i="2"/>
  <c r="FX25" i="2"/>
  <c r="FY25" i="2"/>
  <c r="FZ25" i="2"/>
  <c r="GA25" i="2"/>
  <c r="GB25" i="2"/>
  <c r="GC25" i="2"/>
  <c r="GD25" i="2"/>
  <c r="GE25" i="2"/>
  <c r="GF25" i="2"/>
  <c r="GG25" i="2"/>
  <c r="GH25" i="2"/>
  <c r="GI25" i="2"/>
  <c r="GJ25" i="2"/>
  <c r="GK25" i="2"/>
  <c r="GL25" i="2"/>
  <c r="GM25" i="2"/>
  <c r="GN25" i="2"/>
  <c r="GO25" i="2"/>
  <c r="GP25" i="2"/>
  <c r="GQ25" i="2"/>
  <c r="GR25" i="2"/>
  <c r="GS25" i="2"/>
  <c r="GT25" i="2"/>
  <c r="GU25" i="2"/>
  <c r="GV25" i="2"/>
  <c r="GW25" i="2"/>
  <c r="GX25" i="2"/>
  <c r="AT82" i="2"/>
  <c r="AU82" i="2"/>
  <c r="AV82" i="2"/>
  <c r="AW82" i="2"/>
  <c r="AX82" i="2"/>
  <c r="AY82" i="2"/>
  <c r="AZ82" i="2"/>
  <c r="BA82" i="2"/>
  <c r="BB82" i="2"/>
  <c r="BC82" i="2"/>
  <c r="BD82" i="2"/>
  <c r="BE82" i="2"/>
  <c r="BF82" i="2"/>
  <c r="BG82" i="2"/>
  <c r="BH82" i="2"/>
  <c r="BI82" i="2"/>
  <c r="BJ82" i="2"/>
  <c r="BL82" i="2"/>
  <c r="BM82" i="2"/>
  <c r="BN82" i="2"/>
  <c r="BO82" i="2"/>
  <c r="BP82" i="2"/>
  <c r="BQ82" i="2"/>
  <c r="BR82" i="2"/>
  <c r="BS82" i="2"/>
  <c r="BT82" i="2"/>
  <c r="BU82" i="2"/>
  <c r="BV82" i="2"/>
  <c r="BW82" i="2"/>
  <c r="BX82" i="2"/>
  <c r="BY82" i="2"/>
  <c r="BZ82" i="2"/>
  <c r="CA82" i="2"/>
  <c r="CB82" i="2"/>
  <c r="CC82" i="2"/>
  <c r="CD82" i="2"/>
  <c r="CE82" i="2"/>
  <c r="CF82" i="2"/>
  <c r="CG82" i="2"/>
  <c r="CH82" i="2"/>
  <c r="CI82" i="2"/>
  <c r="CJ82" i="2"/>
  <c r="CK82" i="2"/>
  <c r="CL82" i="2"/>
  <c r="CM82" i="2"/>
  <c r="CN82" i="2"/>
  <c r="CO82" i="2"/>
  <c r="CP82" i="2"/>
  <c r="CQ82" i="2"/>
  <c r="CR82" i="2"/>
  <c r="CS82" i="2"/>
  <c r="CT82" i="2"/>
  <c r="CU82" i="2"/>
  <c r="CV82" i="2"/>
  <c r="CW82" i="2"/>
  <c r="CX82" i="2"/>
  <c r="CY82" i="2"/>
  <c r="CZ82" i="2"/>
  <c r="DA82" i="2"/>
  <c r="DB82" i="2"/>
  <c r="DC82" i="2"/>
  <c r="DD82" i="2"/>
  <c r="DE82" i="2"/>
  <c r="DF82" i="2"/>
  <c r="DG82" i="2"/>
  <c r="DH82" i="2"/>
  <c r="DI82" i="2"/>
  <c r="DJ82" i="2"/>
  <c r="DK82" i="2"/>
  <c r="DL82" i="2"/>
  <c r="DM82" i="2"/>
  <c r="DN82" i="2"/>
  <c r="DO82" i="2"/>
  <c r="DP82" i="2"/>
  <c r="DQ82" i="2"/>
  <c r="DR82" i="2"/>
  <c r="DS82" i="2"/>
  <c r="DT82" i="2"/>
  <c r="DU82" i="2"/>
  <c r="DV82" i="2"/>
  <c r="DW82" i="2"/>
  <c r="DX82" i="2"/>
  <c r="DY82" i="2"/>
  <c r="DZ82" i="2"/>
  <c r="EA82" i="2"/>
  <c r="EB82" i="2"/>
  <c r="EC82" i="2"/>
  <c r="ED82" i="2"/>
  <c r="EE82" i="2"/>
  <c r="EF82" i="2"/>
  <c r="EG82" i="2"/>
  <c r="EH82" i="2"/>
  <c r="EI82" i="2"/>
  <c r="EJ82" i="2"/>
  <c r="EK82" i="2"/>
  <c r="EL82" i="2"/>
  <c r="EM82" i="2"/>
  <c r="EN82" i="2"/>
  <c r="EO82" i="2"/>
  <c r="EP82" i="2"/>
  <c r="EQ82" i="2"/>
  <c r="ER82" i="2"/>
  <c r="ES82" i="2"/>
  <c r="ET82" i="2"/>
  <c r="EU82" i="2"/>
  <c r="EV82" i="2"/>
  <c r="EW82" i="2"/>
  <c r="EX82" i="2"/>
  <c r="EY82" i="2"/>
  <c r="EZ82" i="2"/>
  <c r="FA82" i="2"/>
  <c r="FB82" i="2"/>
  <c r="FC82" i="2"/>
  <c r="FD82" i="2"/>
  <c r="FE82" i="2"/>
  <c r="FF82" i="2"/>
  <c r="FG82" i="2"/>
  <c r="FH82" i="2"/>
  <c r="FI82" i="2"/>
  <c r="FJ82" i="2"/>
  <c r="FK82" i="2"/>
  <c r="FL82" i="2"/>
  <c r="FM82" i="2"/>
  <c r="FN82" i="2"/>
  <c r="FO82" i="2"/>
  <c r="FP82" i="2"/>
  <c r="FQ82" i="2"/>
  <c r="FR82" i="2"/>
  <c r="FS82" i="2"/>
  <c r="FT82" i="2"/>
  <c r="FU82" i="2"/>
  <c r="FV82" i="2"/>
  <c r="FW82" i="2"/>
  <c r="FX82" i="2"/>
  <c r="FY82" i="2"/>
  <c r="FZ82" i="2"/>
  <c r="GA82" i="2"/>
  <c r="GB82" i="2"/>
  <c r="GC82" i="2"/>
  <c r="GD82" i="2"/>
  <c r="GE82" i="2"/>
  <c r="GF82" i="2"/>
  <c r="GG82" i="2"/>
  <c r="GH82" i="2"/>
  <c r="GI82" i="2"/>
  <c r="GJ82" i="2"/>
  <c r="GK82" i="2"/>
  <c r="GL82" i="2"/>
  <c r="GM82" i="2"/>
  <c r="GN82" i="2"/>
  <c r="GO82" i="2"/>
  <c r="GP82" i="2"/>
  <c r="GQ82" i="2"/>
  <c r="GR82" i="2"/>
  <c r="GS82" i="2"/>
  <c r="GT82" i="2"/>
  <c r="GU82" i="2"/>
  <c r="GV82" i="2"/>
  <c r="GW82" i="2"/>
  <c r="GX82" i="2"/>
  <c r="AS87" i="2"/>
  <c r="AT87" i="2"/>
  <c r="AU87" i="2"/>
  <c r="AV87" i="2"/>
  <c r="AW87" i="2"/>
  <c r="AX87" i="2"/>
  <c r="AY87" i="2"/>
  <c r="BA87" i="2"/>
  <c r="BB87" i="2"/>
  <c r="BC87" i="2"/>
  <c r="BD87" i="2"/>
  <c r="BE87" i="2"/>
  <c r="BF87" i="2"/>
  <c r="BG87" i="2"/>
  <c r="BH87" i="2"/>
  <c r="BI87" i="2"/>
  <c r="BJ87" i="2"/>
  <c r="BK87" i="2"/>
  <c r="BL87" i="2"/>
  <c r="BM87" i="2"/>
  <c r="BN87" i="2"/>
  <c r="BO87" i="2"/>
  <c r="BP87" i="2"/>
  <c r="BQ87" i="2"/>
  <c r="BR87" i="2"/>
  <c r="BS87" i="2"/>
  <c r="BT87" i="2"/>
  <c r="BU87" i="2"/>
  <c r="BV87" i="2"/>
  <c r="BW87" i="2"/>
  <c r="BX87" i="2"/>
  <c r="BY87" i="2"/>
  <c r="BZ87" i="2"/>
  <c r="CA87" i="2"/>
  <c r="CB87" i="2"/>
  <c r="CC87" i="2"/>
  <c r="CD87" i="2"/>
  <c r="CE87" i="2"/>
  <c r="CF87" i="2"/>
  <c r="CG87" i="2"/>
  <c r="CH87" i="2"/>
  <c r="CI87" i="2"/>
  <c r="CJ87" i="2"/>
  <c r="CK87" i="2"/>
  <c r="CL87" i="2"/>
  <c r="CM87" i="2"/>
  <c r="CN87" i="2"/>
  <c r="CO87" i="2"/>
  <c r="CP87" i="2"/>
  <c r="CQ87" i="2"/>
  <c r="CR87" i="2"/>
  <c r="CS87" i="2"/>
  <c r="CT87" i="2"/>
  <c r="CU87" i="2"/>
  <c r="CV87" i="2"/>
  <c r="CW87" i="2"/>
  <c r="CX87" i="2"/>
  <c r="CY87" i="2"/>
  <c r="CZ87" i="2"/>
  <c r="DA87" i="2"/>
  <c r="DB87" i="2"/>
  <c r="DC87" i="2"/>
  <c r="DD87" i="2"/>
  <c r="DE87" i="2"/>
  <c r="DF87" i="2"/>
  <c r="DG87" i="2"/>
  <c r="DH87" i="2"/>
  <c r="DI87" i="2"/>
  <c r="DJ87" i="2"/>
  <c r="DK87" i="2"/>
  <c r="DL87" i="2"/>
  <c r="DM87" i="2"/>
  <c r="DN87" i="2"/>
  <c r="DO87" i="2"/>
  <c r="DP87" i="2"/>
  <c r="DQ87" i="2"/>
  <c r="DR87" i="2"/>
  <c r="DS87" i="2"/>
  <c r="DT87" i="2"/>
  <c r="DU87" i="2"/>
  <c r="DV87" i="2"/>
  <c r="DW87" i="2"/>
  <c r="DX87" i="2"/>
  <c r="DY87" i="2"/>
  <c r="DZ87" i="2"/>
  <c r="EA87" i="2"/>
  <c r="EB87" i="2"/>
  <c r="EC87" i="2"/>
  <c r="ED87" i="2"/>
  <c r="EE87" i="2"/>
  <c r="EF87" i="2"/>
  <c r="EG87" i="2"/>
  <c r="EH87" i="2"/>
  <c r="EI87" i="2"/>
  <c r="EJ87" i="2"/>
  <c r="EK87" i="2"/>
  <c r="EL87" i="2"/>
  <c r="EM87" i="2"/>
  <c r="EN87" i="2"/>
  <c r="EO87" i="2"/>
  <c r="EP87" i="2"/>
  <c r="EQ87" i="2"/>
  <c r="ER87" i="2"/>
  <c r="ES87" i="2"/>
  <c r="ET87" i="2"/>
  <c r="EU87" i="2"/>
  <c r="EV87" i="2"/>
  <c r="EW87" i="2"/>
  <c r="EX87" i="2"/>
  <c r="EY87" i="2"/>
  <c r="EZ87" i="2"/>
  <c r="FA87" i="2"/>
  <c r="FB87" i="2"/>
  <c r="FC87" i="2"/>
  <c r="FD87" i="2"/>
  <c r="FE87" i="2"/>
  <c r="FF87" i="2"/>
  <c r="FG87" i="2"/>
  <c r="FH87" i="2"/>
  <c r="FI87" i="2"/>
  <c r="FJ87" i="2"/>
  <c r="FK87" i="2"/>
  <c r="FL87" i="2"/>
  <c r="FM87" i="2"/>
  <c r="FN87" i="2"/>
  <c r="FO87" i="2"/>
  <c r="FP87" i="2"/>
  <c r="FQ87" i="2"/>
  <c r="FR87" i="2"/>
  <c r="FS87" i="2"/>
  <c r="FT87" i="2"/>
  <c r="FU87" i="2"/>
  <c r="FV87" i="2"/>
  <c r="FW87" i="2"/>
  <c r="FX87" i="2"/>
  <c r="FY87" i="2"/>
  <c r="FZ87" i="2"/>
  <c r="GA87" i="2"/>
  <c r="GB87" i="2"/>
  <c r="GC87" i="2"/>
  <c r="GD87" i="2"/>
  <c r="GE87" i="2"/>
  <c r="GF87" i="2"/>
  <c r="GG87" i="2"/>
  <c r="GH87" i="2"/>
  <c r="GI87" i="2"/>
  <c r="GJ87" i="2"/>
  <c r="GK87" i="2"/>
  <c r="GL87" i="2"/>
  <c r="GM87" i="2"/>
  <c r="GN87" i="2"/>
  <c r="GO87" i="2"/>
  <c r="GP87" i="2"/>
  <c r="GQ87" i="2"/>
  <c r="GR87" i="2"/>
  <c r="GS87" i="2"/>
  <c r="GT87" i="2"/>
  <c r="GU87" i="2"/>
  <c r="GV87" i="2"/>
  <c r="GW87" i="2"/>
  <c r="GX87" i="2"/>
  <c r="AS88" i="2"/>
  <c r="AT88" i="2"/>
  <c r="AU88" i="2"/>
  <c r="AV88" i="2"/>
  <c r="AW88" i="2"/>
  <c r="AX88" i="2"/>
  <c r="AY88" i="2"/>
  <c r="BA88" i="2"/>
  <c r="BB88" i="2"/>
  <c r="BC88" i="2"/>
  <c r="BD88" i="2"/>
  <c r="BE88" i="2"/>
  <c r="BF88" i="2"/>
  <c r="BG88" i="2"/>
  <c r="BH88" i="2"/>
  <c r="BI88" i="2"/>
  <c r="BJ88" i="2"/>
  <c r="BK88" i="2"/>
  <c r="BL88" i="2"/>
  <c r="BM88" i="2"/>
  <c r="BN88" i="2"/>
  <c r="BO88" i="2"/>
  <c r="BP88" i="2"/>
  <c r="BQ88" i="2"/>
  <c r="BR88" i="2"/>
  <c r="BS88" i="2"/>
  <c r="BT88" i="2"/>
  <c r="BU88" i="2"/>
  <c r="BV88" i="2"/>
  <c r="BW88" i="2"/>
  <c r="BX88" i="2"/>
  <c r="BY88" i="2"/>
  <c r="BZ88" i="2"/>
  <c r="CA88" i="2"/>
  <c r="CB88" i="2"/>
  <c r="CC88" i="2"/>
  <c r="CD88" i="2"/>
  <c r="CE88" i="2"/>
  <c r="CF88" i="2"/>
  <c r="CG88" i="2"/>
  <c r="CH88" i="2"/>
  <c r="CI88" i="2"/>
  <c r="CJ88" i="2"/>
  <c r="CK88" i="2"/>
  <c r="CL88" i="2"/>
  <c r="CM88" i="2"/>
  <c r="CN88" i="2"/>
  <c r="CO88" i="2"/>
  <c r="CP88" i="2"/>
  <c r="CQ88" i="2"/>
  <c r="CR88" i="2"/>
  <c r="CS88" i="2"/>
  <c r="CT88" i="2"/>
  <c r="CU88" i="2"/>
  <c r="CV88" i="2"/>
  <c r="CW88" i="2"/>
  <c r="CX88" i="2"/>
  <c r="CY88" i="2"/>
  <c r="CZ88" i="2"/>
  <c r="DA88" i="2"/>
  <c r="DB88" i="2"/>
  <c r="DC88" i="2"/>
  <c r="DD88" i="2"/>
  <c r="DE88" i="2"/>
  <c r="DF88" i="2"/>
  <c r="DG88" i="2"/>
  <c r="DH88" i="2"/>
  <c r="DI88" i="2"/>
  <c r="DJ88" i="2"/>
  <c r="DK88" i="2"/>
  <c r="DL88" i="2"/>
  <c r="DM88" i="2"/>
  <c r="DN88" i="2"/>
  <c r="DO88" i="2"/>
  <c r="DP88" i="2"/>
  <c r="DQ88" i="2"/>
  <c r="DR88" i="2"/>
  <c r="DS88" i="2"/>
  <c r="DT88" i="2"/>
  <c r="DU88" i="2"/>
  <c r="DV88" i="2"/>
  <c r="DW88" i="2"/>
  <c r="DX88" i="2"/>
  <c r="DY88" i="2"/>
  <c r="DZ88" i="2"/>
  <c r="EA88" i="2"/>
  <c r="EB88" i="2"/>
  <c r="EC88" i="2"/>
  <c r="ED88" i="2"/>
  <c r="EE88" i="2"/>
  <c r="EF88" i="2"/>
  <c r="EG88" i="2"/>
  <c r="EH88" i="2"/>
  <c r="EI88" i="2"/>
  <c r="EJ88" i="2"/>
  <c r="EK88" i="2"/>
  <c r="EL88" i="2"/>
  <c r="EM88" i="2"/>
  <c r="EN88" i="2"/>
  <c r="EO88" i="2"/>
  <c r="EP88" i="2"/>
  <c r="EQ88" i="2"/>
  <c r="ER88" i="2"/>
  <c r="ES88" i="2"/>
  <c r="ET88" i="2"/>
  <c r="EU88" i="2"/>
  <c r="EV88" i="2"/>
  <c r="EW88" i="2"/>
  <c r="EX88" i="2"/>
  <c r="EY88" i="2"/>
  <c r="EZ88" i="2"/>
  <c r="FA88" i="2"/>
  <c r="FB88" i="2"/>
  <c r="FC88" i="2"/>
  <c r="FD88" i="2"/>
  <c r="FE88" i="2"/>
  <c r="FF88" i="2"/>
  <c r="FG88" i="2"/>
  <c r="FH88" i="2"/>
  <c r="FI88" i="2"/>
  <c r="FJ88" i="2"/>
  <c r="FK88" i="2"/>
  <c r="FL88" i="2"/>
  <c r="FM88" i="2"/>
  <c r="FN88" i="2"/>
  <c r="FO88" i="2"/>
  <c r="FP88" i="2"/>
  <c r="FQ88" i="2"/>
  <c r="FR88" i="2"/>
  <c r="FS88" i="2"/>
  <c r="FT88" i="2"/>
  <c r="FU88" i="2"/>
  <c r="FV88" i="2"/>
  <c r="FW88" i="2"/>
  <c r="FX88" i="2"/>
  <c r="FY88" i="2"/>
  <c r="FZ88" i="2"/>
  <c r="GA88" i="2"/>
  <c r="GB88" i="2"/>
  <c r="GC88" i="2"/>
  <c r="GD88" i="2"/>
  <c r="GE88" i="2"/>
  <c r="GF88" i="2"/>
  <c r="GG88" i="2"/>
  <c r="GH88" i="2"/>
  <c r="GI88" i="2"/>
  <c r="GJ88" i="2"/>
  <c r="GK88" i="2"/>
  <c r="GL88" i="2"/>
  <c r="GM88" i="2"/>
  <c r="GN88" i="2"/>
  <c r="GO88" i="2"/>
  <c r="GP88" i="2"/>
  <c r="GQ88" i="2"/>
  <c r="GR88" i="2"/>
  <c r="GS88" i="2"/>
  <c r="GT88" i="2"/>
  <c r="GU88" i="2"/>
  <c r="GV88" i="2"/>
  <c r="GW88" i="2"/>
  <c r="GX88" i="2"/>
  <c r="AS89" i="2"/>
  <c r="AT89" i="2"/>
  <c r="AU89" i="2"/>
  <c r="AV89" i="2"/>
  <c r="AW89" i="2"/>
  <c r="AX89" i="2"/>
  <c r="AY89" i="2"/>
  <c r="BA89" i="2"/>
  <c r="BB89" i="2"/>
  <c r="BC89" i="2"/>
  <c r="BD89" i="2"/>
  <c r="BE89" i="2"/>
  <c r="BF89" i="2"/>
  <c r="BG89" i="2"/>
  <c r="BH89" i="2"/>
  <c r="BI89" i="2"/>
  <c r="BJ89" i="2"/>
  <c r="BK89" i="2"/>
  <c r="BL89" i="2"/>
  <c r="BM89" i="2"/>
  <c r="BN89" i="2"/>
  <c r="BO89" i="2"/>
  <c r="BP89" i="2"/>
  <c r="BQ89" i="2"/>
  <c r="BR89" i="2"/>
  <c r="BS89" i="2"/>
  <c r="BT89" i="2"/>
  <c r="BU89" i="2"/>
  <c r="BV89" i="2"/>
  <c r="BW89" i="2"/>
  <c r="BX89" i="2"/>
  <c r="BY89" i="2"/>
  <c r="BZ89" i="2"/>
  <c r="CA89" i="2"/>
  <c r="CB89" i="2"/>
  <c r="CC89" i="2"/>
  <c r="CD89" i="2"/>
  <c r="CE89" i="2"/>
  <c r="CF89" i="2"/>
  <c r="CG89" i="2"/>
  <c r="CH89" i="2"/>
  <c r="CI89" i="2"/>
  <c r="CJ89" i="2"/>
  <c r="CK89" i="2"/>
  <c r="CL89" i="2"/>
  <c r="CM89" i="2"/>
  <c r="CN89" i="2"/>
  <c r="CO89" i="2"/>
  <c r="CP89" i="2"/>
  <c r="CQ89" i="2"/>
  <c r="CR89" i="2"/>
  <c r="CS89" i="2"/>
  <c r="CT89" i="2"/>
  <c r="CU89" i="2"/>
  <c r="CV89" i="2"/>
  <c r="CW89" i="2"/>
  <c r="CX89" i="2"/>
  <c r="CY89" i="2"/>
  <c r="CZ89" i="2"/>
  <c r="DA89" i="2"/>
  <c r="DB89" i="2"/>
  <c r="DC89" i="2"/>
  <c r="DD89" i="2"/>
  <c r="DE89" i="2"/>
  <c r="DF89" i="2"/>
  <c r="DG89" i="2"/>
  <c r="DH89" i="2"/>
  <c r="DI89" i="2"/>
  <c r="DJ89" i="2"/>
  <c r="DK89" i="2"/>
  <c r="DL89" i="2"/>
  <c r="DM89" i="2"/>
  <c r="DN89" i="2"/>
  <c r="DO89" i="2"/>
  <c r="DP89" i="2"/>
  <c r="DQ89" i="2"/>
  <c r="DR89" i="2"/>
  <c r="DS89" i="2"/>
  <c r="DT89" i="2"/>
  <c r="DU89" i="2"/>
  <c r="DV89" i="2"/>
  <c r="DW89" i="2"/>
  <c r="DX89" i="2"/>
  <c r="DY89" i="2"/>
  <c r="DZ89" i="2"/>
  <c r="EA89" i="2"/>
  <c r="EB89" i="2"/>
  <c r="EC89" i="2"/>
  <c r="ED89" i="2"/>
  <c r="EE89" i="2"/>
  <c r="EF89" i="2"/>
  <c r="EG89" i="2"/>
  <c r="EH89" i="2"/>
  <c r="EI89" i="2"/>
  <c r="EJ89" i="2"/>
  <c r="EK89" i="2"/>
  <c r="EL89" i="2"/>
  <c r="EM89" i="2"/>
  <c r="EN89" i="2"/>
  <c r="EO89" i="2"/>
  <c r="EP89" i="2"/>
  <c r="EQ89" i="2"/>
  <c r="ER89" i="2"/>
  <c r="ES89" i="2"/>
  <c r="ET89" i="2"/>
  <c r="EU89" i="2"/>
  <c r="EV89" i="2"/>
  <c r="EW89" i="2"/>
  <c r="EX89" i="2"/>
  <c r="EY89" i="2"/>
  <c r="EZ89" i="2"/>
  <c r="FA89" i="2"/>
  <c r="FB89" i="2"/>
  <c r="FC89" i="2"/>
  <c r="FD89" i="2"/>
  <c r="FE89" i="2"/>
  <c r="FF89" i="2"/>
  <c r="FG89" i="2"/>
  <c r="FH89" i="2"/>
  <c r="FI89" i="2"/>
  <c r="FJ89" i="2"/>
  <c r="FK89" i="2"/>
  <c r="FL89" i="2"/>
  <c r="FM89" i="2"/>
  <c r="FN89" i="2"/>
  <c r="FO89" i="2"/>
  <c r="FP89" i="2"/>
  <c r="FQ89" i="2"/>
  <c r="FR89" i="2"/>
  <c r="FS89" i="2"/>
  <c r="FT89" i="2"/>
  <c r="FU89" i="2"/>
  <c r="FV89" i="2"/>
  <c r="FW89" i="2"/>
  <c r="FX89" i="2"/>
  <c r="FY89" i="2"/>
  <c r="FZ89" i="2"/>
  <c r="GA89" i="2"/>
  <c r="GB89" i="2"/>
  <c r="GC89" i="2"/>
  <c r="GD89" i="2"/>
  <c r="GE89" i="2"/>
  <c r="GF89" i="2"/>
  <c r="GG89" i="2"/>
  <c r="GH89" i="2"/>
  <c r="GI89" i="2"/>
  <c r="GJ89" i="2"/>
  <c r="GK89" i="2"/>
  <c r="GL89" i="2"/>
  <c r="GM89" i="2"/>
  <c r="GN89" i="2"/>
  <c r="GO89" i="2"/>
  <c r="GP89" i="2"/>
  <c r="GQ89" i="2"/>
  <c r="GR89" i="2"/>
  <c r="GS89" i="2"/>
  <c r="GT89" i="2"/>
  <c r="GU89" i="2"/>
  <c r="GV89" i="2"/>
  <c r="GW89" i="2"/>
  <c r="GX89" i="2"/>
  <c r="AS8" i="2"/>
  <c r="AT8" i="2"/>
  <c r="AU8" i="2"/>
  <c r="AV8" i="2"/>
  <c r="AW8" i="2"/>
  <c r="AX8" i="2"/>
  <c r="AY8" i="2"/>
  <c r="AZ8" i="2"/>
  <c r="BA8" i="2"/>
  <c r="BB8" i="2"/>
  <c r="BC8" i="2"/>
  <c r="BE8" i="2"/>
  <c r="BF8" i="2"/>
  <c r="BG8" i="2"/>
  <c r="BH8" i="2"/>
  <c r="BI8" i="2"/>
  <c r="BJ8" i="2"/>
  <c r="BK8" i="2"/>
  <c r="BL8" i="2"/>
  <c r="BM8" i="2"/>
  <c r="BN8" i="2"/>
  <c r="BO8" i="2"/>
  <c r="BP8" i="2"/>
  <c r="BQ8" i="2"/>
  <c r="BR8" i="2"/>
  <c r="BS8" i="2"/>
  <c r="BT8" i="2"/>
  <c r="BU8" i="2"/>
  <c r="BV8" i="2"/>
  <c r="BW8" i="2"/>
  <c r="BX8" i="2"/>
  <c r="BY8" i="2"/>
  <c r="BZ8" i="2"/>
  <c r="CA8" i="2"/>
  <c r="CB8" i="2"/>
  <c r="CC8" i="2"/>
  <c r="CD8" i="2"/>
  <c r="CE8" i="2"/>
  <c r="CF8" i="2"/>
  <c r="CG8" i="2"/>
  <c r="CH8" i="2"/>
  <c r="CI8" i="2"/>
  <c r="CJ8" i="2"/>
  <c r="CK8" i="2"/>
  <c r="CL8" i="2"/>
  <c r="CM8" i="2"/>
  <c r="CN8" i="2"/>
  <c r="CO8" i="2"/>
  <c r="CP8" i="2"/>
  <c r="CQ8" i="2"/>
  <c r="CR8" i="2"/>
  <c r="CS8" i="2"/>
  <c r="CT8" i="2"/>
  <c r="CU8" i="2"/>
  <c r="CV8" i="2"/>
  <c r="CW8" i="2"/>
  <c r="CX8" i="2"/>
  <c r="CY8" i="2"/>
  <c r="CZ8" i="2"/>
  <c r="DA8" i="2"/>
  <c r="DB8" i="2"/>
  <c r="DC8" i="2"/>
  <c r="DD8" i="2"/>
  <c r="DE8" i="2"/>
  <c r="DF8" i="2"/>
  <c r="DG8" i="2"/>
  <c r="DH8" i="2"/>
  <c r="DI8" i="2"/>
  <c r="DJ8" i="2"/>
  <c r="DK8" i="2"/>
  <c r="DL8" i="2"/>
  <c r="DM8" i="2"/>
  <c r="DN8" i="2"/>
  <c r="DO8" i="2"/>
  <c r="DP8" i="2"/>
  <c r="DQ8" i="2"/>
  <c r="DR8" i="2"/>
  <c r="DS8" i="2"/>
  <c r="DT8" i="2"/>
  <c r="DU8" i="2"/>
  <c r="DV8" i="2"/>
  <c r="DW8" i="2"/>
  <c r="DX8" i="2"/>
  <c r="DY8" i="2"/>
  <c r="DZ8" i="2"/>
  <c r="EA8" i="2"/>
  <c r="EB8" i="2"/>
  <c r="EC8" i="2"/>
  <c r="ED8" i="2"/>
  <c r="EE8" i="2"/>
  <c r="EF8" i="2"/>
  <c r="EG8" i="2"/>
  <c r="EH8" i="2"/>
  <c r="EI8" i="2"/>
  <c r="EJ8" i="2"/>
  <c r="EK8" i="2"/>
  <c r="EL8" i="2"/>
  <c r="EM8" i="2"/>
  <c r="EN8" i="2"/>
  <c r="EO8" i="2"/>
  <c r="EP8" i="2"/>
  <c r="EQ8" i="2"/>
  <c r="ER8" i="2"/>
  <c r="ES8" i="2"/>
  <c r="ET8" i="2"/>
  <c r="EU8" i="2"/>
  <c r="EV8" i="2"/>
  <c r="EW8" i="2"/>
  <c r="EX8" i="2"/>
  <c r="EY8" i="2"/>
  <c r="EZ8" i="2"/>
  <c r="FA8" i="2"/>
  <c r="FB8" i="2"/>
  <c r="FC8" i="2"/>
  <c r="FD8" i="2"/>
  <c r="FE8" i="2"/>
  <c r="FF8" i="2"/>
  <c r="FG8" i="2"/>
  <c r="FH8" i="2"/>
  <c r="FI8" i="2"/>
  <c r="FJ8" i="2"/>
  <c r="FK8" i="2"/>
  <c r="FL8" i="2"/>
  <c r="FM8" i="2"/>
  <c r="FN8" i="2"/>
  <c r="FO8" i="2"/>
  <c r="FP8" i="2"/>
  <c r="FQ8" i="2"/>
  <c r="FR8" i="2"/>
  <c r="FS8" i="2"/>
  <c r="FT8" i="2"/>
  <c r="FU8" i="2"/>
  <c r="FV8" i="2"/>
  <c r="FW8" i="2"/>
  <c r="FX8" i="2"/>
  <c r="FY8" i="2"/>
  <c r="FZ8" i="2"/>
  <c r="GA8" i="2"/>
  <c r="GB8" i="2"/>
  <c r="GC8" i="2"/>
  <c r="GD8" i="2"/>
  <c r="GE8" i="2"/>
  <c r="GF8" i="2"/>
  <c r="GG8" i="2"/>
  <c r="GH8" i="2"/>
  <c r="GI8" i="2"/>
  <c r="GJ8" i="2"/>
  <c r="GK8" i="2"/>
  <c r="GL8" i="2"/>
  <c r="GM8" i="2"/>
  <c r="GN8" i="2"/>
  <c r="GO8" i="2"/>
  <c r="GP8" i="2"/>
  <c r="GQ8" i="2"/>
  <c r="GR8" i="2"/>
  <c r="GS8" i="2"/>
  <c r="GT8" i="2"/>
  <c r="GU8" i="2"/>
  <c r="GV8" i="2"/>
  <c r="GW8" i="2"/>
  <c r="GX8" i="2"/>
  <c r="X1" i="2"/>
  <c r="A6" i="7" a="1"/>
  <c r="V126" i="2"/>
  <c r="U126" i="2"/>
  <c r="T126" i="2"/>
  <c r="S126" i="2"/>
  <c r="V125" i="2"/>
  <c r="U125" i="2"/>
  <c r="T125" i="2"/>
  <c r="S125" i="2"/>
  <c r="V124" i="2"/>
  <c r="U124" i="2"/>
  <c r="T124" i="2"/>
  <c r="S124" i="2"/>
  <c r="V123" i="2"/>
  <c r="U123" i="2"/>
  <c r="T123" i="2"/>
  <c r="S123" i="2"/>
  <c r="V122" i="2"/>
  <c r="U122" i="2"/>
  <c r="T122" i="2"/>
  <c r="S122" i="2"/>
  <c r="V121" i="2"/>
  <c r="U121" i="2"/>
  <c r="T121" i="2"/>
  <c r="S121" i="2"/>
  <c r="V120" i="2"/>
  <c r="U120" i="2"/>
  <c r="T120" i="2"/>
  <c r="S120" i="2"/>
  <c r="V119" i="2"/>
  <c r="U119" i="2"/>
  <c r="T119" i="2"/>
  <c r="S119" i="2"/>
  <c r="V118" i="2"/>
  <c r="U118" i="2"/>
  <c r="T118" i="2"/>
  <c r="S118" i="2"/>
  <c r="V117" i="2"/>
  <c r="U117" i="2"/>
  <c r="T117" i="2"/>
  <c r="S117" i="2"/>
  <c r="V116" i="2"/>
  <c r="U116" i="2"/>
  <c r="T116" i="2"/>
  <c r="S116" i="2"/>
  <c r="V115" i="2"/>
  <c r="U115" i="2"/>
  <c r="T115" i="2"/>
  <c r="S115" i="2"/>
  <c r="V114" i="2"/>
  <c r="U114" i="2"/>
  <c r="T114" i="2"/>
  <c r="S114" i="2"/>
  <c r="V113" i="2"/>
  <c r="U113" i="2"/>
  <c r="T113" i="2"/>
  <c r="S113" i="2"/>
  <c r="V112" i="2"/>
  <c r="U112" i="2"/>
  <c r="T112" i="2"/>
  <c r="S112" i="2"/>
  <c r="V111" i="2"/>
  <c r="U111" i="2"/>
  <c r="T111" i="2"/>
  <c r="S111" i="2"/>
  <c r="V110" i="2"/>
  <c r="U110" i="2"/>
  <c r="T110" i="2"/>
  <c r="S110" i="2"/>
  <c r="V109" i="2"/>
  <c r="U109" i="2"/>
  <c r="T109" i="2"/>
  <c r="S109" i="2"/>
  <c r="V108" i="2"/>
  <c r="U108" i="2"/>
  <c r="T108" i="2"/>
  <c r="S108" i="2"/>
  <c r="V107" i="2"/>
  <c r="U107" i="2"/>
  <c r="T107" i="2"/>
  <c r="S107" i="2"/>
  <c r="V106" i="2"/>
  <c r="U106" i="2"/>
  <c r="T106" i="2"/>
  <c r="S106" i="2"/>
  <c r="V105" i="2"/>
  <c r="U105" i="2"/>
  <c r="T105" i="2"/>
  <c r="S105" i="2"/>
  <c r="V104" i="2"/>
  <c r="U104" i="2"/>
  <c r="T104" i="2"/>
  <c r="S104" i="2"/>
  <c r="V103" i="2"/>
  <c r="U103" i="2"/>
  <c r="T103" i="2"/>
  <c r="S103" i="2"/>
  <c r="V102" i="2"/>
  <c r="U102" i="2"/>
  <c r="T102" i="2"/>
  <c r="S102" i="2"/>
  <c r="V101" i="2"/>
  <c r="U101" i="2"/>
  <c r="T101" i="2"/>
  <c r="S101" i="2"/>
  <c r="V100" i="2"/>
  <c r="U100" i="2"/>
  <c r="T100" i="2"/>
  <c r="S100" i="2"/>
  <c r="V99" i="2"/>
  <c r="U99" i="2"/>
  <c r="T99" i="2"/>
  <c r="S99" i="2"/>
  <c r="V98" i="2"/>
  <c r="U98" i="2"/>
  <c r="T98" i="2"/>
  <c r="S98" i="2"/>
  <c r="V97" i="2"/>
  <c r="U97" i="2"/>
  <c r="T97" i="2"/>
  <c r="S97" i="2"/>
  <c r="V96" i="2"/>
  <c r="U96" i="2"/>
  <c r="T96" i="2"/>
  <c r="S96" i="2"/>
  <c r="A47" i="1"/>
  <c r="A46" i="1"/>
  <c r="A45" i="1"/>
  <c r="A44" i="1"/>
  <c r="A43" i="1"/>
  <c r="A30" i="8"/>
  <c r="B29" i="8"/>
  <c r="BL56" i="2"/>
  <c r="BN56" i="2"/>
  <c r="BO56" i="2"/>
  <c r="BP56" i="2"/>
  <c r="BQ56" i="2"/>
  <c r="BR56" i="2"/>
  <c r="BS56" i="2"/>
  <c r="BT56" i="2"/>
  <c r="BU56" i="2"/>
  <c r="BV56" i="2"/>
  <c r="BW56" i="2"/>
  <c r="BX56" i="2"/>
  <c r="BY56" i="2"/>
  <c r="BZ56" i="2"/>
  <c r="CA56" i="2"/>
  <c r="CB56" i="2"/>
  <c r="CC56" i="2"/>
  <c r="CD56" i="2"/>
  <c r="CE56" i="2"/>
  <c r="CF56" i="2"/>
  <c r="CG56" i="2"/>
  <c r="CH56" i="2"/>
  <c r="CI56" i="2"/>
  <c r="CJ56" i="2"/>
  <c r="CK56" i="2"/>
  <c r="CL56" i="2"/>
  <c r="CM56" i="2"/>
  <c r="CN56" i="2"/>
  <c r="CO56" i="2"/>
  <c r="CP56" i="2"/>
  <c r="CQ56" i="2"/>
  <c r="CR56" i="2"/>
  <c r="CS56" i="2"/>
  <c r="CT56" i="2"/>
  <c r="CU56" i="2"/>
  <c r="CV56" i="2"/>
  <c r="CW56" i="2"/>
  <c r="CX56" i="2"/>
  <c r="CY56" i="2"/>
  <c r="CZ56" i="2"/>
  <c r="DA56" i="2"/>
  <c r="DB56" i="2"/>
  <c r="DC56" i="2"/>
  <c r="DD56" i="2"/>
  <c r="DE56" i="2"/>
  <c r="DF56" i="2"/>
  <c r="DG56" i="2"/>
  <c r="DH56" i="2"/>
  <c r="DI56" i="2"/>
  <c r="DJ56" i="2"/>
  <c r="DK56" i="2"/>
  <c r="DL56" i="2"/>
  <c r="DM56" i="2"/>
  <c r="DN56" i="2"/>
  <c r="DO56" i="2"/>
  <c r="DP56" i="2"/>
  <c r="DQ56" i="2"/>
  <c r="DR56" i="2"/>
  <c r="DS56" i="2"/>
  <c r="DT56" i="2"/>
  <c r="DU56" i="2"/>
  <c r="DV56" i="2"/>
  <c r="DW56" i="2"/>
  <c r="DX56" i="2"/>
  <c r="DY56" i="2"/>
  <c r="DZ56" i="2"/>
  <c r="EA56" i="2"/>
  <c r="EB56" i="2"/>
  <c r="EC56" i="2"/>
  <c r="ED56" i="2"/>
  <c r="EE56" i="2"/>
  <c r="EF56" i="2"/>
  <c r="EG56" i="2"/>
  <c r="EH56" i="2"/>
  <c r="EI56" i="2"/>
  <c r="EJ56" i="2"/>
  <c r="EK56" i="2"/>
  <c r="EL56" i="2"/>
  <c r="EM56" i="2"/>
  <c r="EN56" i="2"/>
  <c r="EO56" i="2"/>
  <c r="EP56" i="2"/>
  <c r="EQ56" i="2"/>
  <c r="ER56" i="2"/>
  <c r="ES56" i="2"/>
  <c r="ET56" i="2"/>
  <c r="EU56" i="2"/>
  <c r="EV56" i="2"/>
  <c r="EW56" i="2"/>
  <c r="EX56" i="2"/>
  <c r="EY56" i="2"/>
  <c r="EZ56" i="2"/>
  <c r="FA56" i="2"/>
  <c r="FB56" i="2"/>
  <c r="FC56" i="2"/>
  <c r="FD56" i="2"/>
  <c r="FE56" i="2"/>
  <c r="FF56" i="2"/>
  <c r="FG56" i="2"/>
  <c r="FH56" i="2"/>
  <c r="FI56" i="2"/>
  <c r="FJ56" i="2"/>
  <c r="FK56" i="2"/>
  <c r="FL56" i="2"/>
  <c r="FM56" i="2"/>
  <c r="FN56" i="2"/>
  <c r="FO56" i="2"/>
  <c r="FP56" i="2"/>
  <c r="FQ56" i="2"/>
  <c r="FR56" i="2"/>
  <c r="FS56" i="2"/>
  <c r="FT56" i="2"/>
  <c r="FU56" i="2"/>
  <c r="FV56" i="2"/>
  <c r="FW56" i="2"/>
  <c r="FX56" i="2"/>
  <c r="FY56" i="2"/>
  <c r="FZ56" i="2"/>
  <c r="GA56" i="2"/>
  <c r="GB56" i="2"/>
  <c r="GC56" i="2"/>
  <c r="GD56" i="2"/>
  <c r="GE56" i="2"/>
  <c r="GF56" i="2"/>
  <c r="GG56" i="2"/>
  <c r="GH56" i="2"/>
  <c r="GI56" i="2"/>
  <c r="GJ56" i="2"/>
  <c r="GK56" i="2"/>
  <c r="GL56" i="2"/>
  <c r="GM56" i="2"/>
  <c r="GN56" i="2"/>
  <c r="GO56" i="2"/>
  <c r="GP56" i="2"/>
  <c r="GQ56" i="2"/>
  <c r="GR56" i="2"/>
  <c r="GS56" i="2"/>
  <c r="GT56" i="2"/>
  <c r="GU56" i="2"/>
  <c r="GV56" i="2"/>
  <c r="GW56" i="2"/>
  <c r="GX56" i="2"/>
  <c r="BL55" i="2"/>
  <c r="BN55" i="2"/>
  <c r="BO55" i="2"/>
  <c r="BP55" i="2"/>
  <c r="BQ55" i="2"/>
  <c r="BR55" i="2"/>
  <c r="BS55" i="2"/>
  <c r="BT55" i="2"/>
  <c r="BU55" i="2"/>
  <c r="BV55" i="2"/>
  <c r="BW55" i="2"/>
  <c r="BX55" i="2"/>
  <c r="BY55" i="2"/>
  <c r="BZ55" i="2"/>
  <c r="CA55" i="2"/>
  <c r="CB55" i="2"/>
  <c r="CC55" i="2"/>
  <c r="CD55" i="2"/>
  <c r="CE55" i="2"/>
  <c r="CF55" i="2"/>
  <c r="CG55" i="2"/>
  <c r="CH55" i="2"/>
  <c r="CI55" i="2"/>
  <c r="CJ55" i="2"/>
  <c r="CK55" i="2"/>
  <c r="CL55" i="2"/>
  <c r="CM55" i="2"/>
  <c r="CN55" i="2"/>
  <c r="CO55" i="2"/>
  <c r="CP55" i="2"/>
  <c r="CQ55" i="2"/>
  <c r="CR55" i="2"/>
  <c r="CS55" i="2"/>
  <c r="CT55" i="2"/>
  <c r="CU55" i="2"/>
  <c r="CV55" i="2"/>
  <c r="CW55" i="2"/>
  <c r="CX55" i="2"/>
  <c r="CY55" i="2"/>
  <c r="CZ55" i="2"/>
  <c r="DA55" i="2"/>
  <c r="DB55" i="2"/>
  <c r="DC55" i="2"/>
  <c r="DD55" i="2"/>
  <c r="DE55" i="2"/>
  <c r="DF55" i="2"/>
  <c r="DG55" i="2"/>
  <c r="DH55" i="2"/>
  <c r="DI55" i="2"/>
  <c r="DJ55" i="2"/>
  <c r="DK55" i="2"/>
  <c r="DL55" i="2"/>
  <c r="DM55" i="2"/>
  <c r="DN55" i="2"/>
  <c r="DO55" i="2"/>
  <c r="DP55" i="2"/>
  <c r="DQ55" i="2"/>
  <c r="DR55" i="2"/>
  <c r="DS55" i="2"/>
  <c r="DT55" i="2"/>
  <c r="DU55" i="2"/>
  <c r="DV55" i="2"/>
  <c r="DW55" i="2"/>
  <c r="DX55" i="2"/>
  <c r="DY55" i="2"/>
  <c r="DZ55" i="2"/>
  <c r="EA55" i="2"/>
  <c r="EB55" i="2"/>
  <c r="EC55" i="2"/>
  <c r="ED55" i="2"/>
  <c r="EE55" i="2"/>
  <c r="EF55" i="2"/>
  <c r="EG55" i="2"/>
  <c r="EH55" i="2"/>
  <c r="EI55" i="2"/>
  <c r="EJ55" i="2"/>
  <c r="EK55" i="2"/>
  <c r="EL55" i="2"/>
  <c r="EM55" i="2"/>
  <c r="EN55" i="2"/>
  <c r="EO55" i="2"/>
  <c r="EP55" i="2"/>
  <c r="EQ55" i="2"/>
  <c r="ER55" i="2"/>
  <c r="ES55" i="2"/>
  <c r="ET55" i="2"/>
  <c r="EU55" i="2"/>
  <c r="EV55" i="2"/>
  <c r="EW55" i="2"/>
  <c r="EX55" i="2"/>
  <c r="EY55" i="2"/>
  <c r="EZ55" i="2"/>
  <c r="FA55" i="2"/>
  <c r="FB55" i="2"/>
  <c r="FC55" i="2"/>
  <c r="FD55" i="2"/>
  <c r="FE55" i="2"/>
  <c r="FF55" i="2"/>
  <c r="FG55" i="2"/>
  <c r="FH55" i="2"/>
  <c r="FI55" i="2"/>
  <c r="FJ55" i="2"/>
  <c r="FK55" i="2"/>
  <c r="FL55" i="2"/>
  <c r="FM55" i="2"/>
  <c r="FN55" i="2"/>
  <c r="FO55" i="2"/>
  <c r="FP55" i="2"/>
  <c r="FQ55" i="2"/>
  <c r="FR55" i="2"/>
  <c r="FS55" i="2"/>
  <c r="FT55" i="2"/>
  <c r="FU55" i="2"/>
  <c r="FV55" i="2"/>
  <c r="FW55" i="2"/>
  <c r="FX55" i="2"/>
  <c r="FY55" i="2"/>
  <c r="FZ55" i="2"/>
  <c r="GA55" i="2"/>
  <c r="GB55" i="2"/>
  <c r="GC55" i="2"/>
  <c r="GD55" i="2"/>
  <c r="GE55" i="2"/>
  <c r="GF55" i="2"/>
  <c r="GG55" i="2"/>
  <c r="GH55" i="2"/>
  <c r="GI55" i="2"/>
  <c r="GJ55" i="2"/>
  <c r="GK55" i="2"/>
  <c r="GL55" i="2"/>
  <c r="GM55" i="2"/>
  <c r="GN55" i="2"/>
  <c r="GO55" i="2"/>
  <c r="GP55" i="2"/>
  <c r="GQ55" i="2"/>
  <c r="GR55" i="2"/>
  <c r="GS55" i="2"/>
  <c r="GT55" i="2"/>
  <c r="GU55" i="2"/>
  <c r="GV55" i="2"/>
  <c r="GW55" i="2"/>
  <c r="GX55" i="2"/>
  <c r="BL52" i="2"/>
  <c r="BN52" i="2"/>
  <c r="BO52" i="2"/>
  <c r="BP52" i="2"/>
  <c r="BQ52" i="2"/>
  <c r="BR52" i="2"/>
  <c r="BS52" i="2"/>
  <c r="BT52" i="2"/>
  <c r="BU52" i="2"/>
  <c r="BV52" i="2"/>
  <c r="BW52" i="2"/>
  <c r="BX52" i="2"/>
  <c r="BY52" i="2"/>
  <c r="BZ52" i="2"/>
  <c r="CA52" i="2"/>
  <c r="CB52" i="2"/>
  <c r="CC52" i="2"/>
  <c r="CD52" i="2"/>
  <c r="CE52" i="2"/>
  <c r="CF52" i="2"/>
  <c r="CG52" i="2"/>
  <c r="CH52" i="2"/>
  <c r="CI52" i="2"/>
  <c r="CJ52" i="2"/>
  <c r="CK52" i="2"/>
  <c r="CL52" i="2"/>
  <c r="CM52" i="2"/>
  <c r="CN52" i="2"/>
  <c r="CO52" i="2"/>
  <c r="CP52" i="2"/>
  <c r="CQ52" i="2"/>
  <c r="CR52" i="2"/>
  <c r="CS52" i="2"/>
  <c r="CT52" i="2"/>
  <c r="CU52" i="2"/>
  <c r="CV52" i="2"/>
  <c r="CW52" i="2"/>
  <c r="CX52" i="2"/>
  <c r="CY52" i="2"/>
  <c r="CZ52" i="2"/>
  <c r="DA52" i="2"/>
  <c r="DB52" i="2"/>
  <c r="DC52" i="2"/>
  <c r="DD52" i="2"/>
  <c r="DE52" i="2"/>
  <c r="DF52" i="2"/>
  <c r="DG52" i="2"/>
  <c r="DH52" i="2"/>
  <c r="DI52" i="2"/>
  <c r="DJ52" i="2"/>
  <c r="DK52" i="2"/>
  <c r="DL52" i="2"/>
  <c r="DM52" i="2"/>
  <c r="DN52" i="2"/>
  <c r="DO52" i="2"/>
  <c r="DP52" i="2"/>
  <c r="DQ52" i="2"/>
  <c r="DR52" i="2"/>
  <c r="DS52" i="2"/>
  <c r="DT52" i="2"/>
  <c r="DU52" i="2"/>
  <c r="DV52" i="2"/>
  <c r="DW52" i="2"/>
  <c r="DX52" i="2"/>
  <c r="DY52" i="2"/>
  <c r="DZ52" i="2"/>
  <c r="EA52" i="2"/>
  <c r="EB52" i="2"/>
  <c r="EC52" i="2"/>
  <c r="ED52" i="2"/>
  <c r="EE52" i="2"/>
  <c r="EF52" i="2"/>
  <c r="EG52" i="2"/>
  <c r="EH52" i="2"/>
  <c r="EI52" i="2"/>
  <c r="EJ52" i="2"/>
  <c r="EK52" i="2"/>
  <c r="EL52" i="2"/>
  <c r="EM52" i="2"/>
  <c r="EN52" i="2"/>
  <c r="EO52" i="2"/>
  <c r="EP52" i="2"/>
  <c r="EQ52" i="2"/>
  <c r="ER52" i="2"/>
  <c r="ES52" i="2"/>
  <c r="ET52" i="2"/>
  <c r="EU52" i="2"/>
  <c r="EV52" i="2"/>
  <c r="EW52" i="2"/>
  <c r="EX52" i="2"/>
  <c r="EY52" i="2"/>
  <c r="EZ52" i="2"/>
  <c r="FA52" i="2"/>
  <c r="FB52" i="2"/>
  <c r="FC52" i="2"/>
  <c r="FD52" i="2"/>
  <c r="FE52" i="2"/>
  <c r="FF52" i="2"/>
  <c r="FG52" i="2"/>
  <c r="FH52" i="2"/>
  <c r="FI52" i="2"/>
  <c r="FJ52" i="2"/>
  <c r="FK52" i="2"/>
  <c r="FL52" i="2"/>
  <c r="FM52" i="2"/>
  <c r="FN52" i="2"/>
  <c r="FO52" i="2"/>
  <c r="FP52" i="2"/>
  <c r="FQ52" i="2"/>
  <c r="FR52" i="2"/>
  <c r="FS52" i="2"/>
  <c r="FT52" i="2"/>
  <c r="FU52" i="2"/>
  <c r="FV52" i="2"/>
  <c r="FW52" i="2"/>
  <c r="FX52" i="2"/>
  <c r="FY52" i="2"/>
  <c r="FZ52" i="2"/>
  <c r="GA52" i="2"/>
  <c r="GB52" i="2"/>
  <c r="GC52" i="2"/>
  <c r="GD52" i="2"/>
  <c r="GE52" i="2"/>
  <c r="GF52" i="2"/>
  <c r="GG52" i="2"/>
  <c r="GH52" i="2"/>
  <c r="GI52" i="2"/>
  <c r="GJ52" i="2"/>
  <c r="GK52" i="2"/>
  <c r="GL52" i="2"/>
  <c r="GM52" i="2"/>
  <c r="GN52" i="2"/>
  <c r="GO52" i="2"/>
  <c r="GP52" i="2"/>
  <c r="GQ52" i="2"/>
  <c r="GR52" i="2"/>
  <c r="GS52" i="2"/>
  <c r="GT52" i="2"/>
  <c r="GU52" i="2"/>
  <c r="GV52" i="2"/>
  <c r="GW52" i="2"/>
  <c r="GX52" i="2"/>
  <c r="BL43" i="2"/>
  <c r="BN43" i="2"/>
  <c r="BO43" i="2"/>
  <c r="BP43" i="2"/>
  <c r="BQ43" i="2"/>
  <c r="BR43" i="2"/>
  <c r="BS43" i="2"/>
  <c r="BT43" i="2"/>
  <c r="BU43" i="2"/>
  <c r="BV43" i="2"/>
  <c r="BW43" i="2"/>
  <c r="BX43" i="2"/>
  <c r="BY43" i="2"/>
  <c r="BZ43" i="2"/>
  <c r="CA43" i="2"/>
  <c r="CB43" i="2"/>
  <c r="CC43" i="2"/>
  <c r="CD43" i="2"/>
  <c r="CE43" i="2"/>
  <c r="CF43" i="2"/>
  <c r="CG43" i="2"/>
  <c r="CH43" i="2"/>
  <c r="CI43" i="2"/>
  <c r="CJ43" i="2"/>
  <c r="CK43" i="2"/>
  <c r="CL43" i="2"/>
  <c r="CM43" i="2"/>
  <c r="CN43" i="2"/>
  <c r="CO43" i="2"/>
  <c r="CP43" i="2"/>
  <c r="CQ43" i="2"/>
  <c r="CR43" i="2"/>
  <c r="CS43" i="2"/>
  <c r="CT43" i="2"/>
  <c r="CU43" i="2"/>
  <c r="CV43" i="2"/>
  <c r="CW43" i="2"/>
  <c r="CX43" i="2"/>
  <c r="CY43" i="2"/>
  <c r="CZ43" i="2"/>
  <c r="DA43" i="2"/>
  <c r="DB43" i="2"/>
  <c r="DC43" i="2"/>
  <c r="DD43" i="2"/>
  <c r="DE43" i="2"/>
  <c r="DF43" i="2"/>
  <c r="DG43" i="2"/>
  <c r="DH43" i="2"/>
  <c r="DI43" i="2"/>
  <c r="DJ43" i="2"/>
  <c r="DK43" i="2"/>
  <c r="DL43" i="2"/>
  <c r="DM43" i="2"/>
  <c r="DN43" i="2"/>
  <c r="DO43" i="2"/>
  <c r="DP43" i="2"/>
  <c r="DQ43" i="2"/>
  <c r="DR43" i="2"/>
  <c r="DS43" i="2"/>
  <c r="DT43" i="2"/>
  <c r="DU43" i="2"/>
  <c r="DV43" i="2"/>
  <c r="DW43" i="2"/>
  <c r="DX43" i="2"/>
  <c r="DY43" i="2"/>
  <c r="DZ43" i="2"/>
  <c r="EA43" i="2"/>
  <c r="EB43" i="2"/>
  <c r="EC43" i="2"/>
  <c r="ED43" i="2"/>
  <c r="EE43" i="2"/>
  <c r="EF43" i="2"/>
  <c r="EG43" i="2"/>
  <c r="EH43" i="2"/>
  <c r="EI43" i="2"/>
  <c r="EJ43" i="2"/>
  <c r="EK43" i="2"/>
  <c r="EL43" i="2"/>
  <c r="EM43" i="2"/>
  <c r="EN43" i="2"/>
  <c r="EO43" i="2"/>
  <c r="EP43" i="2"/>
  <c r="EQ43" i="2"/>
  <c r="ER43" i="2"/>
  <c r="ES43" i="2"/>
  <c r="ET43" i="2"/>
  <c r="EU43" i="2"/>
  <c r="EV43" i="2"/>
  <c r="EW43" i="2"/>
  <c r="EX43" i="2"/>
  <c r="EY43" i="2"/>
  <c r="EZ43" i="2"/>
  <c r="FA43" i="2"/>
  <c r="FB43" i="2"/>
  <c r="FC43" i="2"/>
  <c r="FD43" i="2"/>
  <c r="FE43" i="2"/>
  <c r="FF43" i="2"/>
  <c r="FG43" i="2"/>
  <c r="FH43" i="2"/>
  <c r="FI43" i="2"/>
  <c r="FJ43" i="2"/>
  <c r="FK43" i="2"/>
  <c r="FL43" i="2"/>
  <c r="FM43" i="2"/>
  <c r="FN43" i="2"/>
  <c r="FO43" i="2"/>
  <c r="FP43" i="2"/>
  <c r="FQ43" i="2"/>
  <c r="FR43" i="2"/>
  <c r="FS43" i="2"/>
  <c r="FT43" i="2"/>
  <c r="FU43" i="2"/>
  <c r="FV43" i="2"/>
  <c r="FW43" i="2"/>
  <c r="FX43" i="2"/>
  <c r="FY43" i="2"/>
  <c r="FZ43" i="2"/>
  <c r="GA43" i="2"/>
  <c r="GB43" i="2"/>
  <c r="GC43" i="2"/>
  <c r="GD43" i="2"/>
  <c r="GE43" i="2"/>
  <c r="GF43" i="2"/>
  <c r="GG43" i="2"/>
  <c r="GH43" i="2"/>
  <c r="GI43" i="2"/>
  <c r="GJ43" i="2"/>
  <c r="GK43" i="2"/>
  <c r="GL43" i="2"/>
  <c r="GM43" i="2"/>
  <c r="GN43" i="2"/>
  <c r="GO43" i="2"/>
  <c r="GP43" i="2"/>
  <c r="GQ43" i="2"/>
  <c r="GR43" i="2"/>
  <c r="GS43" i="2"/>
  <c r="GT43" i="2"/>
  <c r="GU43" i="2"/>
  <c r="GV43" i="2"/>
  <c r="GW43" i="2"/>
  <c r="GX43" i="2"/>
  <c r="BK65" i="2"/>
  <c r="BM65" i="2"/>
  <c r="BN65" i="2"/>
  <c r="BO65" i="2"/>
  <c r="BP65" i="2"/>
  <c r="BQ65" i="2"/>
  <c r="BR65" i="2"/>
  <c r="BS65" i="2"/>
  <c r="BT65" i="2"/>
  <c r="BU65" i="2"/>
  <c r="BV65" i="2"/>
  <c r="BW65" i="2"/>
  <c r="BX65" i="2"/>
  <c r="BY65" i="2"/>
  <c r="BZ65" i="2"/>
  <c r="CA65" i="2"/>
  <c r="CB65" i="2"/>
  <c r="CC65" i="2"/>
  <c r="CD65" i="2"/>
  <c r="CE65" i="2"/>
  <c r="CF65" i="2"/>
  <c r="CG65" i="2"/>
  <c r="CH65" i="2"/>
  <c r="CI65" i="2"/>
  <c r="CJ65" i="2"/>
  <c r="CK65" i="2"/>
  <c r="CL65" i="2"/>
  <c r="CM65" i="2"/>
  <c r="CN65" i="2"/>
  <c r="CO65" i="2"/>
  <c r="CP65" i="2"/>
  <c r="CQ65" i="2"/>
  <c r="CR65" i="2"/>
  <c r="CS65" i="2"/>
  <c r="CT65" i="2"/>
  <c r="CU65" i="2"/>
  <c r="CV65" i="2"/>
  <c r="CW65" i="2"/>
  <c r="CX65" i="2"/>
  <c r="CY65" i="2"/>
  <c r="CZ65" i="2"/>
  <c r="DA65" i="2"/>
  <c r="DB65" i="2"/>
  <c r="DC65" i="2"/>
  <c r="DD65" i="2"/>
  <c r="DE65" i="2"/>
  <c r="DF65" i="2"/>
  <c r="DG65" i="2"/>
  <c r="DH65" i="2"/>
  <c r="DI65" i="2"/>
  <c r="DJ65" i="2"/>
  <c r="DK65" i="2"/>
  <c r="DL65" i="2"/>
  <c r="DM65" i="2"/>
  <c r="DN65" i="2"/>
  <c r="DO65" i="2"/>
  <c r="DP65" i="2"/>
  <c r="DQ65" i="2"/>
  <c r="DR65" i="2"/>
  <c r="DS65" i="2"/>
  <c r="DT65" i="2"/>
  <c r="DU65" i="2"/>
  <c r="DV65" i="2"/>
  <c r="DW65" i="2"/>
  <c r="DX65" i="2"/>
  <c r="DY65" i="2"/>
  <c r="DZ65" i="2"/>
  <c r="EA65" i="2"/>
  <c r="EB65" i="2"/>
  <c r="EC65" i="2"/>
  <c r="ED65" i="2"/>
  <c r="EE65" i="2"/>
  <c r="EF65" i="2"/>
  <c r="EG65" i="2"/>
  <c r="EH65" i="2"/>
  <c r="EI65" i="2"/>
  <c r="EJ65" i="2"/>
  <c r="EK65" i="2"/>
  <c r="EL65" i="2"/>
  <c r="EM65" i="2"/>
  <c r="EN65" i="2"/>
  <c r="EO65" i="2"/>
  <c r="EP65" i="2"/>
  <c r="EQ65" i="2"/>
  <c r="ER65" i="2"/>
  <c r="ES65" i="2"/>
  <c r="ET65" i="2"/>
  <c r="EU65" i="2"/>
  <c r="EV65" i="2"/>
  <c r="EW65" i="2"/>
  <c r="EX65" i="2"/>
  <c r="EY65" i="2"/>
  <c r="EZ65" i="2"/>
  <c r="FA65" i="2"/>
  <c r="FB65" i="2"/>
  <c r="FC65" i="2"/>
  <c r="FD65" i="2"/>
  <c r="FE65" i="2"/>
  <c r="FF65" i="2"/>
  <c r="FG65" i="2"/>
  <c r="FH65" i="2"/>
  <c r="FI65" i="2"/>
  <c r="FJ65" i="2"/>
  <c r="FK65" i="2"/>
  <c r="FL65" i="2"/>
  <c r="FM65" i="2"/>
  <c r="FN65" i="2"/>
  <c r="FO65" i="2"/>
  <c r="FP65" i="2"/>
  <c r="FQ65" i="2"/>
  <c r="FR65" i="2"/>
  <c r="FS65" i="2"/>
  <c r="FT65" i="2"/>
  <c r="FU65" i="2"/>
  <c r="FV65" i="2"/>
  <c r="FW65" i="2"/>
  <c r="FX65" i="2"/>
  <c r="FY65" i="2"/>
  <c r="FZ65" i="2"/>
  <c r="GA65" i="2"/>
  <c r="GB65" i="2"/>
  <c r="GC65" i="2"/>
  <c r="GD65" i="2"/>
  <c r="GE65" i="2"/>
  <c r="GF65" i="2"/>
  <c r="GG65" i="2"/>
  <c r="GH65" i="2"/>
  <c r="GI65" i="2"/>
  <c r="GJ65" i="2"/>
  <c r="GK65" i="2"/>
  <c r="GL65" i="2"/>
  <c r="GM65" i="2"/>
  <c r="GN65" i="2"/>
  <c r="GO65" i="2"/>
  <c r="GP65" i="2"/>
  <c r="GQ65" i="2"/>
  <c r="GR65" i="2"/>
  <c r="GS65" i="2"/>
  <c r="GT65" i="2"/>
  <c r="GU65" i="2"/>
  <c r="GV65" i="2"/>
  <c r="GW65" i="2"/>
  <c r="GX65" i="2"/>
  <c r="BK46" i="2"/>
  <c r="BM46" i="2"/>
  <c r="BN46" i="2"/>
  <c r="BO46" i="2"/>
  <c r="BP46" i="2"/>
  <c r="BQ46" i="2"/>
  <c r="BR46" i="2"/>
  <c r="BS46" i="2"/>
  <c r="BT46" i="2"/>
  <c r="BU46" i="2"/>
  <c r="BV46" i="2"/>
  <c r="BW46" i="2"/>
  <c r="BX46" i="2"/>
  <c r="BY46" i="2"/>
  <c r="BZ46" i="2"/>
  <c r="CA46" i="2"/>
  <c r="CB46" i="2"/>
  <c r="CC46" i="2"/>
  <c r="CD46" i="2"/>
  <c r="CE46" i="2"/>
  <c r="CF46" i="2"/>
  <c r="CG46" i="2"/>
  <c r="CH46" i="2"/>
  <c r="CI46" i="2"/>
  <c r="CJ46" i="2"/>
  <c r="CK46" i="2"/>
  <c r="CL46" i="2"/>
  <c r="CM46" i="2"/>
  <c r="CN46" i="2"/>
  <c r="CO46" i="2"/>
  <c r="CP46" i="2"/>
  <c r="CQ46" i="2"/>
  <c r="CR46" i="2"/>
  <c r="CS46" i="2"/>
  <c r="CT46" i="2"/>
  <c r="CU46" i="2"/>
  <c r="CV46" i="2"/>
  <c r="CW46" i="2"/>
  <c r="CX46" i="2"/>
  <c r="CY46" i="2"/>
  <c r="CZ46" i="2"/>
  <c r="DA46" i="2"/>
  <c r="DB46" i="2"/>
  <c r="DC46" i="2"/>
  <c r="DD46" i="2"/>
  <c r="DE46" i="2"/>
  <c r="DF46" i="2"/>
  <c r="DG46" i="2"/>
  <c r="DH46" i="2"/>
  <c r="DI46" i="2"/>
  <c r="DJ46" i="2"/>
  <c r="DK46" i="2"/>
  <c r="DL46" i="2"/>
  <c r="DM46" i="2"/>
  <c r="DN46" i="2"/>
  <c r="DO46" i="2"/>
  <c r="DP46" i="2"/>
  <c r="DQ46" i="2"/>
  <c r="DR46" i="2"/>
  <c r="DS46" i="2"/>
  <c r="DT46" i="2"/>
  <c r="DU46" i="2"/>
  <c r="DV46" i="2"/>
  <c r="DW46" i="2"/>
  <c r="DX46" i="2"/>
  <c r="DY46" i="2"/>
  <c r="DZ46" i="2"/>
  <c r="EA46" i="2"/>
  <c r="EB46" i="2"/>
  <c r="EC46" i="2"/>
  <c r="ED46" i="2"/>
  <c r="EE46" i="2"/>
  <c r="EF46" i="2"/>
  <c r="EG46" i="2"/>
  <c r="EH46" i="2"/>
  <c r="EI46" i="2"/>
  <c r="EJ46" i="2"/>
  <c r="EK46" i="2"/>
  <c r="EL46" i="2"/>
  <c r="EM46" i="2"/>
  <c r="EN46" i="2"/>
  <c r="EO46" i="2"/>
  <c r="EP46" i="2"/>
  <c r="EQ46" i="2"/>
  <c r="ER46" i="2"/>
  <c r="ES46" i="2"/>
  <c r="ET46" i="2"/>
  <c r="EU46" i="2"/>
  <c r="EV46" i="2"/>
  <c r="EW46" i="2"/>
  <c r="EX46" i="2"/>
  <c r="EY46" i="2"/>
  <c r="EZ46" i="2"/>
  <c r="FA46" i="2"/>
  <c r="FB46" i="2"/>
  <c r="FC46" i="2"/>
  <c r="FD46" i="2"/>
  <c r="FE46" i="2"/>
  <c r="FF46" i="2"/>
  <c r="FG46" i="2"/>
  <c r="FH46" i="2"/>
  <c r="FI46" i="2"/>
  <c r="FJ46" i="2"/>
  <c r="FK46" i="2"/>
  <c r="FL46" i="2"/>
  <c r="FM46" i="2"/>
  <c r="FN46" i="2"/>
  <c r="FO46" i="2"/>
  <c r="FP46" i="2"/>
  <c r="FQ46" i="2"/>
  <c r="FR46" i="2"/>
  <c r="FS46" i="2"/>
  <c r="FT46" i="2"/>
  <c r="FU46" i="2"/>
  <c r="FV46" i="2"/>
  <c r="FW46" i="2"/>
  <c r="FX46" i="2"/>
  <c r="FY46" i="2"/>
  <c r="FZ46" i="2"/>
  <c r="GA46" i="2"/>
  <c r="GB46" i="2"/>
  <c r="GC46" i="2"/>
  <c r="GD46" i="2"/>
  <c r="GE46" i="2"/>
  <c r="GF46" i="2"/>
  <c r="GG46" i="2"/>
  <c r="GH46" i="2"/>
  <c r="GI46" i="2"/>
  <c r="GJ46" i="2"/>
  <c r="GK46" i="2"/>
  <c r="GL46" i="2"/>
  <c r="GM46" i="2"/>
  <c r="GN46" i="2"/>
  <c r="GO46" i="2"/>
  <c r="GP46" i="2"/>
  <c r="GQ46" i="2"/>
  <c r="GR46" i="2"/>
  <c r="GS46" i="2"/>
  <c r="GT46" i="2"/>
  <c r="GU46" i="2"/>
  <c r="GV46" i="2"/>
  <c r="GW46" i="2"/>
  <c r="GX46" i="2"/>
  <c r="BK45" i="2"/>
  <c r="BM45" i="2"/>
  <c r="BN45" i="2"/>
  <c r="BO45" i="2"/>
  <c r="BP45" i="2"/>
  <c r="BQ45" i="2"/>
  <c r="BR45" i="2"/>
  <c r="BS45" i="2"/>
  <c r="BT45" i="2"/>
  <c r="BU45" i="2"/>
  <c r="BV45" i="2"/>
  <c r="BW45" i="2"/>
  <c r="BX45" i="2"/>
  <c r="BY45" i="2"/>
  <c r="BZ45" i="2"/>
  <c r="CA45" i="2"/>
  <c r="CB45" i="2"/>
  <c r="CC45" i="2"/>
  <c r="CD45" i="2"/>
  <c r="CE45" i="2"/>
  <c r="CF45" i="2"/>
  <c r="CG45" i="2"/>
  <c r="CH45" i="2"/>
  <c r="CI45" i="2"/>
  <c r="CJ45" i="2"/>
  <c r="CK45" i="2"/>
  <c r="CL45" i="2"/>
  <c r="CM45" i="2"/>
  <c r="CN45" i="2"/>
  <c r="CO45" i="2"/>
  <c r="CP45" i="2"/>
  <c r="CQ45" i="2"/>
  <c r="CR45" i="2"/>
  <c r="CS45" i="2"/>
  <c r="CT45" i="2"/>
  <c r="CU45" i="2"/>
  <c r="CV45" i="2"/>
  <c r="CW45" i="2"/>
  <c r="CX45" i="2"/>
  <c r="CY45" i="2"/>
  <c r="CZ45" i="2"/>
  <c r="DA45" i="2"/>
  <c r="DB45" i="2"/>
  <c r="DC45" i="2"/>
  <c r="DD45" i="2"/>
  <c r="DE45" i="2"/>
  <c r="DF45" i="2"/>
  <c r="DG45" i="2"/>
  <c r="DH45" i="2"/>
  <c r="DI45" i="2"/>
  <c r="DJ45" i="2"/>
  <c r="DK45" i="2"/>
  <c r="DL45" i="2"/>
  <c r="DM45" i="2"/>
  <c r="DN45" i="2"/>
  <c r="DO45" i="2"/>
  <c r="DP45" i="2"/>
  <c r="DQ45" i="2"/>
  <c r="DR45" i="2"/>
  <c r="DS45" i="2"/>
  <c r="DT45" i="2"/>
  <c r="DU45" i="2"/>
  <c r="DV45" i="2"/>
  <c r="DW45" i="2"/>
  <c r="DX45" i="2"/>
  <c r="DY45" i="2"/>
  <c r="DZ45" i="2"/>
  <c r="EA45" i="2"/>
  <c r="EB45" i="2"/>
  <c r="EC45" i="2"/>
  <c r="ED45" i="2"/>
  <c r="EE45" i="2"/>
  <c r="EF45" i="2"/>
  <c r="EG45" i="2"/>
  <c r="EH45" i="2"/>
  <c r="EI45" i="2"/>
  <c r="EJ45" i="2"/>
  <c r="EK45" i="2"/>
  <c r="EL45" i="2"/>
  <c r="EM45" i="2"/>
  <c r="EN45" i="2"/>
  <c r="EO45" i="2"/>
  <c r="EP45" i="2"/>
  <c r="EQ45" i="2"/>
  <c r="ER45" i="2"/>
  <c r="ES45" i="2"/>
  <c r="ET45" i="2"/>
  <c r="EU45" i="2"/>
  <c r="EV45" i="2"/>
  <c r="EW45" i="2"/>
  <c r="EX45" i="2"/>
  <c r="EY45" i="2"/>
  <c r="EZ45" i="2"/>
  <c r="FA45" i="2"/>
  <c r="FB45" i="2"/>
  <c r="FC45" i="2"/>
  <c r="FD45" i="2"/>
  <c r="FE45" i="2"/>
  <c r="FF45" i="2"/>
  <c r="FG45" i="2"/>
  <c r="FH45" i="2"/>
  <c r="FI45" i="2"/>
  <c r="FJ45" i="2"/>
  <c r="FK45" i="2"/>
  <c r="FL45" i="2"/>
  <c r="FM45" i="2"/>
  <c r="FN45" i="2"/>
  <c r="FO45" i="2"/>
  <c r="FP45" i="2"/>
  <c r="FQ45" i="2"/>
  <c r="FR45" i="2"/>
  <c r="FS45" i="2"/>
  <c r="FT45" i="2"/>
  <c r="FU45" i="2"/>
  <c r="FV45" i="2"/>
  <c r="FW45" i="2"/>
  <c r="FX45" i="2"/>
  <c r="FY45" i="2"/>
  <c r="FZ45" i="2"/>
  <c r="GA45" i="2"/>
  <c r="GB45" i="2"/>
  <c r="GC45" i="2"/>
  <c r="GD45" i="2"/>
  <c r="GE45" i="2"/>
  <c r="GF45" i="2"/>
  <c r="GG45" i="2"/>
  <c r="GH45" i="2"/>
  <c r="GI45" i="2"/>
  <c r="GJ45" i="2"/>
  <c r="GK45" i="2"/>
  <c r="GL45" i="2"/>
  <c r="GM45" i="2"/>
  <c r="GN45" i="2"/>
  <c r="GO45" i="2"/>
  <c r="GP45" i="2"/>
  <c r="GQ45" i="2"/>
  <c r="GR45" i="2"/>
  <c r="GS45" i="2"/>
  <c r="GT45" i="2"/>
  <c r="GU45" i="2"/>
  <c r="GV45" i="2"/>
  <c r="GW45" i="2"/>
  <c r="GX45" i="2"/>
  <c r="D14" i="8" a="1"/>
  <c r="C14" i="8" a="1"/>
  <c r="D21" i="8" a="1"/>
  <c r="C21" i="8" a="1"/>
  <c r="Y1" i="2"/>
  <c r="A7" i="7" a="1"/>
  <c r="W2" i="2"/>
  <c r="X128" i="2"/>
  <c r="B6" i="7" a="1"/>
  <c r="AZ3" i="2"/>
  <c r="BA3" i="2"/>
  <c r="BB3" i="2"/>
  <c r="BC3" i="2"/>
  <c r="BD3" i="2"/>
  <c r="BE3" i="2"/>
  <c r="BF3" i="2"/>
  <c r="BG3" i="2"/>
  <c r="BH3" i="2"/>
  <c r="BI3" i="2"/>
  <c r="BJ3" i="2"/>
  <c r="BK3" i="2"/>
  <c r="BL3" i="2"/>
  <c r="BM3" i="2"/>
  <c r="BN3" i="2"/>
  <c r="BO3" i="2"/>
  <c r="BP3" i="2"/>
  <c r="BQ3" i="2"/>
  <c r="BR3" i="2"/>
  <c r="BS3" i="2"/>
  <c r="BT3" i="2"/>
  <c r="BU3" i="2"/>
  <c r="BV3" i="2"/>
  <c r="BW3" i="2"/>
  <c r="BX3" i="2"/>
  <c r="BY3" i="2"/>
  <c r="BZ3" i="2"/>
  <c r="CA3" i="2"/>
  <c r="CB3" i="2"/>
  <c r="CC3" i="2"/>
  <c r="CD3" i="2"/>
  <c r="CE3" i="2"/>
  <c r="CF3" i="2"/>
  <c r="CG3" i="2"/>
  <c r="CH3" i="2"/>
  <c r="CI3" i="2"/>
  <c r="CJ3" i="2"/>
  <c r="CK3" i="2"/>
  <c r="CL3" i="2"/>
  <c r="CM3" i="2"/>
  <c r="CN3" i="2"/>
  <c r="CO3" i="2"/>
  <c r="CP3" i="2"/>
  <c r="CQ3" i="2"/>
  <c r="CR3" i="2"/>
  <c r="CS3" i="2"/>
  <c r="CT3" i="2"/>
  <c r="CU3" i="2"/>
  <c r="CV3" i="2"/>
  <c r="CW3" i="2"/>
  <c r="CX3" i="2"/>
  <c r="CY3" i="2"/>
  <c r="CZ3" i="2"/>
  <c r="DA3" i="2"/>
  <c r="DB3" i="2"/>
  <c r="DC3" i="2"/>
  <c r="DD3" i="2"/>
  <c r="DE3" i="2"/>
  <c r="DF3" i="2"/>
  <c r="DG3" i="2"/>
  <c r="DH3" i="2"/>
  <c r="DI3" i="2"/>
  <c r="DJ3" i="2"/>
  <c r="DK3" i="2"/>
  <c r="DL3" i="2"/>
  <c r="DM3" i="2"/>
  <c r="DN3" i="2"/>
  <c r="DO3" i="2"/>
  <c r="DP3" i="2"/>
  <c r="DQ3" i="2"/>
  <c r="DR3" i="2"/>
  <c r="DS3" i="2"/>
  <c r="DT3" i="2"/>
  <c r="DU3" i="2"/>
  <c r="DV3" i="2"/>
  <c r="DW3" i="2"/>
  <c r="DX3" i="2"/>
  <c r="DY3" i="2"/>
  <c r="DZ3" i="2"/>
  <c r="EA3" i="2"/>
  <c r="EB3" i="2"/>
  <c r="EC3" i="2"/>
  <c r="ED3" i="2"/>
  <c r="EE3" i="2"/>
  <c r="EF3" i="2"/>
  <c r="EG3" i="2"/>
  <c r="EH3" i="2"/>
  <c r="EI3" i="2"/>
  <c r="EJ3" i="2"/>
  <c r="EK3" i="2"/>
  <c r="EL3" i="2"/>
  <c r="EM3" i="2"/>
  <c r="EN3" i="2"/>
  <c r="EO3" i="2"/>
  <c r="EP3" i="2"/>
  <c r="EQ3" i="2"/>
  <c r="ER3" i="2"/>
  <c r="ES3" i="2"/>
  <c r="ET3" i="2"/>
  <c r="EU3" i="2"/>
  <c r="EV3" i="2"/>
  <c r="EW3" i="2"/>
  <c r="EX3" i="2"/>
  <c r="EY3" i="2"/>
  <c r="EZ3" i="2"/>
  <c r="FA3" i="2"/>
  <c r="FB3" i="2"/>
  <c r="FC3" i="2"/>
  <c r="FD3" i="2"/>
  <c r="FE3" i="2"/>
  <c r="FF3" i="2"/>
  <c r="FG3" i="2"/>
  <c r="FH3" i="2"/>
  <c r="FI3" i="2"/>
  <c r="FJ3" i="2"/>
  <c r="FK3" i="2"/>
  <c r="FL3" i="2"/>
  <c r="FM3" i="2"/>
  <c r="FN3" i="2"/>
  <c r="FO3" i="2"/>
  <c r="FP3" i="2"/>
  <c r="FQ3" i="2"/>
  <c r="FR3" i="2"/>
  <c r="FS3" i="2"/>
  <c r="FT3" i="2"/>
  <c r="FU3" i="2"/>
  <c r="FV3" i="2"/>
  <c r="FW3" i="2"/>
  <c r="FX3" i="2"/>
  <c r="FY3" i="2"/>
  <c r="FZ3" i="2"/>
  <c r="GA3" i="2"/>
  <c r="GB3" i="2"/>
  <c r="GC3" i="2"/>
  <c r="GD3" i="2"/>
  <c r="GE3" i="2"/>
  <c r="GF3" i="2"/>
  <c r="GG3" i="2"/>
  <c r="GH3" i="2"/>
  <c r="GI3" i="2"/>
  <c r="GJ3" i="2"/>
  <c r="GK3" i="2"/>
  <c r="GL3" i="2"/>
  <c r="GM3" i="2"/>
  <c r="GN3" i="2"/>
  <c r="GO3" i="2"/>
  <c r="GP3" i="2"/>
  <c r="GQ3" i="2"/>
  <c r="GR3" i="2"/>
  <c r="GS3" i="2"/>
  <c r="GT3" i="2"/>
  <c r="GU3" i="2"/>
  <c r="GV3" i="2"/>
  <c r="GW3" i="2"/>
  <c r="GX3" i="2"/>
  <c r="AF2" i="2"/>
  <c r="AE128" i="2"/>
  <c r="B13" i="7" a="1"/>
  <c r="AZ86" i="2"/>
  <c r="BB86" i="2"/>
  <c r="BC86" i="2"/>
  <c r="BD86" i="2"/>
  <c r="BE86" i="2"/>
  <c r="BF86" i="2"/>
  <c r="BG86" i="2"/>
  <c r="BH86" i="2"/>
  <c r="BI86" i="2"/>
  <c r="BJ86" i="2"/>
  <c r="BK86" i="2"/>
  <c r="BL86" i="2"/>
  <c r="BM86" i="2"/>
  <c r="BN86" i="2"/>
  <c r="BO86" i="2"/>
  <c r="BP86" i="2"/>
  <c r="BQ86" i="2"/>
  <c r="BR86" i="2"/>
  <c r="BS86" i="2"/>
  <c r="BT86" i="2"/>
  <c r="BU86" i="2"/>
  <c r="BV86" i="2"/>
  <c r="BW86" i="2"/>
  <c r="BX86" i="2"/>
  <c r="BY86" i="2"/>
  <c r="BZ86" i="2"/>
  <c r="CA86" i="2"/>
  <c r="CB86" i="2"/>
  <c r="CC86" i="2"/>
  <c r="CD86" i="2"/>
  <c r="CE86" i="2"/>
  <c r="CF86" i="2"/>
  <c r="CG86" i="2"/>
  <c r="CH86" i="2"/>
  <c r="CI86" i="2"/>
  <c r="CJ86" i="2"/>
  <c r="CK86" i="2"/>
  <c r="CL86" i="2"/>
  <c r="CM86" i="2"/>
  <c r="CN86" i="2"/>
  <c r="CO86" i="2"/>
  <c r="CP86" i="2"/>
  <c r="CQ86" i="2"/>
  <c r="CR86" i="2"/>
  <c r="CS86" i="2"/>
  <c r="CT86" i="2"/>
  <c r="CU86" i="2"/>
  <c r="CV86" i="2"/>
  <c r="CW86" i="2"/>
  <c r="CX86" i="2"/>
  <c r="CY86" i="2"/>
  <c r="CZ86" i="2"/>
  <c r="DA86" i="2"/>
  <c r="DB86" i="2"/>
  <c r="DC86" i="2"/>
  <c r="DD86" i="2"/>
  <c r="DE86" i="2"/>
  <c r="DF86" i="2"/>
  <c r="DG86" i="2"/>
  <c r="DH86" i="2"/>
  <c r="DI86" i="2"/>
  <c r="DJ86" i="2"/>
  <c r="DK86" i="2"/>
  <c r="DL86" i="2"/>
  <c r="DM86" i="2"/>
  <c r="DN86" i="2"/>
  <c r="DO86" i="2"/>
  <c r="DP86" i="2"/>
  <c r="DQ86" i="2"/>
  <c r="DR86" i="2"/>
  <c r="DS86" i="2"/>
  <c r="DT86" i="2"/>
  <c r="DU86" i="2"/>
  <c r="DV86" i="2"/>
  <c r="DW86" i="2"/>
  <c r="DX86" i="2"/>
  <c r="DY86" i="2"/>
  <c r="DZ86" i="2"/>
  <c r="EA86" i="2"/>
  <c r="EB86" i="2"/>
  <c r="EC86" i="2"/>
  <c r="ED86" i="2"/>
  <c r="EE86" i="2"/>
  <c r="EF86" i="2"/>
  <c r="EG86" i="2"/>
  <c r="EH86" i="2"/>
  <c r="EI86" i="2"/>
  <c r="EJ86" i="2"/>
  <c r="EK86" i="2"/>
  <c r="EL86" i="2"/>
  <c r="EM86" i="2"/>
  <c r="EN86" i="2"/>
  <c r="EO86" i="2"/>
  <c r="EP86" i="2"/>
  <c r="EQ86" i="2"/>
  <c r="ER86" i="2"/>
  <c r="ES86" i="2"/>
  <c r="ET86" i="2"/>
  <c r="EU86" i="2"/>
  <c r="EV86" i="2"/>
  <c r="EW86" i="2"/>
  <c r="EX86" i="2"/>
  <c r="EY86" i="2"/>
  <c r="EZ86" i="2"/>
  <c r="FA86" i="2"/>
  <c r="FB86" i="2"/>
  <c r="FC86" i="2"/>
  <c r="FD86" i="2"/>
  <c r="FE86" i="2"/>
  <c r="FF86" i="2"/>
  <c r="FG86" i="2"/>
  <c r="FH86" i="2"/>
  <c r="FI86" i="2"/>
  <c r="FJ86" i="2"/>
  <c r="FK86" i="2"/>
  <c r="FL86" i="2"/>
  <c r="FM86" i="2"/>
  <c r="FN86" i="2"/>
  <c r="FO86" i="2"/>
  <c r="FP86" i="2"/>
  <c r="FQ86" i="2"/>
  <c r="FR86" i="2"/>
  <c r="FS86" i="2"/>
  <c r="FT86" i="2"/>
  <c r="FU86" i="2"/>
  <c r="FV86" i="2"/>
  <c r="FW86" i="2"/>
  <c r="FX86" i="2"/>
  <c r="FY86" i="2"/>
  <c r="FZ86" i="2"/>
  <c r="GA86" i="2"/>
  <c r="GB86" i="2"/>
  <c r="GC86" i="2"/>
  <c r="GD86" i="2"/>
  <c r="GE86" i="2"/>
  <c r="GF86" i="2"/>
  <c r="GG86" i="2"/>
  <c r="GH86" i="2"/>
  <c r="GI86" i="2"/>
  <c r="GJ86" i="2"/>
  <c r="GK86" i="2"/>
  <c r="GL86" i="2"/>
  <c r="GM86" i="2"/>
  <c r="GN86" i="2"/>
  <c r="GO86" i="2"/>
  <c r="GP86" i="2"/>
  <c r="GQ86" i="2"/>
  <c r="GR86" i="2"/>
  <c r="GS86" i="2"/>
  <c r="GT86" i="2"/>
  <c r="GU86" i="2"/>
  <c r="GV86" i="2"/>
  <c r="GW86" i="2"/>
  <c r="GX86" i="2"/>
  <c r="AZ85" i="2"/>
  <c r="BB85" i="2"/>
  <c r="BC85" i="2"/>
  <c r="BD85" i="2"/>
  <c r="BE85" i="2"/>
  <c r="BF85" i="2"/>
  <c r="BG85" i="2"/>
  <c r="BH85" i="2"/>
  <c r="BI85" i="2"/>
  <c r="BJ85" i="2"/>
  <c r="BK85" i="2"/>
  <c r="BL85" i="2"/>
  <c r="BM85" i="2"/>
  <c r="BN85" i="2"/>
  <c r="BO85" i="2"/>
  <c r="BP85" i="2"/>
  <c r="BQ85" i="2"/>
  <c r="BR85" i="2"/>
  <c r="BS85" i="2"/>
  <c r="BT85" i="2"/>
  <c r="BU85" i="2"/>
  <c r="BV85" i="2"/>
  <c r="BW85" i="2"/>
  <c r="BX85" i="2"/>
  <c r="BY85" i="2"/>
  <c r="BZ85" i="2"/>
  <c r="CA85" i="2"/>
  <c r="CB85" i="2"/>
  <c r="CC85" i="2"/>
  <c r="CD85" i="2"/>
  <c r="CE85" i="2"/>
  <c r="CF85" i="2"/>
  <c r="CG85" i="2"/>
  <c r="CH85" i="2"/>
  <c r="CI85" i="2"/>
  <c r="CJ85" i="2"/>
  <c r="CK85" i="2"/>
  <c r="CL85" i="2"/>
  <c r="CM85" i="2"/>
  <c r="CN85" i="2"/>
  <c r="CO85" i="2"/>
  <c r="CP85" i="2"/>
  <c r="CQ85" i="2"/>
  <c r="CR85" i="2"/>
  <c r="CS85" i="2"/>
  <c r="CT85" i="2"/>
  <c r="CU85" i="2"/>
  <c r="CV85" i="2"/>
  <c r="CW85" i="2"/>
  <c r="CX85" i="2"/>
  <c r="CY85" i="2"/>
  <c r="CZ85" i="2"/>
  <c r="DA85" i="2"/>
  <c r="DB85" i="2"/>
  <c r="DC85" i="2"/>
  <c r="DD85" i="2"/>
  <c r="DE85" i="2"/>
  <c r="DF85" i="2"/>
  <c r="DG85" i="2"/>
  <c r="DH85" i="2"/>
  <c r="DI85" i="2"/>
  <c r="DJ85" i="2"/>
  <c r="DK85" i="2"/>
  <c r="DL85" i="2"/>
  <c r="DM85" i="2"/>
  <c r="DN85" i="2"/>
  <c r="DO85" i="2"/>
  <c r="DP85" i="2"/>
  <c r="DQ85" i="2"/>
  <c r="DR85" i="2"/>
  <c r="DS85" i="2"/>
  <c r="DT85" i="2"/>
  <c r="DU85" i="2"/>
  <c r="DV85" i="2"/>
  <c r="DW85" i="2"/>
  <c r="DX85" i="2"/>
  <c r="DY85" i="2"/>
  <c r="DZ85" i="2"/>
  <c r="EA85" i="2"/>
  <c r="EB85" i="2"/>
  <c r="EC85" i="2"/>
  <c r="ED85" i="2"/>
  <c r="EE85" i="2"/>
  <c r="EF85" i="2"/>
  <c r="EG85" i="2"/>
  <c r="EH85" i="2"/>
  <c r="EI85" i="2"/>
  <c r="EJ85" i="2"/>
  <c r="EK85" i="2"/>
  <c r="EL85" i="2"/>
  <c r="EM85" i="2"/>
  <c r="EN85" i="2"/>
  <c r="EO85" i="2"/>
  <c r="EP85" i="2"/>
  <c r="EQ85" i="2"/>
  <c r="ER85" i="2"/>
  <c r="ES85" i="2"/>
  <c r="ET85" i="2"/>
  <c r="EU85" i="2"/>
  <c r="EV85" i="2"/>
  <c r="EW85" i="2"/>
  <c r="EX85" i="2"/>
  <c r="EY85" i="2"/>
  <c r="EZ85" i="2"/>
  <c r="FA85" i="2"/>
  <c r="FB85" i="2"/>
  <c r="FC85" i="2"/>
  <c r="FD85" i="2"/>
  <c r="FE85" i="2"/>
  <c r="FF85" i="2"/>
  <c r="FG85" i="2"/>
  <c r="FH85" i="2"/>
  <c r="FI85" i="2"/>
  <c r="FJ85" i="2"/>
  <c r="FK85" i="2"/>
  <c r="FL85" i="2"/>
  <c r="FM85" i="2"/>
  <c r="FN85" i="2"/>
  <c r="FO85" i="2"/>
  <c r="FP85" i="2"/>
  <c r="FQ85" i="2"/>
  <c r="FR85" i="2"/>
  <c r="FS85" i="2"/>
  <c r="FT85" i="2"/>
  <c r="FU85" i="2"/>
  <c r="FV85" i="2"/>
  <c r="FW85" i="2"/>
  <c r="FX85" i="2"/>
  <c r="FY85" i="2"/>
  <c r="FZ85" i="2"/>
  <c r="GA85" i="2"/>
  <c r="GB85" i="2"/>
  <c r="GC85" i="2"/>
  <c r="GD85" i="2"/>
  <c r="GE85" i="2"/>
  <c r="GF85" i="2"/>
  <c r="GG85" i="2"/>
  <c r="GH85" i="2"/>
  <c r="GI85" i="2"/>
  <c r="GJ85" i="2"/>
  <c r="GK85" i="2"/>
  <c r="GL85" i="2"/>
  <c r="GM85" i="2"/>
  <c r="GN85" i="2"/>
  <c r="GO85" i="2"/>
  <c r="GP85" i="2"/>
  <c r="GQ85" i="2"/>
  <c r="GR85" i="2"/>
  <c r="GS85" i="2"/>
  <c r="GT85" i="2"/>
  <c r="GU85" i="2"/>
  <c r="GV85" i="2"/>
  <c r="GW85" i="2"/>
  <c r="GX85" i="2"/>
  <c r="AZ84" i="2"/>
  <c r="BB84" i="2"/>
  <c r="BC84" i="2"/>
  <c r="BD84" i="2"/>
  <c r="BE84" i="2"/>
  <c r="BF84" i="2"/>
  <c r="BG84" i="2"/>
  <c r="BH84" i="2"/>
  <c r="BI84" i="2"/>
  <c r="BJ84" i="2"/>
  <c r="BK84" i="2"/>
  <c r="BL84" i="2"/>
  <c r="BM84" i="2"/>
  <c r="BN84" i="2"/>
  <c r="BO84" i="2"/>
  <c r="BP84" i="2"/>
  <c r="BQ84" i="2"/>
  <c r="BR84" i="2"/>
  <c r="BS84" i="2"/>
  <c r="BT84" i="2"/>
  <c r="BU84" i="2"/>
  <c r="BV84" i="2"/>
  <c r="BW84" i="2"/>
  <c r="BX84" i="2"/>
  <c r="BY84" i="2"/>
  <c r="BZ84" i="2"/>
  <c r="CA84" i="2"/>
  <c r="CB84" i="2"/>
  <c r="CC84" i="2"/>
  <c r="CD84" i="2"/>
  <c r="CE84" i="2"/>
  <c r="CF84" i="2"/>
  <c r="CG84" i="2"/>
  <c r="CH84" i="2"/>
  <c r="CI84" i="2"/>
  <c r="CJ84" i="2"/>
  <c r="CK84" i="2"/>
  <c r="CL84" i="2"/>
  <c r="CM84" i="2"/>
  <c r="CN84" i="2"/>
  <c r="CO84" i="2"/>
  <c r="CP84" i="2"/>
  <c r="CQ84" i="2"/>
  <c r="CR84" i="2"/>
  <c r="CS84" i="2"/>
  <c r="CT84" i="2"/>
  <c r="CU84" i="2"/>
  <c r="CV84" i="2"/>
  <c r="CW84" i="2"/>
  <c r="CX84" i="2"/>
  <c r="CY84" i="2"/>
  <c r="CZ84" i="2"/>
  <c r="DA84" i="2"/>
  <c r="DB84" i="2"/>
  <c r="DC84" i="2"/>
  <c r="DD84" i="2"/>
  <c r="DE84" i="2"/>
  <c r="DF84" i="2"/>
  <c r="DG84" i="2"/>
  <c r="DH84" i="2"/>
  <c r="DI84" i="2"/>
  <c r="DJ84" i="2"/>
  <c r="DK84" i="2"/>
  <c r="DL84" i="2"/>
  <c r="DM84" i="2"/>
  <c r="DN84" i="2"/>
  <c r="DO84" i="2"/>
  <c r="DP84" i="2"/>
  <c r="DQ84" i="2"/>
  <c r="DR84" i="2"/>
  <c r="DS84" i="2"/>
  <c r="DT84" i="2"/>
  <c r="DU84" i="2"/>
  <c r="DV84" i="2"/>
  <c r="DW84" i="2"/>
  <c r="DX84" i="2"/>
  <c r="DY84" i="2"/>
  <c r="DZ84" i="2"/>
  <c r="EA84" i="2"/>
  <c r="EB84" i="2"/>
  <c r="EC84" i="2"/>
  <c r="ED84" i="2"/>
  <c r="EE84" i="2"/>
  <c r="EF84" i="2"/>
  <c r="EG84" i="2"/>
  <c r="EH84" i="2"/>
  <c r="EI84" i="2"/>
  <c r="EJ84" i="2"/>
  <c r="EK84" i="2"/>
  <c r="EL84" i="2"/>
  <c r="EM84" i="2"/>
  <c r="EN84" i="2"/>
  <c r="EO84" i="2"/>
  <c r="EP84" i="2"/>
  <c r="EQ84" i="2"/>
  <c r="ER84" i="2"/>
  <c r="ES84" i="2"/>
  <c r="ET84" i="2"/>
  <c r="EU84" i="2"/>
  <c r="EV84" i="2"/>
  <c r="EW84" i="2"/>
  <c r="EX84" i="2"/>
  <c r="EY84" i="2"/>
  <c r="EZ84" i="2"/>
  <c r="FA84" i="2"/>
  <c r="FB84" i="2"/>
  <c r="FC84" i="2"/>
  <c r="FD84" i="2"/>
  <c r="FE84" i="2"/>
  <c r="FF84" i="2"/>
  <c r="FG84" i="2"/>
  <c r="FH84" i="2"/>
  <c r="FI84" i="2"/>
  <c r="FJ84" i="2"/>
  <c r="FK84" i="2"/>
  <c r="FL84" i="2"/>
  <c r="FM84" i="2"/>
  <c r="FN84" i="2"/>
  <c r="FO84" i="2"/>
  <c r="FP84" i="2"/>
  <c r="FQ84" i="2"/>
  <c r="FR84" i="2"/>
  <c r="FS84" i="2"/>
  <c r="FT84" i="2"/>
  <c r="FU84" i="2"/>
  <c r="FV84" i="2"/>
  <c r="FW84" i="2"/>
  <c r="FX84" i="2"/>
  <c r="FY84" i="2"/>
  <c r="FZ84" i="2"/>
  <c r="GA84" i="2"/>
  <c r="GB84" i="2"/>
  <c r="GC84" i="2"/>
  <c r="GD84" i="2"/>
  <c r="GE84" i="2"/>
  <c r="GF84" i="2"/>
  <c r="GG84" i="2"/>
  <c r="GH84" i="2"/>
  <c r="GI84" i="2"/>
  <c r="GJ84" i="2"/>
  <c r="GK84" i="2"/>
  <c r="GL84" i="2"/>
  <c r="GM84" i="2"/>
  <c r="GN84" i="2"/>
  <c r="GO84" i="2"/>
  <c r="GP84" i="2"/>
  <c r="GQ84" i="2"/>
  <c r="GR84" i="2"/>
  <c r="GS84" i="2"/>
  <c r="GT84" i="2"/>
  <c r="GU84" i="2"/>
  <c r="GV84" i="2"/>
  <c r="GW84" i="2"/>
  <c r="GX84" i="2"/>
  <c r="BA90" i="2"/>
  <c r="BB90" i="2"/>
  <c r="BC90" i="2"/>
  <c r="BD90" i="2"/>
  <c r="BE90" i="2"/>
  <c r="BF90" i="2"/>
  <c r="BG90" i="2"/>
  <c r="BH90" i="2"/>
  <c r="BI90" i="2"/>
  <c r="BJ90" i="2"/>
  <c r="BK90" i="2"/>
  <c r="BL90" i="2"/>
  <c r="BM90" i="2"/>
  <c r="BN90" i="2"/>
  <c r="BO90" i="2"/>
  <c r="BP90" i="2"/>
  <c r="BQ90" i="2"/>
  <c r="BR90" i="2"/>
  <c r="BS90" i="2"/>
  <c r="BT90" i="2"/>
  <c r="BU90" i="2"/>
  <c r="BV90" i="2"/>
  <c r="BW90" i="2"/>
  <c r="BX90" i="2"/>
  <c r="BY90" i="2"/>
  <c r="BZ90" i="2"/>
  <c r="CA90" i="2"/>
  <c r="CB90" i="2"/>
  <c r="CC90" i="2"/>
  <c r="CD90" i="2"/>
  <c r="CE90" i="2"/>
  <c r="CF90" i="2"/>
  <c r="CG90" i="2"/>
  <c r="CH90" i="2"/>
  <c r="CI90" i="2"/>
  <c r="CJ90" i="2"/>
  <c r="CK90" i="2"/>
  <c r="CL90" i="2"/>
  <c r="CM90" i="2"/>
  <c r="CN90" i="2"/>
  <c r="CO90" i="2"/>
  <c r="CP90" i="2"/>
  <c r="CQ90" i="2"/>
  <c r="CR90" i="2"/>
  <c r="CS90" i="2"/>
  <c r="CT90" i="2"/>
  <c r="CU90" i="2"/>
  <c r="CV90" i="2"/>
  <c r="CW90" i="2"/>
  <c r="CX90" i="2"/>
  <c r="CY90" i="2"/>
  <c r="CZ90" i="2"/>
  <c r="DA90" i="2"/>
  <c r="DB90" i="2"/>
  <c r="DC90" i="2"/>
  <c r="DD90" i="2"/>
  <c r="DE90" i="2"/>
  <c r="DF90" i="2"/>
  <c r="DG90" i="2"/>
  <c r="DH90" i="2"/>
  <c r="DI90" i="2"/>
  <c r="DJ90" i="2"/>
  <c r="DK90" i="2"/>
  <c r="DL90" i="2"/>
  <c r="DM90" i="2"/>
  <c r="DN90" i="2"/>
  <c r="DO90" i="2"/>
  <c r="DP90" i="2"/>
  <c r="DQ90" i="2"/>
  <c r="DR90" i="2"/>
  <c r="DS90" i="2"/>
  <c r="DT90" i="2"/>
  <c r="DU90" i="2"/>
  <c r="DV90" i="2"/>
  <c r="DW90" i="2"/>
  <c r="DX90" i="2"/>
  <c r="DY90" i="2"/>
  <c r="DZ90" i="2"/>
  <c r="EA90" i="2"/>
  <c r="EB90" i="2"/>
  <c r="EC90" i="2"/>
  <c r="ED90" i="2"/>
  <c r="EE90" i="2"/>
  <c r="EF90" i="2"/>
  <c r="EG90" i="2"/>
  <c r="EH90" i="2"/>
  <c r="EI90" i="2"/>
  <c r="EJ90" i="2"/>
  <c r="EK90" i="2"/>
  <c r="EL90" i="2"/>
  <c r="EM90" i="2"/>
  <c r="EN90" i="2"/>
  <c r="EO90" i="2"/>
  <c r="EP90" i="2"/>
  <c r="EQ90" i="2"/>
  <c r="ER90" i="2"/>
  <c r="ES90" i="2"/>
  <c r="ET90" i="2"/>
  <c r="EU90" i="2"/>
  <c r="EV90" i="2"/>
  <c r="EW90" i="2"/>
  <c r="EX90" i="2"/>
  <c r="EY90" i="2"/>
  <c r="EZ90" i="2"/>
  <c r="FA90" i="2"/>
  <c r="FB90" i="2"/>
  <c r="FC90" i="2"/>
  <c r="FD90" i="2"/>
  <c r="FE90" i="2"/>
  <c r="FF90" i="2"/>
  <c r="FG90" i="2"/>
  <c r="FH90" i="2"/>
  <c r="FI90" i="2"/>
  <c r="FJ90" i="2"/>
  <c r="FK90" i="2"/>
  <c r="FL90" i="2"/>
  <c r="FM90" i="2"/>
  <c r="FN90" i="2"/>
  <c r="FO90" i="2"/>
  <c r="FP90" i="2"/>
  <c r="FQ90" i="2"/>
  <c r="FR90" i="2"/>
  <c r="FS90" i="2"/>
  <c r="FT90" i="2"/>
  <c r="FU90" i="2"/>
  <c r="FV90" i="2"/>
  <c r="FW90" i="2"/>
  <c r="FX90" i="2"/>
  <c r="FY90" i="2"/>
  <c r="FZ90" i="2"/>
  <c r="GA90" i="2"/>
  <c r="GB90" i="2"/>
  <c r="GC90" i="2"/>
  <c r="GD90" i="2"/>
  <c r="GE90" i="2"/>
  <c r="GF90" i="2"/>
  <c r="GG90" i="2"/>
  <c r="GH90" i="2"/>
  <c r="GI90" i="2"/>
  <c r="GJ90" i="2"/>
  <c r="GK90" i="2"/>
  <c r="GL90" i="2"/>
  <c r="GM90" i="2"/>
  <c r="GN90" i="2"/>
  <c r="GO90" i="2"/>
  <c r="GP90" i="2"/>
  <c r="GQ90" i="2"/>
  <c r="GR90" i="2"/>
  <c r="GS90" i="2"/>
  <c r="GT90" i="2"/>
  <c r="GU90" i="2"/>
  <c r="GV90" i="2"/>
  <c r="GW90" i="2"/>
  <c r="GX90" i="2"/>
  <c r="AY90" i="2"/>
  <c r="AZ83" i="2"/>
  <c r="BB83" i="2"/>
  <c r="BC83" i="2"/>
  <c r="BD83" i="2"/>
  <c r="BE83" i="2"/>
  <c r="BF83" i="2"/>
  <c r="BG83" i="2"/>
  <c r="BH83" i="2"/>
  <c r="BI83" i="2"/>
  <c r="BJ83" i="2"/>
  <c r="BK83" i="2"/>
  <c r="BL83" i="2"/>
  <c r="BM83" i="2"/>
  <c r="BN83" i="2"/>
  <c r="BO83" i="2"/>
  <c r="BP83" i="2"/>
  <c r="BQ83" i="2"/>
  <c r="BR83" i="2"/>
  <c r="BS83" i="2"/>
  <c r="BT83" i="2"/>
  <c r="BU83" i="2"/>
  <c r="BV83" i="2"/>
  <c r="BW83" i="2"/>
  <c r="BX83" i="2"/>
  <c r="BY83" i="2"/>
  <c r="BZ83" i="2"/>
  <c r="CA83" i="2"/>
  <c r="CB83" i="2"/>
  <c r="CC83" i="2"/>
  <c r="CD83" i="2"/>
  <c r="CE83" i="2"/>
  <c r="CF83" i="2"/>
  <c r="CG83" i="2"/>
  <c r="CH83" i="2"/>
  <c r="CI83" i="2"/>
  <c r="CJ83" i="2"/>
  <c r="CK83" i="2"/>
  <c r="CL83" i="2"/>
  <c r="CM83" i="2"/>
  <c r="CN83" i="2"/>
  <c r="CO83" i="2"/>
  <c r="CP83" i="2"/>
  <c r="CQ83" i="2"/>
  <c r="CR83" i="2"/>
  <c r="CS83" i="2"/>
  <c r="CT83" i="2"/>
  <c r="CU83" i="2"/>
  <c r="CV83" i="2"/>
  <c r="CW83" i="2"/>
  <c r="CX83" i="2"/>
  <c r="CY83" i="2"/>
  <c r="CZ83" i="2"/>
  <c r="DA83" i="2"/>
  <c r="DB83" i="2"/>
  <c r="DC83" i="2"/>
  <c r="DD83" i="2"/>
  <c r="DE83" i="2"/>
  <c r="DF83" i="2"/>
  <c r="DG83" i="2"/>
  <c r="DH83" i="2"/>
  <c r="DI83" i="2"/>
  <c r="DJ83" i="2"/>
  <c r="DK83" i="2"/>
  <c r="DL83" i="2"/>
  <c r="DM83" i="2"/>
  <c r="DN83" i="2"/>
  <c r="DO83" i="2"/>
  <c r="DP83" i="2"/>
  <c r="DQ83" i="2"/>
  <c r="DR83" i="2"/>
  <c r="DS83" i="2"/>
  <c r="DT83" i="2"/>
  <c r="DU83" i="2"/>
  <c r="DV83" i="2"/>
  <c r="DW83" i="2"/>
  <c r="DX83" i="2"/>
  <c r="DY83" i="2"/>
  <c r="DZ83" i="2"/>
  <c r="EA83" i="2"/>
  <c r="EB83" i="2"/>
  <c r="EC83" i="2"/>
  <c r="ED83" i="2"/>
  <c r="EE83" i="2"/>
  <c r="EF83" i="2"/>
  <c r="EG83" i="2"/>
  <c r="EH83" i="2"/>
  <c r="EI83" i="2"/>
  <c r="EJ83" i="2"/>
  <c r="EK83" i="2"/>
  <c r="EL83" i="2"/>
  <c r="EM83" i="2"/>
  <c r="EN83" i="2"/>
  <c r="EO83" i="2"/>
  <c r="EP83" i="2"/>
  <c r="EQ83" i="2"/>
  <c r="ER83" i="2"/>
  <c r="ES83" i="2"/>
  <c r="ET83" i="2"/>
  <c r="EU83" i="2"/>
  <c r="EV83" i="2"/>
  <c r="EW83" i="2"/>
  <c r="EX83" i="2"/>
  <c r="EY83" i="2"/>
  <c r="EZ83" i="2"/>
  <c r="FA83" i="2"/>
  <c r="FB83" i="2"/>
  <c r="FC83" i="2"/>
  <c r="FD83" i="2"/>
  <c r="FE83" i="2"/>
  <c r="FF83" i="2"/>
  <c r="FG83" i="2"/>
  <c r="FH83" i="2"/>
  <c r="FI83" i="2"/>
  <c r="FJ83" i="2"/>
  <c r="FK83" i="2"/>
  <c r="FL83" i="2"/>
  <c r="FM83" i="2"/>
  <c r="FN83" i="2"/>
  <c r="FO83" i="2"/>
  <c r="FP83" i="2"/>
  <c r="FQ83" i="2"/>
  <c r="FR83" i="2"/>
  <c r="FS83" i="2"/>
  <c r="FT83" i="2"/>
  <c r="FU83" i="2"/>
  <c r="FV83" i="2"/>
  <c r="FW83" i="2"/>
  <c r="FX83" i="2"/>
  <c r="FY83" i="2"/>
  <c r="FZ83" i="2"/>
  <c r="GA83" i="2"/>
  <c r="GB83" i="2"/>
  <c r="GC83" i="2"/>
  <c r="GD83" i="2"/>
  <c r="GE83" i="2"/>
  <c r="GF83" i="2"/>
  <c r="GG83" i="2"/>
  <c r="GH83" i="2"/>
  <c r="GI83" i="2"/>
  <c r="GJ83" i="2"/>
  <c r="GK83" i="2"/>
  <c r="GL83" i="2"/>
  <c r="GM83" i="2"/>
  <c r="GN83" i="2"/>
  <c r="GO83" i="2"/>
  <c r="GP83" i="2"/>
  <c r="GQ83" i="2"/>
  <c r="GR83" i="2"/>
  <c r="GS83" i="2"/>
  <c r="GT83" i="2"/>
  <c r="GU83" i="2"/>
  <c r="GV83" i="2"/>
  <c r="GW83" i="2"/>
  <c r="GX83" i="2"/>
  <c r="BA4" i="2"/>
  <c r="BB4" i="2"/>
  <c r="BC4" i="2"/>
  <c r="BD4" i="2"/>
  <c r="BE4" i="2"/>
  <c r="BF4" i="2"/>
  <c r="BG4" i="2"/>
  <c r="BH4" i="2"/>
  <c r="BI4" i="2"/>
  <c r="BJ4" i="2"/>
  <c r="BK4" i="2"/>
  <c r="BL4" i="2"/>
  <c r="BM4" i="2"/>
  <c r="BN4" i="2"/>
  <c r="BO4" i="2"/>
  <c r="BP4" i="2"/>
  <c r="BQ4" i="2"/>
  <c r="BR4" i="2"/>
  <c r="BS4" i="2"/>
  <c r="BT4" i="2"/>
  <c r="BU4" i="2"/>
  <c r="BV4" i="2"/>
  <c r="BW4" i="2"/>
  <c r="BX4" i="2"/>
  <c r="BY4" i="2"/>
  <c r="BZ4" i="2"/>
  <c r="CA4" i="2"/>
  <c r="CB4" i="2"/>
  <c r="CC4" i="2"/>
  <c r="CD4" i="2"/>
  <c r="CE4" i="2"/>
  <c r="CF4" i="2"/>
  <c r="CG4" i="2"/>
  <c r="CH4" i="2"/>
  <c r="CI4" i="2"/>
  <c r="CJ4" i="2"/>
  <c r="CK4" i="2"/>
  <c r="CL4" i="2"/>
  <c r="CM4" i="2"/>
  <c r="CN4" i="2"/>
  <c r="CO4" i="2"/>
  <c r="CP4" i="2"/>
  <c r="CQ4" i="2"/>
  <c r="CR4" i="2"/>
  <c r="CS4" i="2"/>
  <c r="CT4" i="2"/>
  <c r="CU4" i="2"/>
  <c r="CV4" i="2"/>
  <c r="CW4" i="2"/>
  <c r="CX4" i="2"/>
  <c r="CY4" i="2"/>
  <c r="CZ4" i="2"/>
  <c r="DA4" i="2"/>
  <c r="DB4" i="2"/>
  <c r="DC4" i="2"/>
  <c r="DD4" i="2"/>
  <c r="DE4" i="2"/>
  <c r="DF4" i="2"/>
  <c r="DG4" i="2"/>
  <c r="DH4" i="2"/>
  <c r="DI4" i="2"/>
  <c r="DJ4" i="2"/>
  <c r="DK4" i="2"/>
  <c r="DL4" i="2"/>
  <c r="DM4" i="2"/>
  <c r="DN4" i="2"/>
  <c r="DO4" i="2"/>
  <c r="DP4" i="2"/>
  <c r="DQ4" i="2"/>
  <c r="DR4" i="2"/>
  <c r="DS4" i="2"/>
  <c r="DT4" i="2"/>
  <c r="DU4" i="2"/>
  <c r="DV4" i="2"/>
  <c r="DW4" i="2"/>
  <c r="DX4" i="2"/>
  <c r="DY4" i="2"/>
  <c r="DZ4" i="2"/>
  <c r="EA4" i="2"/>
  <c r="EB4" i="2"/>
  <c r="EC4" i="2"/>
  <c r="ED4" i="2"/>
  <c r="EE4" i="2"/>
  <c r="EF4" i="2"/>
  <c r="EG4" i="2"/>
  <c r="EH4" i="2"/>
  <c r="EI4" i="2"/>
  <c r="EJ4" i="2"/>
  <c r="EK4" i="2"/>
  <c r="EL4" i="2"/>
  <c r="EM4" i="2"/>
  <c r="EN4" i="2"/>
  <c r="EO4" i="2"/>
  <c r="EP4" i="2"/>
  <c r="EQ4" i="2"/>
  <c r="ER4" i="2"/>
  <c r="ES4" i="2"/>
  <c r="ET4" i="2"/>
  <c r="EU4" i="2"/>
  <c r="EV4" i="2"/>
  <c r="EW4" i="2"/>
  <c r="EX4" i="2"/>
  <c r="EY4" i="2"/>
  <c r="EZ4" i="2"/>
  <c r="FA4" i="2"/>
  <c r="FB4" i="2"/>
  <c r="FC4" i="2"/>
  <c r="FD4" i="2"/>
  <c r="FE4" i="2"/>
  <c r="FF4" i="2"/>
  <c r="FG4" i="2"/>
  <c r="FH4" i="2"/>
  <c r="FI4" i="2"/>
  <c r="FJ4" i="2"/>
  <c r="FK4" i="2"/>
  <c r="FL4" i="2"/>
  <c r="FM4" i="2"/>
  <c r="FN4" i="2"/>
  <c r="FO4" i="2"/>
  <c r="FP4" i="2"/>
  <c r="FQ4" i="2"/>
  <c r="FR4" i="2"/>
  <c r="FS4" i="2"/>
  <c r="FT4" i="2"/>
  <c r="FU4" i="2"/>
  <c r="FV4" i="2"/>
  <c r="FW4" i="2"/>
  <c r="FX4" i="2"/>
  <c r="FY4" i="2"/>
  <c r="FZ4" i="2"/>
  <c r="GA4" i="2"/>
  <c r="GB4" i="2"/>
  <c r="GC4" i="2"/>
  <c r="GD4" i="2"/>
  <c r="GE4" i="2"/>
  <c r="GF4" i="2"/>
  <c r="GG4" i="2"/>
  <c r="GH4" i="2"/>
  <c r="GI4" i="2"/>
  <c r="GJ4" i="2"/>
  <c r="GK4" i="2"/>
  <c r="GL4" i="2"/>
  <c r="GM4" i="2"/>
  <c r="GN4" i="2"/>
  <c r="GO4" i="2"/>
  <c r="GP4" i="2"/>
  <c r="GQ4" i="2"/>
  <c r="GR4" i="2"/>
  <c r="GS4" i="2"/>
  <c r="GT4" i="2"/>
  <c r="GU4" i="2"/>
  <c r="GV4" i="2"/>
  <c r="GW4" i="2"/>
  <c r="GX4" i="2"/>
  <c r="AY4" i="2"/>
  <c r="AS109" i="2"/>
  <c r="AT109" i="2"/>
  <c r="AU109" i="2"/>
  <c r="AV109" i="2"/>
  <c r="AW109" i="2"/>
  <c r="AX109" i="2"/>
  <c r="AY109" i="2"/>
  <c r="AZ109" i="2"/>
  <c r="BA109" i="2"/>
  <c r="BB109" i="2"/>
  <c r="BC109" i="2"/>
  <c r="BD109" i="2"/>
  <c r="BE109" i="2"/>
  <c r="BF109" i="2"/>
  <c r="BG109" i="2"/>
  <c r="BH109" i="2"/>
  <c r="BI109" i="2"/>
  <c r="BJ109" i="2"/>
  <c r="BK109" i="2"/>
  <c r="BL109" i="2"/>
  <c r="BM109" i="2"/>
  <c r="BN109" i="2"/>
  <c r="BO109" i="2"/>
  <c r="BP109" i="2"/>
  <c r="BQ109" i="2"/>
  <c r="BR109" i="2"/>
  <c r="BS109" i="2"/>
  <c r="BT109" i="2"/>
  <c r="BU109" i="2"/>
  <c r="BV109" i="2"/>
  <c r="BW109" i="2"/>
  <c r="BX109" i="2"/>
  <c r="BY109" i="2"/>
  <c r="BZ109" i="2"/>
  <c r="CA109" i="2"/>
  <c r="CB109" i="2"/>
  <c r="CC109" i="2"/>
  <c r="CD109" i="2"/>
  <c r="CE109" i="2"/>
  <c r="CF109" i="2"/>
  <c r="CG109" i="2"/>
  <c r="CH109" i="2"/>
  <c r="CI109" i="2"/>
  <c r="CJ109" i="2"/>
  <c r="CK109" i="2"/>
  <c r="CL109" i="2"/>
  <c r="CM109" i="2"/>
  <c r="CN109" i="2"/>
  <c r="CO109" i="2"/>
  <c r="CP109" i="2"/>
  <c r="CQ109" i="2"/>
  <c r="CR109" i="2"/>
  <c r="CS109" i="2"/>
  <c r="CT109" i="2"/>
  <c r="CU109" i="2"/>
  <c r="CV109" i="2"/>
  <c r="CW109" i="2"/>
  <c r="CX109" i="2"/>
  <c r="CY109" i="2"/>
  <c r="CZ109" i="2"/>
  <c r="DA109" i="2"/>
  <c r="DB109" i="2"/>
  <c r="DC109" i="2"/>
  <c r="DD109" i="2"/>
  <c r="DE109" i="2"/>
  <c r="DF109" i="2"/>
  <c r="DG109" i="2"/>
  <c r="DH109" i="2"/>
  <c r="DI109" i="2"/>
  <c r="DJ109" i="2"/>
  <c r="DK109" i="2"/>
  <c r="DL109" i="2"/>
  <c r="DM109" i="2"/>
  <c r="DN109" i="2"/>
  <c r="DO109" i="2"/>
  <c r="DP109" i="2"/>
  <c r="DQ109" i="2"/>
  <c r="DR109" i="2"/>
  <c r="DS109" i="2"/>
  <c r="DT109" i="2"/>
  <c r="DU109" i="2"/>
  <c r="DV109" i="2"/>
  <c r="DW109" i="2"/>
  <c r="DX109" i="2"/>
  <c r="DY109" i="2"/>
  <c r="DZ109" i="2"/>
  <c r="EA109" i="2"/>
  <c r="EB109" i="2"/>
  <c r="EC109" i="2"/>
  <c r="ED109" i="2"/>
  <c r="EE109" i="2"/>
  <c r="EF109" i="2"/>
  <c r="EG109" i="2"/>
  <c r="EH109" i="2"/>
  <c r="EI109" i="2"/>
  <c r="EJ109" i="2"/>
  <c r="EK109" i="2"/>
  <c r="EL109" i="2"/>
  <c r="EM109" i="2"/>
  <c r="EN109" i="2"/>
  <c r="EO109" i="2"/>
  <c r="EP109" i="2"/>
  <c r="EQ109" i="2"/>
  <c r="ER109" i="2"/>
  <c r="ES109" i="2"/>
  <c r="ET109" i="2"/>
  <c r="EU109" i="2"/>
  <c r="EV109" i="2"/>
  <c r="EW109" i="2"/>
  <c r="EX109" i="2"/>
  <c r="EY109" i="2"/>
  <c r="EZ109" i="2"/>
  <c r="FA109" i="2"/>
  <c r="FB109" i="2"/>
  <c r="FC109" i="2"/>
  <c r="FD109" i="2"/>
  <c r="FE109" i="2"/>
  <c r="FF109" i="2"/>
  <c r="FG109" i="2"/>
  <c r="FH109" i="2"/>
  <c r="FI109" i="2"/>
  <c r="FJ109" i="2"/>
  <c r="FK109" i="2"/>
  <c r="FL109" i="2"/>
  <c r="FM109" i="2"/>
  <c r="FN109" i="2"/>
  <c r="FO109" i="2"/>
  <c r="FP109" i="2"/>
  <c r="FQ109" i="2"/>
  <c r="FR109" i="2"/>
  <c r="FS109" i="2"/>
  <c r="FT109" i="2"/>
  <c r="FU109" i="2"/>
  <c r="FV109" i="2"/>
  <c r="FW109" i="2"/>
  <c r="FX109" i="2"/>
  <c r="FY109" i="2"/>
  <c r="FZ109" i="2"/>
  <c r="GA109" i="2"/>
  <c r="GB109" i="2"/>
  <c r="GC109" i="2"/>
  <c r="GD109" i="2"/>
  <c r="GE109" i="2"/>
  <c r="GF109" i="2"/>
  <c r="GG109" i="2"/>
  <c r="GH109" i="2"/>
  <c r="GI109" i="2"/>
  <c r="GJ109" i="2"/>
  <c r="GK109" i="2"/>
  <c r="GL109" i="2"/>
  <c r="GM109" i="2"/>
  <c r="GN109" i="2"/>
  <c r="GO109" i="2"/>
  <c r="GP109" i="2"/>
  <c r="GQ109" i="2"/>
  <c r="GR109" i="2"/>
  <c r="GS109" i="2"/>
  <c r="GT109" i="2"/>
  <c r="GU109" i="2"/>
  <c r="GV109" i="2"/>
  <c r="GW109" i="2"/>
  <c r="GX109" i="2"/>
  <c r="AS114" i="2"/>
  <c r="AT114" i="2"/>
  <c r="AU114" i="2"/>
  <c r="AV114" i="2"/>
  <c r="AW114" i="2"/>
  <c r="AX114" i="2"/>
  <c r="AY114" i="2"/>
  <c r="AZ114" i="2"/>
  <c r="BA114" i="2"/>
  <c r="BB114" i="2"/>
  <c r="BC114" i="2"/>
  <c r="BD114" i="2"/>
  <c r="BE114" i="2"/>
  <c r="BF114" i="2"/>
  <c r="BG114" i="2"/>
  <c r="BH114" i="2"/>
  <c r="BI114" i="2"/>
  <c r="BJ114" i="2"/>
  <c r="BK114" i="2"/>
  <c r="BL114" i="2"/>
  <c r="BM114" i="2"/>
  <c r="BN114" i="2"/>
  <c r="BO114" i="2"/>
  <c r="BP114" i="2"/>
  <c r="BQ114" i="2"/>
  <c r="BR114" i="2"/>
  <c r="BS114" i="2"/>
  <c r="BT114" i="2"/>
  <c r="BU114" i="2"/>
  <c r="BV114" i="2"/>
  <c r="BW114" i="2"/>
  <c r="BX114" i="2"/>
  <c r="BY114" i="2"/>
  <c r="BZ114" i="2"/>
  <c r="CA114" i="2"/>
  <c r="CB114" i="2"/>
  <c r="CC114" i="2"/>
  <c r="CD114" i="2"/>
  <c r="CE114" i="2"/>
  <c r="CF114" i="2"/>
  <c r="CG114" i="2"/>
  <c r="CH114" i="2"/>
  <c r="CI114" i="2"/>
  <c r="CJ114" i="2"/>
  <c r="CK114" i="2"/>
  <c r="CL114" i="2"/>
  <c r="CM114" i="2"/>
  <c r="CN114" i="2"/>
  <c r="CO114" i="2"/>
  <c r="CP114" i="2"/>
  <c r="CQ114" i="2"/>
  <c r="CR114" i="2"/>
  <c r="CS114" i="2"/>
  <c r="CT114" i="2"/>
  <c r="CU114" i="2"/>
  <c r="CV114" i="2"/>
  <c r="CW114" i="2"/>
  <c r="CX114" i="2"/>
  <c r="CY114" i="2"/>
  <c r="CZ114" i="2"/>
  <c r="DA114" i="2"/>
  <c r="DB114" i="2"/>
  <c r="DC114" i="2"/>
  <c r="DD114" i="2"/>
  <c r="DE114" i="2"/>
  <c r="DF114" i="2"/>
  <c r="DG114" i="2"/>
  <c r="DH114" i="2"/>
  <c r="DI114" i="2"/>
  <c r="DJ114" i="2"/>
  <c r="DK114" i="2"/>
  <c r="DL114" i="2"/>
  <c r="DM114" i="2"/>
  <c r="DN114" i="2"/>
  <c r="DO114" i="2"/>
  <c r="DP114" i="2"/>
  <c r="DQ114" i="2"/>
  <c r="DR114" i="2"/>
  <c r="DS114" i="2"/>
  <c r="DT114" i="2"/>
  <c r="DU114" i="2"/>
  <c r="DV114" i="2"/>
  <c r="DW114" i="2"/>
  <c r="DX114" i="2"/>
  <c r="DY114" i="2"/>
  <c r="DZ114" i="2"/>
  <c r="EA114" i="2"/>
  <c r="EB114" i="2"/>
  <c r="EC114" i="2"/>
  <c r="ED114" i="2"/>
  <c r="EE114" i="2"/>
  <c r="EF114" i="2"/>
  <c r="EG114" i="2"/>
  <c r="EH114" i="2"/>
  <c r="EI114" i="2"/>
  <c r="EJ114" i="2"/>
  <c r="EK114" i="2"/>
  <c r="EL114" i="2"/>
  <c r="EM114" i="2"/>
  <c r="EN114" i="2"/>
  <c r="EO114" i="2"/>
  <c r="EP114" i="2"/>
  <c r="EQ114" i="2"/>
  <c r="ER114" i="2"/>
  <c r="ES114" i="2"/>
  <c r="ET114" i="2"/>
  <c r="EU114" i="2"/>
  <c r="EV114" i="2"/>
  <c r="EW114" i="2"/>
  <c r="EX114" i="2"/>
  <c r="EY114" i="2"/>
  <c r="EZ114" i="2"/>
  <c r="FA114" i="2"/>
  <c r="FB114" i="2"/>
  <c r="FC114" i="2"/>
  <c r="FD114" i="2"/>
  <c r="FE114" i="2"/>
  <c r="FF114" i="2"/>
  <c r="FG114" i="2"/>
  <c r="FH114" i="2"/>
  <c r="FI114" i="2"/>
  <c r="FJ114" i="2"/>
  <c r="FK114" i="2"/>
  <c r="FL114" i="2"/>
  <c r="FM114" i="2"/>
  <c r="FN114" i="2"/>
  <c r="FO114" i="2"/>
  <c r="FP114" i="2"/>
  <c r="FQ114" i="2"/>
  <c r="FR114" i="2"/>
  <c r="FS114" i="2"/>
  <c r="FT114" i="2"/>
  <c r="FU114" i="2"/>
  <c r="FV114" i="2"/>
  <c r="FW114" i="2"/>
  <c r="FX114" i="2"/>
  <c r="FY114" i="2"/>
  <c r="FZ114" i="2"/>
  <c r="GA114" i="2"/>
  <c r="GB114" i="2"/>
  <c r="GC114" i="2"/>
  <c r="GD114" i="2"/>
  <c r="GE114" i="2"/>
  <c r="GF114" i="2"/>
  <c r="GG114" i="2"/>
  <c r="GH114" i="2"/>
  <c r="GI114" i="2"/>
  <c r="GJ114" i="2"/>
  <c r="GK114" i="2"/>
  <c r="GL114" i="2"/>
  <c r="GM114" i="2"/>
  <c r="GN114" i="2"/>
  <c r="GO114" i="2"/>
  <c r="GP114" i="2"/>
  <c r="GQ114" i="2"/>
  <c r="GR114" i="2"/>
  <c r="GS114" i="2"/>
  <c r="GT114" i="2"/>
  <c r="GU114" i="2"/>
  <c r="GV114" i="2"/>
  <c r="GW114" i="2"/>
  <c r="GX114" i="2"/>
  <c r="AS116" i="2"/>
  <c r="AT116" i="2"/>
  <c r="AU116" i="2"/>
  <c r="AV116" i="2"/>
  <c r="AW116" i="2"/>
  <c r="AX116" i="2"/>
  <c r="AY116" i="2"/>
  <c r="AZ116" i="2"/>
  <c r="BA116" i="2"/>
  <c r="BB116" i="2"/>
  <c r="BC116" i="2"/>
  <c r="BD116" i="2"/>
  <c r="BE116" i="2"/>
  <c r="BF116" i="2"/>
  <c r="BG116" i="2"/>
  <c r="BH116" i="2"/>
  <c r="BI116" i="2"/>
  <c r="BJ116" i="2"/>
  <c r="BK116" i="2"/>
  <c r="BL116" i="2"/>
  <c r="BM116" i="2"/>
  <c r="BN116" i="2"/>
  <c r="BO116" i="2"/>
  <c r="BP116" i="2"/>
  <c r="BQ116" i="2"/>
  <c r="BR116" i="2"/>
  <c r="BS116" i="2"/>
  <c r="BT116" i="2"/>
  <c r="BU116" i="2"/>
  <c r="BV116" i="2"/>
  <c r="BW116" i="2"/>
  <c r="BX116" i="2"/>
  <c r="BY116" i="2"/>
  <c r="BZ116" i="2"/>
  <c r="CA116" i="2"/>
  <c r="CB116" i="2"/>
  <c r="CC116" i="2"/>
  <c r="CD116" i="2"/>
  <c r="CE116" i="2"/>
  <c r="CF116" i="2"/>
  <c r="CG116" i="2"/>
  <c r="CH116" i="2"/>
  <c r="CI116" i="2"/>
  <c r="CJ116" i="2"/>
  <c r="CK116" i="2"/>
  <c r="CL116" i="2"/>
  <c r="CM116" i="2"/>
  <c r="CN116" i="2"/>
  <c r="CO116" i="2"/>
  <c r="CP116" i="2"/>
  <c r="CQ116" i="2"/>
  <c r="CR116" i="2"/>
  <c r="CS116" i="2"/>
  <c r="CT116" i="2"/>
  <c r="CU116" i="2"/>
  <c r="CV116" i="2"/>
  <c r="CW116" i="2"/>
  <c r="CX116" i="2"/>
  <c r="CY116" i="2"/>
  <c r="CZ116" i="2"/>
  <c r="DA116" i="2"/>
  <c r="DB116" i="2"/>
  <c r="DC116" i="2"/>
  <c r="DD116" i="2"/>
  <c r="DE116" i="2"/>
  <c r="DF116" i="2"/>
  <c r="DG116" i="2"/>
  <c r="DH116" i="2"/>
  <c r="DI116" i="2"/>
  <c r="DJ116" i="2"/>
  <c r="DK116" i="2"/>
  <c r="DL116" i="2"/>
  <c r="DM116" i="2"/>
  <c r="DN116" i="2"/>
  <c r="DO116" i="2"/>
  <c r="DP116" i="2"/>
  <c r="DQ116" i="2"/>
  <c r="DR116" i="2"/>
  <c r="DS116" i="2"/>
  <c r="DT116" i="2"/>
  <c r="DU116" i="2"/>
  <c r="DV116" i="2"/>
  <c r="DW116" i="2"/>
  <c r="DX116" i="2"/>
  <c r="DY116" i="2"/>
  <c r="DZ116" i="2"/>
  <c r="EA116" i="2"/>
  <c r="EB116" i="2"/>
  <c r="EC116" i="2"/>
  <c r="ED116" i="2"/>
  <c r="EE116" i="2"/>
  <c r="EF116" i="2"/>
  <c r="EG116" i="2"/>
  <c r="EH116" i="2"/>
  <c r="EI116" i="2"/>
  <c r="EJ116" i="2"/>
  <c r="EK116" i="2"/>
  <c r="EL116" i="2"/>
  <c r="EM116" i="2"/>
  <c r="EN116" i="2"/>
  <c r="EO116" i="2"/>
  <c r="EP116" i="2"/>
  <c r="EQ116" i="2"/>
  <c r="ER116" i="2"/>
  <c r="ES116" i="2"/>
  <c r="ET116" i="2"/>
  <c r="EU116" i="2"/>
  <c r="EV116" i="2"/>
  <c r="EW116" i="2"/>
  <c r="EX116" i="2"/>
  <c r="EY116" i="2"/>
  <c r="EZ116" i="2"/>
  <c r="FA116" i="2"/>
  <c r="FB116" i="2"/>
  <c r="FC116" i="2"/>
  <c r="FD116" i="2"/>
  <c r="FE116" i="2"/>
  <c r="FF116" i="2"/>
  <c r="FG116" i="2"/>
  <c r="FH116" i="2"/>
  <c r="FI116" i="2"/>
  <c r="FJ116" i="2"/>
  <c r="FK116" i="2"/>
  <c r="FL116" i="2"/>
  <c r="FM116" i="2"/>
  <c r="FN116" i="2"/>
  <c r="FO116" i="2"/>
  <c r="FP116" i="2"/>
  <c r="FQ116" i="2"/>
  <c r="FR116" i="2"/>
  <c r="FS116" i="2"/>
  <c r="FT116" i="2"/>
  <c r="FU116" i="2"/>
  <c r="FV116" i="2"/>
  <c r="FW116" i="2"/>
  <c r="FX116" i="2"/>
  <c r="FY116" i="2"/>
  <c r="FZ116" i="2"/>
  <c r="GA116" i="2"/>
  <c r="GB116" i="2"/>
  <c r="GC116" i="2"/>
  <c r="GD116" i="2"/>
  <c r="GE116" i="2"/>
  <c r="GF116" i="2"/>
  <c r="GG116" i="2"/>
  <c r="GH116" i="2"/>
  <c r="GI116" i="2"/>
  <c r="GJ116" i="2"/>
  <c r="GK116" i="2"/>
  <c r="GL116" i="2"/>
  <c r="GM116" i="2"/>
  <c r="GN116" i="2"/>
  <c r="GO116" i="2"/>
  <c r="GP116" i="2"/>
  <c r="GQ116" i="2"/>
  <c r="GR116" i="2"/>
  <c r="GS116" i="2"/>
  <c r="GT116" i="2"/>
  <c r="GU116" i="2"/>
  <c r="GV116" i="2"/>
  <c r="GW116" i="2"/>
  <c r="GX116" i="2"/>
  <c r="AS108" i="2"/>
  <c r="AT108" i="2"/>
  <c r="AU108" i="2"/>
  <c r="AV108" i="2"/>
  <c r="AW108" i="2"/>
  <c r="AX108" i="2"/>
  <c r="AY108" i="2"/>
  <c r="AZ108" i="2"/>
  <c r="BA108" i="2"/>
  <c r="BB108" i="2"/>
  <c r="BC108" i="2"/>
  <c r="BD108" i="2"/>
  <c r="BE108" i="2"/>
  <c r="BF108" i="2"/>
  <c r="BG108" i="2"/>
  <c r="BH108" i="2"/>
  <c r="BI108" i="2"/>
  <c r="BJ108" i="2"/>
  <c r="BK108" i="2"/>
  <c r="BL108" i="2"/>
  <c r="BM108" i="2"/>
  <c r="BN108" i="2"/>
  <c r="BO108" i="2"/>
  <c r="BP108" i="2"/>
  <c r="BQ108" i="2"/>
  <c r="BR108" i="2"/>
  <c r="BS108" i="2"/>
  <c r="BT108" i="2"/>
  <c r="BU108" i="2"/>
  <c r="BV108" i="2"/>
  <c r="BW108" i="2"/>
  <c r="BX108" i="2"/>
  <c r="BY108" i="2"/>
  <c r="BZ108" i="2"/>
  <c r="CA108" i="2"/>
  <c r="CB108" i="2"/>
  <c r="CC108" i="2"/>
  <c r="CD108" i="2"/>
  <c r="CE108" i="2"/>
  <c r="CF108" i="2"/>
  <c r="CG108" i="2"/>
  <c r="CH108" i="2"/>
  <c r="CI108" i="2"/>
  <c r="CJ108" i="2"/>
  <c r="CK108" i="2"/>
  <c r="CL108" i="2"/>
  <c r="CM108" i="2"/>
  <c r="CN108" i="2"/>
  <c r="CO108" i="2"/>
  <c r="CP108" i="2"/>
  <c r="CQ108" i="2"/>
  <c r="CR108" i="2"/>
  <c r="CS108" i="2"/>
  <c r="CT108" i="2"/>
  <c r="CU108" i="2"/>
  <c r="CV108" i="2"/>
  <c r="CW108" i="2"/>
  <c r="CX108" i="2"/>
  <c r="CY108" i="2"/>
  <c r="CZ108" i="2"/>
  <c r="DA108" i="2"/>
  <c r="DB108" i="2"/>
  <c r="DC108" i="2"/>
  <c r="DD108" i="2"/>
  <c r="DE108" i="2"/>
  <c r="DF108" i="2"/>
  <c r="DG108" i="2"/>
  <c r="DH108" i="2"/>
  <c r="DI108" i="2"/>
  <c r="DJ108" i="2"/>
  <c r="DK108" i="2"/>
  <c r="DL108" i="2"/>
  <c r="DM108" i="2"/>
  <c r="DN108" i="2"/>
  <c r="DO108" i="2"/>
  <c r="DP108" i="2"/>
  <c r="DQ108" i="2"/>
  <c r="DR108" i="2"/>
  <c r="DS108" i="2"/>
  <c r="DT108" i="2"/>
  <c r="DU108" i="2"/>
  <c r="DV108" i="2"/>
  <c r="DW108" i="2"/>
  <c r="DX108" i="2"/>
  <c r="DY108" i="2"/>
  <c r="DZ108" i="2"/>
  <c r="EA108" i="2"/>
  <c r="EB108" i="2"/>
  <c r="EC108" i="2"/>
  <c r="ED108" i="2"/>
  <c r="EE108" i="2"/>
  <c r="EF108" i="2"/>
  <c r="EG108" i="2"/>
  <c r="EH108" i="2"/>
  <c r="EI108" i="2"/>
  <c r="EJ108" i="2"/>
  <c r="EK108" i="2"/>
  <c r="EL108" i="2"/>
  <c r="EM108" i="2"/>
  <c r="EN108" i="2"/>
  <c r="EO108" i="2"/>
  <c r="EP108" i="2"/>
  <c r="EQ108" i="2"/>
  <c r="ER108" i="2"/>
  <c r="ES108" i="2"/>
  <c r="ET108" i="2"/>
  <c r="EU108" i="2"/>
  <c r="EV108" i="2"/>
  <c r="EW108" i="2"/>
  <c r="EX108" i="2"/>
  <c r="EY108" i="2"/>
  <c r="EZ108" i="2"/>
  <c r="FA108" i="2"/>
  <c r="FB108" i="2"/>
  <c r="FC108" i="2"/>
  <c r="FD108" i="2"/>
  <c r="FE108" i="2"/>
  <c r="FF108" i="2"/>
  <c r="FG108" i="2"/>
  <c r="FH108" i="2"/>
  <c r="FI108" i="2"/>
  <c r="FJ108" i="2"/>
  <c r="FK108" i="2"/>
  <c r="FL108" i="2"/>
  <c r="FM108" i="2"/>
  <c r="FN108" i="2"/>
  <c r="FO108" i="2"/>
  <c r="FP108" i="2"/>
  <c r="FQ108" i="2"/>
  <c r="FR108" i="2"/>
  <c r="FS108" i="2"/>
  <c r="FT108" i="2"/>
  <c r="FU108" i="2"/>
  <c r="FV108" i="2"/>
  <c r="FW108" i="2"/>
  <c r="FX108" i="2"/>
  <c r="FY108" i="2"/>
  <c r="FZ108" i="2"/>
  <c r="GA108" i="2"/>
  <c r="GB108" i="2"/>
  <c r="GC108" i="2"/>
  <c r="GD108" i="2"/>
  <c r="GE108" i="2"/>
  <c r="GF108" i="2"/>
  <c r="GG108" i="2"/>
  <c r="GH108" i="2"/>
  <c r="GI108" i="2"/>
  <c r="GJ108" i="2"/>
  <c r="GK108" i="2"/>
  <c r="GL108" i="2"/>
  <c r="GM108" i="2"/>
  <c r="GN108" i="2"/>
  <c r="GO108" i="2"/>
  <c r="GP108" i="2"/>
  <c r="GQ108" i="2"/>
  <c r="GR108" i="2"/>
  <c r="GS108" i="2"/>
  <c r="GT108" i="2"/>
  <c r="GU108" i="2"/>
  <c r="GV108" i="2"/>
  <c r="GW108" i="2"/>
  <c r="GX108" i="2"/>
  <c r="AS123" i="2"/>
  <c r="AT123" i="2"/>
  <c r="AU123" i="2"/>
  <c r="AV123" i="2"/>
  <c r="AW123" i="2"/>
  <c r="AX123" i="2"/>
  <c r="AY123" i="2"/>
  <c r="AZ123" i="2"/>
  <c r="BA123" i="2"/>
  <c r="BB123" i="2"/>
  <c r="BC123" i="2"/>
  <c r="BD123" i="2"/>
  <c r="BE123" i="2"/>
  <c r="BF123" i="2"/>
  <c r="BG123" i="2"/>
  <c r="BH123" i="2"/>
  <c r="BI123" i="2"/>
  <c r="BJ123" i="2"/>
  <c r="BK123" i="2"/>
  <c r="BL123" i="2"/>
  <c r="BM123" i="2"/>
  <c r="BN123" i="2"/>
  <c r="BO123" i="2"/>
  <c r="BP123" i="2"/>
  <c r="BQ123" i="2"/>
  <c r="BR123" i="2"/>
  <c r="BS123" i="2"/>
  <c r="BT123" i="2"/>
  <c r="BU123" i="2"/>
  <c r="BV123" i="2"/>
  <c r="BW123" i="2"/>
  <c r="BX123" i="2"/>
  <c r="BY123" i="2"/>
  <c r="BZ123" i="2"/>
  <c r="CA123" i="2"/>
  <c r="CB123" i="2"/>
  <c r="CC123" i="2"/>
  <c r="CD123" i="2"/>
  <c r="CE123" i="2"/>
  <c r="CF123" i="2"/>
  <c r="CG123" i="2"/>
  <c r="CH123" i="2"/>
  <c r="CI123" i="2"/>
  <c r="CJ123" i="2"/>
  <c r="CK123" i="2"/>
  <c r="CL123" i="2"/>
  <c r="CM123" i="2"/>
  <c r="CN123" i="2"/>
  <c r="CO123" i="2"/>
  <c r="CP123" i="2"/>
  <c r="CQ123" i="2"/>
  <c r="CR123" i="2"/>
  <c r="CS123" i="2"/>
  <c r="CT123" i="2"/>
  <c r="CU123" i="2"/>
  <c r="CV123" i="2"/>
  <c r="CW123" i="2"/>
  <c r="CX123" i="2"/>
  <c r="CY123" i="2"/>
  <c r="CZ123" i="2"/>
  <c r="DA123" i="2"/>
  <c r="DB123" i="2"/>
  <c r="DC123" i="2"/>
  <c r="DD123" i="2"/>
  <c r="DE123" i="2"/>
  <c r="DF123" i="2"/>
  <c r="DG123" i="2"/>
  <c r="DH123" i="2"/>
  <c r="DI123" i="2"/>
  <c r="DJ123" i="2"/>
  <c r="DK123" i="2"/>
  <c r="DL123" i="2"/>
  <c r="DM123" i="2"/>
  <c r="DN123" i="2"/>
  <c r="DO123" i="2"/>
  <c r="DP123" i="2"/>
  <c r="DQ123" i="2"/>
  <c r="DR123" i="2"/>
  <c r="DS123" i="2"/>
  <c r="DT123" i="2"/>
  <c r="DU123" i="2"/>
  <c r="DV123" i="2"/>
  <c r="DW123" i="2"/>
  <c r="DX123" i="2"/>
  <c r="DY123" i="2"/>
  <c r="DZ123" i="2"/>
  <c r="EA123" i="2"/>
  <c r="EB123" i="2"/>
  <c r="EC123" i="2"/>
  <c r="ED123" i="2"/>
  <c r="EE123" i="2"/>
  <c r="EF123" i="2"/>
  <c r="EG123" i="2"/>
  <c r="EH123" i="2"/>
  <c r="EI123" i="2"/>
  <c r="EJ123" i="2"/>
  <c r="EK123" i="2"/>
  <c r="EL123" i="2"/>
  <c r="EM123" i="2"/>
  <c r="EN123" i="2"/>
  <c r="EO123" i="2"/>
  <c r="EP123" i="2"/>
  <c r="EQ123" i="2"/>
  <c r="ER123" i="2"/>
  <c r="ES123" i="2"/>
  <c r="ET123" i="2"/>
  <c r="EU123" i="2"/>
  <c r="EV123" i="2"/>
  <c r="EW123" i="2"/>
  <c r="EX123" i="2"/>
  <c r="EY123" i="2"/>
  <c r="EZ123" i="2"/>
  <c r="FA123" i="2"/>
  <c r="FB123" i="2"/>
  <c r="FC123" i="2"/>
  <c r="FD123" i="2"/>
  <c r="FE123" i="2"/>
  <c r="FF123" i="2"/>
  <c r="FG123" i="2"/>
  <c r="FH123" i="2"/>
  <c r="FI123" i="2"/>
  <c r="FJ123" i="2"/>
  <c r="FK123" i="2"/>
  <c r="FL123" i="2"/>
  <c r="FM123" i="2"/>
  <c r="FN123" i="2"/>
  <c r="FO123" i="2"/>
  <c r="FP123" i="2"/>
  <c r="FQ123" i="2"/>
  <c r="FR123" i="2"/>
  <c r="FS123" i="2"/>
  <c r="FT123" i="2"/>
  <c r="FU123" i="2"/>
  <c r="FV123" i="2"/>
  <c r="FW123" i="2"/>
  <c r="FX123" i="2"/>
  <c r="FY123" i="2"/>
  <c r="FZ123" i="2"/>
  <c r="GA123" i="2"/>
  <c r="GB123" i="2"/>
  <c r="GC123" i="2"/>
  <c r="GD123" i="2"/>
  <c r="GE123" i="2"/>
  <c r="GF123" i="2"/>
  <c r="GG123" i="2"/>
  <c r="GH123" i="2"/>
  <c r="GI123" i="2"/>
  <c r="GJ123" i="2"/>
  <c r="GK123" i="2"/>
  <c r="GL123" i="2"/>
  <c r="GM123" i="2"/>
  <c r="GN123" i="2"/>
  <c r="GO123" i="2"/>
  <c r="GP123" i="2"/>
  <c r="GQ123" i="2"/>
  <c r="GR123" i="2"/>
  <c r="GS123" i="2"/>
  <c r="GT123" i="2"/>
  <c r="GU123" i="2"/>
  <c r="GV123" i="2"/>
  <c r="GW123" i="2"/>
  <c r="GX123" i="2"/>
  <c r="AS113" i="2"/>
  <c r="AT113" i="2"/>
  <c r="AU113" i="2"/>
  <c r="AV113" i="2"/>
  <c r="AW113" i="2"/>
  <c r="AX113" i="2"/>
  <c r="AY113" i="2"/>
  <c r="AZ113" i="2"/>
  <c r="BA113" i="2"/>
  <c r="BB113" i="2"/>
  <c r="BC113" i="2"/>
  <c r="BD113" i="2"/>
  <c r="BE113" i="2"/>
  <c r="BF113" i="2"/>
  <c r="BG113" i="2"/>
  <c r="BH113" i="2"/>
  <c r="BI113" i="2"/>
  <c r="BJ113" i="2"/>
  <c r="BK113" i="2"/>
  <c r="BL113" i="2"/>
  <c r="BM113" i="2"/>
  <c r="BN113" i="2"/>
  <c r="BO113" i="2"/>
  <c r="BP113" i="2"/>
  <c r="BQ113" i="2"/>
  <c r="BR113" i="2"/>
  <c r="BS113" i="2"/>
  <c r="BT113" i="2"/>
  <c r="BU113" i="2"/>
  <c r="BV113" i="2"/>
  <c r="BW113" i="2"/>
  <c r="BX113" i="2"/>
  <c r="BY113" i="2"/>
  <c r="BZ113" i="2"/>
  <c r="CA113" i="2"/>
  <c r="CB113" i="2"/>
  <c r="CC113" i="2"/>
  <c r="CD113" i="2"/>
  <c r="CE113" i="2"/>
  <c r="CF113" i="2"/>
  <c r="CG113" i="2"/>
  <c r="CH113" i="2"/>
  <c r="CI113" i="2"/>
  <c r="CJ113" i="2"/>
  <c r="CK113" i="2"/>
  <c r="CL113" i="2"/>
  <c r="CM113" i="2"/>
  <c r="CN113" i="2"/>
  <c r="CO113" i="2"/>
  <c r="CP113" i="2"/>
  <c r="CQ113" i="2"/>
  <c r="CR113" i="2"/>
  <c r="CS113" i="2"/>
  <c r="CT113" i="2"/>
  <c r="CU113" i="2"/>
  <c r="CV113" i="2"/>
  <c r="CW113" i="2"/>
  <c r="CX113" i="2"/>
  <c r="CY113" i="2"/>
  <c r="CZ113" i="2"/>
  <c r="DA113" i="2"/>
  <c r="DB113" i="2"/>
  <c r="DC113" i="2"/>
  <c r="DD113" i="2"/>
  <c r="DE113" i="2"/>
  <c r="DF113" i="2"/>
  <c r="DG113" i="2"/>
  <c r="DH113" i="2"/>
  <c r="DI113" i="2"/>
  <c r="DJ113" i="2"/>
  <c r="DK113" i="2"/>
  <c r="DL113" i="2"/>
  <c r="DM113" i="2"/>
  <c r="DN113" i="2"/>
  <c r="DO113" i="2"/>
  <c r="DP113" i="2"/>
  <c r="DQ113" i="2"/>
  <c r="DR113" i="2"/>
  <c r="DS113" i="2"/>
  <c r="DT113" i="2"/>
  <c r="DU113" i="2"/>
  <c r="DV113" i="2"/>
  <c r="DW113" i="2"/>
  <c r="DX113" i="2"/>
  <c r="DY113" i="2"/>
  <c r="DZ113" i="2"/>
  <c r="EA113" i="2"/>
  <c r="EB113" i="2"/>
  <c r="EC113" i="2"/>
  <c r="ED113" i="2"/>
  <c r="EE113" i="2"/>
  <c r="EF113" i="2"/>
  <c r="EG113" i="2"/>
  <c r="EH113" i="2"/>
  <c r="EI113" i="2"/>
  <c r="EJ113" i="2"/>
  <c r="EK113" i="2"/>
  <c r="EL113" i="2"/>
  <c r="EM113" i="2"/>
  <c r="EN113" i="2"/>
  <c r="EO113" i="2"/>
  <c r="EP113" i="2"/>
  <c r="EQ113" i="2"/>
  <c r="ER113" i="2"/>
  <c r="ES113" i="2"/>
  <c r="ET113" i="2"/>
  <c r="EU113" i="2"/>
  <c r="EV113" i="2"/>
  <c r="EW113" i="2"/>
  <c r="EX113" i="2"/>
  <c r="EY113" i="2"/>
  <c r="EZ113" i="2"/>
  <c r="FA113" i="2"/>
  <c r="FB113" i="2"/>
  <c r="FC113" i="2"/>
  <c r="FD113" i="2"/>
  <c r="FE113" i="2"/>
  <c r="FF113" i="2"/>
  <c r="FG113" i="2"/>
  <c r="FH113" i="2"/>
  <c r="FI113" i="2"/>
  <c r="FJ113" i="2"/>
  <c r="FK113" i="2"/>
  <c r="FL113" i="2"/>
  <c r="FM113" i="2"/>
  <c r="FN113" i="2"/>
  <c r="FO113" i="2"/>
  <c r="FP113" i="2"/>
  <c r="FQ113" i="2"/>
  <c r="FR113" i="2"/>
  <c r="FS113" i="2"/>
  <c r="FT113" i="2"/>
  <c r="FU113" i="2"/>
  <c r="FV113" i="2"/>
  <c r="FW113" i="2"/>
  <c r="FX113" i="2"/>
  <c r="FY113" i="2"/>
  <c r="FZ113" i="2"/>
  <c r="GA113" i="2"/>
  <c r="GB113" i="2"/>
  <c r="GC113" i="2"/>
  <c r="GD113" i="2"/>
  <c r="GE113" i="2"/>
  <c r="GF113" i="2"/>
  <c r="GG113" i="2"/>
  <c r="GH113" i="2"/>
  <c r="GI113" i="2"/>
  <c r="GJ113" i="2"/>
  <c r="GK113" i="2"/>
  <c r="GL113" i="2"/>
  <c r="GM113" i="2"/>
  <c r="GN113" i="2"/>
  <c r="GO113" i="2"/>
  <c r="GP113" i="2"/>
  <c r="GQ113" i="2"/>
  <c r="GR113" i="2"/>
  <c r="GS113" i="2"/>
  <c r="GT113" i="2"/>
  <c r="GU113" i="2"/>
  <c r="GV113" i="2"/>
  <c r="GW113" i="2"/>
  <c r="GX113" i="2"/>
  <c r="AS101" i="2"/>
  <c r="AT101" i="2"/>
  <c r="AU101" i="2"/>
  <c r="AV101" i="2"/>
  <c r="AW101" i="2"/>
  <c r="AX101" i="2"/>
  <c r="AY101" i="2"/>
  <c r="AZ101" i="2"/>
  <c r="BA101" i="2"/>
  <c r="BB101" i="2"/>
  <c r="BC101" i="2"/>
  <c r="BD101" i="2"/>
  <c r="BE101" i="2"/>
  <c r="BF101" i="2"/>
  <c r="BG101" i="2"/>
  <c r="BH101" i="2"/>
  <c r="BI101" i="2"/>
  <c r="BJ101" i="2"/>
  <c r="BK101" i="2"/>
  <c r="BL101" i="2"/>
  <c r="BM101" i="2"/>
  <c r="BN101" i="2"/>
  <c r="BO101" i="2"/>
  <c r="BP101" i="2"/>
  <c r="BQ101" i="2"/>
  <c r="BR101" i="2"/>
  <c r="BS101" i="2"/>
  <c r="BT101" i="2"/>
  <c r="BU101" i="2"/>
  <c r="BV101" i="2"/>
  <c r="BW101" i="2"/>
  <c r="BX101" i="2"/>
  <c r="BY101" i="2"/>
  <c r="BZ101" i="2"/>
  <c r="CA101" i="2"/>
  <c r="CB101" i="2"/>
  <c r="CC101" i="2"/>
  <c r="CD101" i="2"/>
  <c r="CE101" i="2"/>
  <c r="CF101" i="2"/>
  <c r="CG101" i="2"/>
  <c r="CH101" i="2"/>
  <c r="CI101" i="2"/>
  <c r="CJ101" i="2"/>
  <c r="CK101" i="2"/>
  <c r="CL101" i="2"/>
  <c r="CM101" i="2"/>
  <c r="CN101" i="2"/>
  <c r="CO101" i="2"/>
  <c r="CP101" i="2"/>
  <c r="CQ101" i="2"/>
  <c r="CR101" i="2"/>
  <c r="CS101" i="2"/>
  <c r="CT101" i="2"/>
  <c r="CU101" i="2"/>
  <c r="CV101" i="2"/>
  <c r="CW101" i="2"/>
  <c r="CX101" i="2"/>
  <c r="CY101" i="2"/>
  <c r="CZ101" i="2"/>
  <c r="DA101" i="2"/>
  <c r="DB101" i="2"/>
  <c r="DC101" i="2"/>
  <c r="DD101" i="2"/>
  <c r="DE101" i="2"/>
  <c r="DF101" i="2"/>
  <c r="DG101" i="2"/>
  <c r="DH101" i="2"/>
  <c r="DI101" i="2"/>
  <c r="DJ101" i="2"/>
  <c r="DK101" i="2"/>
  <c r="DL101" i="2"/>
  <c r="DM101" i="2"/>
  <c r="DN101" i="2"/>
  <c r="DO101" i="2"/>
  <c r="DP101" i="2"/>
  <c r="DQ101" i="2"/>
  <c r="DR101" i="2"/>
  <c r="DS101" i="2"/>
  <c r="DT101" i="2"/>
  <c r="DU101" i="2"/>
  <c r="DV101" i="2"/>
  <c r="DW101" i="2"/>
  <c r="DX101" i="2"/>
  <c r="DY101" i="2"/>
  <c r="DZ101" i="2"/>
  <c r="EA101" i="2"/>
  <c r="EB101" i="2"/>
  <c r="EC101" i="2"/>
  <c r="ED101" i="2"/>
  <c r="EE101" i="2"/>
  <c r="EF101" i="2"/>
  <c r="EG101" i="2"/>
  <c r="EH101" i="2"/>
  <c r="EI101" i="2"/>
  <c r="EJ101" i="2"/>
  <c r="EK101" i="2"/>
  <c r="EL101" i="2"/>
  <c r="EM101" i="2"/>
  <c r="EN101" i="2"/>
  <c r="EO101" i="2"/>
  <c r="EP101" i="2"/>
  <c r="EQ101" i="2"/>
  <c r="ER101" i="2"/>
  <c r="ES101" i="2"/>
  <c r="ET101" i="2"/>
  <c r="EU101" i="2"/>
  <c r="EV101" i="2"/>
  <c r="EW101" i="2"/>
  <c r="EX101" i="2"/>
  <c r="EY101" i="2"/>
  <c r="EZ101" i="2"/>
  <c r="FA101" i="2"/>
  <c r="FB101" i="2"/>
  <c r="FC101" i="2"/>
  <c r="FD101" i="2"/>
  <c r="FE101" i="2"/>
  <c r="FF101" i="2"/>
  <c r="FG101" i="2"/>
  <c r="FH101" i="2"/>
  <c r="FI101" i="2"/>
  <c r="FJ101" i="2"/>
  <c r="FK101" i="2"/>
  <c r="FL101" i="2"/>
  <c r="FM101" i="2"/>
  <c r="FN101" i="2"/>
  <c r="FO101" i="2"/>
  <c r="FP101" i="2"/>
  <c r="FQ101" i="2"/>
  <c r="FR101" i="2"/>
  <c r="FS101" i="2"/>
  <c r="FT101" i="2"/>
  <c r="FU101" i="2"/>
  <c r="FV101" i="2"/>
  <c r="FW101" i="2"/>
  <c r="FX101" i="2"/>
  <c r="FY101" i="2"/>
  <c r="FZ101" i="2"/>
  <c r="GA101" i="2"/>
  <c r="GB101" i="2"/>
  <c r="GC101" i="2"/>
  <c r="GD101" i="2"/>
  <c r="GE101" i="2"/>
  <c r="GF101" i="2"/>
  <c r="GG101" i="2"/>
  <c r="GH101" i="2"/>
  <c r="GI101" i="2"/>
  <c r="GJ101" i="2"/>
  <c r="GK101" i="2"/>
  <c r="GL101" i="2"/>
  <c r="GM101" i="2"/>
  <c r="GN101" i="2"/>
  <c r="GO101" i="2"/>
  <c r="GP101" i="2"/>
  <c r="GQ101" i="2"/>
  <c r="GR101" i="2"/>
  <c r="GS101" i="2"/>
  <c r="GT101" i="2"/>
  <c r="GU101" i="2"/>
  <c r="GV101" i="2"/>
  <c r="GW101" i="2"/>
  <c r="GX101" i="2"/>
  <c r="AS107" i="2"/>
  <c r="AT107" i="2"/>
  <c r="AU107" i="2"/>
  <c r="AV107" i="2"/>
  <c r="AW107" i="2"/>
  <c r="AX107" i="2"/>
  <c r="AY107" i="2"/>
  <c r="AZ107" i="2"/>
  <c r="BA107" i="2"/>
  <c r="BB107" i="2"/>
  <c r="BC107" i="2"/>
  <c r="BD107" i="2"/>
  <c r="BE107" i="2"/>
  <c r="BF107" i="2"/>
  <c r="BG107" i="2"/>
  <c r="BH107" i="2"/>
  <c r="BI107" i="2"/>
  <c r="BJ107" i="2"/>
  <c r="BK107" i="2"/>
  <c r="BL107" i="2"/>
  <c r="BM107" i="2"/>
  <c r="BN107" i="2"/>
  <c r="BO107" i="2"/>
  <c r="BP107" i="2"/>
  <c r="BQ107" i="2"/>
  <c r="BR107" i="2"/>
  <c r="BS107" i="2"/>
  <c r="BT107" i="2"/>
  <c r="BU107" i="2"/>
  <c r="BV107" i="2"/>
  <c r="BW107" i="2"/>
  <c r="BX107" i="2"/>
  <c r="BY107" i="2"/>
  <c r="BZ107" i="2"/>
  <c r="CA107" i="2"/>
  <c r="CB107" i="2"/>
  <c r="CC107" i="2"/>
  <c r="CD107" i="2"/>
  <c r="CE107" i="2"/>
  <c r="CF107" i="2"/>
  <c r="CG107" i="2"/>
  <c r="CH107" i="2"/>
  <c r="CI107" i="2"/>
  <c r="CJ107" i="2"/>
  <c r="CK107" i="2"/>
  <c r="CL107" i="2"/>
  <c r="CM107" i="2"/>
  <c r="CN107" i="2"/>
  <c r="CO107" i="2"/>
  <c r="CP107" i="2"/>
  <c r="CQ107" i="2"/>
  <c r="CR107" i="2"/>
  <c r="CS107" i="2"/>
  <c r="CT107" i="2"/>
  <c r="CU107" i="2"/>
  <c r="CV107" i="2"/>
  <c r="CW107" i="2"/>
  <c r="CX107" i="2"/>
  <c r="CY107" i="2"/>
  <c r="CZ107" i="2"/>
  <c r="DA107" i="2"/>
  <c r="DB107" i="2"/>
  <c r="DC107" i="2"/>
  <c r="DD107" i="2"/>
  <c r="DE107" i="2"/>
  <c r="DF107" i="2"/>
  <c r="DG107" i="2"/>
  <c r="DH107" i="2"/>
  <c r="DI107" i="2"/>
  <c r="DJ107" i="2"/>
  <c r="DK107" i="2"/>
  <c r="DL107" i="2"/>
  <c r="DM107" i="2"/>
  <c r="DN107" i="2"/>
  <c r="DO107" i="2"/>
  <c r="DP107" i="2"/>
  <c r="DQ107" i="2"/>
  <c r="DR107" i="2"/>
  <c r="DS107" i="2"/>
  <c r="DT107" i="2"/>
  <c r="DU107" i="2"/>
  <c r="DV107" i="2"/>
  <c r="DW107" i="2"/>
  <c r="DX107" i="2"/>
  <c r="DY107" i="2"/>
  <c r="DZ107" i="2"/>
  <c r="EA107" i="2"/>
  <c r="EB107" i="2"/>
  <c r="EC107" i="2"/>
  <c r="ED107" i="2"/>
  <c r="EE107" i="2"/>
  <c r="EF107" i="2"/>
  <c r="EG107" i="2"/>
  <c r="EH107" i="2"/>
  <c r="EI107" i="2"/>
  <c r="EJ107" i="2"/>
  <c r="EK107" i="2"/>
  <c r="EL107" i="2"/>
  <c r="EM107" i="2"/>
  <c r="EN107" i="2"/>
  <c r="EO107" i="2"/>
  <c r="EP107" i="2"/>
  <c r="EQ107" i="2"/>
  <c r="ER107" i="2"/>
  <c r="ES107" i="2"/>
  <c r="ET107" i="2"/>
  <c r="EU107" i="2"/>
  <c r="EV107" i="2"/>
  <c r="EW107" i="2"/>
  <c r="EX107" i="2"/>
  <c r="EY107" i="2"/>
  <c r="EZ107" i="2"/>
  <c r="FA107" i="2"/>
  <c r="FB107" i="2"/>
  <c r="FC107" i="2"/>
  <c r="FD107" i="2"/>
  <c r="FE107" i="2"/>
  <c r="FF107" i="2"/>
  <c r="FG107" i="2"/>
  <c r="FH107" i="2"/>
  <c r="FI107" i="2"/>
  <c r="FJ107" i="2"/>
  <c r="FK107" i="2"/>
  <c r="FL107" i="2"/>
  <c r="FM107" i="2"/>
  <c r="FN107" i="2"/>
  <c r="FO107" i="2"/>
  <c r="FP107" i="2"/>
  <c r="FQ107" i="2"/>
  <c r="FR107" i="2"/>
  <c r="FS107" i="2"/>
  <c r="FT107" i="2"/>
  <c r="FU107" i="2"/>
  <c r="FV107" i="2"/>
  <c r="FW107" i="2"/>
  <c r="FX107" i="2"/>
  <c r="FY107" i="2"/>
  <c r="FZ107" i="2"/>
  <c r="GA107" i="2"/>
  <c r="GB107" i="2"/>
  <c r="GC107" i="2"/>
  <c r="GD107" i="2"/>
  <c r="GE107" i="2"/>
  <c r="GF107" i="2"/>
  <c r="GG107" i="2"/>
  <c r="GH107" i="2"/>
  <c r="GI107" i="2"/>
  <c r="GJ107" i="2"/>
  <c r="GK107" i="2"/>
  <c r="GL107" i="2"/>
  <c r="GM107" i="2"/>
  <c r="GN107" i="2"/>
  <c r="GO107" i="2"/>
  <c r="GP107" i="2"/>
  <c r="GQ107" i="2"/>
  <c r="GR107" i="2"/>
  <c r="GS107" i="2"/>
  <c r="GT107" i="2"/>
  <c r="GU107" i="2"/>
  <c r="GV107" i="2"/>
  <c r="GW107" i="2"/>
  <c r="GX107" i="2"/>
  <c r="AS110" i="2"/>
  <c r="AT110" i="2"/>
  <c r="AU110" i="2"/>
  <c r="AV110" i="2"/>
  <c r="AW110" i="2"/>
  <c r="AX110" i="2"/>
  <c r="AY110" i="2"/>
  <c r="AZ110" i="2"/>
  <c r="BA110" i="2"/>
  <c r="BB110" i="2"/>
  <c r="BC110" i="2"/>
  <c r="BD110" i="2"/>
  <c r="BE110" i="2"/>
  <c r="BF110" i="2"/>
  <c r="BG110" i="2"/>
  <c r="BH110" i="2"/>
  <c r="BI110" i="2"/>
  <c r="BJ110" i="2"/>
  <c r="BK110" i="2"/>
  <c r="BL110" i="2"/>
  <c r="BM110" i="2"/>
  <c r="BN110" i="2"/>
  <c r="BO110" i="2"/>
  <c r="BP110" i="2"/>
  <c r="BQ110" i="2"/>
  <c r="BR110" i="2"/>
  <c r="BS110" i="2"/>
  <c r="BT110" i="2"/>
  <c r="BU110" i="2"/>
  <c r="BV110" i="2"/>
  <c r="BW110" i="2"/>
  <c r="BX110" i="2"/>
  <c r="BY110" i="2"/>
  <c r="BZ110" i="2"/>
  <c r="CA110" i="2"/>
  <c r="CB110" i="2"/>
  <c r="CC110" i="2"/>
  <c r="CD110" i="2"/>
  <c r="CE110" i="2"/>
  <c r="CF110" i="2"/>
  <c r="CG110" i="2"/>
  <c r="CH110" i="2"/>
  <c r="CI110" i="2"/>
  <c r="CJ110" i="2"/>
  <c r="CK110" i="2"/>
  <c r="CL110" i="2"/>
  <c r="CM110" i="2"/>
  <c r="CN110" i="2"/>
  <c r="CO110" i="2"/>
  <c r="CP110" i="2"/>
  <c r="CQ110" i="2"/>
  <c r="CR110" i="2"/>
  <c r="CS110" i="2"/>
  <c r="CT110" i="2"/>
  <c r="CU110" i="2"/>
  <c r="CV110" i="2"/>
  <c r="CW110" i="2"/>
  <c r="CX110" i="2"/>
  <c r="CY110" i="2"/>
  <c r="CZ110" i="2"/>
  <c r="DA110" i="2"/>
  <c r="DB110" i="2"/>
  <c r="DC110" i="2"/>
  <c r="DD110" i="2"/>
  <c r="DE110" i="2"/>
  <c r="DF110" i="2"/>
  <c r="DG110" i="2"/>
  <c r="DH110" i="2"/>
  <c r="DI110" i="2"/>
  <c r="DJ110" i="2"/>
  <c r="DK110" i="2"/>
  <c r="DL110" i="2"/>
  <c r="DM110" i="2"/>
  <c r="DN110" i="2"/>
  <c r="DO110" i="2"/>
  <c r="DP110" i="2"/>
  <c r="DQ110" i="2"/>
  <c r="DR110" i="2"/>
  <c r="DS110" i="2"/>
  <c r="DT110" i="2"/>
  <c r="DU110" i="2"/>
  <c r="DV110" i="2"/>
  <c r="DW110" i="2"/>
  <c r="DX110" i="2"/>
  <c r="DY110" i="2"/>
  <c r="DZ110" i="2"/>
  <c r="EA110" i="2"/>
  <c r="EB110" i="2"/>
  <c r="EC110" i="2"/>
  <c r="ED110" i="2"/>
  <c r="EE110" i="2"/>
  <c r="EF110" i="2"/>
  <c r="EG110" i="2"/>
  <c r="EH110" i="2"/>
  <c r="EI110" i="2"/>
  <c r="EJ110" i="2"/>
  <c r="EK110" i="2"/>
  <c r="EL110" i="2"/>
  <c r="EM110" i="2"/>
  <c r="EN110" i="2"/>
  <c r="EO110" i="2"/>
  <c r="EP110" i="2"/>
  <c r="EQ110" i="2"/>
  <c r="ER110" i="2"/>
  <c r="ES110" i="2"/>
  <c r="ET110" i="2"/>
  <c r="EU110" i="2"/>
  <c r="EV110" i="2"/>
  <c r="EW110" i="2"/>
  <c r="EX110" i="2"/>
  <c r="EY110" i="2"/>
  <c r="EZ110" i="2"/>
  <c r="FA110" i="2"/>
  <c r="FB110" i="2"/>
  <c r="FC110" i="2"/>
  <c r="FD110" i="2"/>
  <c r="FE110" i="2"/>
  <c r="FF110" i="2"/>
  <c r="FG110" i="2"/>
  <c r="FH110" i="2"/>
  <c r="FI110" i="2"/>
  <c r="FJ110" i="2"/>
  <c r="FK110" i="2"/>
  <c r="FL110" i="2"/>
  <c r="FM110" i="2"/>
  <c r="FN110" i="2"/>
  <c r="FO110" i="2"/>
  <c r="FP110" i="2"/>
  <c r="FQ110" i="2"/>
  <c r="FR110" i="2"/>
  <c r="FS110" i="2"/>
  <c r="FT110" i="2"/>
  <c r="FU110" i="2"/>
  <c r="FV110" i="2"/>
  <c r="FW110" i="2"/>
  <c r="FX110" i="2"/>
  <c r="FY110" i="2"/>
  <c r="FZ110" i="2"/>
  <c r="GA110" i="2"/>
  <c r="GB110" i="2"/>
  <c r="GC110" i="2"/>
  <c r="GD110" i="2"/>
  <c r="GE110" i="2"/>
  <c r="GF110" i="2"/>
  <c r="GG110" i="2"/>
  <c r="GH110" i="2"/>
  <c r="GI110" i="2"/>
  <c r="GJ110" i="2"/>
  <c r="GK110" i="2"/>
  <c r="GL110" i="2"/>
  <c r="GM110" i="2"/>
  <c r="GN110" i="2"/>
  <c r="GO110" i="2"/>
  <c r="GP110" i="2"/>
  <c r="GQ110" i="2"/>
  <c r="GR110" i="2"/>
  <c r="GS110" i="2"/>
  <c r="GT110" i="2"/>
  <c r="GU110" i="2"/>
  <c r="GV110" i="2"/>
  <c r="GW110" i="2"/>
  <c r="GX110" i="2"/>
  <c r="AS120" i="2"/>
  <c r="AT120" i="2"/>
  <c r="AU120" i="2"/>
  <c r="AV120" i="2"/>
  <c r="AW120" i="2"/>
  <c r="AX120" i="2"/>
  <c r="AY120" i="2"/>
  <c r="AZ120" i="2"/>
  <c r="BA120" i="2"/>
  <c r="BB120" i="2"/>
  <c r="BC120" i="2"/>
  <c r="BD120" i="2"/>
  <c r="BE120" i="2"/>
  <c r="BF120" i="2"/>
  <c r="BG120" i="2"/>
  <c r="BH120" i="2"/>
  <c r="BI120" i="2"/>
  <c r="BJ120" i="2"/>
  <c r="BK120" i="2"/>
  <c r="BL120" i="2"/>
  <c r="BM120" i="2"/>
  <c r="BN120" i="2"/>
  <c r="BO120" i="2"/>
  <c r="BP120" i="2"/>
  <c r="BQ120" i="2"/>
  <c r="BR120" i="2"/>
  <c r="BS120" i="2"/>
  <c r="BT120" i="2"/>
  <c r="BU120" i="2"/>
  <c r="BV120" i="2"/>
  <c r="BW120" i="2"/>
  <c r="BX120" i="2"/>
  <c r="BY120" i="2"/>
  <c r="BZ120" i="2"/>
  <c r="CA120" i="2"/>
  <c r="CB120" i="2"/>
  <c r="CC120" i="2"/>
  <c r="CD120" i="2"/>
  <c r="CE120" i="2"/>
  <c r="CF120" i="2"/>
  <c r="CG120" i="2"/>
  <c r="CH120" i="2"/>
  <c r="CI120" i="2"/>
  <c r="CJ120" i="2"/>
  <c r="CK120" i="2"/>
  <c r="CL120" i="2"/>
  <c r="CM120" i="2"/>
  <c r="CN120" i="2"/>
  <c r="CO120" i="2"/>
  <c r="CP120" i="2"/>
  <c r="CQ120" i="2"/>
  <c r="CR120" i="2"/>
  <c r="CS120" i="2"/>
  <c r="CT120" i="2"/>
  <c r="CU120" i="2"/>
  <c r="CV120" i="2"/>
  <c r="CW120" i="2"/>
  <c r="CX120" i="2"/>
  <c r="CY120" i="2"/>
  <c r="CZ120" i="2"/>
  <c r="DA120" i="2"/>
  <c r="DB120" i="2"/>
  <c r="DC120" i="2"/>
  <c r="DD120" i="2"/>
  <c r="DE120" i="2"/>
  <c r="DF120" i="2"/>
  <c r="DG120" i="2"/>
  <c r="DH120" i="2"/>
  <c r="DI120" i="2"/>
  <c r="DJ120" i="2"/>
  <c r="DK120" i="2"/>
  <c r="DL120" i="2"/>
  <c r="DM120" i="2"/>
  <c r="DN120" i="2"/>
  <c r="DO120" i="2"/>
  <c r="DP120" i="2"/>
  <c r="DQ120" i="2"/>
  <c r="DR120" i="2"/>
  <c r="DS120" i="2"/>
  <c r="DT120" i="2"/>
  <c r="DU120" i="2"/>
  <c r="DV120" i="2"/>
  <c r="DW120" i="2"/>
  <c r="DX120" i="2"/>
  <c r="DY120" i="2"/>
  <c r="DZ120" i="2"/>
  <c r="EA120" i="2"/>
  <c r="EB120" i="2"/>
  <c r="EC120" i="2"/>
  <c r="ED120" i="2"/>
  <c r="EE120" i="2"/>
  <c r="EF120" i="2"/>
  <c r="EG120" i="2"/>
  <c r="EH120" i="2"/>
  <c r="EI120" i="2"/>
  <c r="EJ120" i="2"/>
  <c r="EK120" i="2"/>
  <c r="EL120" i="2"/>
  <c r="EM120" i="2"/>
  <c r="EN120" i="2"/>
  <c r="EO120" i="2"/>
  <c r="EP120" i="2"/>
  <c r="EQ120" i="2"/>
  <c r="ER120" i="2"/>
  <c r="ES120" i="2"/>
  <c r="ET120" i="2"/>
  <c r="EU120" i="2"/>
  <c r="EV120" i="2"/>
  <c r="EW120" i="2"/>
  <c r="EX120" i="2"/>
  <c r="EY120" i="2"/>
  <c r="EZ120" i="2"/>
  <c r="FA120" i="2"/>
  <c r="FB120" i="2"/>
  <c r="FC120" i="2"/>
  <c r="FD120" i="2"/>
  <c r="FE120" i="2"/>
  <c r="FF120" i="2"/>
  <c r="FG120" i="2"/>
  <c r="FH120" i="2"/>
  <c r="FI120" i="2"/>
  <c r="FJ120" i="2"/>
  <c r="FK120" i="2"/>
  <c r="FL120" i="2"/>
  <c r="FM120" i="2"/>
  <c r="FN120" i="2"/>
  <c r="FO120" i="2"/>
  <c r="FP120" i="2"/>
  <c r="FQ120" i="2"/>
  <c r="FR120" i="2"/>
  <c r="FS120" i="2"/>
  <c r="FT120" i="2"/>
  <c r="FU120" i="2"/>
  <c r="FV120" i="2"/>
  <c r="FW120" i="2"/>
  <c r="FX120" i="2"/>
  <c r="FY120" i="2"/>
  <c r="FZ120" i="2"/>
  <c r="GA120" i="2"/>
  <c r="GB120" i="2"/>
  <c r="GC120" i="2"/>
  <c r="GD120" i="2"/>
  <c r="GE120" i="2"/>
  <c r="GF120" i="2"/>
  <c r="GG120" i="2"/>
  <c r="GH120" i="2"/>
  <c r="GI120" i="2"/>
  <c r="GJ120" i="2"/>
  <c r="GK120" i="2"/>
  <c r="GL120" i="2"/>
  <c r="GM120" i="2"/>
  <c r="GN120" i="2"/>
  <c r="GO120" i="2"/>
  <c r="GP120" i="2"/>
  <c r="GQ120" i="2"/>
  <c r="GR120" i="2"/>
  <c r="GS120" i="2"/>
  <c r="GT120" i="2"/>
  <c r="GU120" i="2"/>
  <c r="GV120" i="2"/>
  <c r="GW120" i="2"/>
  <c r="GX120" i="2"/>
  <c r="AS124" i="2"/>
  <c r="AT124" i="2"/>
  <c r="AU124" i="2"/>
  <c r="AV124" i="2"/>
  <c r="AW124" i="2"/>
  <c r="AX124" i="2"/>
  <c r="AY124" i="2"/>
  <c r="AZ124" i="2"/>
  <c r="BA124" i="2"/>
  <c r="BB124" i="2"/>
  <c r="BC124" i="2"/>
  <c r="BD124" i="2"/>
  <c r="BE124" i="2"/>
  <c r="BF124" i="2"/>
  <c r="BG124" i="2"/>
  <c r="BH124" i="2"/>
  <c r="BI124" i="2"/>
  <c r="BJ124" i="2"/>
  <c r="BK124" i="2"/>
  <c r="BL124" i="2"/>
  <c r="BM124" i="2"/>
  <c r="BN124" i="2"/>
  <c r="BO124" i="2"/>
  <c r="BP124" i="2"/>
  <c r="BQ124" i="2"/>
  <c r="BR124" i="2"/>
  <c r="BS124" i="2"/>
  <c r="BT124" i="2"/>
  <c r="BU124" i="2"/>
  <c r="BV124" i="2"/>
  <c r="BW124" i="2"/>
  <c r="BX124" i="2"/>
  <c r="BY124" i="2"/>
  <c r="BZ124" i="2"/>
  <c r="CA124" i="2"/>
  <c r="CB124" i="2"/>
  <c r="CC124" i="2"/>
  <c r="CD124" i="2"/>
  <c r="CE124" i="2"/>
  <c r="CF124" i="2"/>
  <c r="CG124" i="2"/>
  <c r="CH124" i="2"/>
  <c r="CI124" i="2"/>
  <c r="CJ124" i="2"/>
  <c r="CK124" i="2"/>
  <c r="CL124" i="2"/>
  <c r="CM124" i="2"/>
  <c r="CN124" i="2"/>
  <c r="CO124" i="2"/>
  <c r="CP124" i="2"/>
  <c r="CQ124" i="2"/>
  <c r="CR124" i="2"/>
  <c r="CS124" i="2"/>
  <c r="CT124" i="2"/>
  <c r="CU124" i="2"/>
  <c r="CV124" i="2"/>
  <c r="CW124" i="2"/>
  <c r="CX124" i="2"/>
  <c r="CY124" i="2"/>
  <c r="CZ124" i="2"/>
  <c r="DA124" i="2"/>
  <c r="DB124" i="2"/>
  <c r="DC124" i="2"/>
  <c r="DD124" i="2"/>
  <c r="DE124" i="2"/>
  <c r="DF124" i="2"/>
  <c r="DG124" i="2"/>
  <c r="DH124" i="2"/>
  <c r="DI124" i="2"/>
  <c r="DJ124" i="2"/>
  <c r="DK124" i="2"/>
  <c r="DL124" i="2"/>
  <c r="DM124" i="2"/>
  <c r="DN124" i="2"/>
  <c r="DO124" i="2"/>
  <c r="DP124" i="2"/>
  <c r="DQ124" i="2"/>
  <c r="DR124" i="2"/>
  <c r="DS124" i="2"/>
  <c r="DT124" i="2"/>
  <c r="DU124" i="2"/>
  <c r="DV124" i="2"/>
  <c r="DW124" i="2"/>
  <c r="DX124" i="2"/>
  <c r="DY124" i="2"/>
  <c r="DZ124" i="2"/>
  <c r="EA124" i="2"/>
  <c r="EB124" i="2"/>
  <c r="EC124" i="2"/>
  <c r="ED124" i="2"/>
  <c r="EE124" i="2"/>
  <c r="EF124" i="2"/>
  <c r="EG124" i="2"/>
  <c r="EH124" i="2"/>
  <c r="EI124" i="2"/>
  <c r="EJ124" i="2"/>
  <c r="EK124" i="2"/>
  <c r="EL124" i="2"/>
  <c r="EM124" i="2"/>
  <c r="EN124" i="2"/>
  <c r="EO124" i="2"/>
  <c r="EP124" i="2"/>
  <c r="EQ124" i="2"/>
  <c r="ER124" i="2"/>
  <c r="ES124" i="2"/>
  <c r="ET124" i="2"/>
  <c r="EU124" i="2"/>
  <c r="EV124" i="2"/>
  <c r="EW124" i="2"/>
  <c r="EX124" i="2"/>
  <c r="EY124" i="2"/>
  <c r="EZ124" i="2"/>
  <c r="FA124" i="2"/>
  <c r="FB124" i="2"/>
  <c r="FC124" i="2"/>
  <c r="FD124" i="2"/>
  <c r="FE124" i="2"/>
  <c r="FF124" i="2"/>
  <c r="FG124" i="2"/>
  <c r="FH124" i="2"/>
  <c r="FI124" i="2"/>
  <c r="FJ124" i="2"/>
  <c r="FK124" i="2"/>
  <c r="FL124" i="2"/>
  <c r="FM124" i="2"/>
  <c r="FN124" i="2"/>
  <c r="FO124" i="2"/>
  <c r="FP124" i="2"/>
  <c r="FQ124" i="2"/>
  <c r="FR124" i="2"/>
  <c r="FS124" i="2"/>
  <c r="FT124" i="2"/>
  <c r="FU124" i="2"/>
  <c r="FV124" i="2"/>
  <c r="FW124" i="2"/>
  <c r="FX124" i="2"/>
  <c r="FY124" i="2"/>
  <c r="FZ124" i="2"/>
  <c r="GA124" i="2"/>
  <c r="GB124" i="2"/>
  <c r="GC124" i="2"/>
  <c r="GD124" i="2"/>
  <c r="GE124" i="2"/>
  <c r="GF124" i="2"/>
  <c r="GG124" i="2"/>
  <c r="GH124" i="2"/>
  <c r="GI124" i="2"/>
  <c r="GJ124" i="2"/>
  <c r="GK124" i="2"/>
  <c r="GL124" i="2"/>
  <c r="GM124" i="2"/>
  <c r="GN124" i="2"/>
  <c r="GO124" i="2"/>
  <c r="GP124" i="2"/>
  <c r="GQ124" i="2"/>
  <c r="GR124" i="2"/>
  <c r="GS124" i="2"/>
  <c r="GT124" i="2"/>
  <c r="GU124" i="2"/>
  <c r="GV124" i="2"/>
  <c r="GW124" i="2"/>
  <c r="GX124" i="2"/>
  <c r="AS103" i="2"/>
  <c r="AT103" i="2"/>
  <c r="AU103" i="2"/>
  <c r="AV103" i="2"/>
  <c r="AW103" i="2"/>
  <c r="AX103" i="2"/>
  <c r="AY103" i="2"/>
  <c r="AZ103" i="2"/>
  <c r="BA103" i="2"/>
  <c r="BB103" i="2"/>
  <c r="BC103" i="2"/>
  <c r="BD103" i="2"/>
  <c r="BE103" i="2"/>
  <c r="BF103" i="2"/>
  <c r="BG103" i="2"/>
  <c r="BH103" i="2"/>
  <c r="BI103" i="2"/>
  <c r="BJ103" i="2"/>
  <c r="BK103" i="2"/>
  <c r="BL103" i="2"/>
  <c r="BM103" i="2"/>
  <c r="BN103" i="2"/>
  <c r="BO103" i="2"/>
  <c r="BP103" i="2"/>
  <c r="BQ103" i="2"/>
  <c r="BR103" i="2"/>
  <c r="BS103" i="2"/>
  <c r="BT103" i="2"/>
  <c r="BU103" i="2"/>
  <c r="BV103" i="2"/>
  <c r="BW103" i="2"/>
  <c r="BX103" i="2"/>
  <c r="BY103" i="2"/>
  <c r="BZ103" i="2"/>
  <c r="CA103" i="2"/>
  <c r="CB103" i="2"/>
  <c r="CC103" i="2"/>
  <c r="CD103" i="2"/>
  <c r="CE103" i="2"/>
  <c r="CF103" i="2"/>
  <c r="CG103" i="2"/>
  <c r="CH103" i="2"/>
  <c r="CI103" i="2"/>
  <c r="CJ103" i="2"/>
  <c r="CK103" i="2"/>
  <c r="CL103" i="2"/>
  <c r="CM103" i="2"/>
  <c r="CN103" i="2"/>
  <c r="CO103" i="2"/>
  <c r="CP103" i="2"/>
  <c r="CQ103" i="2"/>
  <c r="CR103" i="2"/>
  <c r="CS103" i="2"/>
  <c r="CT103" i="2"/>
  <c r="CU103" i="2"/>
  <c r="CV103" i="2"/>
  <c r="CW103" i="2"/>
  <c r="CX103" i="2"/>
  <c r="CY103" i="2"/>
  <c r="CZ103" i="2"/>
  <c r="DA103" i="2"/>
  <c r="DB103" i="2"/>
  <c r="DC103" i="2"/>
  <c r="DD103" i="2"/>
  <c r="DE103" i="2"/>
  <c r="DF103" i="2"/>
  <c r="DG103" i="2"/>
  <c r="DH103" i="2"/>
  <c r="DI103" i="2"/>
  <c r="DJ103" i="2"/>
  <c r="DK103" i="2"/>
  <c r="DL103" i="2"/>
  <c r="DM103" i="2"/>
  <c r="DN103" i="2"/>
  <c r="DO103" i="2"/>
  <c r="DP103" i="2"/>
  <c r="DQ103" i="2"/>
  <c r="DR103" i="2"/>
  <c r="DS103" i="2"/>
  <c r="DT103" i="2"/>
  <c r="DU103" i="2"/>
  <c r="DV103" i="2"/>
  <c r="DW103" i="2"/>
  <c r="DX103" i="2"/>
  <c r="DY103" i="2"/>
  <c r="DZ103" i="2"/>
  <c r="EA103" i="2"/>
  <c r="EB103" i="2"/>
  <c r="EC103" i="2"/>
  <c r="ED103" i="2"/>
  <c r="EE103" i="2"/>
  <c r="EF103" i="2"/>
  <c r="EG103" i="2"/>
  <c r="EH103" i="2"/>
  <c r="EI103" i="2"/>
  <c r="EJ103" i="2"/>
  <c r="EK103" i="2"/>
  <c r="EL103" i="2"/>
  <c r="EM103" i="2"/>
  <c r="EN103" i="2"/>
  <c r="EO103" i="2"/>
  <c r="EP103" i="2"/>
  <c r="EQ103" i="2"/>
  <c r="ER103" i="2"/>
  <c r="ES103" i="2"/>
  <c r="ET103" i="2"/>
  <c r="EU103" i="2"/>
  <c r="EV103" i="2"/>
  <c r="EW103" i="2"/>
  <c r="EX103" i="2"/>
  <c r="EY103" i="2"/>
  <c r="EZ103" i="2"/>
  <c r="FA103" i="2"/>
  <c r="FB103" i="2"/>
  <c r="FC103" i="2"/>
  <c r="FD103" i="2"/>
  <c r="FE103" i="2"/>
  <c r="FF103" i="2"/>
  <c r="FG103" i="2"/>
  <c r="FH103" i="2"/>
  <c r="FI103" i="2"/>
  <c r="FJ103" i="2"/>
  <c r="FK103" i="2"/>
  <c r="FL103" i="2"/>
  <c r="FM103" i="2"/>
  <c r="FN103" i="2"/>
  <c r="FO103" i="2"/>
  <c r="FP103" i="2"/>
  <c r="FQ103" i="2"/>
  <c r="FR103" i="2"/>
  <c r="FS103" i="2"/>
  <c r="FT103" i="2"/>
  <c r="FU103" i="2"/>
  <c r="FV103" i="2"/>
  <c r="FW103" i="2"/>
  <c r="FX103" i="2"/>
  <c r="FY103" i="2"/>
  <c r="FZ103" i="2"/>
  <c r="GA103" i="2"/>
  <c r="GB103" i="2"/>
  <c r="GC103" i="2"/>
  <c r="GD103" i="2"/>
  <c r="GE103" i="2"/>
  <c r="GF103" i="2"/>
  <c r="GG103" i="2"/>
  <c r="GH103" i="2"/>
  <c r="GI103" i="2"/>
  <c r="GJ103" i="2"/>
  <c r="GK103" i="2"/>
  <c r="GL103" i="2"/>
  <c r="GM103" i="2"/>
  <c r="GN103" i="2"/>
  <c r="GO103" i="2"/>
  <c r="GP103" i="2"/>
  <c r="GQ103" i="2"/>
  <c r="GR103" i="2"/>
  <c r="GS103" i="2"/>
  <c r="GT103" i="2"/>
  <c r="GU103" i="2"/>
  <c r="GV103" i="2"/>
  <c r="GW103" i="2"/>
  <c r="GX103" i="2"/>
  <c r="AS98" i="2"/>
  <c r="AT98" i="2"/>
  <c r="AU98" i="2"/>
  <c r="AV98" i="2"/>
  <c r="AW98" i="2"/>
  <c r="AX98" i="2"/>
  <c r="AY98" i="2"/>
  <c r="AZ98" i="2"/>
  <c r="BA98" i="2"/>
  <c r="BB98" i="2"/>
  <c r="BC98" i="2"/>
  <c r="BD98" i="2"/>
  <c r="BE98" i="2"/>
  <c r="BF98" i="2"/>
  <c r="BG98" i="2"/>
  <c r="BH98" i="2"/>
  <c r="BI98" i="2"/>
  <c r="BJ98" i="2"/>
  <c r="BK98" i="2"/>
  <c r="BL98" i="2"/>
  <c r="BM98" i="2"/>
  <c r="BN98" i="2"/>
  <c r="BO98" i="2"/>
  <c r="BP98" i="2"/>
  <c r="BQ98" i="2"/>
  <c r="BR98" i="2"/>
  <c r="BS98" i="2"/>
  <c r="BT98" i="2"/>
  <c r="BU98" i="2"/>
  <c r="BV98" i="2"/>
  <c r="BW98" i="2"/>
  <c r="BX98" i="2"/>
  <c r="BY98" i="2"/>
  <c r="BZ98" i="2"/>
  <c r="CA98" i="2"/>
  <c r="CB98" i="2"/>
  <c r="CC98" i="2"/>
  <c r="CD98" i="2"/>
  <c r="CE98" i="2"/>
  <c r="CF98" i="2"/>
  <c r="CG98" i="2"/>
  <c r="CH98" i="2"/>
  <c r="CI98" i="2"/>
  <c r="CJ98" i="2"/>
  <c r="CK98" i="2"/>
  <c r="CL98" i="2"/>
  <c r="CM98" i="2"/>
  <c r="CN98" i="2"/>
  <c r="CO98" i="2"/>
  <c r="CP98" i="2"/>
  <c r="CQ98" i="2"/>
  <c r="CR98" i="2"/>
  <c r="CS98" i="2"/>
  <c r="CT98" i="2"/>
  <c r="CU98" i="2"/>
  <c r="CV98" i="2"/>
  <c r="CW98" i="2"/>
  <c r="CX98" i="2"/>
  <c r="CY98" i="2"/>
  <c r="CZ98" i="2"/>
  <c r="DA98" i="2"/>
  <c r="DB98" i="2"/>
  <c r="DC98" i="2"/>
  <c r="DD98" i="2"/>
  <c r="DE98" i="2"/>
  <c r="DF98" i="2"/>
  <c r="DG98" i="2"/>
  <c r="DH98" i="2"/>
  <c r="DI98" i="2"/>
  <c r="DJ98" i="2"/>
  <c r="DK98" i="2"/>
  <c r="DL98" i="2"/>
  <c r="DM98" i="2"/>
  <c r="DN98" i="2"/>
  <c r="DO98" i="2"/>
  <c r="DP98" i="2"/>
  <c r="DQ98" i="2"/>
  <c r="DR98" i="2"/>
  <c r="DS98" i="2"/>
  <c r="DT98" i="2"/>
  <c r="DU98" i="2"/>
  <c r="DV98" i="2"/>
  <c r="DW98" i="2"/>
  <c r="DX98" i="2"/>
  <c r="DY98" i="2"/>
  <c r="DZ98" i="2"/>
  <c r="EA98" i="2"/>
  <c r="EB98" i="2"/>
  <c r="EC98" i="2"/>
  <c r="ED98" i="2"/>
  <c r="EE98" i="2"/>
  <c r="EF98" i="2"/>
  <c r="EG98" i="2"/>
  <c r="EH98" i="2"/>
  <c r="EI98" i="2"/>
  <c r="EJ98" i="2"/>
  <c r="EK98" i="2"/>
  <c r="EL98" i="2"/>
  <c r="EM98" i="2"/>
  <c r="EN98" i="2"/>
  <c r="EO98" i="2"/>
  <c r="EP98" i="2"/>
  <c r="EQ98" i="2"/>
  <c r="ER98" i="2"/>
  <c r="ES98" i="2"/>
  <c r="ET98" i="2"/>
  <c r="EU98" i="2"/>
  <c r="EV98" i="2"/>
  <c r="EW98" i="2"/>
  <c r="EX98" i="2"/>
  <c r="EY98" i="2"/>
  <c r="EZ98" i="2"/>
  <c r="FA98" i="2"/>
  <c r="FB98" i="2"/>
  <c r="FC98" i="2"/>
  <c r="FD98" i="2"/>
  <c r="FE98" i="2"/>
  <c r="FF98" i="2"/>
  <c r="FG98" i="2"/>
  <c r="FH98" i="2"/>
  <c r="FI98" i="2"/>
  <c r="FJ98" i="2"/>
  <c r="FK98" i="2"/>
  <c r="FL98" i="2"/>
  <c r="FM98" i="2"/>
  <c r="FN98" i="2"/>
  <c r="FO98" i="2"/>
  <c r="FP98" i="2"/>
  <c r="FQ98" i="2"/>
  <c r="FR98" i="2"/>
  <c r="FS98" i="2"/>
  <c r="FT98" i="2"/>
  <c r="FU98" i="2"/>
  <c r="FV98" i="2"/>
  <c r="FW98" i="2"/>
  <c r="FX98" i="2"/>
  <c r="FY98" i="2"/>
  <c r="FZ98" i="2"/>
  <c r="GA98" i="2"/>
  <c r="GB98" i="2"/>
  <c r="GC98" i="2"/>
  <c r="GD98" i="2"/>
  <c r="GE98" i="2"/>
  <c r="GF98" i="2"/>
  <c r="GG98" i="2"/>
  <c r="GH98" i="2"/>
  <c r="GI98" i="2"/>
  <c r="GJ98" i="2"/>
  <c r="GK98" i="2"/>
  <c r="GL98" i="2"/>
  <c r="GM98" i="2"/>
  <c r="GN98" i="2"/>
  <c r="GO98" i="2"/>
  <c r="GP98" i="2"/>
  <c r="GQ98" i="2"/>
  <c r="GR98" i="2"/>
  <c r="GS98" i="2"/>
  <c r="GT98" i="2"/>
  <c r="GU98" i="2"/>
  <c r="GV98" i="2"/>
  <c r="GW98" i="2"/>
  <c r="GX98" i="2"/>
  <c r="AS117" i="2"/>
  <c r="AT117" i="2"/>
  <c r="AU117" i="2"/>
  <c r="AV117" i="2"/>
  <c r="AW117" i="2"/>
  <c r="AX117" i="2"/>
  <c r="AY117" i="2"/>
  <c r="AZ117" i="2"/>
  <c r="BA117" i="2"/>
  <c r="BB117" i="2"/>
  <c r="BC117" i="2"/>
  <c r="BD117" i="2"/>
  <c r="BE117" i="2"/>
  <c r="BF117" i="2"/>
  <c r="BG117" i="2"/>
  <c r="BH117" i="2"/>
  <c r="BI117" i="2"/>
  <c r="BJ117" i="2"/>
  <c r="BK117" i="2"/>
  <c r="BL117" i="2"/>
  <c r="BM117" i="2"/>
  <c r="BN117" i="2"/>
  <c r="BO117" i="2"/>
  <c r="BP117" i="2"/>
  <c r="BQ117" i="2"/>
  <c r="BR117" i="2"/>
  <c r="BS117" i="2"/>
  <c r="BT117" i="2"/>
  <c r="BU117" i="2"/>
  <c r="BV117" i="2"/>
  <c r="BW117" i="2"/>
  <c r="BX117" i="2"/>
  <c r="BY117" i="2"/>
  <c r="BZ117" i="2"/>
  <c r="CA117" i="2"/>
  <c r="CB117" i="2"/>
  <c r="CC117" i="2"/>
  <c r="CD117" i="2"/>
  <c r="CE117" i="2"/>
  <c r="CF117" i="2"/>
  <c r="CG117" i="2"/>
  <c r="CH117" i="2"/>
  <c r="CI117" i="2"/>
  <c r="CJ117" i="2"/>
  <c r="CK117" i="2"/>
  <c r="CL117" i="2"/>
  <c r="CM117" i="2"/>
  <c r="CN117" i="2"/>
  <c r="CO117" i="2"/>
  <c r="CP117" i="2"/>
  <c r="CQ117" i="2"/>
  <c r="CR117" i="2"/>
  <c r="CS117" i="2"/>
  <c r="CT117" i="2"/>
  <c r="CU117" i="2"/>
  <c r="CV117" i="2"/>
  <c r="CW117" i="2"/>
  <c r="CX117" i="2"/>
  <c r="CY117" i="2"/>
  <c r="CZ117" i="2"/>
  <c r="DA117" i="2"/>
  <c r="DB117" i="2"/>
  <c r="DC117" i="2"/>
  <c r="DD117" i="2"/>
  <c r="DE117" i="2"/>
  <c r="DF117" i="2"/>
  <c r="DG117" i="2"/>
  <c r="DH117" i="2"/>
  <c r="DI117" i="2"/>
  <c r="DJ117" i="2"/>
  <c r="DK117" i="2"/>
  <c r="DL117" i="2"/>
  <c r="DM117" i="2"/>
  <c r="DN117" i="2"/>
  <c r="DO117" i="2"/>
  <c r="DP117" i="2"/>
  <c r="DQ117" i="2"/>
  <c r="DR117" i="2"/>
  <c r="DS117" i="2"/>
  <c r="DT117" i="2"/>
  <c r="DU117" i="2"/>
  <c r="DV117" i="2"/>
  <c r="DW117" i="2"/>
  <c r="DX117" i="2"/>
  <c r="DY117" i="2"/>
  <c r="DZ117" i="2"/>
  <c r="EA117" i="2"/>
  <c r="EB117" i="2"/>
  <c r="EC117" i="2"/>
  <c r="ED117" i="2"/>
  <c r="EE117" i="2"/>
  <c r="EF117" i="2"/>
  <c r="EG117" i="2"/>
  <c r="EH117" i="2"/>
  <c r="EI117" i="2"/>
  <c r="EJ117" i="2"/>
  <c r="EK117" i="2"/>
  <c r="EL117" i="2"/>
  <c r="EM117" i="2"/>
  <c r="EN117" i="2"/>
  <c r="EO117" i="2"/>
  <c r="EP117" i="2"/>
  <c r="EQ117" i="2"/>
  <c r="ER117" i="2"/>
  <c r="ES117" i="2"/>
  <c r="ET117" i="2"/>
  <c r="EU117" i="2"/>
  <c r="EV117" i="2"/>
  <c r="EW117" i="2"/>
  <c r="EX117" i="2"/>
  <c r="EY117" i="2"/>
  <c r="EZ117" i="2"/>
  <c r="FA117" i="2"/>
  <c r="FB117" i="2"/>
  <c r="FC117" i="2"/>
  <c r="FD117" i="2"/>
  <c r="FE117" i="2"/>
  <c r="FF117" i="2"/>
  <c r="FG117" i="2"/>
  <c r="FH117" i="2"/>
  <c r="FI117" i="2"/>
  <c r="FJ117" i="2"/>
  <c r="FK117" i="2"/>
  <c r="FL117" i="2"/>
  <c r="FM117" i="2"/>
  <c r="FN117" i="2"/>
  <c r="FO117" i="2"/>
  <c r="FP117" i="2"/>
  <c r="FQ117" i="2"/>
  <c r="FR117" i="2"/>
  <c r="FS117" i="2"/>
  <c r="FT117" i="2"/>
  <c r="FU117" i="2"/>
  <c r="FV117" i="2"/>
  <c r="FW117" i="2"/>
  <c r="FX117" i="2"/>
  <c r="FY117" i="2"/>
  <c r="FZ117" i="2"/>
  <c r="GA117" i="2"/>
  <c r="GB117" i="2"/>
  <c r="GC117" i="2"/>
  <c r="GD117" i="2"/>
  <c r="GE117" i="2"/>
  <c r="GF117" i="2"/>
  <c r="GG117" i="2"/>
  <c r="GH117" i="2"/>
  <c r="GI117" i="2"/>
  <c r="GJ117" i="2"/>
  <c r="GK117" i="2"/>
  <c r="GL117" i="2"/>
  <c r="GM117" i="2"/>
  <c r="GN117" i="2"/>
  <c r="GO117" i="2"/>
  <c r="GP117" i="2"/>
  <c r="GQ117" i="2"/>
  <c r="GR117" i="2"/>
  <c r="GS117" i="2"/>
  <c r="GT117" i="2"/>
  <c r="GU117" i="2"/>
  <c r="GV117" i="2"/>
  <c r="GW117" i="2"/>
  <c r="GX117" i="2"/>
  <c r="AS102" i="2"/>
  <c r="AT102" i="2"/>
  <c r="AU102" i="2"/>
  <c r="AV102" i="2"/>
  <c r="AW102" i="2"/>
  <c r="AX102" i="2"/>
  <c r="AY102" i="2"/>
  <c r="AZ102" i="2"/>
  <c r="BA102" i="2"/>
  <c r="BB102" i="2"/>
  <c r="BC102" i="2"/>
  <c r="BD102" i="2"/>
  <c r="BE102" i="2"/>
  <c r="BF102" i="2"/>
  <c r="BG102" i="2"/>
  <c r="BH102" i="2"/>
  <c r="BI102" i="2"/>
  <c r="BJ102" i="2"/>
  <c r="BK102" i="2"/>
  <c r="BL102" i="2"/>
  <c r="BM102" i="2"/>
  <c r="BN102" i="2"/>
  <c r="BO102" i="2"/>
  <c r="BP102" i="2"/>
  <c r="BQ102" i="2"/>
  <c r="BR102" i="2"/>
  <c r="BS102" i="2"/>
  <c r="BT102" i="2"/>
  <c r="BU102" i="2"/>
  <c r="BV102" i="2"/>
  <c r="BW102" i="2"/>
  <c r="BX102" i="2"/>
  <c r="BY102" i="2"/>
  <c r="BZ102" i="2"/>
  <c r="CA102" i="2"/>
  <c r="CB102" i="2"/>
  <c r="CC102" i="2"/>
  <c r="CD102" i="2"/>
  <c r="CE102" i="2"/>
  <c r="CF102" i="2"/>
  <c r="CG102" i="2"/>
  <c r="CH102" i="2"/>
  <c r="CI102" i="2"/>
  <c r="CJ102" i="2"/>
  <c r="CK102" i="2"/>
  <c r="CL102" i="2"/>
  <c r="CM102" i="2"/>
  <c r="CN102" i="2"/>
  <c r="CO102" i="2"/>
  <c r="CP102" i="2"/>
  <c r="CQ102" i="2"/>
  <c r="CR102" i="2"/>
  <c r="CS102" i="2"/>
  <c r="CT102" i="2"/>
  <c r="CU102" i="2"/>
  <c r="CV102" i="2"/>
  <c r="CW102" i="2"/>
  <c r="CX102" i="2"/>
  <c r="CY102" i="2"/>
  <c r="CZ102" i="2"/>
  <c r="DA102" i="2"/>
  <c r="DB102" i="2"/>
  <c r="DC102" i="2"/>
  <c r="DD102" i="2"/>
  <c r="DE102" i="2"/>
  <c r="DF102" i="2"/>
  <c r="DG102" i="2"/>
  <c r="DH102" i="2"/>
  <c r="DI102" i="2"/>
  <c r="DJ102" i="2"/>
  <c r="DK102" i="2"/>
  <c r="DL102" i="2"/>
  <c r="DM102" i="2"/>
  <c r="DN102" i="2"/>
  <c r="DO102" i="2"/>
  <c r="DP102" i="2"/>
  <c r="DQ102" i="2"/>
  <c r="DR102" i="2"/>
  <c r="DS102" i="2"/>
  <c r="DT102" i="2"/>
  <c r="DU102" i="2"/>
  <c r="DV102" i="2"/>
  <c r="DW102" i="2"/>
  <c r="DX102" i="2"/>
  <c r="DY102" i="2"/>
  <c r="DZ102" i="2"/>
  <c r="EA102" i="2"/>
  <c r="EB102" i="2"/>
  <c r="EC102" i="2"/>
  <c r="ED102" i="2"/>
  <c r="EE102" i="2"/>
  <c r="EF102" i="2"/>
  <c r="EG102" i="2"/>
  <c r="EH102" i="2"/>
  <c r="EI102" i="2"/>
  <c r="EJ102" i="2"/>
  <c r="EK102" i="2"/>
  <c r="EL102" i="2"/>
  <c r="EM102" i="2"/>
  <c r="EN102" i="2"/>
  <c r="EO102" i="2"/>
  <c r="EP102" i="2"/>
  <c r="EQ102" i="2"/>
  <c r="ER102" i="2"/>
  <c r="ES102" i="2"/>
  <c r="ET102" i="2"/>
  <c r="EU102" i="2"/>
  <c r="EV102" i="2"/>
  <c r="EW102" i="2"/>
  <c r="EX102" i="2"/>
  <c r="EY102" i="2"/>
  <c r="EZ102" i="2"/>
  <c r="FA102" i="2"/>
  <c r="FB102" i="2"/>
  <c r="FC102" i="2"/>
  <c r="FD102" i="2"/>
  <c r="FE102" i="2"/>
  <c r="FF102" i="2"/>
  <c r="FG102" i="2"/>
  <c r="FH102" i="2"/>
  <c r="FI102" i="2"/>
  <c r="FJ102" i="2"/>
  <c r="FK102" i="2"/>
  <c r="FL102" i="2"/>
  <c r="FM102" i="2"/>
  <c r="FN102" i="2"/>
  <c r="FO102" i="2"/>
  <c r="FP102" i="2"/>
  <c r="FQ102" i="2"/>
  <c r="FR102" i="2"/>
  <c r="FS102" i="2"/>
  <c r="FT102" i="2"/>
  <c r="FU102" i="2"/>
  <c r="FV102" i="2"/>
  <c r="FW102" i="2"/>
  <c r="FX102" i="2"/>
  <c r="FY102" i="2"/>
  <c r="FZ102" i="2"/>
  <c r="GA102" i="2"/>
  <c r="GB102" i="2"/>
  <c r="GC102" i="2"/>
  <c r="GD102" i="2"/>
  <c r="GE102" i="2"/>
  <c r="GF102" i="2"/>
  <c r="GG102" i="2"/>
  <c r="GH102" i="2"/>
  <c r="GI102" i="2"/>
  <c r="GJ102" i="2"/>
  <c r="GK102" i="2"/>
  <c r="GL102" i="2"/>
  <c r="GM102" i="2"/>
  <c r="GN102" i="2"/>
  <c r="GO102" i="2"/>
  <c r="GP102" i="2"/>
  <c r="GQ102" i="2"/>
  <c r="GR102" i="2"/>
  <c r="GS102" i="2"/>
  <c r="GT102" i="2"/>
  <c r="GU102" i="2"/>
  <c r="GV102" i="2"/>
  <c r="GW102" i="2"/>
  <c r="GX102" i="2"/>
  <c r="AS115" i="2"/>
  <c r="AT115" i="2"/>
  <c r="AU115" i="2"/>
  <c r="AV115" i="2"/>
  <c r="AW115" i="2"/>
  <c r="AX115" i="2"/>
  <c r="AY115" i="2"/>
  <c r="AZ115" i="2"/>
  <c r="BA115" i="2"/>
  <c r="BB115" i="2"/>
  <c r="BC115" i="2"/>
  <c r="BD115" i="2"/>
  <c r="BE115" i="2"/>
  <c r="BF115" i="2"/>
  <c r="BG115" i="2"/>
  <c r="BH115" i="2"/>
  <c r="BI115" i="2"/>
  <c r="BJ115" i="2"/>
  <c r="BK115" i="2"/>
  <c r="BL115" i="2"/>
  <c r="BM115" i="2"/>
  <c r="BN115" i="2"/>
  <c r="BO115" i="2"/>
  <c r="BP115" i="2"/>
  <c r="BQ115" i="2"/>
  <c r="BR115" i="2"/>
  <c r="BS115" i="2"/>
  <c r="BT115" i="2"/>
  <c r="BU115" i="2"/>
  <c r="BV115" i="2"/>
  <c r="BW115" i="2"/>
  <c r="BX115" i="2"/>
  <c r="BY115" i="2"/>
  <c r="BZ115" i="2"/>
  <c r="CA115" i="2"/>
  <c r="CB115" i="2"/>
  <c r="CC115" i="2"/>
  <c r="CD115" i="2"/>
  <c r="CE115" i="2"/>
  <c r="CF115" i="2"/>
  <c r="CG115" i="2"/>
  <c r="CH115" i="2"/>
  <c r="CI115" i="2"/>
  <c r="CJ115" i="2"/>
  <c r="CK115" i="2"/>
  <c r="CL115" i="2"/>
  <c r="CM115" i="2"/>
  <c r="CN115" i="2"/>
  <c r="CO115" i="2"/>
  <c r="CP115" i="2"/>
  <c r="CQ115" i="2"/>
  <c r="CR115" i="2"/>
  <c r="CS115" i="2"/>
  <c r="CT115" i="2"/>
  <c r="CU115" i="2"/>
  <c r="CV115" i="2"/>
  <c r="CW115" i="2"/>
  <c r="CX115" i="2"/>
  <c r="CY115" i="2"/>
  <c r="CZ115" i="2"/>
  <c r="DA115" i="2"/>
  <c r="DB115" i="2"/>
  <c r="DC115" i="2"/>
  <c r="DD115" i="2"/>
  <c r="DE115" i="2"/>
  <c r="DF115" i="2"/>
  <c r="DG115" i="2"/>
  <c r="DH115" i="2"/>
  <c r="DI115" i="2"/>
  <c r="DJ115" i="2"/>
  <c r="DK115" i="2"/>
  <c r="DL115" i="2"/>
  <c r="DM115" i="2"/>
  <c r="DN115" i="2"/>
  <c r="DO115" i="2"/>
  <c r="DP115" i="2"/>
  <c r="DQ115" i="2"/>
  <c r="DR115" i="2"/>
  <c r="DS115" i="2"/>
  <c r="DT115" i="2"/>
  <c r="DU115" i="2"/>
  <c r="DV115" i="2"/>
  <c r="DW115" i="2"/>
  <c r="DX115" i="2"/>
  <c r="DY115" i="2"/>
  <c r="DZ115" i="2"/>
  <c r="EA115" i="2"/>
  <c r="EB115" i="2"/>
  <c r="EC115" i="2"/>
  <c r="ED115" i="2"/>
  <c r="EE115" i="2"/>
  <c r="EF115" i="2"/>
  <c r="EG115" i="2"/>
  <c r="EH115" i="2"/>
  <c r="EI115" i="2"/>
  <c r="EJ115" i="2"/>
  <c r="EK115" i="2"/>
  <c r="EL115" i="2"/>
  <c r="EM115" i="2"/>
  <c r="EN115" i="2"/>
  <c r="EO115" i="2"/>
  <c r="EP115" i="2"/>
  <c r="EQ115" i="2"/>
  <c r="ER115" i="2"/>
  <c r="ES115" i="2"/>
  <c r="ET115" i="2"/>
  <c r="EU115" i="2"/>
  <c r="EV115" i="2"/>
  <c r="EW115" i="2"/>
  <c r="EX115" i="2"/>
  <c r="EY115" i="2"/>
  <c r="EZ115" i="2"/>
  <c r="FA115" i="2"/>
  <c r="FB115" i="2"/>
  <c r="FC115" i="2"/>
  <c r="FD115" i="2"/>
  <c r="FE115" i="2"/>
  <c r="FF115" i="2"/>
  <c r="FG115" i="2"/>
  <c r="FH115" i="2"/>
  <c r="FI115" i="2"/>
  <c r="FJ115" i="2"/>
  <c r="FK115" i="2"/>
  <c r="FL115" i="2"/>
  <c r="FM115" i="2"/>
  <c r="FN115" i="2"/>
  <c r="FO115" i="2"/>
  <c r="FP115" i="2"/>
  <c r="FQ115" i="2"/>
  <c r="FR115" i="2"/>
  <c r="FS115" i="2"/>
  <c r="FT115" i="2"/>
  <c r="FU115" i="2"/>
  <c r="FV115" i="2"/>
  <c r="FW115" i="2"/>
  <c r="FX115" i="2"/>
  <c r="FY115" i="2"/>
  <c r="FZ115" i="2"/>
  <c r="GA115" i="2"/>
  <c r="GB115" i="2"/>
  <c r="GC115" i="2"/>
  <c r="GD115" i="2"/>
  <c r="GE115" i="2"/>
  <c r="GF115" i="2"/>
  <c r="GG115" i="2"/>
  <c r="GH115" i="2"/>
  <c r="GI115" i="2"/>
  <c r="GJ115" i="2"/>
  <c r="GK115" i="2"/>
  <c r="GL115" i="2"/>
  <c r="GM115" i="2"/>
  <c r="GN115" i="2"/>
  <c r="GO115" i="2"/>
  <c r="GP115" i="2"/>
  <c r="GQ115" i="2"/>
  <c r="GR115" i="2"/>
  <c r="GS115" i="2"/>
  <c r="GT115" i="2"/>
  <c r="GU115" i="2"/>
  <c r="GV115" i="2"/>
  <c r="GW115" i="2"/>
  <c r="GX115" i="2"/>
  <c r="AS122" i="2"/>
  <c r="AT122" i="2"/>
  <c r="AU122" i="2"/>
  <c r="AV122" i="2"/>
  <c r="AW122" i="2"/>
  <c r="AX122" i="2"/>
  <c r="AY122" i="2"/>
  <c r="AZ122" i="2"/>
  <c r="BA122" i="2"/>
  <c r="BB122" i="2"/>
  <c r="BC122" i="2"/>
  <c r="BD122" i="2"/>
  <c r="BE122" i="2"/>
  <c r="BF122" i="2"/>
  <c r="BG122" i="2"/>
  <c r="BH122" i="2"/>
  <c r="BI122" i="2"/>
  <c r="BJ122" i="2"/>
  <c r="BK122" i="2"/>
  <c r="BL122" i="2"/>
  <c r="BM122" i="2"/>
  <c r="BN122" i="2"/>
  <c r="BO122" i="2"/>
  <c r="BP122" i="2"/>
  <c r="BQ122" i="2"/>
  <c r="BR122" i="2"/>
  <c r="BS122" i="2"/>
  <c r="BT122" i="2"/>
  <c r="BU122" i="2"/>
  <c r="BV122" i="2"/>
  <c r="BW122" i="2"/>
  <c r="BX122" i="2"/>
  <c r="BY122" i="2"/>
  <c r="BZ122" i="2"/>
  <c r="CA122" i="2"/>
  <c r="CB122" i="2"/>
  <c r="CC122" i="2"/>
  <c r="CD122" i="2"/>
  <c r="CE122" i="2"/>
  <c r="CF122" i="2"/>
  <c r="CG122" i="2"/>
  <c r="CH122" i="2"/>
  <c r="CI122" i="2"/>
  <c r="CJ122" i="2"/>
  <c r="CK122" i="2"/>
  <c r="CL122" i="2"/>
  <c r="CM122" i="2"/>
  <c r="CN122" i="2"/>
  <c r="CO122" i="2"/>
  <c r="CP122" i="2"/>
  <c r="CQ122" i="2"/>
  <c r="CR122" i="2"/>
  <c r="CS122" i="2"/>
  <c r="CT122" i="2"/>
  <c r="CU122" i="2"/>
  <c r="CV122" i="2"/>
  <c r="CW122" i="2"/>
  <c r="CX122" i="2"/>
  <c r="CY122" i="2"/>
  <c r="CZ122" i="2"/>
  <c r="DA122" i="2"/>
  <c r="DB122" i="2"/>
  <c r="DC122" i="2"/>
  <c r="DD122" i="2"/>
  <c r="DE122" i="2"/>
  <c r="DF122" i="2"/>
  <c r="DG122" i="2"/>
  <c r="DH122" i="2"/>
  <c r="DI122" i="2"/>
  <c r="DJ122" i="2"/>
  <c r="DK122" i="2"/>
  <c r="DL122" i="2"/>
  <c r="DM122" i="2"/>
  <c r="DN122" i="2"/>
  <c r="DO122" i="2"/>
  <c r="DP122" i="2"/>
  <c r="DQ122" i="2"/>
  <c r="DR122" i="2"/>
  <c r="DS122" i="2"/>
  <c r="DT122" i="2"/>
  <c r="DU122" i="2"/>
  <c r="DV122" i="2"/>
  <c r="DW122" i="2"/>
  <c r="DX122" i="2"/>
  <c r="DY122" i="2"/>
  <c r="DZ122" i="2"/>
  <c r="EA122" i="2"/>
  <c r="EB122" i="2"/>
  <c r="EC122" i="2"/>
  <c r="ED122" i="2"/>
  <c r="EE122" i="2"/>
  <c r="EF122" i="2"/>
  <c r="EG122" i="2"/>
  <c r="EH122" i="2"/>
  <c r="EI122" i="2"/>
  <c r="EJ122" i="2"/>
  <c r="EK122" i="2"/>
  <c r="EL122" i="2"/>
  <c r="EM122" i="2"/>
  <c r="EN122" i="2"/>
  <c r="EO122" i="2"/>
  <c r="EP122" i="2"/>
  <c r="EQ122" i="2"/>
  <c r="ER122" i="2"/>
  <c r="ES122" i="2"/>
  <c r="ET122" i="2"/>
  <c r="EU122" i="2"/>
  <c r="EV122" i="2"/>
  <c r="EW122" i="2"/>
  <c r="EX122" i="2"/>
  <c r="EY122" i="2"/>
  <c r="EZ122" i="2"/>
  <c r="FA122" i="2"/>
  <c r="FB122" i="2"/>
  <c r="FC122" i="2"/>
  <c r="FD122" i="2"/>
  <c r="FE122" i="2"/>
  <c r="FF122" i="2"/>
  <c r="FG122" i="2"/>
  <c r="FH122" i="2"/>
  <c r="FI122" i="2"/>
  <c r="FJ122" i="2"/>
  <c r="FK122" i="2"/>
  <c r="FL122" i="2"/>
  <c r="FM122" i="2"/>
  <c r="FN122" i="2"/>
  <c r="FO122" i="2"/>
  <c r="FP122" i="2"/>
  <c r="FQ122" i="2"/>
  <c r="FR122" i="2"/>
  <c r="FS122" i="2"/>
  <c r="FT122" i="2"/>
  <c r="FU122" i="2"/>
  <c r="FV122" i="2"/>
  <c r="FW122" i="2"/>
  <c r="FX122" i="2"/>
  <c r="FY122" i="2"/>
  <c r="FZ122" i="2"/>
  <c r="GA122" i="2"/>
  <c r="GB122" i="2"/>
  <c r="GC122" i="2"/>
  <c r="GD122" i="2"/>
  <c r="GE122" i="2"/>
  <c r="GF122" i="2"/>
  <c r="GG122" i="2"/>
  <c r="GH122" i="2"/>
  <c r="GI122" i="2"/>
  <c r="GJ122" i="2"/>
  <c r="GK122" i="2"/>
  <c r="GL122" i="2"/>
  <c r="GM122" i="2"/>
  <c r="GN122" i="2"/>
  <c r="GO122" i="2"/>
  <c r="GP122" i="2"/>
  <c r="GQ122" i="2"/>
  <c r="GR122" i="2"/>
  <c r="GS122" i="2"/>
  <c r="GT122" i="2"/>
  <c r="GU122" i="2"/>
  <c r="GV122" i="2"/>
  <c r="GW122" i="2"/>
  <c r="GX122" i="2"/>
  <c r="AS118" i="2"/>
  <c r="AT118" i="2"/>
  <c r="AU118" i="2"/>
  <c r="AV118" i="2"/>
  <c r="AW118" i="2"/>
  <c r="AX118" i="2"/>
  <c r="AY118" i="2"/>
  <c r="AZ118" i="2"/>
  <c r="BA118" i="2"/>
  <c r="BB118" i="2"/>
  <c r="BC118" i="2"/>
  <c r="BD118" i="2"/>
  <c r="BE118" i="2"/>
  <c r="BF118" i="2"/>
  <c r="BG118" i="2"/>
  <c r="BH118" i="2"/>
  <c r="BI118" i="2"/>
  <c r="BJ118" i="2"/>
  <c r="BK118" i="2"/>
  <c r="BL118" i="2"/>
  <c r="BM118" i="2"/>
  <c r="BN118" i="2"/>
  <c r="BO118" i="2"/>
  <c r="BP118" i="2"/>
  <c r="BQ118" i="2"/>
  <c r="BR118" i="2"/>
  <c r="BS118" i="2"/>
  <c r="BT118" i="2"/>
  <c r="BU118" i="2"/>
  <c r="BV118" i="2"/>
  <c r="BW118" i="2"/>
  <c r="BX118" i="2"/>
  <c r="BY118" i="2"/>
  <c r="BZ118" i="2"/>
  <c r="CA118" i="2"/>
  <c r="CB118" i="2"/>
  <c r="CC118" i="2"/>
  <c r="CD118" i="2"/>
  <c r="CE118" i="2"/>
  <c r="CF118" i="2"/>
  <c r="CG118" i="2"/>
  <c r="CH118" i="2"/>
  <c r="CI118" i="2"/>
  <c r="CJ118" i="2"/>
  <c r="CK118" i="2"/>
  <c r="CL118" i="2"/>
  <c r="CM118" i="2"/>
  <c r="CN118" i="2"/>
  <c r="CO118" i="2"/>
  <c r="CP118" i="2"/>
  <c r="CQ118" i="2"/>
  <c r="CR118" i="2"/>
  <c r="CS118" i="2"/>
  <c r="CT118" i="2"/>
  <c r="CU118" i="2"/>
  <c r="CV118" i="2"/>
  <c r="CW118" i="2"/>
  <c r="CX118" i="2"/>
  <c r="CY118" i="2"/>
  <c r="CZ118" i="2"/>
  <c r="DA118" i="2"/>
  <c r="DB118" i="2"/>
  <c r="DC118" i="2"/>
  <c r="DD118" i="2"/>
  <c r="DE118" i="2"/>
  <c r="DF118" i="2"/>
  <c r="DG118" i="2"/>
  <c r="DH118" i="2"/>
  <c r="DI118" i="2"/>
  <c r="DJ118" i="2"/>
  <c r="DK118" i="2"/>
  <c r="DL118" i="2"/>
  <c r="DM118" i="2"/>
  <c r="DN118" i="2"/>
  <c r="DO118" i="2"/>
  <c r="DP118" i="2"/>
  <c r="DQ118" i="2"/>
  <c r="DR118" i="2"/>
  <c r="DS118" i="2"/>
  <c r="DT118" i="2"/>
  <c r="DU118" i="2"/>
  <c r="DV118" i="2"/>
  <c r="DW118" i="2"/>
  <c r="DX118" i="2"/>
  <c r="DY118" i="2"/>
  <c r="DZ118" i="2"/>
  <c r="EA118" i="2"/>
  <c r="EB118" i="2"/>
  <c r="EC118" i="2"/>
  <c r="ED118" i="2"/>
  <c r="EE118" i="2"/>
  <c r="EF118" i="2"/>
  <c r="EG118" i="2"/>
  <c r="EH118" i="2"/>
  <c r="EI118" i="2"/>
  <c r="EJ118" i="2"/>
  <c r="EK118" i="2"/>
  <c r="EL118" i="2"/>
  <c r="EM118" i="2"/>
  <c r="EN118" i="2"/>
  <c r="EO118" i="2"/>
  <c r="EP118" i="2"/>
  <c r="EQ118" i="2"/>
  <c r="ER118" i="2"/>
  <c r="ES118" i="2"/>
  <c r="ET118" i="2"/>
  <c r="EU118" i="2"/>
  <c r="EV118" i="2"/>
  <c r="EW118" i="2"/>
  <c r="EX118" i="2"/>
  <c r="EY118" i="2"/>
  <c r="EZ118" i="2"/>
  <c r="FA118" i="2"/>
  <c r="FB118" i="2"/>
  <c r="FC118" i="2"/>
  <c r="FD118" i="2"/>
  <c r="FE118" i="2"/>
  <c r="FF118" i="2"/>
  <c r="FG118" i="2"/>
  <c r="FH118" i="2"/>
  <c r="FI118" i="2"/>
  <c r="FJ118" i="2"/>
  <c r="FK118" i="2"/>
  <c r="FL118" i="2"/>
  <c r="FM118" i="2"/>
  <c r="FN118" i="2"/>
  <c r="FO118" i="2"/>
  <c r="FP118" i="2"/>
  <c r="FQ118" i="2"/>
  <c r="FR118" i="2"/>
  <c r="FS118" i="2"/>
  <c r="FT118" i="2"/>
  <c r="FU118" i="2"/>
  <c r="FV118" i="2"/>
  <c r="FW118" i="2"/>
  <c r="FX118" i="2"/>
  <c r="FY118" i="2"/>
  <c r="FZ118" i="2"/>
  <c r="GA118" i="2"/>
  <c r="GB118" i="2"/>
  <c r="GC118" i="2"/>
  <c r="GD118" i="2"/>
  <c r="GE118" i="2"/>
  <c r="GF118" i="2"/>
  <c r="GG118" i="2"/>
  <c r="GH118" i="2"/>
  <c r="GI118" i="2"/>
  <c r="GJ118" i="2"/>
  <c r="GK118" i="2"/>
  <c r="GL118" i="2"/>
  <c r="GM118" i="2"/>
  <c r="GN118" i="2"/>
  <c r="GO118" i="2"/>
  <c r="GP118" i="2"/>
  <c r="GQ118" i="2"/>
  <c r="GR118" i="2"/>
  <c r="GS118" i="2"/>
  <c r="GT118" i="2"/>
  <c r="GU118" i="2"/>
  <c r="GV118" i="2"/>
  <c r="GW118" i="2"/>
  <c r="GX118" i="2"/>
  <c r="AS106" i="2"/>
  <c r="AT106" i="2"/>
  <c r="AU106" i="2"/>
  <c r="AV106" i="2"/>
  <c r="AW106" i="2"/>
  <c r="AX106" i="2"/>
  <c r="AY106" i="2"/>
  <c r="AZ106" i="2"/>
  <c r="BA106" i="2"/>
  <c r="BB106" i="2"/>
  <c r="BC106" i="2"/>
  <c r="BD106" i="2"/>
  <c r="BE106" i="2"/>
  <c r="BF106" i="2"/>
  <c r="BG106" i="2"/>
  <c r="BH106" i="2"/>
  <c r="BI106" i="2"/>
  <c r="BJ106" i="2"/>
  <c r="BK106" i="2"/>
  <c r="BL106" i="2"/>
  <c r="BM106" i="2"/>
  <c r="BN106" i="2"/>
  <c r="BO106" i="2"/>
  <c r="BP106" i="2"/>
  <c r="BQ106" i="2"/>
  <c r="BR106" i="2"/>
  <c r="BS106" i="2"/>
  <c r="BT106" i="2"/>
  <c r="BU106" i="2"/>
  <c r="BV106" i="2"/>
  <c r="BW106" i="2"/>
  <c r="BX106" i="2"/>
  <c r="BY106" i="2"/>
  <c r="BZ106" i="2"/>
  <c r="CA106" i="2"/>
  <c r="CB106" i="2"/>
  <c r="CC106" i="2"/>
  <c r="CD106" i="2"/>
  <c r="CE106" i="2"/>
  <c r="CF106" i="2"/>
  <c r="CG106" i="2"/>
  <c r="CH106" i="2"/>
  <c r="CI106" i="2"/>
  <c r="CJ106" i="2"/>
  <c r="CK106" i="2"/>
  <c r="CL106" i="2"/>
  <c r="CM106" i="2"/>
  <c r="CN106" i="2"/>
  <c r="CO106" i="2"/>
  <c r="CP106" i="2"/>
  <c r="CQ106" i="2"/>
  <c r="CR106" i="2"/>
  <c r="CS106" i="2"/>
  <c r="CT106" i="2"/>
  <c r="CU106" i="2"/>
  <c r="CV106" i="2"/>
  <c r="CW106" i="2"/>
  <c r="CX106" i="2"/>
  <c r="CY106" i="2"/>
  <c r="CZ106" i="2"/>
  <c r="DA106" i="2"/>
  <c r="DB106" i="2"/>
  <c r="DC106" i="2"/>
  <c r="DD106" i="2"/>
  <c r="DE106" i="2"/>
  <c r="DF106" i="2"/>
  <c r="DG106" i="2"/>
  <c r="DH106" i="2"/>
  <c r="DI106" i="2"/>
  <c r="DJ106" i="2"/>
  <c r="DK106" i="2"/>
  <c r="DL106" i="2"/>
  <c r="DM106" i="2"/>
  <c r="DN106" i="2"/>
  <c r="DO106" i="2"/>
  <c r="DP106" i="2"/>
  <c r="DQ106" i="2"/>
  <c r="DR106" i="2"/>
  <c r="DS106" i="2"/>
  <c r="DT106" i="2"/>
  <c r="DU106" i="2"/>
  <c r="DV106" i="2"/>
  <c r="DW106" i="2"/>
  <c r="DX106" i="2"/>
  <c r="DY106" i="2"/>
  <c r="DZ106" i="2"/>
  <c r="EA106" i="2"/>
  <c r="EB106" i="2"/>
  <c r="EC106" i="2"/>
  <c r="ED106" i="2"/>
  <c r="EE106" i="2"/>
  <c r="EF106" i="2"/>
  <c r="EG106" i="2"/>
  <c r="EH106" i="2"/>
  <c r="EI106" i="2"/>
  <c r="EJ106" i="2"/>
  <c r="EK106" i="2"/>
  <c r="EL106" i="2"/>
  <c r="EM106" i="2"/>
  <c r="EN106" i="2"/>
  <c r="EO106" i="2"/>
  <c r="EP106" i="2"/>
  <c r="EQ106" i="2"/>
  <c r="ER106" i="2"/>
  <c r="ES106" i="2"/>
  <c r="ET106" i="2"/>
  <c r="EU106" i="2"/>
  <c r="EV106" i="2"/>
  <c r="EW106" i="2"/>
  <c r="EX106" i="2"/>
  <c r="EY106" i="2"/>
  <c r="EZ106" i="2"/>
  <c r="FA106" i="2"/>
  <c r="FB106" i="2"/>
  <c r="FC106" i="2"/>
  <c r="FD106" i="2"/>
  <c r="FE106" i="2"/>
  <c r="FF106" i="2"/>
  <c r="FG106" i="2"/>
  <c r="FH106" i="2"/>
  <c r="FI106" i="2"/>
  <c r="FJ106" i="2"/>
  <c r="FK106" i="2"/>
  <c r="FL106" i="2"/>
  <c r="FM106" i="2"/>
  <c r="FN106" i="2"/>
  <c r="FO106" i="2"/>
  <c r="FP106" i="2"/>
  <c r="FQ106" i="2"/>
  <c r="FR106" i="2"/>
  <c r="FS106" i="2"/>
  <c r="FT106" i="2"/>
  <c r="FU106" i="2"/>
  <c r="FV106" i="2"/>
  <c r="FW106" i="2"/>
  <c r="FX106" i="2"/>
  <c r="FY106" i="2"/>
  <c r="FZ106" i="2"/>
  <c r="GA106" i="2"/>
  <c r="GB106" i="2"/>
  <c r="GC106" i="2"/>
  <c r="GD106" i="2"/>
  <c r="GE106" i="2"/>
  <c r="GF106" i="2"/>
  <c r="GG106" i="2"/>
  <c r="GH106" i="2"/>
  <c r="GI106" i="2"/>
  <c r="GJ106" i="2"/>
  <c r="GK106" i="2"/>
  <c r="GL106" i="2"/>
  <c r="GM106" i="2"/>
  <c r="GN106" i="2"/>
  <c r="GO106" i="2"/>
  <c r="GP106" i="2"/>
  <c r="GQ106" i="2"/>
  <c r="GR106" i="2"/>
  <c r="GS106" i="2"/>
  <c r="GT106" i="2"/>
  <c r="GU106" i="2"/>
  <c r="GV106" i="2"/>
  <c r="GW106" i="2"/>
  <c r="GX106" i="2"/>
  <c r="AS105" i="2"/>
  <c r="AT105" i="2"/>
  <c r="AU105" i="2"/>
  <c r="AV105" i="2"/>
  <c r="AW105" i="2"/>
  <c r="AX105" i="2"/>
  <c r="AY105" i="2"/>
  <c r="AZ105" i="2"/>
  <c r="BA105" i="2"/>
  <c r="BB105" i="2"/>
  <c r="BC105" i="2"/>
  <c r="BD105" i="2"/>
  <c r="BE105" i="2"/>
  <c r="BF105" i="2"/>
  <c r="BG105" i="2"/>
  <c r="BH105" i="2"/>
  <c r="BI105" i="2"/>
  <c r="BJ105" i="2"/>
  <c r="BK105" i="2"/>
  <c r="BL105" i="2"/>
  <c r="BM105" i="2"/>
  <c r="BN105" i="2"/>
  <c r="BO105" i="2"/>
  <c r="BP105" i="2"/>
  <c r="BQ105" i="2"/>
  <c r="BR105" i="2"/>
  <c r="BS105" i="2"/>
  <c r="BT105" i="2"/>
  <c r="BU105" i="2"/>
  <c r="BV105" i="2"/>
  <c r="BW105" i="2"/>
  <c r="BX105" i="2"/>
  <c r="BY105" i="2"/>
  <c r="BZ105" i="2"/>
  <c r="CA105" i="2"/>
  <c r="CB105" i="2"/>
  <c r="CC105" i="2"/>
  <c r="CD105" i="2"/>
  <c r="CE105" i="2"/>
  <c r="CF105" i="2"/>
  <c r="CG105" i="2"/>
  <c r="CH105" i="2"/>
  <c r="CI105" i="2"/>
  <c r="CJ105" i="2"/>
  <c r="CK105" i="2"/>
  <c r="CL105" i="2"/>
  <c r="CM105" i="2"/>
  <c r="CN105" i="2"/>
  <c r="CO105" i="2"/>
  <c r="CP105" i="2"/>
  <c r="CQ105" i="2"/>
  <c r="CR105" i="2"/>
  <c r="CS105" i="2"/>
  <c r="CT105" i="2"/>
  <c r="CU105" i="2"/>
  <c r="CV105" i="2"/>
  <c r="CW105" i="2"/>
  <c r="CX105" i="2"/>
  <c r="CY105" i="2"/>
  <c r="CZ105" i="2"/>
  <c r="DA105" i="2"/>
  <c r="DB105" i="2"/>
  <c r="DC105" i="2"/>
  <c r="DD105" i="2"/>
  <c r="DE105" i="2"/>
  <c r="DF105" i="2"/>
  <c r="DG105" i="2"/>
  <c r="DH105" i="2"/>
  <c r="DI105" i="2"/>
  <c r="DJ105" i="2"/>
  <c r="DK105" i="2"/>
  <c r="DL105" i="2"/>
  <c r="DM105" i="2"/>
  <c r="DN105" i="2"/>
  <c r="DO105" i="2"/>
  <c r="DP105" i="2"/>
  <c r="DQ105" i="2"/>
  <c r="DR105" i="2"/>
  <c r="DS105" i="2"/>
  <c r="DT105" i="2"/>
  <c r="DU105" i="2"/>
  <c r="DV105" i="2"/>
  <c r="DW105" i="2"/>
  <c r="DX105" i="2"/>
  <c r="DY105" i="2"/>
  <c r="DZ105" i="2"/>
  <c r="EA105" i="2"/>
  <c r="EB105" i="2"/>
  <c r="EC105" i="2"/>
  <c r="ED105" i="2"/>
  <c r="EE105" i="2"/>
  <c r="EF105" i="2"/>
  <c r="EG105" i="2"/>
  <c r="EH105" i="2"/>
  <c r="EI105" i="2"/>
  <c r="EJ105" i="2"/>
  <c r="EK105" i="2"/>
  <c r="EL105" i="2"/>
  <c r="EM105" i="2"/>
  <c r="EN105" i="2"/>
  <c r="EO105" i="2"/>
  <c r="EP105" i="2"/>
  <c r="EQ105" i="2"/>
  <c r="ER105" i="2"/>
  <c r="ES105" i="2"/>
  <c r="ET105" i="2"/>
  <c r="EU105" i="2"/>
  <c r="EV105" i="2"/>
  <c r="EW105" i="2"/>
  <c r="EX105" i="2"/>
  <c r="EY105" i="2"/>
  <c r="EZ105" i="2"/>
  <c r="FA105" i="2"/>
  <c r="FB105" i="2"/>
  <c r="FC105" i="2"/>
  <c r="FD105" i="2"/>
  <c r="FE105" i="2"/>
  <c r="FF105" i="2"/>
  <c r="FG105" i="2"/>
  <c r="FH105" i="2"/>
  <c r="FI105" i="2"/>
  <c r="FJ105" i="2"/>
  <c r="FK105" i="2"/>
  <c r="FL105" i="2"/>
  <c r="FM105" i="2"/>
  <c r="FN105" i="2"/>
  <c r="FO105" i="2"/>
  <c r="FP105" i="2"/>
  <c r="FQ105" i="2"/>
  <c r="FR105" i="2"/>
  <c r="FS105" i="2"/>
  <c r="FT105" i="2"/>
  <c r="FU105" i="2"/>
  <c r="FV105" i="2"/>
  <c r="FW105" i="2"/>
  <c r="FX105" i="2"/>
  <c r="FY105" i="2"/>
  <c r="FZ105" i="2"/>
  <c r="GA105" i="2"/>
  <c r="GB105" i="2"/>
  <c r="GC105" i="2"/>
  <c r="GD105" i="2"/>
  <c r="GE105" i="2"/>
  <c r="GF105" i="2"/>
  <c r="GG105" i="2"/>
  <c r="GH105" i="2"/>
  <c r="GI105" i="2"/>
  <c r="GJ105" i="2"/>
  <c r="GK105" i="2"/>
  <c r="GL105" i="2"/>
  <c r="GM105" i="2"/>
  <c r="GN105" i="2"/>
  <c r="GO105" i="2"/>
  <c r="GP105" i="2"/>
  <c r="GQ105" i="2"/>
  <c r="GR105" i="2"/>
  <c r="GS105" i="2"/>
  <c r="GT105" i="2"/>
  <c r="GU105" i="2"/>
  <c r="GV105" i="2"/>
  <c r="GW105" i="2"/>
  <c r="GX105" i="2"/>
  <c r="AS121" i="2"/>
  <c r="AT121" i="2"/>
  <c r="AU121" i="2"/>
  <c r="AV121" i="2"/>
  <c r="AW121" i="2"/>
  <c r="AX121" i="2"/>
  <c r="AY121" i="2"/>
  <c r="AZ121" i="2"/>
  <c r="BA121" i="2"/>
  <c r="BB121" i="2"/>
  <c r="BC121" i="2"/>
  <c r="BD121" i="2"/>
  <c r="BE121" i="2"/>
  <c r="BF121" i="2"/>
  <c r="BG121" i="2"/>
  <c r="BH121" i="2"/>
  <c r="BI121" i="2"/>
  <c r="BJ121" i="2"/>
  <c r="BK121" i="2"/>
  <c r="BL121" i="2"/>
  <c r="BM121" i="2"/>
  <c r="BN121" i="2"/>
  <c r="BO121" i="2"/>
  <c r="BP121" i="2"/>
  <c r="BQ121" i="2"/>
  <c r="BR121" i="2"/>
  <c r="BS121" i="2"/>
  <c r="BT121" i="2"/>
  <c r="BU121" i="2"/>
  <c r="BV121" i="2"/>
  <c r="BW121" i="2"/>
  <c r="BX121" i="2"/>
  <c r="BY121" i="2"/>
  <c r="BZ121" i="2"/>
  <c r="CA121" i="2"/>
  <c r="CB121" i="2"/>
  <c r="CC121" i="2"/>
  <c r="CD121" i="2"/>
  <c r="CE121" i="2"/>
  <c r="CF121" i="2"/>
  <c r="CG121" i="2"/>
  <c r="CH121" i="2"/>
  <c r="CI121" i="2"/>
  <c r="CJ121" i="2"/>
  <c r="CK121" i="2"/>
  <c r="CL121" i="2"/>
  <c r="CM121" i="2"/>
  <c r="CN121" i="2"/>
  <c r="CO121" i="2"/>
  <c r="CP121" i="2"/>
  <c r="CQ121" i="2"/>
  <c r="CR121" i="2"/>
  <c r="CS121" i="2"/>
  <c r="CT121" i="2"/>
  <c r="CU121" i="2"/>
  <c r="CV121" i="2"/>
  <c r="CW121" i="2"/>
  <c r="CX121" i="2"/>
  <c r="CY121" i="2"/>
  <c r="CZ121" i="2"/>
  <c r="DA121" i="2"/>
  <c r="DB121" i="2"/>
  <c r="DC121" i="2"/>
  <c r="DD121" i="2"/>
  <c r="DE121" i="2"/>
  <c r="DF121" i="2"/>
  <c r="DG121" i="2"/>
  <c r="DH121" i="2"/>
  <c r="DI121" i="2"/>
  <c r="DJ121" i="2"/>
  <c r="DK121" i="2"/>
  <c r="DL121" i="2"/>
  <c r="DM121" i="2"/>
  <c r="DN121" i="2"/>
  <c r="DO121" i="2"/>
  <c r="DP121" i="2"/>
  <c r="DQ121" i="2"/>
  <c r="DR121" i="2"/>
  <c r="DS121" i="2"/>
  <c r="DT121" i="2"/>
  <c r="DU121" i="2"/>
  <c r="DV121" i="2"/>
  <c r="DW121" i="2"/>
  <c r="DX121" i="2"/>
  <c r="DY121" i="2"/>
  <c r="DZ121" i="2"/>
  <c r="EA121" i="2"/>
  <c r="EB121" i="2"/>
  <c r="EC121" i="2"/>
  <c r="ED121" i="2"/>
  <c r="EE121" i="2"/>
  <c r="EF121" i="2"/>
  <c r="EG121" i="2"/>
  <c r="EH121" i="2"/>
  <c r="EI121" i="2"/>
  <c r="EJ121" i="2"/>
  <c r="EK121" i="2"/>
  <c r="EL121" i="2"/>
  <c r="EM121" i="2"/>
  <c r="EN121" i="2"/>
  <c r="EO121" i="2"/>
  <c r="EP121" i="2"/>
  <c r="EQ121" i="2"/>
  <c r="ER121" i="2"/>
  <c r="ES121" i="2"/>
  <c r="ET121" i="2"/>
  <c r="EU121" i="2"/>
  <c r="EV121" i="2"/>
  <c r="EW121" i="2"/>
  <c r="EX121" i="2"/>
  <c r="EY121" i="2"/>
  <c r="EZ121" i="2"/>
  <c r="FA121" i="2"/>
  <c r="FB121" i="2"/>
  <c r="FC121" i="2"/>
  <c r="FD121" i="2"/>
  <c r="FE121" i="2"/>
  <c r="FF121" i="2"/>
  <c r="FG121" i="2"/>
  <c r="FH121" i="2"/>
  <c r="FI121" i="2"/>
  <c r="FJ121" i="2"/>
  <c r="FK121" i="2"/>
  <c r="FL121" i="2"/>
  <c r="FM121" i="2"/>
  <c r="FN121" i="2"/>
  <c r="FO121" i="2"/>
  <c r="FP121" i="2"/>
  <c r="FQ121" i="2"/>
  <c r="FR121" i="2"/>
  <c r="FS121" i="2"/>
  <c r="FT121" i="2"/>
  <c r="FU121" i="2"/>
  <c r="FV121" i="2"/>
  <c r="FW121" i="2"/>
  <c r="FX121" i="2"/>
  <c r="FY121" i="2"/>
  <c r="FZ121" i="2"/>
  <c r="GA121" i="2"/>
  <c r="GB121" i="2"/>
  <c r="GC121" i="2"/>
  <c r="GD121" i="2"/>
  <c r="GE121" i="2"/>
  <c r="GF121" i="2"/>
  <c r="GG121" i="2"/>
  <c r="GH121" i="2"/>
  <c r="GI121" i="2"/>
  <c r="GJ121" i="2"/>
  <c r="GK121" i="2"/>
  <c r="GL121" i="2"/>
  <c r="GM121" i="2"/>
  <c r="GN121" i="2"/>
  <c r="GO121" i="2"/>
  <c r="GP121" i="2"/>
  <c r="GQ121" i="2"/>
  <c r="GR121" i="2"/>
  <c r="GS121" i="2"/>
  <c r="GT121" i="2"/>
  <c r="GU121" i="2"/>
  <c r="GV121" i="2"/>
  <c r="GW121" i="2"/>
  <c r="GX121" i="2"/>
  <c r="AS112" i="2"/>
  <c r="AT112" i="2"/>
  <c r="AU112" i="2"/>
  <c r="AV112" i="2"/>
  <c r="AW112" i="2"/>
  <c r="AX112" i="2"/>
  <c r="AY112" i="2"/>
  <c r="AZ112" i="2"/>
  <c r="BA112" i="2"/>
  <c r="BB112" i="2"/>
  <c r="BC112" i="2"/>
  <c r="BD112" i="2"/>
  <c r="BE112" i="2"/>
  <c r="BF112" i="2"/>
  <c r="BG112" i="2"/>
  <c r="BH112" i="2"/>
  <c r="BI112" i="2"/>
  <c r="BJ112" i="2"/>
  <c r="BK112" i="2"/>
  <c r="BL112" i="2"/>
  <c r="BM112" i="2"/>
  <c r="BN112" i="2"/>
  <c r="BO112" i="2"/>
  <c r="BP112" i="2"/>
  <c r="BQ112" i="2"/>
  <c r="BR112" i="2"/>
  <c r="BS112" i="2"/>
  <c r="BT112" i="2"/>
  <c r="BU112" i="2"/>
  <c r="BV112" i="2"/>
  <c r="BW112" i="2"/>
  <c r="BX112" i="2"/>
  <c r="BY112" i="2"/>
  <c r="BZ112" i="2"/>
  <c r="CA112" i="2"/>
  <c r="CB112" i="2"/>
  <c r="CC112" i="2"/>
  <c r="CD112" i="2"/>
  <c r="CE112" i="2"/>
  <c r="CF112" i="2"/>
  <c r="CG112" i="2"/>
  <c r="CH112" i="2"/>
  <c r="CI112" i="2"/>
  <c r="CJ112" i="2"/>
  <c r="CK112" i="2"/>
  <c r="CL112" i="2"/>
  <c r="CM112" i="2"/>
  <c r="CN112" i="2"/>
  <c r="CO112" i="2"/>
  <c r="CP112" i="2"/>
  <c r="CQ112" i="2"/>
  <c r="CR112" i="2"/>
  <c r="CS112" i="2"/>
  <c r="CT112" i="2"/>
  <c r="CU112" i="2"/>
  <c r="CV112" i="2"/>
  <c r="CW112" i="2"/>
  <c r="CX112" i="2"/>
  <c r="CY112" i="2"/>
  <c r="CZ112" i="2"/>
  <c r="DA112" i="2"/>
  <c r="DB112" i="2"/>
  <c r="DC112" i="2"/>
  <c r="DD112" i="2"/>
  <c r="DE112" i="2"/>
  <c r="DF112" i="2"/>
  <c r="DG112" i="2"/>
  <c r="DH112" i="2"/>
  <c r="DI112" i="2"/>
  <c r="DJ112" i="2"/>
  <c r="DK112" i="2"/>
  <c r="DL112" i="2"/>
  <c r="DM112" i="2"/>
  <c r="DN112" i="2"/>
  <c r="DO112" i="2"/>
  <c r="DP112" i="2"/>
  <c r="DQ112" i="2"/>
  <c r="DR112" i="2"/>
  <c r="DS112" i="2"/>
  <c r="DT112" i="2"/>
  <c r="DU112" i="2"/>
  <c r="DV112" i="2"/>
  <c r="DW112" i="2"/>
  <c r="DX112" i="2"/>
  <c r="DY112" i="2"/>
  <c r="DZ112" i="2"/>
  <c r="EA112" i="2"/>
  <c r="EB112" i="2"/>
  <c r="EC112" i="2"/>
  <c r="ED112" i="2"/>
  <c r="EE112" i="2"/>
  <c r="EF112" i="2"/>
  <c r="EG112" i="2"/>
  <c r="EH112" i="2"/>
  <c r="EI112" i="2"/>
  <c r="EJ112" i="2"/>
  <c r="EK112" i="2"/>
  <c r="EL112" i="2"/>
  <c r="EM112" i="2"/>
  <c r="EN112" i="2"/>
  <c r="EO112" i="2"/>
  <c r="EP112" i="2"/>
  <c r="EQ112" i="2"/>
  <c r="ER112" i="2"/>
  <c r="ES112" i="2"/>
  <c r="ET112" i="2"/>
  <c r="EU112" i="2"/>
  <c r="EV112" i="2"/>
  <c r="EW112" i="2"/>
  <c r="EX112" i="2"/>
  <c r="EY112" i="2"/>
  <c r="EZ112" i="2"/>
  <c r="FA112" i="2"/>
  <c r="FB112" i="2"/>
  <c r="FC112" i="2"/>
  <c r="FD112" i="2"/>
  <c r="FE112" i="2"/>
  <c r="FF112" i="2"/>
  <c r="FG112" i="2"/>
  <c r="FH112" i="2"/>
  <c r="FI112" i="2"/>
  <c r="FJ112" i="2"/>
  <c r="FK112" i="2"/>
  <c r="FL112" i="2"/>
  <c r="FM112" i="2"/>
  <c r="FN112" i="2"/>
  <c r="FO112" i="2"/>
  <c r="FP112" i="2"/>
  <c r="FQ112" i="2"/>
  <c r="FR112" i="2"/>
  <c r="FS112" i="2"/>
  <c r="FT112" i="2"/>
  <c r="FU112" i="2"/>
  <c r="FV112" i="2"/>
  <c r="FW112" i="2"/>
  <c r="FX112" i="2"/>
  <c r="FY112" i="2"/>
  <c r="FZ112" i="2"/>
  <c r="GA112" i="2"/>
  <c r="GB112" i="2"/>
  <c r="GC112" i="2"/>
  <c r="GD112" i="2"/>
  <c r="GE112" i="2"/>
  <c r="GF112" i="2"/>
  <c r="GG112" i="2"/>
  <c r="GH112" i="2"/>
  <c r="GI112" i="2"/>
  <c r="GJ112" i="2"/>
  <c r="GK112" i="2"/>
  <c r="GL112" i="2"/>
  <c r="GM112" i="2"/>
  <c r="GN112" i="2"/>
  <c r="GO112" i="2"/>
  <c r="GP112" i="2"/>
  <c r="GQ112" i="2"/>
  <c r="GR112" i="2"/>
  <c r="GS112" i="2"/>
  <c r="GT112" i="2"/>
  <c r="GU112" i="2"/>
  <c r="GV112" i="2"/>
  <c r="GW112" i="2"/>
  <c r="GX112" i="2"/>
  <c r="AS104" i="2"/>
  <c r="AT104" i="2"/>
  <c r="AU104" i="2"/>
  <c r="AV104" i="2"/>
  <c r="AW104" i="2"/>
  <c r="AX104" i="2"/>
  <c r="AY104" i="2"/>
  <c r="AZ104" i="2"/>
  <c r="BA104" i="2"/>
  <c r="BB104" i="2"/>
  <c r="BC104" i="2"/>
  <c r="BD104" i="2"/>
  <c r="BE104" i="2"/>
  <c r="BF104" i="2"/>
  <c r="BG104" i="2"/>
  <c r="BH104" i="2"/>
  <c r="BI104" i="2"/>
  <c r="BJ104" i="2"/>
  <c r="BK104" i="2"/>
  <c r="BL104" i="2"/>
  <c r="BM104" i="2"/>
  <c r="BN104" i="2"/>
  <c r="BO104" i="2"/>
  <c r="BP104" i="2"/>
  <c r="BQ104" i="2"/>
  <c r="BR104" i="2"/>
  <c r="BS104" i="2"/>
  <c r="BT104" i="2"/>
  <c r="BU104" i="2"/>
  <c r="BV104" i="2"/>
  <c r="BW104" i="2"/>
  <c r="BX104" i="2"/>
  <c r="BY104" i="2"/>
  <c r="BZ104" i="2"/>
  <c r="CA104" i="2"/>
  <c r="CB104" i="2"/>
  <c r="CC104" i="2"/>
  <c r="CD104" i="2"/>
  <c r="CE104" i="2"/>
  <c r="CF104" i="2"/>
  <c r="CG104" i="2"/>
  <c r="CH104" i="2"/>
  <c r="CI104" i="2"/>
  <c r="CJ104" i="2"/>
  <c r="CK104" i="2"/>
  <c r="CL104" i="2"/>
  <c r="CM104" i="2"/>
  <c r="CN104" i="2"/>
  <c r="CO104" i="2"/>
  <c r="CP104" i="2"/>
  <c r="CQ104" i="2"/>
  <c r="CR104" i="2"/>
  <c r="CS104" i="2"/>
  <c r="CT104" i="2"/>
  <c r="CU104" i="2"/>
  <c r="CV104" i="2"/>
  <c r="CW104" i="2"/>
  <c r="CX104" i="2"/>
  <c r="CY104" i="2"/>
  <c r="CZ104" i="2"/>
  <c r="DA104" i="2"/>
  <c r="DB104" i="2"/>
  <c r="DC104" i="2"/>
  <c r="DD104" i="2"/>
  <c r="DE104" i="2"/>
  <c r="DF104" i="2"/>
  <c r="DG104" i="2"/>
  <c r="DH104" i="2"/>
  <c r="DI104" i="2"/>
  <c r="DJ104" i="2"/>
  <c r="DK104" i="2"/>
  <c r="DL104" i="2"/>
  <c r="DM104" i="2"/>
  <c r="DN104" i="2"/>
  <c r="DO104" i="2"/>
  <c r="DP104" i="2"/>
  <c r="DQ104" i="2"/>
  <c r="DR104" i="2"/>
  <c r="DS104" i="2"/>
  <c r="DT104" i="2"/>
  <c r="DU104" i="2"/>
  <c r="DV104" i="2"/>
  <c r="DW104" i="2"/>
  <c r="DX104" i="2"/>
  <c r="DY104" i="2"/>
  <c r="DZ104" i="2"/>
  <c r="EA104" i="2"/>
  <c r="EB104" i="2"/>
  <c r="EC104" i="2"/>
  <c r="ED104" i="2"/>
  <c r="EE104" i="2"/>
  <c r="EF104" i="2"/>
  <c r="EG104" i="2"/>
  <c r="EH104" i="2"/>
  <c r="EI104" i="2"/>
  <c r="EJ104" i="2"/>
  <c r="EK104" i="2"/>
  <c r="EL104" i="2"/>
  <c r="EM104" i="2"/>
  <c r="EN104" i="2"/>
  <c r="EO104" i="2"/>
  <c r="EP104" i="2"/>
  <c r="EQ104" i="2"/>
  <c r="ER104" i="2"/>
  <c r="ES104" i="2"/>
  <c r="ET104" i="2"/>
  <c r="EU104" i="2"/>
  <c r="EV104" i="2"/>
  <c r="EW104" i="2"/>
  <c r="EX104" i="2"/>
  <c r="EY104" i="2"/>
  <c r="EZ104" i="2"/>
  <c r="FA104" i="2"/>
  <c r="FB104" i="2"/>
  <c r="FC104" i="2"/>
  <c r="FD104" i="2"/>
  <c r="FE104" i="2"/>
  <c r="FF104" i="2"/>
  <c r="FG104" i="2"/>
  <c r="FH104" i="2"/>
  <c r="FI104" i="2"/>
  <c r="FJ104" i="2"/>
  <c r="FK104" i="2"/>
  <c r="FL104" i="2"/>
  <c r="FM104" i="2"/>
  <c r="FN104" i="2"/>
  <c r="FO104" i="2"/>
  <c r="FP104" i="2"/>
  <c r="FQ104" i="2"/>
  <c r="FR104" i="2"/>
  <c r="FS104" i="2"/>
  <c r="FT104" i="2"/>
  <c r="FU104" i="2"/>
  <c r="FV104" i="2"/>
  <c r="FW104" i="2"/>
  <c r="FX104" i="2"/>
  <c r="FY104" i="2"/>
  <c r="FZ104" i="2"/>
  <c r="GA104" i="2"/>
  <c r="GB104" i="2"/>
  <c r="GC104" i="2"/>
  <c r="GD104" i="2"/>
  <c r="GE104" i="2"/>
  <c r="GF104" i="2"/>
  <c r="GG104" i="2"/>
  <c r="GH104" i="2"/>
  <c r="GI104" i="2"/>
  <c r="GJ104" i="2"/>
  <c r="GK104" i="2"/>
  <c r="GL104" i="2"/>
  <c r="GM104" i="2"/>
  <c r="GN104" i="2"/>
  <c r="GO104" i="2"/>
  <c r="GP104" i="2"/>
  <c r="GQ104" i="2"/>
  <c r="GR104" i="2"/>
  <c r="GS104" i="2"/>
  <c r="GT104" i="2"/>
  <c r="GU104" i="2"/>
  <c r="GV104" i="2"/>
  <c r="GW104" i="2"/>
  <c r="GX104" i="2"/>
  <c r="AS100" i="2"/>
  <c r="AT100" i="2"/>
  <c r="AU100" i="2"/>
  <c r="AV100" i="2"/>
  <c r="AW100" i="2"/>
  <c r="AX100" i="2"/>
  <c r="AY100" i="2"/>
  <c r="AZ100" i="2"/>
  <c r="BA100" i="2"/>
  <c r="BB100" i="2"/>
  <c r="BC100" i="2"/>
  <c r="BD100" i="2"/>
  <c r="BE100" i="2"/>
  <c r="BF100" i="2"/>
  <c r="BG100" i="2"/>
  <c r="BH100" i="2"/>
  <c r="BI100" i="2"/>
  <c r="BJ100" i="2"/>
  <c r="BK100" i="2"/>
  <c r="BL100" i="2"/>
  <c r="BM100" i="2"/>
  <c r="BN100" i="2"/>
  <c r="BO100" i="2"/>
  <c r="BP100" i="2"/>
  <c r="BQ100" i="2"/>
  <c r="BR100" i="2"/>
  <c r="BS100" i="2"/>
  <c r="BT100" i="2"/>
  <c r="BU100" i="2"/>
  <c r="BV100" i="2"/>
  <c r="BW100" i="2"/>
  <c r="BX100" i="2"/>
  <c r="BY100" i="2"/>
  <c r="BZ100" i="2"/>
  <c r="CA100" i="2"/>
  <c r="CB100" i="2"/>
  <c r="CC100" i="2"/>
  <c r="CD100" i="2"/>
  <c r="CE100" i="2"/>
  <c r="CF100" i="2"/>
  <c r="CG100" i="2"/>
  <c r="CH100" i="2"/>
  <c r="CI100" i="2"/>
  <c r="CJ100" i="2"/>
  <c r="CK100" i="2"/>
  <c r="CL100" i="2"/>
  <c r="CM100" i="2"/>
  <c r="CN100" i="2"/>
  <c r="CO100" i="2"/>
  <c r="CP100" i="2"/>
  <c r="CQ100" i="2"/>
  <c r="CR100" i="2"/>
  <c r="CS100" i="2"/>
  <c r="CT100" i="2"/>
  <c r="CU100" i="2"/>
  <c r="CV100" i="2"/>
  <c r="CW100" i="2"/>
  <c r="CX100" i="2"/>
  <c r="CY100" i="2"/>
  <c r="CZ100" i="2"/>
  <c r="DA100" i="2"/>
  <c r="DB100" i="2"/>
  <c r="DC100" i="2"/>
  <c r="DD100" i="2"/>
  <c r="DE100" i="2"/>
  <c r="DF100" i="2"/>
  <c r="DG100" i="2"/>
  <c r="DH100" i="2"/>
  <c r="DI100" i="2"/>
  <c r="DJ100" i="2"/>
  <c r="DK100" i="2"/>
  <c r="DL100" i="2"/>
  <c r="DM100" i="2"/>
  <c r="DN100" i="2"/>
  <c r="DO100" i="2"/>
  <c r="DP100" i="2"/>
  <c r="DQ100" i="2"/>
  <c r="DR100" i="2"/>
  <c r="DS100" i="2"/>
  <c r="DT100" i="2"/>
  <c r="DU100" i="2"/>
  <c r="DV100" i="2"/>
  <c r="DW100" i="2"/>
  <c r="DX100" i="2"/>
  <c r="DY100" i="2"/>
  <c r="DZ100" i="2"/>
  <c r="EA100" i="2"/>
  <c r="EB100" i="2"/>
  <c r="EC100" i="2"/>
  <c r="ED100" i="2"/>
  <c r="EE100" i="2"/>
  <c r="EF100" i="2"/>
  <c r="EG100" i="2"/>
  <c r="EH100" i="2"/>
  <c r="EI100" i="2"/>
  <c r="EJ100" i="2"/>
  <c r="EK100" i="2"/>
  <c r="EL100" i="2"/>
  <c r="EM100" i="2"/>
  <c r="EN100" i="2"/>
  <c r="EO100" i="2"/>
  <c r="EP100" i="2"/>
  <c r="EQ100" i="2"/>
  <c r="ER100" i="2"/>
  <c r="ES100" i="2"/>
  <c r="ET100" i="2"/>
  <c r="EU100" i="2"/>
  <c r="EV100" i="2"/>
  <c r="EW100" i="2"/>
  <c r="EX100" i="2"/>
  <c r="EY100" i="2"/>
  <c r="EZ100" i="2"/>
  <c r="FA100" i="2"/>
  <c r="FB100" i="2"/>
  <c r="FC100" i="2"/>
  <c r="FD100" i="2"/>
  <c r="FE100" i="2"/>
  <c r="FF100" i="2"/>
  <c r="FG100" i="2"/>
  <c r="FH100" i="2"/>
  <c r="FI100" i="2"/>
  <c r="FJ100" i="2"/>
  <c r="FK100" i="2"/>
  <c r="FL100" i="2"/>
  <c r="FM100" i="2"/>
  <c r="FN100" i="2"/>
  <c r="FO100" i="2"/>
  <c r="FP100" i="2"/>
  <c r="FQ100" i="2"/>
  <c r="FR100" i="2"/>
  <c r="FS100" i="2"/>
  <c r="FT100" i="2"/>
  <c r="FU100" i="2"/>
  <c r="FV100" i="2"/>
  <c r="FW100" i="2"/>
  <c r="FX100" i="2"/>
  <c r="FY100" i="2"/>
  <c r="FZ100" i="2"/>
  <c r="GA100" i="2"/>
  <c r="GB100" i="2"/>
  <c r="GC100" i="2"/>
  <c r="GD100" i="2"/>
  <c r="GE100" i="2"/>
  <c r="GF100" i="2"/>
  <c r="GG100" i="2"/>
  <c r="GH100" i="2"/>
  <c r="GI100" i="2"/>
  <c r="GJ100" i="2"/>
  <c r="GK100" i="2"/>
  <c r="GL100" i="2"/>
  <c r="GM100" i="2"/>
  <c r="GN100" i="2"/>
  <c r="GO100" i="2"/>
  <c r="GP100" i="2"/>
  <c r="GQ100" i="2"/>
  <c r="GR100" i="2"/>
  <c r="GS100" i="2"/>
  <c r="GT100" i="2"/>
  <c r="GU100" i="2"/>
  <c r="GV100" i="2"/>
  <c r="GW100" i="2"/>
  <c r="GX100" i="2"/>
  <c r="AS119" i="2"/>
  <c r="AT119" i="2"/>
  <c r="AU119" i="2"/>
  <c r="AV119" i="2"/>
  <c r="AW119" i="2"/>
  <c r="AX119" i="2"/>
  <c r="AY119" i="2"/>
  <c r="AZ119" i="2"/>
  <c r="BA119" i="2"/>
  <c r="BB119" i="2"/>
  <c r="BC119" i="2"/>
  <c r="BD119" i="2"/>
  <c r="BE119" i="2"/>
  <c r="BF119" i="2"/>
  <c r="BG119" i="2"/>
  <c r="BH119" i="2"/>
  <c r="BI119" i="2"/>
  <c r="BJ119" i="2"/>
  <c r="BK119" i="2"/>
  <c r="BL119" i="2"/>
  <c r="BM119" i="2"/>
  <c r="BN119" i="2"/>
  <c r="BO119" i="2"/>
  <c r="BP119" i="2"/>
  <c r="BQ119" i="2"/>
  <c r="BR119" i="2"/>
  <c r="BS119" i="2"/>
  <c r="BT119" i="2"/>
  <c r="BU119" i="2"/>
  <c r="BV119" i="2"/>
  <c r="BW119" i="2"/>
  <c r="BX119" i="2"/>
  <c r="BY119" i="2"/>
  <c r="BZ119" i="2"/>
  <c r="CA119" i="2"/>
  <c r="CB119" i="2"/>
  <c r="CC119" i="2"/>
  <c r="CD119" i="2"/>
  <c r="CE119" i="2"/>
  <c r="CF119" i="2"/>
  <c r="CG119" i="2"/>
  <c r="CH119" i="2"/>
  <c r="CI119" i="2"/>
  <c r="CJ119" i="2"/>
  <c r="CK119" i="2"/>
  <c r="CL119" i="2"/>
  <c r="CM119" i="2"/>
  <c r="CN119" i="2"/>
  <c r="CO119" i="2"/>
  <c r="CP119" i="2"/>
  <c r="CQ119" i="2"/>
  <c r="CR119" i="2"/>
  <c r="CS119" i="2"/>
  <c r="CT119" i="2"/>
  <c r="CU119" i="2"/>
  <c r="CV119" i="2"/>
  <c r="CW119" i="2"/>
  <c r="CX119" i="2"/>
  <c r="CY119" i="2"/>
  <c r="CZ119" i="2"/>
  <c r="DA119" i="2"/>
  <c r="DB119" i="2"/>
  <c r="DC119" i="2"/>
  <c r="DD119" i="2"/>
  <c r="DE119" i="2"/>
  <c r="DF119" i="2"/>
  <c r="DG119" i="2"/>
  <c r="DH119" i="2"/>
  <c r="DI119" i="2"/>
  <c r="DJ119" i="2"/>
  <c r="DK119" i="2"/>
  <c r="DL119" i="2"/>
  <c r="DM119" i="2"/>
  <c r="DN119" i="2"/>
  <c r="DO119" i="2"/>
  <c r="DP119" i="2"/>
  <c r="DQ119" i="2"/>
  <c r="DR119" i="2"/>
  <c r="DS119" i="2"/>
  <c r="DT119" i="2"/>
  <c r="DU119" i="2"/>
  <c r="DV119" i="2"/>
  <c r="DW119" i="2"/>
  <c r="DX119" i="2"/>
  <c r="DY119" i="2"/>
  <c r="DZ119" i="2"/>
  <c r="EA119" i="2"/>
  <c r="EB119" i="2"/>
  <c r="EC119" i="2"/>
  <c r="ED119" i="2"/>
  <c r="EE119" i="2"/>
  <c r="EF119" i="2"/>
  <c r="EG119" i="2"/>
  <c r="EH119" i="2"/>
  <c r="EI119" i="2"/>
  <c r="EJ119" i="2"/>
  <c r="EK119" i="2"/>
  <c r="EL119" i="2"/>
  <c r="EM119" i="2"/>
  <c r="EN119" i="2"/>
  <c r="EO119" i="2"/>
  <c r="EP119" i="2"/>
  <c r="EQ119" i="2"/>
  <c r="ER119" i="2"/>
  <c r="ES119" i="2"/>
  <c r="ET119" i="2"/>
  <c r="EU119" i="2"/>
  <c r="EV119" i="2"/>
  <c r="EW119" i="2"/>
  <c r="EX119" i="2"/>
  <c r="EY119" i="2"/>
  <c r="EZ119" i="2"/>
  <c r="FA119" i="2"/>
  <c r="FB119" i="2"/>
  <c r="FC119" i="2"/>
  <c r="FD119" i="2"/>
  <c r="FE119" i="2"/>
  <c r="FF119" i="2"/>
  <c r="FG119" i="2"/>
  <c r="FH119" i="2"/>
  <c r="FI119" i="2"/>
  <c r="FJ119" i="2"/>
  <c r="FK119" i="2"/>
  <c r="FL119" i="2"/>
  <c r="FM119" i="2"/>
  <c r="FN119" i="2"/>
  <c r="FO119" i="2"/>
  <c r="FP119" i="2"/>
  <c r="FQ119" i="2"/>
  <c r="FR119" i="2"/>
  <c r="FS119" i="2"/>
  <c r="FT119" i="2"/>
  <c r="FU119" i="2"/>
  <c r="FV119" i="2"/>
  <c r="FW119" i="2"/>
  <c r="FX119" i="2"/>
  <c r="FY119" i="2"/>
  <c r="FZ119" i="2"/>
  <c r="GA119" i="2"/>
  <c r="GB119" i="2"/>
  <c r="GC119" i="2"/>
  <c r="GD119" i="2"/>
  <c r="GE119" i="2"/>
  <c r="GF119" i="2"/>
  <c r="GG119" i="2"/>
  <c r="GH119" i="2"/>
  <c r="GI119" i="2"/>
  <c r="GJ119" i="2"/>
  <c r="GK119" i="2"/>
  <c r="GL119" i="2"/>
  <c r="GM119" i="2"/>
  <c r="GN119" i="2"/>
  <c r="GO119" i="2"/>
  <c r="GP119" i="2"/>
  <c r="GQ119" i="2"/>
  <c r="GR119" i="2"/>
  <c r="GS119" i="2"/>
  <c r="GT119" i="2"/>
  <c r="GU119" i="2"/>
  <c r="GV119" i="2"/>
  <c r="GW119" i="2"/>
  <c r="GX119" i="2"/>
  <c r="AS97" i="2"/>
  <c r="AT97" i="2"/>
  <c r="AU97" i="2"/>
  <c r="AV97" i="2"/>
  <c r="AW97" i="2"/>
  <c r="AX97" i="2"/>
  <c r="AY97" i="2"/>
  <c r="AZ97" i="2"/>
  <c r="BA97" i="2"/>
  <c r="BB97" i="2"/>
  <c r="BC97" i="2"/>
  <c r="BD97" i="2"/>
  <c r="BE97" i="2"/>
  <c r="BF97" i="2"/>
  <c r="BG97" i="2"/>
  <c r="BH97" i="2"/>
  <c r="BI97" i="2"/>
  <c r="BJ97" i="2"/>
  <c r="BK97" i="2"/>
  <c r="BL97" i="2"/>
  <c r="BM97" i="2"/>
  <c r="BN97" i="2"/>
  <c r="BO97" i="2"/>
  <c r="BP97" i="2"/>
  <c r="BQ97" i="2"/>
  <c r="BR97" i="2"/>
  <c r="BS97" i="2"/>
  <c r="BT97" i="2"/>
  <c r="BU97" i="2"/>
  <c r="BV97" i="2"/>
  <c r="BW97" i="2"/>
  <c r="BX97" i="2"/>
  <c r="BY97" i="2"/>
  <c r="BZ97" i="2"/>
  <c r="CA97" i="2"/>
  <c r="CB97" i="2"/>
  <c r="CC97" i="2"/>
  <c r="CD97" i="2"/>
  <c r="CE97" i="2"/>
  <c r="CF97" i="2"/>
  <c r="CG97" i="2"/>
  <c r="CH97" i="2"/>
  <c r="CI97" i="2"/>
  <c r="CJ97" i="2"/>
  <c r="CK97" i="2"/>
  <c r="CL97" i="2"/>
  <c r="CM97" i="2"/>
  <c r="CN97" i="2"/>
  <c r="CO97" i="2"/>
  <c r="CP97" i="2"/>
  <c r="CQ97" i="2"/>
  <c r="CR97" i="2"/>
  <c r="CS97" i="2"/>
  <c r="CT97" i="2"/>
  <c r="CU97" i="2"/>
  <c r="CV97" i="2"/>
  <c r="CW97" i="2"/>
  <c r="CX97" i="2"/>
  <c r="CY97" i="2"/>
  <c r="CZ97" i="2"/>
  <c r="DA97" i="2"/>
  <c r="DB97" i="2"/>
  <c r="DC97" i="2"/>
  <c r="DD97" i="2"/>
  <c r="DE97" i="2"/>
  <c r="DF97" i="2"/>
  <c r="DG97" i="2"/>
  <c r="DH97" i="2"/>
  <c r="DI97" i="2"/>
  <c r="DJ97" i="2"/>
  <c r="DK97" i="2"/>
  <c r="DL97" i="2"/>
  <c r="DM97" i="2"/>
  <c r="DN97" i="2"/>
  <c r="DO97" i="2"/>
  <c r="DP97" i="2"/>
  <c r="DQ97" i="2"/>
  <c r="DR97" i="2"/>
  <c r="DS97" i="2"/>
  <c r="DT97" i="2"/>
  <c r="DU97" i="2"/>
  <c r="DV97" i="2"/>
  <c r="DW97" i="2"/>
  <c r="DX97" i="2"/>
  <c r="DY97" i="2"/>
  <c r="DZ97" i="2"/>
  <c r="EA97" i="2"/>
  <c r="EB97" i="2"/>
  <c r="EC97" i="2"/>
  <c r="ED97" i="2"/>
  <c r="EE97" i="2"/>
  <c r="EF97" i="2"/>
  <c r="EG97" i="2"/>
  <c r="EH97" i="2"/>
  <c r="EI97" i="2"/>
  <c r="EJ97" i="2"/>
  <c r="EK97" i="2"/>
  <c r="EL97" i="2"/>
  <c r="EM97" i="2"/>
  <c r="EN97" i="2"/>
  <c r="EO97" i="2"/>
  <c r="EP97" i="2"/>
  <c r="EQ97" i="2"/>
  <c r="ER97" i="2"/>
  <c r="ES97" i="2"/>
  <c r="ET97" i="2"/>
  <c r="EU97" i="2"/>
  <c r="EV97" i="2"/>
  <c r="EW97" i="2"/>
  <c r="EX97" i="2"/>
  <c r="EY97" i="2"/>
  <c r="EZ97" i="2"/>
  <c r="FA97" i="2"/>
  <c r="FB97" i="2"/>
  <c r="FC97" i="2"/>
  <c r="FD97" i="2"/>
  <c r="FE97" i="2"/>
  <c r="FF97" i="2"/>
  <c r="FG97" i="2"/>
  <c r="FH97" i="2"/>
  <c r="FI97" i="2"/>
  <c r="FJ97" i="2"/>
  <c r="FK97" i="2"/>
  <c r="FL97" i="2"/>
  <c r="FM97" i="2"/>
  <c r="FN97" i="2"/>
  <c r="FO97" i="2"/>
  <c r="FP97" i="2"/>
  <c r="FQ97" i="2"/>
  <c r="FR97" i="2"/>
  <c r="FS97" i="2"/>
  <c r="FT97" i="2"/>
  <c r="FU97" i="2"/>
  <c r="FV97" i="2"/>
  <c r="FW97" i="2"/>
  <c r="FX97" i="2"/>
  <c r="FY97" i="2"/>
  <c r="FZ97" i="2"/>
  <c r="GA97" i="2"/>
  <c r="GB97" i="2"/>
  <c r="GC97" i="2"/>
  <c r="GD97" i="2"/>
  <c r="GE97" i="2"/>
  <c r="GF97" i="2"/>
  <c r="GG97" i="2"/>
  <c r="GH97" i="2"/>
  <c r="GI97" i="2"/>
  <c r="GJ97" i="2"/>
  <c r="GK97" i="2"/>
  <c r="GL97" i="2"/>
  <c r="GM97" i="2"/>
  <c r="GN97" i="2"/>
  <c r="GO97" i="2"/>
  <c r="GP97" i="2"/>
  <c r="GQ97" i="2"/>
  <c r="GR97" i="2"/>
  <c r="GS97" i="2"/>
  <c r="GT97" i="2"/>
  <c r="GU97" i="2"/>
  <c r="GV97" i="2"/>
  <c r="GW97" i="2"/>
  <c r="GX97" i="2"/>
  <c r="AS126" i="2"/>
  <c r="AT126" i="2"/>
  <c r="AU126" i="2"/>
  <c r="AV126" i="2"/>
  <c r="AW126" i="2"/>
  <c r="AX126" i="2"/>
  <c r="AY126" i="2"/>
  <c r="AZ126" i="2"/>
  <c r="BA126" i="2"/>
  <c r="BB126" i="2"/>
  <c r="BC126" i="2"/>
  <c r="BD126" i="2"/>
  <c r="BE126" i="2"/>
  <c r="BF126" i="2"/>
  <c r="BG126" i="2"/>
  <c r="BH126" i="2"/>
  <c r="BI126" i="2"/>
  <c r="BJ126" i="2"/>
  <c r="BK126" i="2"/>
  <c r="BL126" i="2"/>
  <c r="BM126" i="2"/>
  <c r="BN126" i="2"/>
  <c r="BO126" i="2"/>
  <c r="BP126" i="2"/>
  <c r="BQ126" i="2"/>
  <c r="BR126" i="2"/>
  <c r="BS126" i="2"/>
  <c r="BT126" i="2"/>
  <c r="BU126" i="2"/>
  <c r="BV126" i="2"/>
  <c r="BW126" i="2"/>
  <c r="BX126" i="2"/>
  <c r="BY126" i="2"/>
  <c r="BZ126" i="2"/>
  <c r="CA126" i="2"/>
  <c r="CB126" i="2"/>
  <c r="CC126" i="2"/>
  <c r="CD126" i="2"/>
  <c r="CE126" i="2"/>
  <c r="CF126" i="2"/>
  <c r="CG126" i="2"/>
  <c r="CH126" i="2"/>
  <c r="CI126" i="2"/>
  <c r="CJ126" i="2"/>
  <c r="CK126" i="2"/>
  <c r="CL126" i="2"/>
  <c r="CM126" i="2"/>
  <c r="CN126" i="2"/>
  <c r="CO126" i="2"/>
  <c r="CP126" i="2"/>
  <c r="CQ126" i="2"/>
  <c r="CR126" i="2"/>
  <c r="CS126" i="2"/>
  <c r="CT126" i="2"/>
  <c r="CU126" i="2"/>
  <c r="CV126" i="2"/>
  <c r="CW126" i="2"/>
  <c r="CX126" i="2"/>
  <c r="CY126" i="2"/>
  <c r="CZ126" i="2"/>
  <c r="DA126" i="2"/>
  <c r="DB126" i="2"/>
  <c r="DC126" i="2"/>
  <c r="DD126" i="2"/>
  <c r="DE126" i="2"/>
  <c r="DF126" i="2"/>
  <c r="DG126" i="2"/>
  <c r="DH126" i="2"/>
  <c r="DI126" i="2"/>
  <c r="DJ126" i="2"/>
  <c r="DK126" i="2"/>
  <c r="DL126" i="2"/>
  <c r="DM126" i="2"/>
  <c r="DN126" i="2"/>
  <c r="DO126" i="2"/>
  <c r="DP126" i="2"/>
  <c r="DQ126" i="2"/>
  <c r="DR126" i="2"/>
  <c r="DS126" i="2"/>
  <c r="DT126" i="2"/>
  <c r="DU126" i="2"/>
  <c r="DV126" i="2"/>
  <c r="DW126" i="2"/>
  <c r="DX126" i="2"/>
  <c r="DY126" i="2"/>
  <c r="DZ126" i="2"/>
  <c r="EA126" i="2"/>
  <c r="EB126" i="2"/>
  <c r="EC126" i="2"/>
  <c r="ED126" i="2"/>
  <c r="EE126" i="2"/>
  <c r="EF126" i="2"/>
  <c r="EG126" i="2"/>
  <c r="EH126" i="2"/>
  <c r="EI126" i="2"/>
  <c r="EJ126" i="2"/>
  <c r="EK126" i="2"/>
  <c r="EL126" i="2"/>
  <c r="EM126" i="2"/>
  <c r="EN126" i="2"/>
  <c r="EO126" i="2"/>
  <c r="EP126" i="2"/>
  <c r="EQ126" i="2"/>
  <c r="ER126" i="2"/>
  <c r="ES126" i="2"/>
  <c r="ET126" i="2"/>
  <c r="EU126" i="2"/>
  <c r="EV126" i="2"/>
  <c r="EW126" i="2"/>
  <c r="EX126" i="2"/>
  <c r="EY126" i="2"/>
  <c r="EZ126" i="2"/>
  <c r="FA126" i="2"/>
  <c r="FB126" i="2"/>
  <c r="FC126" i="2"/>
  <c r="FD126" i="2"/>
  <c r="FE126" i="2"/>
  <c r="FF126" i="2"/>
  <c r="FG126" i="2"/>
  <c r="FH126" i="2"/>
  <c r="FI126" i="2"/>
  <c r="FJ126" i="2"/>
  <c r="FK126" i="2"/>
  <c r="FL126" i="2"/>
  <c r="FM126" i="2"/>
  <c r="FN126" i="2"/>
  <c r="FO126" i="2"/>
  <c r="FP126" i="2"/>
  <c r="FQ126" i="2"/>
  <c r="FR126" i="2"/>
  <c r="FS126" i="2"/>
  <c r="FT126" i="2"/>
  <c r="FU126" i="2"/>
  <c r="FV126" i="2"/>
  <c r="FW126" i="2"/>
  <c r="FX126" i="2"/>
  <c r="FY126" i="2"/>
  <c r="FZ126" i="2"/>
  <c r="GA126" i="2"/>
  <c r="GB126" i="2"/>
  <c r="GC126" i="2"/>
  <c r="GD126" i="2"/>
  <c r="GE126" i="2"/>
  <c r="GF126" i="2"/>
  <c r="GG126" i="2"/>
  <c r="GH126" i="2"/>
  <c r="GI126" i="2"/>
  <c r="GJ126" i="2"/>
  <c r="GK126" i="2"/>
  <c r="GL126" i="2"/>
  <c r="GM126" i="2"/>
  <c r="GN126" i="2"/>
  <c r="GO126" i="2"/>
  <c r="GP126" i="2"/>
  <c r="GQ126" i="2"/>
  <c r="GR126" i="2"/>
  <c r="GS126" i="2"/>
  <c r="GT126" i="2"/>
  <c r="GU126" i="2"/>
  <c r="GV126" i="2"/>
  <c r="GW126" i="2"/>
  <c r="GX126" i="2"/>
  <c r="AS99" i="2"/>
  <c r="AT99" i="2"/>
  <c r="AU99" i="2"/>
  <c r="AV99" i="2"/>
  <c r="AW99" i="2"/>
  <c r="AX99" i="2"/>
  <c r="AY99" i="2"/>
  <c r="AZ99" i="2"/>
  <c r="BA99" i="2"/>
  <c r="BB99" i="2"/>
  <c r="BC99" i="2"/>
  <c r="BD99" i="2"/>
  <c r="BE99" i="2"/>
  <c r="BF99" i="2"/>
  <c r="BG99" i="2"/>
  <c r="BH99" i="2"/>
  <c r="BI99" i="2"/>
  <c r="BJ99" i="2"/>
  <c r="BK99" i="2"/>
  <c r="BL99" i="2"/>
  <c r="BM99" i="2"/>
  <c r="BN99" i="2"/>
  <c r="BO99" i="2"/>
  <c r="BP99" i="2"/>
  <c r="BQ99" i="2"/>
  <c r="BR99" i="2"/>
  <c r="BS99" i="2"/>
  <c r="BT99" i="2"/>
  <c r="BU99" i="2"/>
  <c r="BV99" i="2"/>
  <c r="BW99" i="2"/>
  <c r="BX99" i="2"/>
  <c r="BY99" i="2"/>
  <c r="BZ99" i="2"/>
  <c r="CA99" i="2"/>
  <c r="CB99" i="2"/>
  <c r="CC99" i="2"/>
  <c r="CD99" i="2"/>
  <c r="CE99" i="2"/>
  <c r="CF99" i="2"/>
  <c r="CG99" i="2"/>
  <c r="CH99" i="2"/>
  <c r="CI99" i="2"/>
  <c r="CJ99" i="2"/>
  <c r="CK99" i="2"/>
  <c r="CL99" i="2"/>
  <c r="CM99" i="2"/>
  <c r="CN99" i="2"/>
  <c r="CO99" i="2"/>
  <c r="CP99" i="2"/>
  <c r="CQ99" i="2"/>
  <c r="CR99" i="2"/>
  <c r="CS99" i="2"/>
  <c r="CT99" i="2"/>
  <c r="CU99" i="2"/>
  <c r="CV99" i="2"/>
  <c r="CW99" i="2"/>
  <c r="CX99" i="2"/>
  <c r="CY99" i="2"/>
  <c r="CZ99" i="2"/>
  <c r="DA99" i="2"/>
  <c r="DB99" i="2"/>
  <c r="DC99" i="2"/>
  <c r="DD99" i="2"/>
  <c r="DE99" i="2"/>
  <c r="DF99" i="2"/>
  <c r="DG99" i="2"/>
  <c r="DH99" i="2"/>
  <c r="DI99" i="2"/>
  <c r="DJ99" i="2"/>
  <c r="DK99" i="2"/>
  <c r="DL99" i="2"/>
  <c r="DM99" i="2"/>
  <c r="DN99" i="2"/>
  <c r="DO99" i="2"/>
  <c r="DP99" i="2"/>
  <c r="DQ99" i="2"/>
  <c r="DR99" i="2"/>
  <c r="DS99" i="2"/>
  <c r="DT99" i="2"/>
  <c r="DU99" i="2"/>
  <c r="DV99" i="2"/>
  <c r="DW99" i="2"/>
  <c r="DX99" i="2"/>
  <c r="DY99" i="2"/>
  <c r="DZ99" i="2"/>
  <c r="EA99" i="2"/>
  <c r="EB99" i="2"/>
  <c r="EC99" i="2"/>
  <c r="ED99" i="2"/>
  <c r="EE99" i="2"/>
  <c r="EF99" i="2"/>
  <c r="EG99" i="2"/>
  <c r="EH99" i="2"/>
  <c r="EI99" i="2"/>
  <c r="EJ99" i="2"/>
  <c r="EK99" i="2"/>
  <c r="EL99" i="2"/>
  <c r="EM99" i="2"/>
  <c r="EN99" i="2"/>
  <c r="EO99" i="2"/>
  <c r="EP99" i="2"/>
  <c r="EQ99" i="2"/>
  <c r="ER99" i="2"/>
  <c r="ES99" i="2"/>
  <c r="ET99" i="2"/>
  <c r="EU99" i="2"/>
  <c r="EV99" i="2"/>
  <c r="EW99" i="2"/>
  <c r="EX99" i="2"/>
  <c r="EY99" i="2"/>
  <c r="EZ99" i="2"/>
  <c r="FA99" i="2"/>
  <c r="FB99" i="2"/>
  <c r="FC99" i="2"/>
  <c r="FD99" i="2"/>
  <c r="FE99" i="2"/>
  <c r="FF99" i="2"/>
  <c r="FG99" i="2"/>
  <c r="FH99" i="2"/>
  <c r="FI99" i="2"/>
  <c r="FJ99" i="2"/>
  <c r="FK99" i="2"/>
  <c r="FL99" i="2"/>
  <c r="FM99" i="2"/>
  <c r="FN99" i="2"/>
  <c r="FO99" i="2"/>
  <c r="FP99" i="2"/>
  <c r="FQ99" i="2"/>
  <c r="FR99" i="2"/>
  <c r="FS99" i="2"/>
  <c r="FT99" i="2"/>
  <c r="FU99" i="2"/>
  <c r="FV99" i="2"/>
  <c r="FW99" i="2"/>
  <c r="FX99" i="2"/>
  <c r="FY99" i="2"/>
  <c r="FZ99" i="2"/>
  <c r="GA99" i="2"/>
  <c r="GB99" i="2"/>
  <c r="GC99" i="2"/>
  <c r="GD99" i="2"/>
  <c r="GE99" i="2"/>
  <c r="GF99" i="2"/>
  <c r="GG99" i="2"/>
  <c r="GH99" i="2"/>
  <c r="GI99" i="2"/>
  <c r="GJ99" i="2"/>
  <c r="GK99" i="2"/>
  <c r="GL99" i="2"/>
  <c r="GM99" i="2"/>
  <c r="GN99" i="2"/>
  <c r="GO99" i="2"/>
  <c r="GP99" i="2"/>
  <c r="GQ99" i="2"/>
  <c r="GR99" i="2"/>
  <c r="GS99" i="2"/>
  <c r="GT99" i="2"/>
  <c r="GU99" i="2"/>
  <c r="GV99" i="2"/>
  <c r="GW99" i="2"/>
  <c r="GX99" i="2"/>
  <c r="AS125" i="2"/>
  <c r="AT125" i="2"/>
  <c r="AU125" i="2"/>
  <c r="AV125" i="2"/>
  <c r="AW125" i="2"/>
  <c r="AX125" i="2"/>
  <c r="AY125" i="2"/>
  <c r="AZ125" i="2"/>
  <c r="BA125" i="2"/>
  <c r="BB125" i="2"/>
  <c r="BC125" i="2"/>
  <c r="BD125" i="2"/>
  <c r="BE125" i="2"/>
  <c r="BF125" i="2"/>
  <c r="BG125" i="2"/>
  <c r="BH125" i="2"/>
  <c r="BI125" i="2"/>
  <c r="BJ125" i="2"/>
  <c r="BK125" i="2"/>
  <c r="BL125" i="2"/>
  <c r="BM125" i="2"/>
  <c r="BN125" i="2"/>
  <c r="BO125" i="2"/>
  <c r="BP125" i="2"/>
  <c r="BQ125" i="2"/>
  <c r="BR125" i="2"/>
  <c r="BS125" i="2"/>
  <c r="BT125" i="2"/>
  <c r="BU125" i="2"/>
  <c r="BV125" i="2"/>
  <c r="BW125" i="2"/>
  <c r="BX125" i="2"/>
  <c r="BY125" i="2"/>
  <c r="BZ125" i="2"/>
  <c r="CA125" i="2"/>
  <c r="CB125" i="2"/>
  <c r="CC125" i="2"/>
  <c r="CD125" i="2"/>
  <c r="CE125" i="2"/>
  <c r="CF125" i="2"/>
  <c r="CG125" i="2"/>
  <c r="CH125" i="2"/>
  <c r="CI125" i="2"/>
  <c r="CJ125" i="2"/>
  <c r="CK125" i="2"/>
  <c r="CL125" i="2"/>
  <c r="CM125" i="2"/>
  <c r="CN125" i="2"/>
  <c r="CO125" i="2"/>
  <c r="CP125" i="2"/>
  <c r="CQ125" i="2"/>
  <c r="CR125" i="2"/>
  <c r="CS125" i="2"/>
  <c r="CT125" i="2"/>
  <c r="CU125" i="2"/>
  <c r="CV125" i="2"/>
  <c r="CW125" i="2"/>
  <c r="CX125" i="2"/>
  <c r="CY125" i="2"/>
  <c r="CZ125" i="2"/>
  <c r="DA125" i="2"/>
  <c r="DB125" i="2"/>
  <c r="DC125" i="2"/>
  <c r="DD125" i="2"/>
  <c r="DE125" i="2"/>
  <c r="DF125" i="2"/>
  <c r="DG125" i="2"/>
  <c r="DH125" i="2"/>
  <c r="DI125" i="2"/>
  <c r="DJ125" i="2"/>
  <c r="DK125" i="2"/>
  <c r="DL125" i="2"/>
  <c r="DM125" i="2"/>
  <c r="DN125" i="2"/>
  <c r="DO125" i="2"/>
  <c r="DP125" i="2"/>
  <c r="DQ125" i="2"/>
  <c r="DR125" i="2"/>
  <c r="DS125" i="2"/>
  <c r="DT125" i="2"/>
  <c r="DU125" i="2"/>
  <c r="DV125" i="2"/>
  <c r="DW125" i="2"/>
  <c r="DX125" i="2"/>
  <c r="DY125" i="2"/>
  <c r="DZ125" i="2"/>
  <c r="EA125" i="2"/>
  <c r="EB125" i="2"/>
  <c r="EC125" i="2"/>
  <c r="ED125" i="2"/>
  <c r="EE125" i="2"/>
  <c r="EF125" i="2"/>
  <c r="EG125" i="2"/>
  <c r="EH125" i="2"/>
  <c r="EI125" i="2"/>
  <c r="EJ125" i="2"/>
  <c r="EK125" i="2"/>
  <c r="EL125" i="2"/>
  <c r="EM125" i="2"/>
  <c r="EN125" i="2"/>
  <c r="EO125" i="2"/>
  <c r="EP125" i="2"/>
  <c r="EQ125" i="2"/>
  <c r="ER125" i="2"/>
  <c r="ES125" i="2"/>
  <c r="ET125" i="2"/>
  <c r="EU125" i="2"/>
  <c r="EV125" i="2"/>
  <c r="EW125" i="2"/>
  <c r="EX125" i="2"/>
  <c r="EY125" i="2"/>
  <c r="EZ125" i="2"/>
  <c r="FA125" i="2"/>
  <c r="FB125" i="2"/>
  <c r="FC125" i="2"/>
  <c r="FD125" i="2"/>
  <c r="FE125" i="2"/>
  <c r="FF125" i="2"/>
  <c r="FG125" i="2"/>
  <c r="FH125" i="2"/>
  <c r="FI125" i="2"/>
  <c r="FJ125" i="2"/>
  <c r="FK125" i="2"/>
  <c r="FL125" i="2"/>
  <c r="FM125" i="2"/>
  <c r="FN125" i="2"/>
  <c r="FO125" i="2"/>
  <c r="FP125" i="2"/>
  <c r="FQ125" i="2"/>
  <c r="FR125" i="2"/>
  <c r="FS125" i="2"/>
  <c r="FT125" i="2"/>
  <c r="FU125" i="2"/>
  <c r="FV125" i="2"/>
  <c r="FW125" i="2"/>
  <c r="FX125" i="2"/>
  <c r="FY125" i="2"/>
  <c r="FZ125" i="2"/>
  <c r="GA125" i="2"/>
  <c r="GB125" i="2"/>
  <c r="GC125" i="2"/>
  <c r="GD125" i="2"/>
  <c r="GE125" i="2"/>
  <c r="GF125" i="2"/>
  <c r="GG125" i="2"/>
  <c r="GH125" i="2"/>
  <c r="GI125" i="2"/>
  <c r="GJ125" i="2"/>
  <c r="GK125" i="2"/>
  <c r="GL125" i="2"/>
  <c r="GM125" i="2"/>
  <c r="GN125" i="2"/>
  <c r="GO125" i="2"/>
  <c r="GP125" i="2"/>
  <c r="GQ125" i="2"/>
  <c r="GR125" i="2"/>
  <c r="GS125" i="2"/>
  <c r="GT125" i="2"/>
  <c r="GU125" i="2"/>
  <c r="GV125" i="2"/>
  <c r="GW125" i="2"/>
  <c r="GX125" i="2"/>
  <c r="AS111" i="2"/>
  <c r="AT111" i="2"/>
  <c r="AU111" i="2"/>
  <c r="AV111" i="2"/>
  <c r="AW111" i="2"/>
  <c r="AX111" i="2"/>
  <c r="AY111" i="2"/>
  <c r="AZ111" i="2"/>
  <c r="BA111" i="2"/>
  <c r="BB111" i="2"/>
  <c r="BC111" i="2"/>
  <c r="BD111" i="2"/>
  <c r="BE111" i="2"/>
  <c r="BF111" i="2"/>
  <c r="BG111" i="2"/>
  <c r="BH111" i="2"/>
  <c r="BI111" i="2"/>
  <c r="BJ111" i="2"/>
  <c r="BK111" i="2"/>
  <c r="BL111" i="2"/>
  <c r="BM111" i="2"/>
  <c r="BN111" i="2"/>
  <c r="BO111" i="2"/>
  <c r="BP111" i="2"/>
  <c r="BQ111" i="2"/>
  <c r="BR111" i="2"/>
  <c r="BS111" i="2"/>
  <c r="BT111" i="2"/>
  <c r="BU111" i="2"/>
  <c r="BV111" i="2"/>
  <c r="BW111" i="2"/>
  <c r="BX111" i="2"/>
  <c r="BY111" i="2"/>
  <c r="BZ111" i="2"/>
  <c r="CA111" i="2"/>
  <c r="CB111" i="2"/>
  <c r="CC111" i="2"/>
  <c r="CD111" i="2"/>
  <c r="CE111" i="2"/>
  <c r="CF111" i="2"/>
  <c r="CG111" i="2"/>
  <c r="CH111" i="2"/>
  <c r="CI111" i="2"/>
  <c r="CJ111" i="2"/>
  <c r="CK111" i="2"/>
  <c r="CL111" i="2"/>
  <c r="CM111" i="2"/>
  <c r="CN111" i="2"/>
  <c r="CO111" i="2"/>
  <c r="CP111" i="2"/>
  <c r="CQ111" i="2"/>
  <c r="CR111" i="2"/>
  <c r="CS111" i="2"/>
  <c r="CT111" i="2"/>
  <c r="CU111" i="2"/>
  <c r="CV111" i="2"/>
  <c r="CW111" i="2"/>
  <c r="CX111" i="2"/>
  <c r="CY111" i="2"/>
  <c r="CZ111" i="2"/>
  <c r="DA111" i="2"/>
  <c r="DB111" i="2"/>
  <c r="DC111" i="2"/>
  <c r="DD111" i="2"/>
  <c r="DE111" i="2"/>
  <c r="DF111" i="2"/>
  <c r="DG111" i="2"/>
  <c r="DH111" i="2"/>
  <c r="DI111" i="2"/>
  <c r="DJ111" i="2"/>
  <c r="DK111" i="2"/>
  <c r="DL111" i="2"/>
  <c r="DM111" i="2"/>
  <c r="DN111" i="2"/>
  <c r="DO111" i="2"/>
  <c r="DP111" i="2"/>
  <c r="DQ111" i="2"/>
  <c r="DR111" i="2"/>
  <c r="DS111" i="2"/>
  <c r="DT111" i="2"/>
  <c r="DU111" i="2"/>
  <c r="DV111" i="2"/>
  <c r="DW111" i="2"/>
  <c r="DX111" i="2"/>
  <c r="DY111" i="2"/>
  <c r="DZ111" i="2"/>
  <c r="EA111" i="2"/>
  <c r="EB111" i="2"/>
  <c r="EC111" i="2"/>
  <c r="ED111" i="2"/>
  <c r="EE111" i="2"/>
  <c r="EF111" i="2"/>
  <c r="EG111" i="2"/>
  <c r="EH111" i="2"/>
  <c r="EI111" i="2"/>
  <c r="EJ111" i="2"/>
  <c r="EK111" i="2"/>
  <c r="EL111" i="2"/>
  <c r="EM111" i="2"/>
  <c r="EN111" i="2"/>
  <c r="EO111" i="2"/>
  <c r="EP111" i="2"/>
  <c r="EQ111" i="2"/>
  <c r="ER111" i="2"/>
  <c r="ES111" i="2"/>
  <c r="ET111" i="2"/>
  <c r="EU111" i="2"/>
  <c r="EV111" i="2"/>
  <c r="EW111" i="2"/>
  <c r="EX111" i="2"/>
  <c r="EY111" i="2"/>
  <c r="EZ111" i="2"/>
  <c r="FA111" i="2"/>
  <c r="FB111" i="2"/>
  <c r="FC111" i="2"/>
  <c r="FD111" i="2"/>
  <c r="FE111" i="2"/>
  <c r="FF111" i="2"/>
  <c r="FG111" i="2"/>
  <c r="FH111" i="2"/>
  <c r="FI111" i="2"/>
  <c r="FJ111" i="2"/>
  <c r="FK111" i="2"/>
  <c r="FL111" i="2"/>
  <c r="FM111" i="2"/>
  <c r="FN111" i="2"/>
  <c r="FO111" i="2"/>
  <c r="FP111" i="2"/>
  <c r="FQ111" i="2"/>
  <c r="FR111" i="2"/>
  <c r="FS111" i="2"/>
  <c r="FT111" i="2"/>
  <c r="FU111" i="2"/>
  <c r="FV111" i="2"/>
  <c r="FW111" i="2"/>
  <c r="FX111" i="2"/>
  <c r="FY111" i="2"/>
  <c r="FZ111" i="2"/>
  <c r="GA111" i="2"/>
  <c r="GB111" i="2"/>
  <c r="GC111" i="2"/>
  <c r="GD111" i="2"/>
  <c r="GE111" i="2"/>
  <c r="GF111" i="2"/>
  <c r="GG111" i="2"/>
  <c r="GH111" i="2"/>
  <c r="GI111" i="2"/>
  <c r="GJ111" i="2"/>
  <c r="GK111" i="2"/>
  <c r="GL111" i="2"/>
  <c r="GM111" i="2"/>
  <c r="GN111" i="2"/>
  <c r="GO111" i="2"/>
  <c r="GP111" i="2"/>
  <c r="GQ111" i="2"/>
  <c r="GR111" i="2"/>
  <c r="GS111" i="2"/>
  <c r="GT111" i="2"/>
  <c r="GU111" i="2"/>
  <c r="GV111" i="2"/>
  <c r="GW111" i="2"/>
  <c r="GX111" i="2"/>
  <c r="A31" i="8"/>
  <c r="B30" i="8"/>
  <c r="C13" i="8" a="1"/>
  <c r="D13" i="8" a="1"/>
  <c r="D22" i="8" a="1"/>
  <c r="C22" i="8" a="1"/>
  <c r="W140" i="2" a="1"/>
  <c r="W149" i="2" a="1"/>
  <c r="W157" i="2" a="1"/>
  <c r="W128" i="2"/>
  <c r="B5" i="7" a="1"/>
  <c r="W151" i="2" a="1"/>
  <c r="W137" i="2" a="1"/>
  <c r="W156" i="2" a="1"/>
  <c r="W199" i="2" a="1"/>
  <c r="W132" i="2" a="1"/>
  <c r="W153" i="2" a="1"/>
  <c r="W134" i="2" a="1"/>
  <c r="W207" i="2" a="1"/>
  <c r="W197" i="2" a="1"/>
  <c r="W201" i="2" a="1"/>
  <c r="W144" i="2" a="1"/>
  <c r="W145" i="2" a="1"/>
  <c r="W143" i="2" a="1"/>
  <c r="W215" i="2" a="1"/>
  <c r="W216" i="2" a="1"/>
  <c r="W205" i="2" a="1"/>
  <c r="W206" i="2" a="1"/>
  <c r="W204" i="2" a="1"/>
  <c r="W203" i="2" a="1"/>
  <c r="W141" i="2" a="1"/>
  <c r="W146" i="2" a="1"/>
  <c r="W131" i="2" a="1"/>
  <c r="W158" i="2" a="1"/>
  <c r="W135" i="2" a="1"/>
  <c r="W138" i="2" a="1"/>
  <c r="W133" i="2" a="1"/>
  <c r="W155" i="2" a="1"/>
  <c r="W159" i="2" a="1"/>
  <c r="W150" i="2" a="1"/>
  <c r="W147" i="2" a="1"/>
  <c r="W152" i="2" a="1"/>
  <c r="W139" i="2" a="1"/>
  <c r="W198" i="2" a="1"/>
  <c r="W200" i="2" a="1"/>
  <c r="Z1" i="2"/>
  <c r="A8" i="7" a="1"/>
  <c r="AG2" i="2"/>
  <c r="AF128" i="2"/>
  <c r="B14" i="7" a="1"/>
  <c r="X216" i="2" a="1"/>
  <c r="X201" i="2" a="1"/>
  <c r="X215" i="2" a="1"/>
  <c r="X205" i="2" a="1"/>
  <c r="X198" i="2" a="1"/>
  <c r="X199" i="2" a="1"/>
  <c r="X200" i="2" a="1"/>
  <c r="X197" i="2" a="1"/>
  <c r="X204" i="2" a="1"/>
  <c r="X207" i="2" a="1"/>
  <c r="X203" i="2" a="1"/>
  <c r="X206" i="2" a="1"/>
  <c r="X131" i="2" a="1"/>
  <c r="X132" i="2" a="1"/>
  <c r="X135" i="2" a="1"/>
  <c r="X133" i="2" a="1"/>
  <c r="X137" i="2" a="1"/>
  <c r="X138" i="2" a="1"/>
  <c r="X141" i="2" a="1"/>
  <c r="X134" i="2" a="1"/>
  <c r="X140" i="2" a="1"/>
  <c r="X139" i="2" a="1"/>
  <c r="X145" i="2" a="1"/>
  <c r="X143" i="2" a="1"/>
  <c r="X149" i="2" a="1"/>
  <c r="X147" i="2" a="1"/>
  <c r="X151" i="2" a="1"/>
  <c r="X150" i="2" a="1"/>
  <c r="X146" i="2" a="1"/>
  <c r="X144" i="2" a="1"/>
  <c r="X152" i="2" a="1"/>
  <c r="X153" i="2" a="1"/>
  <c r="X159" i="2" a="1"/>
  <c r="X156" i="2" a="1"/>
  <c r="X157" i="2" a="1"/>
  <c r="X155" i="2" a="1"/>
  <c r="X158" i="2" a="1"/>
  <c r="A32" i="8"/>
  <c r="B31" i="8"/>
  <c r="D23" i="8" a="1"/>
  <c r="C23" i="8" a="1"/>
  <c r="AA1" i="2"/>
  <c r="A9" i="7" a="1"/>
  <c r="AH2" i="2"/>
  <c r="AG128" i="2"/>
  <c r="B15" i="7" a="1"/>
  <c r="Y201" i="2" a="1"/>
  <c r="Y216" i="2" a="1"/>
  <c r="Y205" i="2" a="1"/>
  <c r="Y198" i="2" a="1"/>
  <c r="Y199" i="2" a="1"/>
  <c r="Y200" i="2" a="1"/>
  <c r="Y197" i="2" a="1"/>
  <c r="Y207" i="2" a="1"/>
  <c r="Y204" i="2" a="1"/>
  <c r="Y206" i="2" a="1"/>
  <c r="Y203" i="2" a="1"/>
  <c r="Y215" i="2" a="1"/>
  <c r="Y131" i="2" a="1"/>
  <c r="Y132" i="2" a="1"/>
  <c r="Y135" i="2" a="1"/>
  <c r="Y133" i="2" a="1"/>
  <c r="Y134" i="2" a="1"/>
  <c r="Y137" i="2" a="1"/>
  <c r="Y138" i="2" a="1"/>
  <c r="Y143" i="2" a="1"/>
  <c r="Y140" i="2" a="1"/>
  <c r="Y141" i="2" a="1"/>
  <c r="Y144" i="2" a="1"/>
  <c r="Y147" i="2" a="1"/>
  <c r="Y146" i="2" a="1"/>
  <c r="Y139" i="2" a="1"/>
  <c r="Y151" i="2" a="1"/>
  <c r="Y149" i="2" a="1"/>
  <c r="Y145" i="2" a="1"/>
  <c r="Y155" i="2" a="1"/>
  <c r="Y150" i="2" a="1"/>
  <c r="Y152" i="2" a="1"/>
  <c r="Y153" i="2" a="1"/>
  <c r="Y159" i="2" a="1"/>
  <c r="Y156" i="2" a="1"/>
  <c r="Y158" i="2" a="1"/>
  <c r="Y157" i="2" a="1"/>
  <c r="A33" i="8"/>
  <c r="B32" i="8"/>
  <c r="D24" i="8" a="1"/>
  <c r="C24" i="8" a="1"/>
  <c r="AB1" i="2"/>
  <c r="A10" i="7" a="1"/>
  <c r="AI2" i="2"/>
  <c r="AH128" i="2"/>
  <c r="B16" i="7" a="1"/>
  <c r="Z199" i="2" a="1"/>
  <c r="Z204" i="2" a="1"/>
  <c r="Z200" i="2" a="1"/>
  <c r="Z201" i="2" a="1"/>
  <c r="Z205" i="2" a="1"/>
  <c r="Z203" i="2" a="1"/>
  <c r="Z215" i="2" a="1"/>
  <c r="Z206" i="2" a="1"/>
  <c r="Z207" i="2" a="1"/>
  <c r="Z216" i="2" a="1"/>
  <c r="Z198" i="2" a="1"/>
  <c r="Z197" i="2" a="1"/>
  <c r="Z137" i="2" a="1"/>
  <c r="Z131" i="2" a="1"/>
  <c r="Z132" i="2" a="1"/>
  <c r="Z135" i="2" a="1"/>
  <c r="Z138" i="2" a="1"/>
  <c r="Z133" i="2" a="1"/>
  <c r="Z139" i="2" a="1"/>
  <c r="Z141" i="2" a="1"/>
  <c r="Z143" i="2" a="1"/>
  <c r="Z144" i="2" a="1"/>
  <c r="Z147" i="2" a="1"/>
  <c r="Z140" i="2" a="1"/>
  <c r="Z134" i="2" a="1"/>
  <c r="Z146" i="2" a="1"/>
  <c r="Z149" i="2" a="1"/>
  <c r="Z151" i="2" a="1"/>
  <c r="Z150" i="2" a="1"/>
  <c r="Z145" i="2" a="1"/>
  <c r="Z155" i="2" a="1"/>
  <c r="Z152" i="2" a="1"/>
  <c r="Z153" i="2" a="1"/>
  <c r="Z159" i="2" a="1"/>
  <c r="Z156" i="2" a="1"/>
  <c r="Z157" i="2" a="1"/>
  <c r="Z158" i="2" a="1"/>
  <c r="A34" i="8"/>
  <c r="B33" i="8"/>
  <c r="D25" i="8" a="1"/>
  <c r="C25" i="8" a="1"/>
  <c r="AC1" i="2"/>
  <c r="A11" i="7" a="1"/>
  <c r="AJ2" i="2"/>
  <c r="AI128" i="2"/>
  <c r="B17" i="7" a="1"/>
  <c r="AB204" i="2" a="1"/>
  <c r="AA131" i="2" a="1"/>
  <c r="AA132" i="2" a="1"/>
  <c r="AA137" i="2" a="1"/>
  <c r="AA135" i="2" a="1"/>
  <c r="AA134" i="2" a="1"/>
  <c r="AA139" i="2" a="1"/>
  <c r="AA138" i="2" a="1"/>
  <c r="AA143" i="2" a="1"/>
  <c r="AA144" i="2" a="1"/>
  <c r="AA147" i="2" a="1"/>
  <c r="AA133" i="2" a="1"/>
  <c r="AA140" i="2" a="1"/>
  <c r="AA145" i="2" a="1"/>
  <c r="AA146" i="2" a="1"/>
  <c r="AA151" i="2" a="1"/>
  <c r="AA141" i="2" a="1"/>
  <c r="AA156" i="2" a="1"/>
  <c r="AA149" i="2" a="1"/>
  <c r="AA155" i="2" a="1"/>
  <c r="AA150" i="2" a="1"/>
  <c r="AA152" i="2" a="1"/>
  <c r="AA158" i="2" a="1"/>
  <c r="AA157" i="2" a="1"/>
  <c r="AA153" i="2" a="1"/>
  <c r="AA159" i="2" a="1"/>
  <c r="A35" i="8"/>
  <c r="B34" i="8"/>
  <c r="C26" i="8" a="1"/>
  <c r="D26" i="8" a="1"/>
  <c r="AD1" i="2"/>
  <c r="A12" i="7" a="1"/>
  <c r="AK2" i="2"/>
  <c r="AJ128" i="2"/>
  <c r="B18" i="7" a="1"/>
  <c r="AB197" i="2" a="1"/>
  <c r="AB198" i="2" a="1"/>
  <c r="AB215" i="2" a="1"/>
  <c r="AB205" i="2" a="1"/>
  <c r="AB201" i="2" a="1"/>
  <c r="AB199" i="2" a="1"/>
  <c r="AB200" i="2" a="1"/>
  <c r="AB203" i="2" a="1"/>
  <c r="AB216" i="2" a="1"/>
  <c r="AB207" i="2" a="1"/>
  <c r="AB206" i="2" a="1"/>
  <c r="AB131" i="2" a="1"/>
  <c r="AB132" i="2" a="1"/>
  <c r="AB134" i="2" a="1"/>
  <c r="AB135" i="2" a="1"/>
  <c r="AB133" i="2" a="1"/>
  <c r="AB139" i="2" a="1"/>
  <c r="AB137" i="2" a="1"/>
  <c r="AB140" i="2" a="1"/>
  <c r="AB145" i="2" a="1"/>
  <c r="AB143" i="2" a="1"/>
  <c r="AB144" i="2" a="1"/>
  <c r="AB147" i="2" a="1"/>
  <c r="AB138" i="2" a="1"/>
  <c r="AB141" i="2" a="1"/>
  <c r="AB146" i="2" a="1"/>
  <c r="AB149" i="2" a="1"/>
  <c r="AB151" i="2" a="1"/>
  <c r="AB155" i="2" a="1"/>
  <c r="AB150" i="2" a="1"/>
  <c r="AB153" i="2" a="1"/>
  <c r="AB158" i="2" a="1"/>
  <c r="AB157" i="2" a="1"/>
  <c r="AB152" i="2" a="1"/>
  <c r="AB156" i="2" a="1"/>
  <c r="AB159" i="2" a="1"/>
  <c r="A36" i="8"/>
  <c r="B35" i="8"/>
  <c r="D27" i="8" a="1"/>
  <c r="C27" i="8" a="1"/>
  <c r="AE1" i="2"/>
  <c r="A13" i="7" a="1"/>
  <c r="AL2" i="2"/>
  <c r="AK128" i="2"/>
  <c r="B19" i="7" a="1"/>
  <c r="AC200" i="2" a="1"/>
  <c r="AC216" i="2" a="1"/>
  <c r="AC215" i="2" a="1"/>
  <c r="AC197" i="2" a="1"/>
  <c r="AC205" i="2" a="1"/>
  <c r="AC203" i="2" a="1"/>
  <c r="AC201" i="2" a="1"/>
  <c r="AC207" i="2" a="1"/>
  <c r="AC206" i="2" a="1"/>
  <c r="AC204" i="2" a="1"/>
  <c r="AC198" i="2" a="1"/>
  <c r="AC199" i="2" a="1"/>
  <c r="AD201" i="2" a="1"/>
  <c r="AC131" i="2" a="1"/>
  <c r="AC132" i="2" a="1"/>
  <c r="AC134" i="2" a="1"/>
  <c r="AC137" i="2" a="1"/>
  <c r="AC135" i="2" a="1"/>
  <c r="AC140" i="2" a="1"/>
  <c r="AC139" i="2" a="1"/>
  <c r="AC133" i="2" a="1"/>
  <c r="AC138" i="2" a="1"/>
  <c r="AC141" i="2" a="1"/>
  <c r="AC143" i="2" a="1"/>
  <c r="AC144" i="2" a="1"/>
  <c r="AC146" i="2" a="1"/>
  <c r="AC147" i="2" a="1"/>
  <c r="AC149" i="2" a="1"/>
  <c r="AC145" i="2" a="1"/>
  <c r="AC156" i="2" a="1"/>
  <c r="AC151" i="2" a="1"/>
  <c r="AC155" i="2" a="1"/>
  <c r="AC150" i="2" a="1"/>
  <c r="AC152" i="2" a="1"/>
  <c r="AC158" i="2" a="1"/>
  <c r="AC159" i="2" a="1"/>
  <c r="AC153" i="2" a="1"/>
  <c r="AC157" i="2" a="1"/>
  <c r="A37" i="8"/>
  <c r="B36" i="8"/>
  <c r="D28" i="8" a="1"/>
  <c r="C28" i="8" a="1"/>
  <c r="AF1" i="2"/>
  <c r="A14" i="7" a="1"/>
  <c r="AM2" i="2"/>
  <c r="AL128" i="2"/>
  <c r="B20" i="7" a="1"/>
  <c r="AD197" i="2" a="1"/>
  <c r="AD215" i="2" a="1"/>
  <c r="AD203" i="2" a="1"/>
  <c r="AD207" i="2" a="1"/>
  <c r="AD200" i="2" a="1"/>
  <c r="AD198" i="2" a="1"/>
  <c r="AD199" i="2" a="1"/>
  <c r="AD216" i="2" a="1"/>
  <c r="AD205" i="2" a="1"/>
  <c r="AD204" i="2" a="1"/>
  <c r="AD206" i="2" a="1"/>
  <c r="AE201" i="2" a="1"/>
  <c r="AD131" i="2" a="1"/>
  <c r="AD134" i="2" a="1"/>
  <c r="AD132" i="2" a="1"/>
  <c r="AD137" i="2" a="1"/>
  <c r="AD133" i="2" a="1"/>
  <c r="AD141" i="2" a="1"/>
  <c r="AD140" i="2" a="1"/>
  <c r="AD139" i="2" a="1"/>
  <c r="AD135" i="2" a="1"/>
  <c r="AD146" i="2" a="1"/>
  <c r="AD145" i="2" a="1"/>
  <c r="AD144" i="2" a="1"/>
  <c r="AD147" i="2" a="1"/>
  <c r="AD143" i="2" a="1"/>
  <c r="AD138" i="2" a="1"/>
  <c r="AD149" i="2" a="1"/>
  <c r="AD151" i="2" a="1"/>
  <c r="AD156" i="2" a="1"/>
  <c r="AD150" i="2" a="1"/>
  <c r="AD155" i="2" a="1"/>
  <c r="AD152" i="2" a="1"/>
  <c r="AD159" i="2" a="1"/>
  <c r="AD153" i="2" a="1"/>
  <c r="AD158" i="2" a="1"/>
  <c r="AD157" i="2" a="1"/>
  <c r="A38" i="8"/>
  <c r="B37" i="8"/>
  <c r="C29" i="8" a="1"/>
  <c r="D29" i="8" a="1"/>
  <c r="AG1" i="2"/>
  <c r="A15" i="7" a="1"/>
  <c r="AM128" i="2"/>
  <c r="B21" i="7" a="1"/>
  <c r="AN2" i="2"/>
  <c r="AM222" i="2"/>
  <c r="AE206" i="2" a="1"/>
  <c r="AE215" i="2" a="1"/>
  <c r="AE200" i="2" a="1"/>
  <c r="AE216" i="2" a="1"/>
  <c r="AE197" i="2" a="1"/>
  <c r="AE205" i="2" a="1"/>
  <c r="AE207" i="2" a="1"/>
  <c r="AE198" i="2" a="1"/>
  <c r="AE199" i="2" a="1"/>
  <c r="AE204" i="2" a="1"/>
  <c r="AE203" i="2" a="1"/>
  <c r="AF197" i="2" a="1"/>
  <c r="AE132" i="2" a="1"/>
  <c r="AE131" i="2" a="1"/>
  <c r="AE134" i="2" a="1"/>
  <c r="AE141" i="2" a="1"/>
  <c r="AE140" i="2" a="1"/>
  <c r="AE137" i="2" a="1"/>
  <c r="AE139" i="2" a="1"/>
  <c r="AE133" i="2" a="1"/>
  <c r="AE135" i="2" a="1"/>
  <c r="AE138" i="2" a="1"/>
  <c r="AE145" i="2" a="1"/>
  <c r="AE144" i="2" a="1"/>
  <c r="AE146" i="2" a="1"/>
  <c r="AE147" i="2" a="1"/>
  <c r="AE149" i="2" a="1"/>
  <c r="AE143" i="2" a="1"/>
  <c r="AE152" i="2" a="1"/>
  <c r="AE153" i="2" a="1"/>
  <c r="AE151" i="2" a="1"/>
  <c r="AE156" i="2" a="1"/>
  <c r="AE158" i="2" a="1"/>
  <c r="AE159" i="2" a="1"/>
  <c r="AE155" i="2" a="1"/>
  <c r="AE150" i="2" a="1"/>
  <c r="AE157" i="2" a="1"/>
  <c r="A39" i="8"/>
  <c r="B38" i="8"/>
  <c r="D30" i="8" a="1"/>
  <c r="C30" i="8" a="1"/>
  <c r="AH1" i="2"/>
  <c r="A16" i="7" a="1"/>
  <c r="AN128" i="2"/>
  <c r="B22" i="7" a="1"/>
  <c r="AN222" i="2"/>
  <c r="AO2" i="2"/>
  <c r="AF206" i="2" a="1"/>
  <c r="AF201" i="2" a="1"/>
  <c r="AF200" i="2" a="1"/>
  <c r="AF207" i="2" a="1"/>
  <c r="AF205" i="2" a="1"/>
  <c r="AF204" i="2" a="1"/>
  <c r="AF215" i="2" a="1"/>
  <c r="AF203" i="2" a="1"/>
  <c r="AF198" i="2" a="1"/>
  <c r="AF216" i="2" a="1"/>
  <c r="AF199" i="2" a="1"/>
  <c r="AG197" i="2" a="1"/>
  <c r="AF132" i="2" a="1"/>
  <c r="AF131" i="2" a="1"/>
  <c r="AF137" i="2" a="1"/>
  <c r="AF133" i="2" a="1"/>
  <c r="AF138" i="2" a="1"/>
  <c r="AF141" i="2" a="1"/>
  <c r="AF143" i="2" a="1"/>
  <c r="AF140" i="2" a="1"/>
  <c r="AF139" i="2" a="1"/>
  <c r="AF135" i="2" a="1"/>
  <c r="AF134" i="2" a="1"/>
  <c r="AF146" i="2" a="1"/>
  <c r="AF145" i="2" a="1"/>
  <c r="AF147" i="2" a="1"/>
  <c r="AF144" i="2" a="1"/>
  <c r="AF151" i="2" a="1"/>
  <c r="AF152" i="2" a="1"/>
  <c r="AF149" i="2" a="1"/>
  <c r="AF156" i="2" a="1"/>
  <c r="AF150" i="2" a="1"/>
  <c r="AF155" i="2" a="1"/>
  <c r="AF153" i="2" a="1"/>
  <c r="AF158" i="2" a="1"/>
  <c r="AF159" i="2" a="1"/>
  <c r="AF157" i="2" a="1"/>
  <c r="A40" i="8"/>
  <c r="B39" i="8"/>
  <c r="D31" i="8" a="1"/>
  <c r="C31" i="8" a="1"/>
  <c r="AI1" i="2"/>
  <c r="A17" i="7" a="1"/>
  <c r="AO128" i="2"/>
  <c r="B23" i="7" a="1"/>
  <c r="AP2" i="2"/>
  <c r="AO222" i="2"/>
  <c r="AG207" i="2" a="1"/>
  <c r="AG204" i="2" a="1"/>
  <c r="AG201" i="2" a="1"/>
  <c r="AG203" i="2" a="1"/>
  <c r="AG198" i="2" a="1"/>
  <c r="AG216" i="2" a="1"/>
  <c r="AG215" i="2" a="1"/>
  <c r="AG206" i="2" a="1"/>
  <c r="AG200" i="2" a="1"/>
  <c r="AG205" i="2" a="1"/>
  <c r="AG199" i="2" a="1"/>
  <c r="AH199" i="2" a="1"/>
  <c r="AG132" i="2" a="1"/>
  <c r="AG131" i="2" a="1"/>
  <c r="AG133" i="2" a="1"/>
  <c r="AG134" i="2" a="1"/>
  <c r="AG135" i="2" a="1"/>
  <c r="AG138" i="2" a="1"/>
  <c r="AG140" i="2" a="1"/>
  <c r="AG137" i="2" a="1"/>
  <c r="AG146" i="2" a="1"/>
  <c r="AG145" i="2" a="1"/>
  <c r="AG139" i="2" a="1"/>
  <c r="AG144" i="2" a="1"/>
  <c r="AG147" i="2" a="1"/>
  <c r="AG141" i="2" a="1"/>
  <c r="AG143" i="2" a="1"/>
  <c r="AG149" i="2" a="1"/>
  <c r="AG152" i="2" a="1"/>
  <c r="AG153" i="2" a="1"/>
  <c r="AG151" i="2" a="1"/>
  <c r="AG156" i="2" a="1"/>
  <c r="AG150" i="2" a="1"/>
  <c r="AG158" i="2" a="1"/>
  <c r="AG159" i="2" a="1"/>
  <c r="AG155" i="2" a="1"/>
  <c r="AG157" i="2" a="1"/>
  <c r="A41" i="8"/>
  <c r="B40" i="8"/>
  <c r="C32" i="8" a="1"/>
  <c r="D32" i="8" a="1"/>
  <c r="AJ1" i="2"/>
  <c r="A18" i="7" a="1"/>
  <c r="AP128" i="2"/>
  <c r="B24" i="7" a="1"/>
  <c r="AQ2" i="2"/>
  <c r="AP222" i="2"/>
  <c r="AH204" i="2" a="1"/>
  <c r="AH216" i="2" a="1"/>
  <c r="AH200" i="2" a="1"/>
  <c r="AH198" i="2" a="1"/>
  <c r="AH197" i="2" a="1"/>
  <c r="AH203" i="2" a="1"/>
  <c r="AH215" i="2" a="1"/>
  <c r="AH207" i="2" a="1"/>
  <c r="AH201" i="2" a="1"/>
  <c r="AH206" i="2" a="1"/>
  <c r="AH205" i="2" a="1"/>
  <c r="AI205" i="2" a="1"/>
  <c r="AH132" i="2" a="1"/>
  <c r="AH131" i="2" a="1"/>
  <c r="AH135" i="2" a="1"/>
  <c r="AH133" i="2" a="1"/>
  <c r="AH134" i="2" a="1"/>
  <c r="AH141" i="2" a="1"/>
  <c r="AH138" i="2" a="1"/>
  <c r="AH140" i="2" a="1"/>
  <c r="AH139" i="2" a="1"/>
  <c r="AH137" i="2" a="1"/>
  <c r="AH146" i="2" a="1"/>
  <c r="AH145" i="2" a="1"/>
  <c r="AH143" i="2" a="1"/>
  <c r="AH147" i="2" a="1"/>
  <c r="AH144" i="2" a="1"/>
  <c r="AH152" i="2" a="1"/>
  <c r="AH155" i="2" a="1"/>
  <c r="AH153" i="2" a="1"/>
  <c r="AH149" i="2" a="1"/>
  <c r="AH151" i="2" a="1"/>
  <c r="AH156" i="2" a="1"/>
  <c r="AH150" i="2" a="1"/>
  <c r="AH157" i="2" a="1"/>
  <c r="AH159" i="2" a="1"/>
  <c r="AH158" i="2" a="1"/>
  <c r="A42" i="8"/>
  <c r="B41" i="8"/>
  <c r="C33" i="8" a="1"/>
  <c r="D33" i="8" a="1"/>
  <c r="AK1" i="2"/>
  <c r="A19" i="7" a="1"/>
  <c r="AQ128" i="2"/>
  <c r="B25" i="7" a="1"/>
  <c r="AR2" i="2"/>
  <c r="AQ222" i="2"/>
  <c r="AI200" i="2" a="1"/>
  <c r="AI207" i="2" a="1"/>
  <c r="AI197" i="2" a="1"/>
  <c r="AI201" i="2" a="1"/>
  <c r="AI198" i="2" a="1"/>
  <c r="AI199" i="2" a="1"/>
  <c r="AI206" i="2" a="1"/>
  <c r="AI204" i="2" a="1"/>
  <c r="AI215" i="2" a="1"/>
  <c r="AI216" i="2" a="1"/>
  <c r="AI203" i="2" a="1"/>
  <c r="AI132" i="2" a="1"/>
  <c r="AI131" i="2" a="1"/>
  <c r="AI137" i="2" a="1"/>
  <c r="AI135" i="2" a="1"/>
  <c r="AI133" i="2" a="1"/>
  <c r="AI134" i="2" a="1"/>
  <c r="AI138" i="2" a="1"/>
  <c r="AI141" i="2" a="1"/>
  <c r="AI139" i="2" a="1"/>
  <c r="AI143" i="2" a="1"/>
  <c r="AI146" i="2" a="1"/>
  <c r="AI140" i="2" a="1"/>
  <c r="AI145" i="2" a="1"/>
  <c r="AI147" i="2" a="1"/>
  <c r="AI144" i="2" a="1"/>
  <c r="AI152" i="2" a="1"/>
  <c r="AI155" i="2" a="1"/>
  <c r="AI153" i="2" a="1"/>
  <c r="AI149" i="2" a="1"/>
  <c r="AI151" i="2" a="1"/>
  <c r="AI157" i="2" a="1"/>
  <c r="AI158" i="2" a="1"/>
  <c r="AI156" i="2" a="1"/>
  <c r="AI150" i="2" a="1"/>
  <c r="AI159" i="2" a="1"/>
  <c r="A43" i="8"/>
  <c r="B42" i="8"/>
  <c r="D34" i="8" a="1"/>
  <c r="C34" i="8" a="1"/>
  <c r="AL1" i="2"/>
  <c r="A20" i="7" a="1"/>
  <c r="AR222" i="2"/>
  <c r="AR128" i="2"/>
  <c r="B26" i="7" a="1"/>
  <c r="AJ199" i="2" a="1"/>
  <c r="AJ216" i="2" a="1"/>
  <c r="AJ215" i="2" a="1"/>
  <c r="AJ206" i="2" a="1"/>
  <c r="AJ204" i="2" a="1"/>
  <c r="AJ200" i="2" a="1"/>
  <c r="AJ197" i="2" a="1"/>
  <c r="AJ203" i="2" a="1"/>
  <c r="AJ201" i="2" a="1"/>
  <c r="AJ205" i="2" a="1"/>
  <c r="AJ198" i="2" a="1"/>
  <c r="AJ207" i="2" a="1"/>
  <c r="AK201" i="2" a="1"/>
  <c r="AJ132" i="2" a="1"/>
  <c r="AJ131" i="2" a="1"/>
  <c r="AJ135" i="2" a="1"/>
  <c r="AJ137" i="2" a="1"/>
  <c r="AJ133" i="2" a="1"/>
  <c r="AJ134" i="2" a="1"/>
  <c r="AJ138" i="2" a="1"/>
  <c r="AJ141" i="2" a="1"/>
  <c r="AJ140" i="2" a="1"/>
  <c r="AJ143" i="2" a="1"/>
  <c r="AJ145" i="2" a="1"/>
  <c r="AJ144" i="2" a="1"/>
  <c r="AJ139" i="2" a="1"/>
  <c r="AJ146" i="2" a="1"/>
  <c r="AJ151" i="2" a="1"/>
  <c r="AJ150" i="2" a="1"/>
  <c r="AJ152" i="2" a="1"/>
  <c r="AJ155" i="2" a="1"/>
  <c r="AJ153" i="2" a="1"/>
  <c r="AJ147" i="2" a="1"/>
  <c r="AJ149" i="2" a="1"/>
  <c r="AJ159" i="2" a="1"/>
  <c r="AJ157" i="2" a="1"/>
  <c r="AJ158" i="2" a="1"/>
  <c r="AJ156" i="2" a="1"/>
  <c r="A44" i="8"/>
  <c r="B43" i="8"/>
  <c r="AM1" i="2"/>
  <c r="A21" i="7" a="1"/>
  <c r="AK197" i="2" a="1"/>
  <c r="AK204" i="2" a="1"/>
  <c r="AK198" i="2" a="1"/>
  <c r="AK200" i="2" a="1"/>
  <c r="AK216" i="2" a="1"/>
  <c r="AK199" i="2" a="1"/>
  <c r="AK207" i="2" a="1"/>
  <c r="AK206" i="2" a="1"/>
  <c r="AK215" i="2" a="1"/>
  <c r="AK203" i="2" a="1"/>
  <c r="AK205" i="2" a="1"/>
  <c r="AL215" i="2" a="1"/>
  <c r="AK132" i="2" a="1"/>
  <c r="AK131" i="2" a="1"/>
  <c r="AK133" i="2" a="1"/>
  <c r="AK134" i="2" a="1"/>
  <c r="AK141" i="2" a="1"/>
  <c r="AK135" i="2" a="1"/>
  <c r="AK137" i="2" a="1"/>
  <c r="AK139" i="2" a="1"/>
  <c r="AK143" i="2" a="1"/>
  <c r="AK146" i="2" a="1"/>
  <c r="AK140" i="2" a="1"/>
  <c r="AK138" i="2" a="1"/>
  <c r="AK144" i="2" a="1"/>
  <c r="AK149" i="2" a="1"/>
  <c r="AK147" i="2" a="1"/>
  <c r="AK150" i="2" a="1"/>
  <c r="AK152" i="2" a="1"/>
  <c r="AK155" i="2" a="1"/>
  <c r="AK145" i="2" a="1"/>
  <c r="AK153" i="2" a="1"/>
  <c r="AK159" i="2" a="1"/>
  <c r="AK157" i="2" a="1"/>
  <c r="AK158" i="2" a="1"/>
  <c r="AK156" i="2" a="1"/>
  <c r="AK151" i="2" a="1"/>
  <c r="A45" i="8"/>
  <c r="B44" i="8"/>
  <c r="AN1" i="2"/>
  <c r="A22" i="7" a="1"/>
  <c r="AL204" i="2" a="1"/>
  <c r="AL199" i="2" a="1"/>
  <c r="AL203" i="2" a="1"/>
  <c r="AL197" i="2" a="1"/>
  <c r="AL200" i="2" a="1"/>
  <c r="AL198" i="2" a="1"/>
  <c r="AL206" i="2" a="1"/>
  <c r="AL205" i="2" a="1"/>
  <c r="AL201" i="2" a="1"/>
  <c r="AL216" i="2" a="1"/>
  <c r="AL207" i="2" a="1"/>
  <c r="AM197" i="2" a="1"/>
  <c r="AL131" i="2" a="1"/>
  <c r="AL132" i="2" a="1"/>
  <c r="AL135" i="2" a="1"/>
  <c r="AL133" i="2" a="1"/>
  <c r="AL137" i="2" a="1"/>
  <c r="AL134" i="2" a="1"/>
  <c r="AL139" i="2" a="1"/>
  <c r="AL141" i="2" a="1"/>
  <c r="AL138" i="2" a="1"/>
  <c r="AL144" i="2" a="1"/>
  <c r="AL143" i="2" a="1"/>
  <c r="AL146" i="2" a="1"/>
  <c r="AL140" i="2" a="1"/>
  <c r="AL145" i="2" a="1"/>
  <c r="AL152" i="2" a="1"/>
  <c r="AL149" i="2" a="1"/>
  <c r="AL147" i="2" a="1"/>
  <c r="AL150" i="2" a="1"/>
  <c r="AL153" i="2" a="1"/>
  <c r="AL155" i="2" a="1"/>
  <c r="AL151" i="2" a="1"/>
  <c r="AL159" i="2" a="1"/>
  <c r="AL156" i="2" a="1"/>
  <c r="AL157" i="2" a="1"/>
  <c r="AL158" i="2" a="1"/>
  <c r="A46" i="8"/>
  <c r="B45" i="8"/>
  <c r="AO1" i="2"/>
  <c r="A23" i="7" a="1"/>
  <c r="AM198" i="2" a="1"/>
  <c r="AM200" i="2" a="1"/>
  <c r="AM201" i="2" a="1"/>
  <c r="AM199" i="2" a="1"/>
  <c r="AM207" i="2" a="1"/>
  <c r="AM206" i="2" a="1"/>
  <c r="AM215" i="2" a="1"/>
  <c r="AM205" i="2" a="1"/>
  <c r="AM216" i="2" a="1"/>
  <c r="AM203" i="2" a="1"/>
  <c r="AM204" i="2" a="1"/>
  <c r="AN204" i="2" a="1"/>
  <c r="AM132" i="2" a="1"/>
  <c r="AM131" i="2" a="1"/>
  <c r="AM135" i="2" a="1"/>
  <c r="AM133" i="2" a="1"/>
  <c r="AM137" i="2" a="1"/>
  <c r="AM134" i="2" a="1"/>
  <c r="AM139" i="2" a="1"/>
  <c r="AM141" i="2" a="1"/>
  <c r="AM144" i="2" a="1"/>
  <c r="AM143" i="2" a="1"/>
  <c r="AM146" i="2" a="1"/>
  <c r="AM151" i="2" a="1"/>
  <c r="AM149" i="2" a="1"/>
  <c r="AM147" i="2" a="1"/>
  <c r="AM138" i="2" a="1"/>
  <c r="AM140" i="2" a="1"/>
  <c r="AM145" i="2" a="1"/>
  <c r="AM156" i="2" a="1"/>
  <c r="AM150" i="2" a="1"/>
  <c r="AM152" i="2" a="1"/>
  <c r="AM153" i="2" a="1"/>
  <c r="AM155" i="2" a="1"/>
  <c r="AM159" i="2" a="1"/>
  <c r="AM157" i="2" a="1"/>
  <c r="AM158" i="2" a="1"/>
  <c r="A47" i="8"/>
  <c r="B46" i="8"/>
  <c r="AP1" i="2"/>
  <c r="A24" i="7" a="1"/>
  <c r="AN197" i="2" a="1"/>
  <c r="AN201" i="2" a="1"/>
  <c r="AN203" i="2" a="1"/>
  <c r="AN198" i="2" a="1"/>
  <c r="AN200" i="2" a="1"/>
  <c r="AN216" i="2" a="1"/>
  <c r="AN207" i="2" a="1"/>
  <c r="AN215" i="2" a="1"/>
  <c r="AN206" i="2" a="1"/>
  <c r="AN205" i="2" a="1"/>
  <c r="AN199" i="2" a="1"/>
  <c r="AT67" i="2"/>
  <c r="AO205" i="2" a="1"/>
  <c r="AN131" i="2" a="1"/>
  <c r="AN132" i="2" a="1"/>
  <c r="AN135" i="2" a="1"/>
  <c r="AN133" i="2" a="1"/>
  <c r="AN134" i="2" a="1"/>
  <c r="AN140" i="2" a="1"/>
  <c r="AN139" i="2" a="1"/>
  <c r="AN137" i="2" a="1"/>
  <c r="AN138" i="2" a="1"/>
  <c r="AN144" i="2" a="1"/>
  <c r="AN141" i="2" a="1"/>
  <c r="AN145" i="2" a="1"/>
  <c r="AN146" i="2" a="1"/>
  <c r="AN143" i="2" a="1"/>
  <c r="AN147" i="2" a="1"/>
  <c r="AN156" i="2" a="1"/>
  <c r="AN150" i="2" a="1"/>
  <c r="AN152" i="2" a="1"/>
  <c r="AN155" i="2" a="1"/>
  <c r="AN159" i="2" a="1"/>
  <c r="AN149" i="2" a="1"/>
  <c r="AN157" i="2" a="1"/>
  <c r="AN153" i="2" a="1"/>
  <c r="AN158" i="2" a="1"/>
  <c r="AN151" i="2" a="1"/>
  <c r="A48" i="8"/>
  <c r="B47" i="8"/>
  <c r="AQ1" i="2"/>
  <c r="A25" i="7" a="1"/>
  <c r="AO207" i="2" a="1"/>
  <c r="AO204" i="2" a="1"/>
  <c r="AO203" i="2" a="1"/>
  <c r="AO200" i="2" a="1"/>
  <c r="AO197" i="2" a="1"/>
  <c r="AO201" i="2" a="1"/>
  <c r="AO198" i="2" a="1"/>
  <c r="AO199" i="2" a="1"/>
  <c r="AO216" i="2" a="1"/>
  <c r="AO215" i="2" a="1"/>
  <c r="AO206" i="2" a="1"/>
  <c r="AU67" i="2"/>
  <c r="AP200" i="2" a="1"/>
  <c r="AO131" i="2" a="1"/>
  <c r="AO132" i="2" a="1"/>
  <c r="AO135" i="2" a="1"/>
  <c r="AO133" i="2" a="1"/>
  <c r="AO134" i="2" a="1"/>
  <c r="AO137" i="2" a="1"/>
  <c r="AO138" i="2" a="1"/>
  <c r="AO140" i="2" a="1"/>
  <c r="AO139" i="2" a="1"/>
  <c r="AO141" i="2" a="1"/>
  <c r="AO147" i="2" a="1"/>
  <c r="AO144" i="2" a="1"/>
  <c r="AO143" i="2" a="1"/>
  <c r="AO146" i="2" a="1"/>
  <c r="AO145" i="2" a="1"/>
  <c r="AO151" i="2" a="1"/>
  <c r="AO149" i="2" a="1"/>
  <c r="AO150" i="2" a="1"/>
  <c r="AO152" i="2" a="1"/>
  <c r="AO156" i="2" a="1"/>
  <c r="AO155" i="2" a="1"/>
  <c r="AO159" i="2" a="1"/>
  <c r="AO157" i="2" a="1"/>
  <c r="AO158" i="2" a="1"/>
  <c r="AO153" i="2" a="1"/>
  <c r="A49" i="8"/>
  <c r="B48" i="8"/>
  <c r="AR1" i="2"/>
  <c r="A26" i="7" a="1"/>
  <c r="AP216" i="2" a="1"/>
  <c r="AP203" i="2" a="1"/>
  <c r="AP205" i="2" a="1"/>
  <c r="AP215" i="2" a="1"/>
  <c r="AP207" i="2" a="1"/>
  <c r="AP204" i="2" a="1"/>
  <c r="AP206" i="2" a="1"/>
  <c r="AP197" i="2" a="1"/>
  <c r="AP198" i="2" a="1"/>
  <c r="AP199" i="2" a="1"/>
  <c r="AP201" i="2" a="1"/>
  <c r="AV67" i="2"/>
  <c r="AQ197" i="2" a="1"/>
  <c r="AP131" i="2" a="1"/>
  <c r="AP134" i="2" a="1"/>
  <c r="AP132" i="2" a="1"/>
  <c r="AP135" i="2" a="1"/>
  <c r="AP137" i="2" a="1"/>
  <c r="AP140" i="2" a="1"/>
  <c r="AP138" i="2" a="1"/>
  <c r="AP139" i="2" a="1"/>
  <c r="AP133" i="2" a="1"/>
  <c r="AP147" i="2" a="1"/>
  <c r="AP144" i="2" a="1"/>
  <c r="AP143" i="2" a="1"/>
  <c r="AP145" i="2" a="1"/>
  <c r="AP146" i="2" a="1"/>
  <c r="AP141" i="2" a="1"/>
  <c r="AP155" i="2" a="1"/>
  <c r="AP156" i="2" a="1"/>
  <c r="AP150" i="2" a="1"/>
  <c r="AP152" i="2" a="1"/>
  <c r="AP149" i="2" a="1"/>
  <c r="AP151" i="2" a="1"/>
  <c r="AP153" i="2" a="1"/>
  <c r="AP159" i="2" a="1"/>
  <c r="AP157" i="2" a="1"/>
  <c r="AP158" i="2" a="1"/>
  <c r="A50" i="8"/>
  <c r="B49" i="8"/>
  <c r="AS1" i="2"/>
  <c r="A27" i="7" a="1"/>
  <c r="AQ201" i="2" a="1"/>
  <c r="AQ204" i="2" a="1"/>
  <c r="AQ198" i="2" a="1"/>
  <c r="AQ200" i="2" a="1"/>
  <c r="AQ199" i="2" a="1"/>
  <c r="AQ203" i="2" a="1"/>
  <c r="AQ216" i="2" a="1"/>
  <c r="AQ206" i="2" a="1"/>
  <c r="AQ215" i="2" a="1"/>
  <c r="AQ207" i="2" a="1"/>
  <c r="AQ205" i="2" a="1"/>
  <c r="AW67" i="2"/>
  <c r="AS96" i="2"/>
  <c r="AR197" i="2" a="1"/>
  <c r="AQ131" i="2" a="1"/>
  <c r="AQ134" i="2" a="1"/>
  <c r="AQ138" i="2" a="1"/>
  <c r="AQ132" i="2" a="1"/>
  <c r="AQ133" i="2" a="1"/>
  <c r="AQ141" i="2" a="1"/>
  <c r="AQ137" i="2" a="1"/>
  <c r="AQ140" i="2" a="1"/>
  <c r="AQ139" i="2" a="1"/>
  <c r="AQ147" i="2" a="1"/>
  <c r="AQ135" i="2" a="1"/>
  <c r="AQ144" i="2" a="1"/>
  <c r="AQ143" i="2" a="1"/>
  <c r="AQ145" i="2" a="1"/>
  <c r="AQ146" i="2" a="1"/>
  <c r="AQ150" i="2" a="1"/>
  <c r="AQ151" i="2" a="1"/>
  <c r="AQ158" i="2" a="1"/>
  <c r="AQ156" i="2" a="1"/>
  <c r="AQ157" i="2" a="1"/>
  <c r="AQ149" i="2" a="1"/>
  <c r="AQ155" i="2" a="1"/>
  <c r="AQ159" i="2" a="1"/>
  <c r="AQ152" i="2" a="1"/>
  <c r="AQ153" i="2" a="1"/>
  <c r="A51" i="8"/>
  <c r="B50" i="8"/>
  <c r="AT1" i="2"/>
  <c r="A28" i="7" a="1"/>
  <c r="AR201" i="2" a="1"/>
  <c r="AR205" i="2" a="1"/>
  <c r="AR203" i="2" a="1"/>
  <c r="AR215" i="2" a="1"/>
  <c r="AR204" i="2" a="1"/>
  <c r="AR216" i="2" a="1"/>
  <c r="AR206" i="2" a="1"/>
  <c r="AR207" i="2" a="1"/>
  <c r="AR198" i="2" a="1"/>
  <c r="AR199" i="2" a="1"/>
  <c r="AR200" i="2" a="1"/>
  <c r="AX67" i="2"/>
  <c r="AT96" i="2"/>
  <c r="AS2" i="2"/>
  <c r="AR131" i="2" a="1"/>
  <c r="AR137" i="2" a="1"/>
  <c r="AR134" i="2" a="1"/>
  <c r="AR132" i="2" a="1"/>
  <c r="AR135" i="2" a="1"/>
  <c r="AR141" i="2" a="1"/>
  <c r="AR140" i="2" a="1"/>
  <c r="AR138" i="2" a="1"/>
  <c r="AR139" i="2" a="1"/>
  <c r="AR143" i="2" a="1"/>
  <c r="AR145" i="2" a="1"/>
  <c r="AR133" i="2" a="1"/>
  <c r="AR144" i="2" a="1"/>
  <c r="AR146" i="2" a="1"/>
  <c r="AR155" i="2" a="1"/>
  <c r="AR156" i="2" a="1"/>
  <c r="AR147" i="2" a="1"/>
  <c r="AR150" i="2" a="1"/>
  <c r="AR152" i="2" a="1"/>
  <c r="AR149" i="2" a="1"/>
  <c r="AR151" i="2" a="1"/>
  <c r="AR158" i="2" a="1"/>
  <c r="AR159" i="2" a="1"/>
  <c r="AR157" i="2" a="1"/>
  <c r="AR153" i="2" a="1"/>
  <c r="A52" i="8"/>
  <c r="B51" i="8"/>
  <c r="AS128" i="2"/>
  <c r="B27" i="7" a="1"/>
  <c r="C35" i="8" a="1"/>
  <c r="D35" i="8" a="1"/>
  <c r="AX128" i="2"/>
  <c r="B32" i="7" a="1"/>
  <c r="C40" i="8" a="1"/>
  <c r="D40" i="8" a="1"/>
  <c r="AU1" i="2"/>
  <c r="A29" i="7" a="1"/>
  <c r="AS197" i="2" a="1"/>
  <c r="AS222" i="2"/>
  <c r="AS206" i="2" a="1"/>
  <c r="AS215" i="2" a="1"/>
  <c r="AS204" i="2" a="1"/>
  <c r="AS207" i="2" a="1"/>
  <c r="AS201" i="2" a="1"/>
  <c r="AS216" i="2" a="1"/>
  <c r="AS198" i="2" a="1"/>
  <c r="AS205" i="2" a="1"/>
  <c r="AS199" i="2" a="1"/>
  <c r="AS200" i="2" a="1"/>
  <c r="AS203" i="2" a="1"/>
  <c r="AU96" i="2"/>
  <c r="AY67" i="2"/>
  <c r="AT2" i="2"/>
  <c r="AS132" i="2" a="1"/>
  <c r="AS131" i="2" a="1"/>
  <c r="AS133" i="2" a="1"/>
  <c r="AS135" i="2" a="1"/>
  <c r="AS134" i="2" a="1"/>
  <c r="AS137" i="2" a="1"/>
  <c r="AS140" i="2" a="1"/>
  <c r="AS138" i="2" a="1"/>
  <c r="AS139" i="2" a="1"/>
  <c r="AS141" i="2" a="1"/>
  <c r="AS143" i="2" a="1"/>
  <c r="AS145" i="2" a="1"/>
  <c r="AS144" i="2" a="1"/>
  <c r="AS146" i="2" a="1"/>
  <c r="AS149" i="2" a="1"/>
  <c r="AS151" i="2" a="1"/>
  <c r="AS147" i="2" a="1"/>
  <c r="AS153" i="2" a="1"/>
  <c r="AS155" i="2" a="1"/>
  <c r="AS156" i="2" a="1"/>
  <c r="AS150" i="2" a="1"/>
  <c r="AS158" i="2" a="1"/>
  <c r="AS159" i="2" a="1"/>
  <c r="AS152" i="2" a="1"/>
  <c r="AS157" i="2" a="1"/>
  <c r="A53" i="8"/>
  <c r="B52" i="8"/>
  <c r="AT128" i="2"/>
  <c r="B28" i="7" a="1"/>
  <c r="D36" i="8" a="1"/>
  <c r="C36" i="8" a="1"/>
  <c r="AV1" i="2"/>
  <c r="A30" i="7" a="1"/>
  <c r="AT199" i="2" a="1"/>
  <c r="AT222" i="2"/>
  <c r="AT206" i="2" a="1"/>
  <c r="AT203" i="2" a="1"/>
  <c r="AT201" i="2" a="1"/>
  <c r="AT198" i="2" a="1"/>
  <c r="AT200" i="2" a="1"/>
  <c r="AT216" i="2" a="1"/>
  <c r="AT197" i="2" a="1"/>
  <c r="AT215" i="2" a="1"/>
  <c r="AT207" i="2" a="1"/>
  <c r="AT204" i="2" a="1"/>
  <c r="AT205" i="2" a="1"/>
  <c r="AZ67" i="2"/>
  <c r="AV96" i="2"/>
  <c r="AU2" i="2"/>
  <c r="AT131" i="2" a="1"/>
  <c r="AT133" i="2" a="1"/>
  <c r="AT134" i="2" a="1"/>
  <c r="AT137" i="2" a="1"/>
  <c r="AT132" i="2" a="1"/>
  <c r="AT135" i="2" a="1"/>
  <c r="AT141" i="2" a="1"/>
  <c r="AT140" i="2" a="1"/>
  <c r="AT139" i="2" a="1"/>
  <c r="AT146" i="2" a="1"/>
  <c r="AT143" i="2" a="1"/>
  <c r="AT145" i="2" a="1"/>
  <c r="AT147" i="2" a="1"/>
  <c r="AT138" i="2" a="1"/>
  <c r="AT149" i="2" a="1"/>
  <c r="AT151" i="2" a="1"/>
  <c r="AT153" i="2" a="1"/>
  <c r="AT155" i="2" a="1"/>
  <c r="AT156" i="2" a="1"/>
  <c r="AT144" i="2" a="1"/>
  <c r="AT150" i="2" a="1"/>
  <c r="AT152" i="2" a="1"/>
  <c r="AT158" i="2" a="1"/>
  <c r="AT159" i="2" a="1"/>
  <c r="AT157" i="2" a="1"/>
  <c r="A54" i="8"/>
  <c r="A55" i="8"/>
  <c r="A56" i="8"/>
  <c r="B53" i="8"/>
  <c r="C69" i="8"/>
  <c r="AU128" i="2"/>
  <c r="B29" i="7" a="1"/>
  <c r="C37" i="8" a="1"/>
  <c r="D37" i="8" a="1"/>
  <c r="AW1" i="2"/>
  <c r="A31" i="7" a="1"/>
  <c r="AU215" i="2" a="1"/>
  <c r="AU222" i="2"/>
  <c r="AU206" i="2" a="1"/>
  <c r="AU200" i="2" a="1"/>
  <c r="AU197" i="2" a="1"/>
  <c r="AU199" i="2" a="1"/>
  <c r="AU201" i="2" a="1"/>
  <c r="AU203" i="2" a="1"/>
  <c r="AU205" i="2" a="1"/>
  <c r="AU204" i="2" a="1"/>
  <c r="AU207" i="2" a="1"/>
  <c r="AU198" i="2" a="1"/>
  <c r="AU216" i="2" a="1"/>
  <c r="BA67" i="2"/>
  <c r="AW96" i="2"/>
  <c r="AV2" i="2"/>
  <c r="AU132" i="2" a="1"/>
  <c r="AU131" i="2" a="1"/>
  <c r="AU133" i="2" a="1"/>
  <c r="AU134" i="2" a="1"/>
  <c r="AU137" i="2" a="1"/>
  <c r="AU135" i="2" a="1"/>
  <c r="AU141" i="2" a="1"/>
  <c r="AU140" i="2" a="1"/>
  <c r="AU138" i="2" a="1"/>
  <c r="AU139" i="2" a="1"/>
  <c r="AU145" i="2" a="1"/>
  <c r="AU143" i="2" a="1"/>
  <c r="AU144" i="2" a="1"/>
  <c r="AU149" i="2" a="1"/>
  <c r="AU146" i="2" a="1"/>
  <c r="AU151" i="2" a="1"/>
  <c r="AU155" i="2" a="1"/>
  <c r="AU153" i="2" a="1"/>
  <c r="AU150" i="2" a="1"/>
  <c r="AU156" i="2" a="1"/>
  <c r="AU158" i="2" a="1"/>
  <c r="AU152" i="2" a="1"/>
  <c r="AU159" i="2" a="1"/>
  <c r="AU147" i="2" a="1"/>
  <c r="AU157" i="2" a="1"/>
  <c r="B56" i="8"/>
  <c r="A57" i="8"/>
  <c r="B55" i="8"/>
  <c r="B70" i="8"/>
  <c r="C70" i="8"/>
  <c r="D69" i="8"/>
  <c r="B54" i="8"/>
  <c r="AV128" i="2"/>
  <c r="B30" i="7" a="1"/>
  <c r="C38" i="8" a="1"/>
  <c r="D38" i="8" a="1"/>
  <c r="AX1" i="2"/>
  <c r="A32" i="7" a="1"/>
  <c r="AV204" i="2" a="1"/>
  <c r="AV222" i="2"/>
  <c r="AV201" i="2" a="1"/>
  <c r="AV216" i="2" a="1"/>
  <c r="AV199" i="2" a="1"/>
  <c r="AV207" i="2" a="1"/>
  <c r="AV206" i="2" a="1"/>
  <c r="AV197" i="2" a="1"/>
  <c r="AV198" i="2" a="1"/>
  <c r="AV215" i="2" a="1"/>
  <c r="AV203" i="2" a="1"/>
  <c r="AV205" i="2" a="1"/>
  <c r="AV200" i="2" a="1"/>
  <c r="AX96" i="2"/>
  <c r="BB67" i="2"/>
  <c r="AW2" i="2"/>
  <c r="AV132" i="2" a="1"/>
  <c r="AV131" i="2" a="1"/>
  <c r="AV135" i="2" a="1"/>
  <c r="AV133" i="2" a="1"/>
  <c r="AV134" i="2" a="1"/>
  <c r="AV137" i="2" a="1"/>
  <c r="AV141" i="2" a="1"/>
  <c r="AV140" i="2" a="1"/>
  <c r="AV139" i="2" a="1"/>
  <c r="AV138" i="2" a="1"/>
  <c r="AV146" i="2" a="1"/>
  <c r="AV145" i="2" a="1"/>
  <c r="AV143" i="2" a="1"/>
  <c r="AV147" i="2" a="1"/>
  <c r="AV144" i="2" a="1"/>
  <c r="AV152" i="2" a="1"/>
  <c r="AV151" i="2" a="1"/>
  <c r="AV153" i="2" a="1"/>
  <c r="AV150" i="2" a="1"/>
  <c r="AV156" i="2" a="1"/>
  <c r="AV157" i="2" a="1"/>
  <c r="AV158" i="2" a="1"/>
  <c r="AV149" i="2" a="1"/>
  <c r="AV155" i="2" a="1"/>
  <c r="AV159" i="2" a="1"/>
  <c r="A58" i="8"/>
  <c r="B57" i="8"/>
  <c r="B71" i="8"/>
  <c r="C71" i="8"/>
  <c r="D70" i="8"/>
  <c r="C39" i="8" a="1"/>
  <c r="D39" i="8" a="1"/>
  <c r="AY1" i="2"/>
  <c r="A33" i="7" a="1"/>
  <c r="AW222" i="2"/>
  <c r="AW128" i="2"/>
  <c r="B31" i="7" a="1"/>
  <c r="AW215" i="2" a="1"/>
  <c r="AW201" i="2" a="1"/>
  <c r="AW206" i="2" a="1"/>
  <c r="AW197" i="2" a="1"/>
  <c r="AW203" i="2" a="1"/>
  <c r="AW205" i="2" a="1"/>
  <c r="AW204" i="2" a="1"/>
  <c r="AW198" i="2" a="1"/>
  <c r="AW200" i="2" a="1"/>
  <c r="AW216" i="2" a="1"/>
  <c r="AW199" i="2" a="1"/>
  <c r="AW207" i="2" a="1"/>
  <c r="BC67" i="2"/>
  <c r="AY96" i="2"/>
  <c r="AX203" i="2" a="1"/>
  <c r="AW132" i="2" a="1"/>
  <c r="AW131" i="2" a="1"/>
  <c r="AW135" i="2" a="1"/>
  <c r="AW134" i="2" a="1"/>
  <c r="AW137" i="2" a="1"/>
  <c r="AW143" i="2" a="1"/>
  <c r="AW141" i="2" a="1"/>
  <c r="AW133" i="2" a="1"/>
  <c r="AW139" i="2" a="1"/>
  <c r="AW138" i="2" a="1"/>
  <c r="AW146" i="2" a="1"/>
  <c r="AW145" i="2" a="1"/>
  <c r="AW140" i="2" a="1"/>
  <c r="AW149" i="2" a="1"/>
  <c r="AW147" i="2" a="1"/>
  <c r="AW152" i="2" a="1"/>
  <c r="AW151" i="2" a="1"/>
  <c r="AW153" i="2" a="1"/>
  <c r="AW159" i="2" a="1"/>
  <c r="AW150" i="2" a="1"/>
  <c r="AW144" i="2" a="1"/>
  <c r="AW156" i="2" a="1"/>
  <c r="AW158" i="2" a="1"/>
  <c r="AW155" i="2" a="1"/>
  <c r="AW157" i="2" a="1"/>
  <c r="B58" i="8"/>
  <c r="A59" i="8"/>
  <c r="B72" i="8"/>
  <c r="C72" i="8"/>
  <c r="D71" i="8"/>
  <c r="AZ1" i="2"/>
  <c r="A34" i="7" a="1"/>
  <c r="AX207" i="2" a="1"/>
  <c r="AX215" i="2" a="1"/>
  <c r="AX197" i="2" a="1"/>
  <c r="AX216" i="2" a="1"/>
  <c r="AX198" i="2" a="1"/>
  <c r="AX206" i="2" a="1"/>
  <c r="AX205" i="2" a="1"/>
  <c r="AX201" i="2" a="1"/>
  <c r="AX200" i="2" a="1"/>
  <c r="AX204" i="2" a="1"/>
  <c r="AX199" i="2" a="1"/>
  <c r="BD67" i="2"/>
  <c r="AZ96" i="2"/>
  <c r="AY2" i="2"/>
  <c r="AX132" i="2" a="1"/>
  <c r="AX131" i="2" a="1"/>
  <c r="AX135" i="2" a="1"/>
  <c r="AX133" i="2" a="1"/>
  <c r="AX138" i="2" a="1"/>
  <c r="AX134" i="2" a="1"/>
  <c r="AX140" i="2" a="1"/>
  <c r="AX137" i="2" a="1"/>
  <c r="AX139" i="2" a="1"/>
  <c r="AX141" i="2" a="1"/>
  <c r="AX146" i="2" a="1"/>
  <c r="AX145" i="2" a="1"/>
  <c r="AX144" i="2" a="1"/>
  <c r="AX149" i="2" a="1"/>
  <c r="AX150" i="2" a="1"/>
  <c r="AX152" i="2" a="1"/>
  <c r="AX151" i="2" a="1"/>
  <c r="AX153" i="2" a="1"/>
  <c r="AX147" i="2" a="1"/>
  <c r="AX143" i="2" a="1"/>
  <c r="AX157" i="2" a="1"/>
  <c r="AX155" i="2" a="1"/>
  <c r="AX156" i="2" a="1"/>
  <c r="AX158" i="2" a="1"/>
  <c r="AX159" i="2" a="1"/>
  <c r="A60" i="8"/>
  <c r="B59" i="8"/>
  <c r="B73" i="8"/>
  <c r="C73" i="8"/>
  <c r="D72" i="8"/>
  <c r="AY128" i="2"/>
  <c r="B33" i="7" a="1"/>
  <c r="C41" i="8" a="1"/>
  <c r="D41" i="8" a="1"/>
  <c r="BA1" i="2"/>
  <c r="A35" i="7" a="1"/>
  <c r="AY207" i="2" a="1"/>
  <c r="AY201" i="2" a="1"/>
  <c r="AY198" i="2" a="1"/>
  <c r="AY199" i="2" a="1"/>
  <c r="AY204" i="2" a="1"/>
  <c r="AY206" i="2" a="1"/>
  <c r="AY205" i="2" a="1"/>
  <c r="AY203" i="2" a="1"/>
  <c r="AY197" i="2" a="1"/>
  <c r="AY200" i="2" a="1"/>
  <c r="AY215" i="2" a="1"/>
  <c r="AY216" i="2" a="1"/>
  <c r="BE67" i="2"/>
  <c r="BA96" i="2"/>
  <c r="AZ2" i="2"/>
  <c r="AY131" i="2" a="1"/>
  <c r="AY135" i="2" a="1"/>
  <c r="AY133" i="2" a="1"/>
  <c r="AY132" i="2" a="1"/>
  <c r="AY138" i="2" a="1"/>
  <c r="AY134" i="2" a="1"/>
  <c r="AY137" i="2" a="1"/>
  <c r="AY141" i="2" a="1"/>
  <c r="AY139" i="2" a="1"/>
  <c r="AY144" i="2" a="1"/>
  <c r="AY146" i="2" a="1"/>
  <c r="AY143" i="2" a="1"/>
  <c r="AY145" i="2" a="1"/>
  <c r="AY151" i="2" a="1"/>
  <c r="AY147" i="2" a="1"/>
  <c r="AY155" i="2" a="1"/>
  <c r="AY149" i="2" a="1"/>
  <c r="AY150" i="2" a="1"/>
  <c r="AY140" i="2" a="1"/>
  <c r="AY152" i="2" a="1"/>
  <c r="AY153" i="2" a="1"/>
  <c r="AY157" i="2" a="1"/>
  <c r="AY156" i="2" a="1"/>
  <c r="AY158" i="2" a="1"/>
  <c r="AY159" i="2" a="1"/>
  <c r="A61" i="8"/>
  <c r="B60" i="8"/>
  <c r="D73" i="8"/>
  <c r="B74" i="8"/>
  <c r="D42" i="8" a="1"/>
  <c r="C42" i="8" a="1"/>
  <c r="BB1" i="2"/>
  <c r="A36" i="7" a="1"/>
  <c r="AZ205" i="2" a="1"/>
  <c r="AZ128" i="2"/>
  <c r="B34" i="7" a="1"/>
  <c r="AZ215" i="2" a="1"/>
  <c r="AZ198" i="2" a="1"/>
  <c r="AZ201" i="2" a="1"/>
  <c r="AZ199" i="2" a="1"/>
  <c r="AZ200" i="2" a="1"/>
  <c r="AZ216" i="2" a="1"/>
  <c r="AZ206" i="2" a="1"/>
  <c r="AZ207" i="2" a="1"/>
  <c r="AZ203" i="2" a="1"/>
  <c r="AZ204" i="2" a="1"/>
  <c r="AZ197" i="2" a="1"/>
  <c r="BB96" i="2"/>
  <c r="BF67" i="2"/>
  <c r="BA2" i="2"/>
  <c r="AZ132" i="2" a="1"/>
  <c r="AZ131" i="2" a="1"/>
  <c r="AZ137" i="2" a="1"/>
  <c r="AZ133" i="2" a="1"/>
  <c r="AZ134" i="2" a="1"/>
  <c r="AZ139" i="2" a="1"/>
  <c r="AZ135" i="2" a="1"/>
  <c r="AZ138" i="2" a="1"/>
  <c r="AZ141" i="2" a="1"/>
  <c r="AZ145" i="2" a="1"/>
  <c r="AZ140" i="2" a="1"/>
  <c r="AZ143" i="2" a="1"/>
  <c r="AZ147" i="2" a="1"/>
  <c r="AZ146" i="2" a="1"/>
  <c r="AZ144" i="2" a="1"/>
  <c r="AZ156" i="2" a="1"/>
  <c r="AZ149" i="2" a="1"/>
  <c r="AZ150" i="2" a="1"/>
  <c r="AZ151" i="2" a="1"/>
  <c r="AZ152" i="2" a="1"/>
  <c r="AZ153" i="2" a="1"/>
  <c r="AZ159" i="2" a="1"/>
  <c r="AZ157" i="2" a="1"/>
  <c r="AZ158" i="2" a="1"/>
  <c r="AZ155" i="2" a="1"/>
  <c r="B61" i="8"/>
  <c r="C74" i="8"/>
  <c r="B75" i="8"/>
  <c r="D43" i="8" a="1"/>
  <c r="C43" i="8" a="1"/>
  <c r="BC1" i="2"/>
  <c r="A37" i="7" a="1"/>
  <c r="BA203" i="2" a="1"/>
  <c r="BA128" i="2"/>
  <c r="B35" i="7" a="1"/>
  <c r="BA205" i="2" a="1"/>
  <c r="BA197" i="2" a="1"/>
  <c r="BA199" i="2" a="1"/>
  <c r="BA200" i="2" a="1"/>
  <c r="BA198" i="2" a="1"/>
  <c r="BA201" i="2" a="1"/>
  <c r="BA204" i="2" a="1"/>
  <c r="BA206" i="2" a="1"/>
  <c r="BA207" i="2" a="1"/>
  <c r="BA216" i="2" a="1"/>
  <c r="BA215" i="2" a="1"/>
  <c r="BG67" i="2"/>
  <c r="BC96" i="2"/>
  <c r="BB2" i="2"/>
  <c r="BA132" i="2" a="1"/>
  <c r="BA137" i="2" a="1"/>
  <c r="BA131" i="2" a="1"/>
  <c r="BA135" i="2" a="1"/>
  <c r="BA133" i="2" a="1"/>
  <c r="BA139" i="2" a="1"/>
  <c r="BA134" i="2" a="1"/>
  <c r="BA138" i="2" a="1"/>
  <c r="BA140" i="2" a="1"/>
  <c r="BA141" i="2" a="1"/>
  <c r="BA143" i="2" a="1"/>
  <c r="BA144" i="2" a="1"/>
  <c r="BA146" i="2" a="1"/>
  <c r="BA149" i="2" a="1"/>
  <c r="BA147" i="2" a="1"/>
  <c r="BA145" i="2" a="1"/>
  <c r="BA151" i="2" a="1"/>
  <c r="BA156" i="2" a="1"/>
  <c r="BA150" i="2" a="1"/>
  <c r="BA155" i="2" a="1"/>
  <c r="BA152" i="2" a="1"/>
  <c r="BA153" i="2" a="1"/>
  <c r="BA159" i="2" a="1"/>
  <c r="BA157" i="2" a="1"/>
  <c r="BA158" i="2" a="1"/>
  <c r="C75" i="8"/>
  <c r="D75" i="8"/>
  <c r="D74" i="8"/>
  <c r="D77" i="8"/>
  <c r="D44" i="8" a="1"/>
  <c r="C44" i="8" a="1"/>
  <c r="BD1" i="2"/>
  <c r="A38" i="7" a="1"/>
  <c r="BB197" i="2" a="1"/>
  <c r="BB128" i="2"/>
  <c r="B36" i="7" a="1"/>
  <c r="BB215" i="2" a="1"/>
  <c r="BB216" i="2" a="1"/>
  <c r="BB203" i="2" a="1"/>
  <c r="BB199" i="2" a="1"/>
  <c r="BB198" i="2" a="1"/>
  <c r="BB200" i="2" a="1"/>
  <c r="BB205" i="2" a="1"/>
  <c r="BB201" i="2" a="1"/>
  <c r="BB207" i="2" a="1"/>
  <c r="BB204" i="2" a="1"/>
  <c r="BB206" i="2" a="1"/>
  <c r="BD96" i="2"/>
  <c r="BH67" i="2"/>
  <c r="BC2" i="2"/>
  <c r="BB131" i="2" a="1"/>
  <c r="BB135" i="2" a="1"/>
  <c r="BB133" i="2" a="1"/>
  <c r="BB134" i="2" a="1"/>
  <c r="BB141" i="2" a="1"/>
  <c r="BB140" i="2" a="1"/>
  <c r="BB132" i="2" a="1"/>
  <c r="BB139" i="2" a="1"/>
  <c r="BB138" i="2" a="1"/>
  <c r="BB137" i="2" a="1"/>
  <c r="BB143" i="2" a="1"/>
  <c r="BB144" i="2" a="1"/>
  <c r="BB147" i="2" a="1"/>
  <c r="BB149" i="2" a="1"/>
  <c r="BB145" i="2" a="1"/>
  <c r="BB146" i="2" a="1"/>
  <c r="BB150" i="2" a="1"/>
  <c r="BB151" i="2" a="1"/>
  <c r="BB155" i="2" a="1"/>
  <c r="BB152" i="2" a="1"/>
  <c r="BB153" i="2" a="1"/>
  <c r="BB159" i="2" a="1"/>
  <c r="BB157" i="2" a="1"/>
  <c r="BB156" i="2" a="1"/>
  <c r="BB158" i="2" a="1"/>
  <c r="C45" i="8" a="1"/>
  <c r="D45" i="8" a="1"/>
  <c r="BE1" i="2"/>
  <c r="A39" i="7" a="1"/>
  <c r="BC207" i="2" a="1"/>
  <c r="BC128" i="2"/>
  <c r="B37" i="7" a="1"/>
  <c r="BC204" i="2" a="1"/>
  <c r="BC206" i="2" a="1"/>
  <c r="BC205" i="2" a="1"/>
  <c r="BC203" i="2" a="1"/>
  <c r="BC197" i="2" a="1"/>
  <c r="BC198" i="2" a="1"/>
  <c r="BC199" i="2" a="1"/>
  <c r="BC201" i="2" a="1"/>
  <c r="BC200" i="2" a="1"/>
  <c r="BC216" i="2" a="1"/>
  <c r="BC215" i="2" a="1"/>
  <c r="BI67" i="2"/>
  <c r="BE96" i="2"/>
  <c r="BD2" i="2"/>
  <c r="BC132" i="2" a="1"/>
  <c r="BC134" i="2" a="1"/>
  <c r="BC131" i="2" a="1"/>
  <c r="BC137" i="2" a="1"/>
  <c r="BC135" i="2" a="1"/>
  <c r="BC133" i="2" a="1"/>
  <c r="BC141" i="2" a="1"/>
  <c r="BC140" i="2" a="1"/>
  <c r="BC139" i="2" a="1"/>
  <c r="BC138" i="2" a="1"/>
  <c r="BC143" i="2" a="1"/>
  <c r="BC144" i="2" a="1"/>
  <c r="BC146" i="2" a="1"/>
  <c r="BC145" i="2" a="1"/>
  <c r="BC151" i="2" a="1"/>
  <c r="BC147" i="2" a="1"/>
  <c r="BC149" i="2" a="1"/>
  <c r="BC156" i="2" a="1"/>
  <c r="BC150" i="2" a="1"/>
  <c r="BC152" i="2" a="1"/>
  <c r="BC155" i="2" a="1"/>
  <c r="BC153" i="2" a="1"/>
  <c r="BC159" i="2" a="1"/>
  <c r="BC157" i="2" a="1"/>
  <c r="BC158" i="2" a="1"/>
  <c r="BD128" i="2"/>
  <c r="B38" i="7" a="1"/>
  <c r="C46" i="8" a="1"/>
  <c r="D46" i="8" a="1"/>
  <c r="BF1" i="2"/>
  <c r="A40" i="7" a="1"/>
  <c r="BD206" i="2" a="1"/>
  <c r="BD205" i="2" a="1"/>
  <c r="BD216" i="2" a="1"/>
  <c r="BD215" i="2" a="1"/>
  <c r="BD207" i="2" a="1"/>
  <c r="BD201" i="2" a="1"/>
  <c r="BD197" i="2" a="1"/>
  <c r="BD199" i="2" a="1"/>
  <c r="BD200" i="2" a="1"/>
  <c r="BD198" i="2" a="1"/>
  <c r="BD204" i="2" a="1"/>
  <c r="BD203" i="2" a="1"/>
  <c r="BJ67" i="2"/>
  <c r="BK67" i="2"/>
  <c r="BF96" i="2"/>
  <c r="BE2" i="2"/>
  <c r="BD134" i="2" a="1"/>
  <c r="BD131" i="2" a="1"/>
  <c r="BD137" i="2" a="1"/>
  <c r="BD135" i="2" a="1"/>
  <c r="BD133" i="2" a="1"/>
  <c r="BD141" i="2" a="1"/>
  <c r="BD132" i="2" a="1"/>
  <c r="BD140" i="2" a="1"/>
  <c r="BD139" i="2" a="1"/>
  <c r="BD138" i="2" a="1"/>
  <c r="BD143" i="2" a="1"/>
  <c r="BD144" i="2" a="1"/>
  <c r="BD145" i="2" a="1"/>
  <c r="BD147" i="2" a="1"/>
  <c r="BD146" i="2" a="1"/>
  <c r="BD149" i="2" a="1"/>
  <c r="BD150" i="2" a="1"/>
  <c r="BD151" i="2" a="1"/>
  <c r="BD152" i="2" a="1"/>
  <c r="BD155" i="2" a="1"/>
  <c r="BD156" i="2" a="1"/>
  <c r="BD153" i="2" a="1"/>
  <c r="BD159" i="2" a="1"/>
  <c r="BD157" i="2" a="1"/>
  <c r="BD158" i="2" a="1"/>
  <c r="C47" i="8" a="1"/>
  <c r="D47" i="8" a="1"/>
  <c r="BG1" i="2"/>
  <c r="A41" i="7" a="1"/>
  <c r="BE207" i="2" a="1"/>
  <c r="BE128" i="2"/>
  <c r="B39" i="7" a="1"/>
  <c r="BE203" i="2" a="1"/>
  <c r="BE197" i="2" a="1"/>
  <c r="BE198" i="2" a="1"/>
  <c r="BE200" i="2" a="1"/>
  <c r="BE204" i="2" a="1"/>
  <c r="BE199" i="2" a="1"/>
  <c r="BE201" i="2" a="1"/>
  <c r="BE205" i="2" a="1"/>
  <c r="BE216" i="2" a="1"/>
  <c r="BE215" i="2" a="1"/>
  <c r="BE206" i="2" a="1"/>
  <c r="BG96" i="2"/>
  <c r="BF2" i="2"/>
  <c r="BE134" i="2" a="1"/>
  <c r="BE131" i="2" a="1"/>
  <c r="BE132" i="2" a="1"/>
  <c r="BE133" i="2" a="1"/>
  <c r="BE135" i="2" a="1"/>
  <c r="BE140" i="2" a="1"/>
  <c r="BE141" i="2" a="1"/>
  <c r="BE139" i="2" a="1"/>
  <c r="BE137" i="2" a="1"/>
  <c r="BE145" i="2" a="1"/>
  <c r="BE147" i="2" a="1"/>
  <c r="BE138" i="2" a="1"/>
  <c r="BE144" i="2" a="1"/>
  <c r="BE143" i="2" a="1"/>
  <c r="BE146" i="2" a="1"/>
  <c r="BE151" i="2" a="1"/>
  <c r="BE149" i="2" a="1"/>
  <c r="BE156" i="2" a="1"/>
  <c r="BE150" i="2" a="1"/>
  <c r="BE152" i="2" a="1"/>
  <c r="BE153" i="2" a="1"/>
  <c r="BE159" i="2" a="1"/>
  <c r="BE157" i="2" a="1"/>
  <c r="BE158" i="2" a="1"/>
  <c r="BE155" i="2" a="1"/>
  <c r="D48" i="8" a="1"/>
  <c r="C48" i="8" a="1"/>
  <c r="BH1" i="2"/>
  <c r="A42" i="7" a="1"/>
  <c r="BF207" i="2" a="1"/>
  <c r="BF128" i="2"/>
  <c r="B40" i="7" a="1"/>
  <c r="BF216" i="2" a="1"/>
  <c r="BF201" i="2" a="1"/>
  <c r="BF206" i="2" a="1"/>
  <c r="BF204" i="2" a="1"/>
  <c r="BF198" i="2" a="1"/>
  <c r="BF200" i="2" a="1"/>
  <c r="BF197" i="2" a="1"/>
  <c r="BF205" i="2" a="1"/>
  <c r="BF203" i="2" a="1"/>
  <c r="BF199" i="2" a="1"/>
  <c r="BF215" i="2" a="1"/>
  <c r="BH96" i="2"/>
  <c r="BG2" i="2"/>
  <c r="BF131" i="2" a="1"/>
  <c r="BF132" i="2" a="1"/>
  <c r="BF135" i="2" a="1"/>
  <c r="BF133" i="2" a="1"/>
  <c r="BF137" i="2" a="1"/>
  <c r="BF143" i="2" a="1"/>
  <c r="BF140" i="2" a="1"/>
  <c r="BF141" i="2" a="1"/>
  <c r="BF134" i="2" a="1"/>
  <c r="BF139" i="2" a="1"/>
  <c r="BF138" i="2" a="1"/>
  <c r="BF147" i="2" a="1"/>
  <c r="BF144" i="2" a="1"/>
  <c r="BF146" i="2" a="1"/>
  <c r="BF149" i="2" a="1"/>
  <c r="BF151" i="2" a="1"/>
  <c r="BF156" i="2" a="1"/>
  <c r="BF145" i="2" a="1"/>
  <c r="BF150" i="2" a="1"/>
  <c r="BF153" i="2" a="1"/>
  <c r="BF159" i="2" a="1"/>
  <c r="BF157" i="2" a="1"/>
  <c r="BF152" i="2" a="1"/>
  <c r="BF155" i="2" a="1"/>
  <c r="BF158" i="2" a="1"/>
  <c r="C49" i="8" a="1"/>
  <c r="D49" i="8" a="1"/>
  <c r="BI1" i="2"/>
  <c r="A43" i="7" a="1"/>
  <c r="BG197" i="2" a="1"/>
  <c r="BG128" i="2"/>
  <c r="B41" i="7" a="1"/>
  <c r="BG215" i="2" a="1"/>
  <c r="BG198" i="2" a="1"/>
  <c r="BG201" i="2" a="1"/>
  <c r="BG200" i="2" a="1"/>
  <c r="BG199" i="2" a="1"/>
  <c r="BG205" i="2" a="1"/>
  <c r="BG203" i="2" a="1"/>
  <c r="BG216" i="2" a="1"/>
  <c r="BG207" i="2" a="1"/>
  <c r="BG206" i="2" a="1"/>
  <c r="BG204" i="2" a="1"/>
  <c r="BM67" i="2"/>
  <c r="R67" i="2"/>
  <c r="Q67" i="2"/>
  <c r="BI96" i="2"/>
  <c r="BH2" i="2"/>
  <c r="BG131" i="2" a="1"/>
  <c r="BG133" i="2" a="1"/>
  <c r="BG132" i="2" a="1"/>
  <c r="BG134" i="2" a="1"/>
  <c r="BG137" i="2" a="1"/>
  <c r="BG138" i="2" a="1"/>
  <c r="BG135" i="2" a="1"/>
  <c r="BG140" i="2" a="1"/>
  <c r="BG141" i="2" a="1"/>
  <c r="BG139" i="2" a="1"/>
  <c r="BG145" i="2" a="1"/>
  <c r="BG147" i="2" a="1"/>
  <c r="BG146" i="2" a="1"/>
  <c r="BG143" i="2" a="1"/>
  <c r="BG149" i="2" a="1"/>
  <c r="BG151" i="2" a="1"/>
  <c r="BG156" i="2" a="1"/>
  <c r="BG144" i="2" a="1"/>
  <c r="BG152" i="2" a="1"/>
  <c r="BG155" i="2" a="1"/>
  <c r="BG158" i="2" a="1"/>
  <c r="BG157" i="2" a="1"/>
  <c r="BG150" i="2" a="1"/>
  <c r="BG153" i="2" a="1"/>
  <c r="BG159" i="2" a="1"/>
  <c r="D87" i="9"/>
  <c r="H87" i="9"/>
  <c r="D50" i="8" a="1"/>
  <c r="C50" i="8" a="1"/>
  <c r="BJ1" i="2"/>
  <c r="A44" i="7" a="1"/>
  <c r="BH197" i="2" a="1"/>
  <c r="BH128" i="2"/>
  <c r="B42" i="7" a="1"/>
  <c r="BH205" i="2" a="1"/>
  <c r="BH204" i="2" a="1"/>
  <c r="BH198" i="2" a="1"/>
  <c r="BH216" i="2" a="1"/>
  <c r="BH207" i="2" a="1"/>
  <c r="BH206" i="2" a="1"/>
  <c r="BH215" i="2" a="1"/>
  <c r="BH201" i="2" a="1"/>
  <c r="BH199" i="2" a="1"/>
  <c r="BH200" i="2" a="1"/>
  <c r="BH203" i="2" a="1"/>
  <c r="BJ96" i="2"/>
  <c r="BN67" i="2"/>
  <c r="BI2" i="2"/>
  <c r="BH131" i="2" a="1"/>
  <c r="BH132" i="2" a="1"/>
  <c r="BH133" i="2" a="1"/>
  <c r="BH134" i="2" a="1"/>
  <c r="BH138" i="2" a="1"/>
  <c r="BH137" i="2" a="1"/>
  <c r="BH135" i="2" a="1"/>
  <c r="BH140" i="2" a="1"/>
  <c r="BH141" i="2" a="1"/>
  <c r="BH139" i="2" a="1"/>
  <c r="BH145" i="2" a="1"/>
  <c r="BH144" i="2" a="1"/>
  <c r="BH143" i="2" a="1"/>
  <c r="BH146" i="2" a="1"/>
  <c r="BH153" i="2" a="1"/>
  <c r="BH155" i="2" a="1"/>
  <c r="BH149" i="2" a="1"/>
  <c r="BH151" i="2" a="1"/>
  <c r="BH150" i="2" a="1"/>
  <c r="BH158" i="2" a="1"/>
  <c r="BH156" i="2" a="1"/>
  <c r="BH157" i="2" a="1"/>
  <c r="BH159" i="2" a="1"/>
  <c r="BH147" i="2" a="1"/>
  <c r="BH152" i="2" a="1"/>
  <c r="D51" i="8" a="1"/>
  <c r="C51" i="8" a="1"/>
  <c r="BK1" i="2"/>
  <c r="A45" i="7" a="1"/>
  <c r="BI199" i="2" a="1"/>
  <c r="BI128" i="2"/>
  <c r="B43" i="7" a="1"/>
  <c r="BI215" i="2" a="1"/>
  <c r="BI201" i="2" a="1"/>
  <c r="BI204" i="2" a="1"/>
  <c r="BI200" i="2" a="1"/>
  <c r="BI206" i="2" a="1"/>
  <c r="BI207" i="2" a="1"/>
  <c r="BI203" i="2" a="1"/>
  <c r="BI198" i="2" a="1"/>
  <c r="BI216" i="2" a="1"/>
  <c r="BI197" i="2" a="1"/>
  <c r="BI205" i="2" a="1"/>
  <c r="BO67" i="2"/>
  <c r="BK96" i="2"/>
  <c r="BJ2" i="2"/>
  <c r="BI131" i="2" a="1"/>
  <c r="BI137" i="2" a="1"/>
  <c r="BI132" i="2" a="1"/>
  <c r="BI133" i="2" a="1"/>
  <c r="BI134" i="2" a="1"/>
  <c r="BI138" i="2" a="1"/>
  <c r="BI135" i="2" a="1"/>
  <c r="BI139" i="2" a="1"/>
  <c r="BI145" i="2" a="1"/>
  <c r="BI143" i="2" a="1"/>
  <c r="BI140" i="2" a="1"/>
  <c r="BI146" i="2" a="1"/>
  <c r="BI149" i="2" a="1"/>
  <c r="BI147" i="2" a="1"/>
  <c r="BI151" i="2" a="1"/>
  <c r="BI141" i="2" a="1"/>
  <c r="BI144" i="2" a="1"/>
  <c r="BI153" i="2" a="1"/>
  <c r="BI155" i="2" a="1"/>
  <c r="BI152" i="2" a="1"/>
  <c r="BI158" i="2" a="1"/>
  <c r="BI150" i="2" a="1"/>
  <c r="BI159" i="2" a="1"/>
  <c r="BI156" i="2" a="1"/>
  <c r="BI157" i="2" a="1"/>
  <c r="C52" i="8" a="1"/>
  <c r="D52" i="8" a="1"/>
  <c r="BL1" i="2"/>
  <c r="A46" i="7" a="1"/>
  <c r="BJ197" i="2" a="1"/>
  <c r="BJ128" i="2"/>
  <c r="B44" i="7" a="1"/>
  <c r="BJ207" i="2" a="1"/>
  <c r="BJ204" i="2" a="1"/>
  <c r="BJ216" i="2" a="1"/>
  <c r="BJ200" i="2" a="1"/>
  <c r="BJ203" i="2" a="1"/>
  <c r="BJ206" i="2" a="1"/>
  <c r="BJ199" i="2" a="1"/>
  <c r="BJ201" i="2" a="1"/>
  <c r="BJ215" i="2" a="1"/>
  <c r="BJ205" i="2" a="1"/>
  <c r="BJ198" i="2" a="1"/>
  <c r="BL96" i="2"/>
  <c r="BP67" i="2"/>
  <c r="BK2" i="2"/>
  <c r="E82" i="8" a="1"/>
  <c r="BJ131" i="2" a="1"/>
  <c r="BJ132" i="2" a="1"/>
  <c r="BJ133" i="2" a="1"/>
  <c r="BJ134" i="2" a="1"/>
  <c r="BJ135" i="2" a="1"/>
  <c r="BJ137" i="2" a="1"/>
  <c r="BJ138" i="2" a="1"/>
  <c r="BJ140" i="2" a="1"/>
  <c r="BJ143" i="2" a="1"/>
  <c r="BJ146" i="2" a="1"/>
  <c r="BJ139" i="2" a="1"/>
  <c r="BJ145" i="2" a="1"/>
  <c r="BJ141" i="2" a="1"/>
  <c r="BJ144" i="2" a="1"/>
  <c r="BJ149" i="2" a="1"/>
  <c r="BJ147" i="2" a="1"/>
  <c r="BJ151" i="2" a="1"/>
  <c r="BJ155" i="2" a="1"/>
  <c r="BJ150" i="2" a="1"/>
  <c r="BJ152" i="2" a="1"/>
  <c r="BJ158" i="2" a="1"/>
  <c r="BJ159" i="2" a="1"/>
  <c r="BJ153" i="2" a="1"/>
  <c r="BJ156" i="2" a="1"/>
  <c r="BJ157" i="2" a="1"/>
  <c r="D85" i="8" a="1"/>
  <c r="D53" i="8" a="1"/>
  <c r="C53" i="8" a="1"/>
  <c r="E84" i="8" a="1"/>
  <c r="D87" i="8" a="1"/>
  <c r="E83" i="8" a="1"/>
  <c r="E88" i="8" a="1"/>
  <c r="D84" i="8" a="1"/>
  <c r="D82" i="8" a="1"/>
  <c r="D88" i="8" a="1"/>
  <c r="D83" i="8" a="1"/>
  <c r="E87" i="8" a="1"/>
  <c r="E85" i="8" a="1"/>
  <c r="E86" i="8" a="1"/>
  <c r="D86" i="8" a="1"/>
  <c r="BM1" i="2"/>
  <c r="A47" i="7" a="1"/>
  <c r="BK216" i="2" a="1"/>
  <c r="BK128" i="2"/>
  <c r="B45" i="7" a="1"/>
  <c r="BK197" i="2" a="1"/>
  <c r="BK215" i="2" a="1"/>
  <c r="BK207" i="2" a="1"/>
  <c r="BK206" i="2" a="1"/>
  <c r="BK204" i="2" a="1"/>
  <c r="BK201" i="2" a="1"/>
  <c r="BK199" i="2" a="1"/>
  <c r="BK205" i="2" a="1"/>
  <c r="BK203" i="2" a="1"/>
  <c r="BK200" i="2" a="1"/>
  <c r="BK198" i="2" a="1"/>
  <c r="BQ67" i="2"/>
  <c r="BM96" i="2"/>
  <c r="R96" i="2"/>
  <c r="BL2" i="2"/>
  <c r="BK131" i="2" a="1"/>
  <c r="BK132" i="2" a="1"/>
  <c r="BK135" i="2" a="1"/>
  <c r="BK137" i="2" a="1"/>
  <c r="BK134" i="2" a="1"/>
  <c r="BK133" i="2" a="1"/>
  <c r="BK138" i="2" a="1"/>
  <c r="BK140" i="2" a="1"/>
  <c r="BK143" i="2" a="1"/>
  <c r="BK139" i="2" a="1"/>
  <c r="BK145" i="2" a="1"/>
  <c r="BK141" i="2" a="1"/>
  <c r="BK144" i="2" a="1"/>
  <c r="BK149" i="2" a="1"/>
  <c r="BK147" i="2" a="1"/>
  <c r="BK152" i="2" a="1"/>
  <c r="BK153" i="2" a="1"/>
  <c r="BK155" i="2" a="1"/>
  <c r="BK146" i="2" a="1"/>
  <c r="BK151" i="2" a="1"/>
  <c r="BK150" i="2" a="1"/>
  <c r="BK158" i="2" a="1"/>
  <c r="BK159" i="2" a="1"/>
  <c r="BK156" i="2" a="1"/>
  <c r="BK157" i="2" a="1"/>
  <c r="C54" i="8" a="1"/>
  <c r="D54" i="8" a="1"/>
  <c r="BN1" i="2"/>
  <c r="A48" i="7" a="1"/>
  <c r="BL206" i="2" a="1"/>
  <c r="BL128" i="2"/>
  <c r="B46" i="7" a="1"/>
  <c r="BL198" i="2" a="1"/>
  <c r="BL216" i="2" a="1"/>
  <c r="BL207" i="2" a="1"/>
  <c r="BL201" i="2" a="1"/>
  <c r="BL199" i="2" a="1"/>
  <c r="BL197" i="2" a="1"/>
  <c r="BL203" i="2" a="1"/>
  <c r="BL215" i="2" a="1"/>
  <c r="BL205" i="2" a="1"/>
  <c r="BL204" i="2" a="1"/>
  <c r="BL200" i="2" a="1"/>
  <c r="BN96" i="2"/>
  <c r="BR67" i="2"/>
  <c r="BM2" i="2"/>
  <c r="BL131" i="2" a="1"/>
  <c r="BL135" i="2" a="1"/>
  <c r="BL132" i="2" a="1"/>
  <c r="BL133" i="2" a="1"/>
  <c r="BL137" i="2" a="1"/>
  <c r="BL134" i="2" a="1"/>
  <c r="BL139" i="2" a="1"/>
  <c r="BL140" i="2" a="1"/>
  <c r="BL146" i="2" a="1"/>
  <c r="BL143" i="2" a="1"/>
  <c r="BL138" i="2" a="1"/>
  <c r="BL145" i="2" a="1"/>
  <c r="BL147" i="2" a="1"/>
  <c r="BL144" i="2" a="1"/>
  <c r="BL141" i="2" a="1"/>
  <c r="BL152" i="2" a="1"/>
  <c r="BL153" i="2" a="1"/>
  <c r="BL155" i="2" a="1"/>
  <c r="BL149" i="2" a="1"/>
  <c r="BL151" i="2" a="1"/>
  <c r="BL150" i="2" a="1"/>
  <c r="BL158" i="2" a="1"/>
  <c r="BL159" i="2" a="1"/>
  <c r="BL157" i="2" a="1"/>
  <c r="BL156" i="2" a="1"/>
  <c r="R2" i="2"/>
  <c r="C55" i="8" a="1"/>
  <c r="E75" i="8"/>
  <c r="D55" i="8" a="1"/>
  <c r="F75" i="8"/>
  <c r="BO1" i="2"/>
  <c r="A49" i="7" a="1"/>
  <c r="BM207" i="2" a="1"/>
  <c r="BM128" i="2"/>
  <c r="B47" i="7" a="1"/>
  <c r="BM197" i="2" a="1"/>
  <c r="BM198" i="2" a="1"/>
  <c r="BM200" i="2" a="1"/>
  <c r="BM206" i="2" a="1"/>
  <c r="BM199" i="2" a="1"/>
  <c r="BM215" i="2" a="1"/>
  <c r="BM205" i="2" a="1"/>
  <c r="BM204" i="2" a="1"/>
  <c r="BM201" i="2" a="1"/>
  <c r="BM203" i="2" a="1"/>
  <c r="BM216" i="2" a="1"/>
  <c r="BS67" i="2"/>
  <c r="BO96" i="2"/>
  <c r="BN2" i="2"/>
  <c r="BM131" i="2" a="1"/>
  <c r="BM135" i="2" a="1"/>
  <c r="BM132" i="2" a="1"/>
  <c r="BM133" i="2" a="1"/>
  <c r="BM134" i="2" a="1"/>
  <c r="BM139" i="2" a="1"/>
  <c r="BM141" i="2" a="1"/>
  <c r="BM137" i="2" a="1"/>
  <c r="BM138" i="2" a="1"/>
  <c r="BM140" i="2" a="1"/>
  <c r="BM144" i="2" a="1"/>
  <c r="BM146" i="2" a="1"/>
  <c r="BM143" i="2" a="1"/>
  <c r="BM145" i="2" a="1"/>
  <c r="BM149" i="2" a="1"/>
  <c r="BM147" i="2" a="1"/>
  <c r="BM156" i="2" a="1"/>
  <c r="BM150" i="2" a="1"/>
  <c r="BM153" i="2" a="1"/>
  <c r="BM155" i="2" a="1"/>
  <c r="BM151" i="2" a="1"/>
  <c r="BM159" i="2" a="1"/>
  <c r="BM158" i="2" a="1"/>
  <c r="BM152" i="2" a="1"/>
  <c r="BM157" i="2" a="1"/>
  <c r="D22" i="9"/>
  <c r="H22" i="9"/>
  <c r="Q2" i="2"/>
  <c r="G75" i="8"/>
  <c r="H75" i="8"/>
  <c r="C56" i="8" a="1"/>
  <c r="D56" i="8" a="1"/>
  <c r="BP1" i="2"/>
  <c r="A50" i="7" a="1"/>
  <c r="BN199" i="2" a="1"/>
  <c r="BN128" i="2"/>
  <c r="B48" i="7" a="1"/>
  <c r="BN215" i="2" a="1"/>
  <c r="BN206" i="2" a="1"/>
  <c r="BN204" i="2" a="1"/>
  <c r="BN200" i="2" a="1"/>
  <c r="BN216" i="2" a="1"/>
  <c r="BN197" i="2" a="1"/>
  <c r="BN207" i="2" a="1"/>
  <c r="BN198" i="2" a="1"/>
  <c r="BN201" i="2" a="1"/>
  <c r="BN205" i="2" a="1"/>
  <c r="BN203" i="2" a="1"/>
  <c r="BP96" i="2"/>
  <c r="BT67" i="2"/>
  <c r="BO2" i="2"/>
  <c r="BN131" i="2" a="1"/>
  <c r="BN132" i="2" a="1"/>
  <c r="BN135" i="2" a="1"/>
  <c r="BN133" i="2" a="1"/>
  <c r="BN137" i="2" a="1"/>
  <c r="BN134" i="2" a="1"/>
  <c r="BN140" i="2" a="1"/>
  <c r="BN141" i="2" a="1"/>
  <c r="BN139" i="2" a="1"/>
  <c r="BN144" i="2" a="1"/>
  <c r="BN146" i="2" a="1"/>
  <c r="BN143" i="2" a="1"/>
  <c r="BN138" i="2" a="1"/>
  <c r="BN145" i="2" a="1"/>
  <c r="BN151" i="2" a="1"/>
  <c r="BN156" i="2" a="1"/>
  <c r="BN150" i="2" a="1"/>
  <c r="BN152" i="2" a="1"/>
  <c r="BN153" i="2" a="1"/>
  <c r="BN147" i="2" a="1"/>
  <c r="BN157" i="2" a="1"/>
  <c r="BN155" i="2" a="1"/>
  <c r="BN158" i="2" a="1"/>
  <c r="BN149" i="2" a="1"/>
  <c r="BN159" i="2" a="1"/>
  <c r="C57" i="8" a="1"/>
  <c r="D57" i="8" a="1"/>
  <c r="BQ1" i="2"/>
  <c r="A51" i="7" a="1"/>
  <c r="BO197" i="2" a="1"/>
  <c r="BO128" i="2"/>
  <c r="B49" i="7" a="1"/>
  <c r="BO215" i="2" a="1"/>
  <c r="BO206" i="2" a="1"/>
  <c r="BO216" i="2" a="1"/>
  <c r="BO204" i="2" a="1"/>
  <c r="BO201" i="2" a="1"/>
  <c r="BO199" i="2" a="1"/>
  <c r="BO200" i="2" a="1"/>
  <c r="BO198" i="2" a="1"/>
  <c r="BO207" i="2" a="1"/>
  <c r="BO205" i="2" a="1"/>
  <c r="BO203" i="2" a="1"/>
  <c r="BU67" i="2"/>
  <c r="BQ96" i="2"/>
  <c r="BP2" i="2"/>
  <c r="BO131" i="2" a="1"/>
  <c r="BO132" i="2" a="1"/>
  <c r="BO133" i="2" a="1"/>
  <c r="BO140" i="2" a="1"/>
  <c r="BO141" i="2" a="1"/>
  <c r="BO139" i="2" a="1"/>
  <c r="BO135" i="2" a="1"/>
  <c r="BO137" i="2" a="1"/>
  <c r="BO134" i="2" a="1"/>
  <c r="BO144" i="2" a="1"/>
  <c r="BO146" i="2" a="1"/>
  <c r="BO143" i="2" a="1"/>
  <c r="BO145" i="2" a="1"/>
  <c r="BO147" i="2" a="1"/>
  <c r="BO138" i="2" a="1"/>
  <c r="BO150" i="2" a="1"/>
  <c r="BO156" i="2" a="1"/>
  <c r="BO152" i="2" a="1"/>
  <c r="BO153" i="2" a="1"/>
  <c r="BO149" i="2" a="1"/>
  <c r="BO151" i="2" a="1"/>
  <c r="BO157" i="2" a="1"/>
  <c r="BO155" i="2" a="1"/>
  <c r="BO158" i="2" a="1"/>
  <c r="BO159" i="2" a="1"/>
  <c r="C58" i="8" a="1"/>
  <c r="D58" i="8" a="1"/>
  <c r="BR1" i="2"/>
  <c r="A52" i="7" a="1"/>
  <c r="BP201" i="2" a="1"/>
  <c r="BP128" i="2"/>
  <c r="B50" i="7" a="1"/>
  <c r="BP204" i="2" a="1"/>
  <c r="BP215" i="2" a="1"/>
  <c r="BP206" i="2" a="1"/>
  <c r="BP199" i="2" a="1"/>
  <c r="BP207" i="2" a="1"/>
  <c r="BP200" i="2" a="1"/>
  <c r="BP216" i="2" a="1"/>
  <c r="BP205" i="2" a="1"/>
  <c r="BP203" i="2" a="1"/>
  <c r="BP197" i="2" a="1"/>
  <c r="BP198" i="2" a="1"/>
  <c r="BR96" i="2"/>
  <c r="BV67" i="2"/>
  <c r="BQ2" i="2"/>
  <c r="BP131" i="2" a="1"/>
  <c r="BP132" i="2" a="1"/>
  <c r="BP135" i="2" a="1"/>
  <c r="BP134" i="2" a="1"/>
  <c r="BP138" i="2" a="1"/>
  <c r="BP140" i="2" a="1"/>
  <c r="BP133" i="2" a="1"/>
  <c r="BP139" i="2" a="1"/>
  <c r="BP137" i="2" a="1"/>
  <c r="BP144" i="2" a="1"/>
  <c r="BP143" i="2" a="1"/>
  <c r="BP141" i="2" a="1"/>
  <c r="BP145" i="2" a="1"/>
  <c r="BP146" i="2" a="1"/>
  <c r="BP151" i="2" a="1"/>
  <c r="BP150" i="2" a="1"/>
  <c r="BP156" i="2" a="1"/>
  <c r="BP152" i="2" a="1"/>
  <c r="BP153" i="2" a="1"/>
  <c r="BP147" i="2" a="1"/>
  <c r="BP159" i="2" a="1"/>
  <c r="BP157" i="2" a="1"/>
  <c r="BP155" i="2" a="1"/>
  <c r="BP149" i="2" a="1"/>
  <c r="BP158" i="2" a="1"/>
  <c r="D59" i="8" a="1"/>
  <c r="C59" i="8" a="1"/>
  <c r="BS1" i="2"/>
  <c r="A53" i="7" a="1"/>
  <c r="BQ204" i="2" a="1"/>
  <c r="BQ128" i="2"/>
  <c r="B51" i="7" a="1"/>
  <c r="BQ216" i="2" a="1"/>
  <c r="BQ197" i="2" a="1"/>
  <c r="BQ198" i="2" a="1"/>
  <c r="BQ199" i="2" a="1"/>
  <c r="BQ200" i="2" a="1"/>
  <c r="BQ206" i="2" a="1"/>
  <c r="BQ215" i="2" a="1"/>
  <c r="BQ205" i="2" a="1"/>
  <c r="BQ207" i="2" a="1"/>
  <c r="BQ203" i="2" a="1"/>
  <c r="BQ201" i="2" a="1"/>
  <c r="BW67" i="2"/>
  <c r="BS96" i="2"/>
  <c r="BR2" i="2"/>
  <c r="BQ132" i="2" a="1"/>
  <c r="BQ134" i="2" a="1"/>
  <c r="BQ137" i="2" a="1"/>
  <c r="BQ135" i="2" a="1"/>
  <c r="BQ131" i="2" a="1"/>
  <c r="BQ133" i="2" a="1"/>
  <c r="BQ138" i="2" a="1"/>
  <c r="BQ140" i="2" a="1"/>
  <c r="BQ139" i="2" a="1"/>
  <c r="BQ141" i="2" a="1"/>
  <c r="BQ144" i="2" a="1"/>
  <c r="BQ146" i="2" a="1"/>
  <c r="BQ145" i="2" a="1"/>
  <c r="BQ149" i="2" a="1"/>
  <c r="BQ143" i="2" a="1"/>
  <c r="BQ147" i="2" a="1"/>
  <c r="BQ150" i="2" a="1"/>
  <c r="BQ152" i="2" a="1"/>
  <c r="BQ153" i="2" a="1"/>
  <c r="BQ158" i="2" a="1"/>
  <c r="BQ156" i="2" a="1"/>
  <c r="BQ159" i="2" a="1"/>
  <c r="BQ151" i="2" a="1"/>
  <c r="BQ157" i="2" a="1"/>
  <c r="BQ155" i="2" a="1"/>
  <c r="D60" i="8" a="1"/>
  <c r="G60" i="8"/>
  <c r="C60" i="8" a="1"/>
  <c r="BT1" i="2"/>
  <c r="A54" i="7" a="1"/>
  <c r="BR200" i="2" a="1"/>
  <c r="BR128" i="2"/>
  <c r="B52" i="7" a="1"/>
  <c r="BR207" i="2" a="1"/>
  <c r="BR205" i="2" a="1"/>
  <c r="BR203" i="2" a="1"/>
  <c r="BR199" i="2" a="1"/>
  <c r="BR204" i="2" a="1"/>
  <c r="BR197" i="2" a="1"/>
  <c r="BR216" i="2" a="1"/>
  <c r="BR215" i="2" a="1"/>
  <c r="BR206" i="2" a="1"/>
  <c r="BR201" i="2" a="1"/>
  <c r="BR198" i="2" a="1"/>
  <c r="BT96" i="2"/>
  <c r="BX67" i="2"/>
  <c r="BS2" i="2"/>
  <c r="BR131" i="2" a="1"/>
  <c r="BR134" i="2" a="1"/>
  <c r="BR137" i="2" a="1"/>
  <c r="BR132" i="2" a="1"/>
  <c r="BR135" i="2" a="1"/>
  <c r="BR138" i="2" a="1"/>
  <c r="BR133" i="2" a="1"/>
  <c r="BR140" i="2" a="1"/>
  <c r="BR139" i="2" a="1"/>
  <c r="BR141" i="2" a="1"/>
  <c r="BR144" i="2" a="1"/>
  <c r="BR143" i="2" a="1"/>
  <c r="BR145" i="2" a="1"/>
  <c r="BR149" i="2" a="1"/>
  <c r="BR151" i="2" a="1"/>
  <c r="BR155" i="2" a="1"/>
  <c r="BR150" i="2" a="1"/>
  <c r="BR156" i="2" a="1"/>
  <c r="BR146" i="2" a="1"/>
  <c r="BR152" i="2" a="1"/>
  <c r="BR159" i="2" a="1"/>
  <c r="BR157" i="2" a="1"/>
  <c r="BR153" i="2" a="1"/>
  <c r="BR158" i="2" a="1"/>
  <c r="BR147" i="2" a="1"/>
  <c r="C61" i="8" a="1"/>
  <c r="D61" i="8" a="1"/>
  <c r="G61" i="8"/>
  <c r="BU1" i="2"/>
  <c r="A55" i="7" a="1"/>
  <c r="BS203" i="2" a="1"/>
  <c r="BS128" i="2"/>
  <c r="B53" i="7" a="1"/>
  <c r="BS204" i="2" a="1"/>
  <c r="BS197" i="2" a="1"/>
  <c r="BS198" i="2" a="1"/>
  <c r="BS201" i="2" a="1"/>
  <c r="BS216" i="2" a="1"/>
  <c r="BS200" i="2" a="1"/>
  <c r="BS206" i="2" a="1"/>
  <c r="BS207" i="2" a="1"/>
  <c r="BS199" i="2" a="1"/>
  <c r="BS215" i="2" a="1"/>
  <c r="BS205" i="2" a="1"/>
  <c r="BU96" i="2"/>
  <c r="BY67" i="2"/>
  <c r="BT2" i="2"/>
  <c r="BS134" i="2" a="1"/>
  <c r="BS132" i="2" a="1"/>
  <c r="BS135" i="2" a="1"/>
  <c r="BS133" i="2" a="1"/>
  <c r="BS138" i="2" a="1"/>
  <c r="BS140" i="2" a="1"/>
  <c r="BS131" i="2" a="1"/>
  <c r="BS139" i="2" a="1"/>
  <c r="BS137" i="2" a="1"/>
  <c r="BS145" i="2" a="1"/>
  <c r="BS144" i="2" a="1"/>
  <c r="BS146" i="2" a="1"/>
  <c r="BS141" i="2" a="1"/>
  <c r="BS151" i="2" a="1"/>
  <c r="BS149" i="2" a="1"/>
  <c r="BS143" i="2" a="1"/>
  <c r="BS147" i="2" a="1"/>
  <c r="BS155" i="2" a="1"/>
  <c r="BS150" i="2" a="1"/>
  <c r="BS156" i="2" a="1"/>
  <c r="BS152" i="2" a="1"/>
  <c r="BS159" i="2" a="1"/>
  <c r="BS157" i="2" a="1"/>
  <c r="BS153" i="2" a="1"/>
  <c r="BS158" i="2" a="1"/>
  <c r="BV1" i="2"/>
  <c r="A56" i="7" a="1"/>
  <c r="BT204" i="2" a="1"/>
  <c r="BT128" i="2"/>
  <c r="B54" i="7" a="1"/>
  <c r="BT216" i="2" a="1"/>
  <c r="BT215" i="2" a="1"/>
  <c r="BT197" i="2" a="1"/>
  <c r="BT198" i="2" a="1"/>
  <c r="BT201" i="2" a="1"/>
  <c r="BT199" i="2" a="1"/>
  <c r="BT205" i="2" a="1"/>
  <c r="BT206" i="2" a="1"/>
  <c r="BT207" i="2" a="1"/>
  <c r="BT200" i="2" a="1"/>
  <c r="BT203" i="2" a="1"/>
  <c r="BZ67" i="2"/>
  <c r="BV96" i="2"/>
  <c r="BU2" i="2"/>
  <c r="BT134" i="2" a="1"/>
  <c r="BT137" i="2" a="1"/>
  <c r="BT132" i="2" a="1"/>
  <c r="BT135" i="2" a="1"/>
  <c r="BT131" i="2" a="1"/>
  <c r="BT133" i="2" a="1"/>
  <c r="BT138" i="2" a="1"/>
  <c r="BT140" i="2" a="1"/>
  <c r="BT141" i="2" a="1"/>
  <c r="BT143" i="2" a="1"/>
  <c r="BT139" i="2" a="1"/>
  <c r="BT144" i="2" a="1"/>
  <c r="BT147" i="2" a="1"/>
  <c r="BT145" i="2" a="1"/>
  <c r="BT146" i="2" a="1"/>
  <c r="BT151" i="2" a="1"/>
  <c r="BT155" i="2" a="1"/>
  <c r="BT150" i="2" a="1"/>
  <c r="BT156" i="2" a="1"/>
  <c r="BT149" i="2" a="1"/>
  <c r="BT152" i="2" a="1"/>
  <c r="BT159" i="2" a="1"/>
  <c r="BT157" i="2" a="1"/>
  <c r="BT153" i="2" a="1"/>
  <c r="BT158" i="2" a="1"/>
  <c r="BW1" i="2"/>
  <c r="A57" i="7" a="1"/>
  <c r="BU206" i="2" a="1"/>
  <c r="BU128" i="2"/>
  <c r="B55" i="7" a="1"/>
  <c r="BU204" i="2" a="1"/>
  <c r="BU201" i="2" a="1"/>
  <c r="BU207" i="2" a="1"/>
  <c r="BU215" i="2" a="1"/>
  <c r="BU205" i="2" a="1"/>
  <c r="BU203" i="2" a="1"/>
  <c r="BU198" i="2" a="1"/>
  <c r="BU199" i="2" a="1"/>
  <c r="BU200" i="2" a="1"/>
  <c r="BU197" i="2" a="1"/>
  <c r="BU216" i="2" a="1"/>
  <c r="BW96" i="2"/>
  <c r="CA67" i="2"/>
  <c r="BV2" i="2"/>
  <c r="BU133" i="2" a="1"/>
  <c r="BU137" i="2" a="1"/>
  <c r="BU132" i="2" a="1"/>
  <c r="BU135" i="2" a="1"/>
  <c r="BU140" i="2" a="1"/>
  <c r="BU139" i="2" a="1"/>
  <c r="BU134" i="2" a="1"/>
  <c r="BU131" i="2" a="1"/>
  <c r="BU145" i="2" a="1"/>
  <c r="BU143" i="2" a="1"/>
  <c r="BU138" i="2" a="1"/>
  <c r="BU146" i="2" a="1"/>
  <c r="BU147" i="2" a="1"/>
  <c r="BU144" i="2" a="1"/>
  <c r="BU149" i="2" a="1"/>
  <c r="BU151" i="2" a="1"/>
  <c r="BU141" i="2" a="1"/>
  <c r="BU155" i="2" a="1"/>
  <c r="BU152" i="2" a="1"/>
  <c r="BU153" i="2" a="1"/>
  <c r="BU156" i="2" a="1"/>
  <c r="BU158" i="2" a="1"/>
  <c r="BU159" i="2" a="1"/>
  <c r="BU150" i="2" a="1"/>
  <c r="BU157" i="2" a="1"/>
  <c r="BX1" i="2"/>
  <c r="A58" i="7" a="1"/>
  <c r="BV206" i="2" a="1"/>
  <c r="BV128" i="2"/>
  <c r="B56" i="7" a="1"/>
  <c r="BV205" i="2" a="1"/>
  <c r="BV197" i="2" a="1"/>
  <c r="BV203" i="2" a="1"/>
  <c r="BV198" i="2" a="1"/>
  <c r="BV201" i="2" a="1"/>
  <c r="BV204" i="2" a="1"/>
  <c r="BV199" i="2" a="1"/>
  <c r="BV216" i="2" a="1"/>
  <c r="BV215" i="2" a="1"/>
  <c r="BV200" i="2" a="1"/>
  <c r="BV207" i="2" a="1"/>
  <c r="CB67" i="2"/>
  <c r="BX96" i="2"/>
  <c r="BW2" i="2"/>
  <c r="BV131" i="2" a="1"/>
  <c r="BV133" i="2" a="1"/>
  <c r="BV134" i="2" a="1"/>
  <c r="BV132" i="2" a="1"/>
  <c r="BV135" i="2" a="1"/>
  <c r="BV138" i="2" a="1"/>
  <c r="BV140" i="2" a="1"/>
  <c r="BV137" i="2" a="1"/>
  <c r="BV141" i="2" a="1"/>
  <c r="BV145" i="2" a="1"/>
  <c r="BV147" i="2" a="1"/>
  <c r="BV143" i="2" a="1"/>
  <c r="BV139" i="2" a="1"/>
  <c r="BV146" i="2" a="1"/>
  <c r="BV144" i="2" a="1"/>
  <c r="BV151" i="2" a="1"/>
  <c r="BV155" i="2" a="1"/>
  <c r="BV150" i="2" a="1"/>
  <c r="BV152" i="2" a="1"/>
  <c r="BV156" i="2" a="1"/>
  <c r="BV149" i="2" a="1"/>
  <c r="BV153" i="2" a="1"/>
  <c r="BV159" i="2" a="1"/>
  <c r="BV157" i="2" a="1"/>
  <c r="BV158" i="2" a="1"/>
  <c r="BY1" i="2"/>
  <c r="A59" i="7" a="1"/>
  <c r="BW206" i="2" a="1"/>
  <c r="BW128" i="2"/>
  <c r="B57" i="7" a="1"/>
  <c r="BW207" i="2" a="1"/>
  <c r="BW215" i="2" a="1"/>
  <c r="BW203" i="2" a="1"/>
  <c r="BW200" i="2" a="1"/>
  <c r="BW204" i="2" a="1"/>
  <c r="BW197" i="2" a="1"/>
  <c r="BW205" i="2" a="1"/>
  <c r="BW198" i="2" a="1"/>
  <c r="BW199" i="2" a="1"/>
  <c r="BW201" i="2" a="1"/>
  <c r="BW216" i="2" a="1"/>
  <c r="BY96" i="2"/>
  <c r="CC67" i="2"/>
  <c r="BX2" i="2"/>
  <c r="BW131" i="2" a="1"/>
  <c r="BW133" i="2" a="1"/>
  <c r="BW134" i="2" a="1"/>
  <c r="BW137" i="2" a="1"/>
  <c r="BW132" i="2" a="1"/>
  <c r="BW141" i="2" a="1"/>
  <c r="BW140" i="2" a="1"/>
  <c r="BW147" i="2" a="1"/>
  <c r="BW145" i="2" a="1"/>
  <c r="BW135" i="2" a="1"/>
  <c r="BW143" i="2" a="1"/>
  <c r="BW139" i="2" a="1"/>
  <c r="BW138" i="2" a="1"/>
  <c r="BW146" i="2" a="1"/>
  <c r="BW144" i="2" a="1"/>
  <c r="BW151" i="2" a="1"/>
  <c r="BW149" i="2" a="1"/>
  <c r="BW152" i="2" a="1"/>
  <c r="BW158" i="2" a="1"/>
  <c r="BW157" i="2" a="1"/>
  <c r="BW156" i="2" a="1"/>
  <c r="BW150" i="2" a="1"/>
  <c r="BW159" i="2" a="1"/>
  <c r="BW155" i="2" a="1"/>
  <c r="BW153" i="2" a="1"/>
  <c r="BZ1" i="2"/>
  <c r="A60" i="7" a="1"/>
  <c r="BX204" i="2" a="1"/>
  <c r="BX128" i="2"/>
  <c r="B58" i="7" a="1"/>
  <c r="BX199" i="2" a="1"/>
  <c r="BX200" i="2" a="1"/>
  <c r="BX206" i="2" a="1"/>
  <c r="BX198" i="2" a="1"/>
  <c r="BX197" i="2" a="1"/>
  <c r="BX205" i="2" a="1"/>
  <c r="BX216" i="2" a="1"/>
  <c r="BX207" i="2" a="1"/>
  <c r="BX203" i="2" a="1"/>
  <c r="BX201" i="2" a="1"/>
  <c r="BX215" i="2" a="1"/>
  <c r="CD67" i="2"/>
  <c r="BZ96" i="2"/>
  <c r="BY2" i="2"/>
  <c r="BY197" i="2" a="1"/>
  <c r="BX131" i="2" a="1"/>
  <c r="BX132" i="2" a="1"/>
  <c r="BX134" i="2" a="1"/>
  <c r="BX137" i="2" a="1"/>
  <c r="BX133" i="2" a="1"/>
  <c r="BX135" i="2" a="1"/>
  <c r="BX139" i="2" a="1"/>
  <c r="BX141" i="2" a="1"/>
  <c r="BX140" i="2" a="1"/>
  <c r="BX145" i="2" a="1"/>
  <c r="BX144" i="2" a="1"/>
  <c r="BX146" i="2" a="1"/>
  <c r="BX147" i="2" a="1"/>
  <c r="BX143" i="2" a="1"/>
  <c r="BX138" i="2" a="1"/>
  <c r="BX153" i="2" a="1"/>
  <c r="BX149" i="2" a="1"/>
  <c r="BX151" i="2" a="1"/>
  <c r="BX150" i="2" a="1"/>
  <c r="BX152" i="2" a="1"/>
  <c r="BX158" i="2" a="1"/>
  <c r="BX157" i="2" a="1"/>
  <c r="BX156" i="2" a="1"/>
  <c r="BX159" i="2" a="1"/>
  <c r="BX155" i="2" a="1"/>
  <c r="CA1" i="2"/>
  <c r="A61" i="7" a="1"/>
  <c r="BY207" i="2" a="1"/>
  <c r="BY216" i="2" a="1"/>
  <c r="BY206" i="2" a="1"/>
  <c r="BY215" i="2" a="1"/>
  <c r="BY205" i="2" a="1"/>
  <c r="BY198" i="2" a="1"/>
  <c r="BY200" i="2" a="1"/>
  <c r="BY199" i="2" a="1"/>
  <c r="BY203" i="2" a="1"/>
  <c r="BY204" i="2" a="1"/>
  <c r="BY201" i="2" a="1"/>
  <c r="CA96" i="2"/>
  <c r="CE67" i="2"/>
  <c r="BZ2" i="2"/>
  <c r="BZ206" i="2" a="1"/>
  <c r="BY131" i="2" a="1"/>
  <c r="BY132" i="2" a="1"/>
  <c r="BY133" i="2" a="1"/>
  <c r="BY134" i="2" a="1"/>
  <c r="BY139" i="2" a="1"/>
  <c r="BY141" i="2" a="1"/>
  <c r="BY137" i="2" a="1"/>
  <c r="BY135" i="2" a="1"/>
  <c r="BY138" i="2" a="1"/>
  <c r="BY140" i="2" a="1"/>
  <c r="BY145" i="2" a="1"/>
  <c r="BY144" i="2" a="1"/>
  <c r="BY146" i="2" a="1"/>
  <c r="BY149" i="2" a="1"/>
  <c r="BY147" i="2" a="1"/>
  <c r="BY143" i="2" a="1"/>
  <c r="BY151" i="2" a="1"/>
  <c r="BY153" i="2" a="1"/>
  <c r="BY155" i="2" a="1"/>
  <c r="BY150" i="2" a="1"/>
  <c r="BY152" i="2" a="1"/>
  <c r="BY158" i="2" a="1"/>
  <c r="BY159" i="2" a="1"/>
  <c r="BY156" i="2" a="1"/>
  <c r="BY157" i="2" a="1"/>
  <c r="CB1" i="2"/>
  <c r="A62" i="7" a="1"/>
  <c r="BZ200" i="2" a="1"/>
  <c r="BZ205" i="2" a="1"/>
  <c r="BZ203" i="2" a="1"/>
  <c r="BZ201" i="2" a="1"/>
  <c r="BZ199" i="2" a="1"/>
  <c r="BZ197" i="2" a="1"/>
  <c r="BZ198" i="2" a="1"/>
  <c r="BZ216" i="2" a="1"/>
  <c r="BZ215" i="2" a="1"/>
  <c r="BZ204" i="2" a="1"/>
  <c r="BZ207" i="2" a="1"/>
  <c r="CF67" i="2"/>
  <c r="CB96" i="2"/>
  <c r="CA2" i="2"/>
  <c r="CA205" i="2" a="1"/>
  <c r="BZ131" i="2" a="1"/>
  <c r="BZ132" i="2" a="1"/>
  <c r="BZ137" i="2" a="1"/>
  <c r="BZ133" i="2" a="1"/>
  <c r="BZ135" i="2" a="1"/>
  <c r="BZ138" i="2" a="1"/>
  <c r="BZ140" i="2" a="1"/>
  <c r="BZ139" i="2" a="1"/>
  <c r="BZ141" i="2" a="1"/>
  <c r="BZ134" i="2" a="1"/>
  <c r="BZ146" i="2" a="1"/>
  <c r="BZ145" i="2" a="1"/>
  <c r="BZ143" i="2" a="1"/>
  <c r="BZ149" i="2" a="1"/>
  <c r="BZ147" i="2" a="1"/>
  <c r="BZ152" i="2" a="1"/>
  <c r="BZ156" i="2" a="1"/>
  <c r="BZ151" i="2" a="1"/>
  <c r="BZ158" i="2" a="1"/>
  <c r="BZ144" i="2" a="1"/>
  <c r="BZ150" i="2" a="1"/>
  <c r="BZ159" i="2" a="1"/>
  <c r="BZ153" i="2" a="1"/>
  <c r="BZ157" i="2" a="1"/>
  <c r="BZ155" i="2" a="1"/>
  <c r="CC1" i="2"/>
  <c r="A63" i="7" a="1"/>
  <c r="CA200" i="2" a="1"/>
  <c r="CA203" i="2" a="1"/>
  <c r="CA199" i="2" a="1"/>
  <c r="CA216" i="2" a="1"/>
  <c r="CA197" i="2" a="1"/>
  <c r="CA198" i="2" a="1"/>
  <c r="CA207" i="2" a="1"/>
  <c r="CA204" i="2" a="1"/>
  <c r="CA215" i="2" a="1"/>
  <c r="CA206" i="2" a="1"/>
  <c r="CA201" i="2" a="1"/>
  <c r="CC96" i="2"/>
  <c r="CG67" i="2"/>
  <c r="CB2" i="2"/>
  <c r="CB207" i="2" a="1"/>
  <c r="CA131" i="2" a="1"/>
  <c r="CA135" i="2" a="1"/>
  <c r="CA133" i="2" a="1"/>
  <c r="CA134" i="2" a="1"/>
  <c r="CA132" i="2" a="1"/>
  <c r="CA138" i="2" a="1"/>
  <c r="CA140" i="2" a="1"/>
  <c r="CA139" i="2" a="1"/>
  <c r="CA137" i="2" a="1"/>
  <c r="CA143" i="2" a="1"/>
  <c r="CA144" i="2" a="1"/>
  <c r="CA141" i="2" a="1"/>
  <c r="CA145" i="2" a="1"/>
  <c r="CA146" i="2" a="1"/>
  <c r="CA149" i="2" a="1"/>
  <c r="CA147" i="2" a="1"/>
  <c r="CA150" i="2" a="1"/>
  <c r="CA152" i="2" a="1"/>
  <c r="CA155" i="2" a="1"/>
  <c r="CA153" i="2" a="1"/>
  <c r="CA151" i="2" a="1"/>
  <c r="CA158" i="2" a="1"/>
  <c r="CA156" i="2" a="1"/>
  <c r="CA159" i="2" a="1"/>
  <c r="CA157" i="2" a="1"/>
  <c r="CD1" i="2"/>
  <c r="A64" i="7" a="1"/>
  <c r="CB198" i="2" a="1"/>
  <c r="CB199" i="2" a="1"/>
  <c r="CB204" i="2" a="1"/>
  <c r="CB200" i="2" a="1"/>
  <c r="CB201" i="2" a="1"/>
  <c r="CB215" i="2" a="1"/>
  <c r="CB206" i="2" a="1"/>
  <c r="CB205" i="2" a="1"/>
  <c r="CB216" i="2" a="1"/>
  <c r="CB203" i="2" a="1"/>
  <c r="CB197" i="2" a="1"/>
  <c r="CH67" i="2"/>
  <c r="CD96" i="2"/>
  <c r="CC2" i="2"/>
  <c r="CC199" i="2" a="1"/>
  <c r="CB131" i="2" a="1"/>
  <c r="CB135" i="2" a="1"/>
  <c r="CB137" i="2" a="1"/>
  <c r="CB133" i="2" a="1"/>
  <c r="CB138" i="2" a="1"/>
  <c r="CB139" i="2" a="1"/>
  <c r="CB140" i="2" a="1"/>
  <c r="CB141" i="2" a="1"/>
  <c r="CB132" i="2" a="1"/>
  <c r="CB134" i="2" a="1"/>
  <c r="CB146" i="2" a="1"/>
  <c r="CB144" i="2" a="1"/>
  <c r="CB147" i="2" a="1"/>
  <c r="CB145" i="2" a="1"/>
  <c r="CB143" i="2" a="1"/>
  <c r="CB150" i="2" a="1"/>
  <c r="CB149" i="2" a="1"/>
  <c r="CB155" i="2" a="1"/>
  <c r="CB156" i="2" a="1"/>
  <c r="CB153" i="2" a="1"/>
  <c r="CB151" i="2" a="1"/>
  <c r="CB157" i="2" a="1"/>
  <c r="CB152" i="2" a="1"/>
  <c r="CB158" i="2" a="1"/>
  <c r="CB159" i="2" a="1"/>
  <c r="CE1" i="2"/>
  <c r="A65" i="7" a="1"/>
  <c r="CC215" i="2" a="1"/>
  <c r="CC203" i="2" a="1"/>
  <c r="CC204" i="2" a="1"/>
  <c r="CC200" i="2" a="1"/>
  <c r="CC207" i="2" a="1"/>
  <c r="CC216" i="2" a="1"/>
  <c r="CC197" i="2" a="1"/>
  <c r="CC206" i="2" a="1"/>
  <c r="CC205" i="2" a="1"/>
  <c r="CC198" i="2" a="1"/>
  <c r="CC201" i="2" a="1"/>
  <c r="CI67" i="2"/>
  <c r="CE96" i="2"/>
  <c r="CD2" i="2"/>
  <c r="CD201" i="2" a="1"/>
  <c r="CC131" i="2" a="1"/>
  <c r="CC132" i="2" a="1"/>
  <c r="CC135" i="2" a="1"/>
  <c r="CC137" i="2" a="1"/>
  <c r="CC133" i="2" a="1"/>
  <c r="CC134" i="2" a="1"/>
  <c r="CC140" i="2" a="1"/>
  <c r="CC138" i="2" a="1"/>
  <c r="CC139" i="2" a="1"/>
  <c r="CC141" i="2" a="1"/>
  <c r="CC143" i="2" a="1"/>
  <c r="CC146" i="2" a="1"/>
  <c r="CC144" i="2" a="1"/>
  <c r="CC147" i="2" a="1"/>
  <c r="CC149" i="2" a="1"/>
  <c r="CC145" i="2" a="1"/>
  <c r="CC151" i="2" a="1"/>
  <c r="CC150" i="2" a="1"/>
  <c r="CC152" i="2" a="1"/>
  <c r="CC155" i="2" a="1"/>
  <c r="CC156" i="2" a="1"/>
  <c r="CC153" i="2" a="1"/>
  <c r="CC159" i="2" a="1"/>
  <c r="CC158" i="2" a="1"/>
  <c r="CC157" i="2" a="1"/>
  <c r="CF1" i="2"/>
  <c r="A66" i="7" a="1"/>
  <c r="CD206" i="2" a="1"/>
  <c r="CD199" i="2" a="1"/>
  <c r="CD205" i="2" a="1"/>
  <c r="CD200" i="2" a="1"/>
  <c r="CD216" i="2" a="1"/>
  <c r="CD207" i="2" a="1"/>
  <c r="CD215" i="2" a="1"/>
  <c r="CD203" i="2" a="1"/>
  <c r="CD204" i="2" a="1"/>
  <c r="CD197" i="2" a="1"/>
  <c r="CD198" i="2" a="1"/>
  <c r="CJ67" i="2"/>
  <c r="CF96" i="2"/>
  <c r="CE2" i="2"/>
  <c r="CE199" i="2" a="1"/>
  <c r="CD131" i="2" a="1"/>
  <c r="CD132" i="2" a="1"/>
  <c r="CD135" i="2" a="1"/>
  <c r="CD134" i="2" a="1"/>
  <c r="CD140" i="2" a="1"/>
  <c r="CD138" i="2" a="1"/>
  <c r="CD141" i="2" a="1"/>
  <c r="CD137" i="2" a="1"/>
  <c r="CD139" i="2" a="1"/>
  <c r="CD133" i="2" a="1"/>
  <c r="CD143" i="2" a="1"/>
  <c r="CD146" i="2" a="1"/>
  <c r="CD144" i="2" a="1"/>
  <c r="CD147" i="2" a="1"/>
  <c r="CD149" i="2" a="1"/>
  <c r="CD150" i="2" a="1"/>
  <c r="CD152" i="2" a="1"/>
  <c r="CD155" i="2" a="1"/>
  <c r="CD153" i="2" a="1"/>
  <c r="CD151" i="2" a="1"/>
  <c r="CD157" i="2" a="1"/>
  <c r="CD156" i="2" a="1"/>
  <c r="CD159" i="2" a="1"/>
  <c r="CD145" i="2" a="1"/>
  <c r="CD158" i="2" a="1"/>
  <c r="CG1" i="2"/>
  <c r="A67" i="7" a="1"/>
  <c r="CE198" i="2" a="1"/>
  <c r="CE205" i="2" a="1"/>
  <c r="CE200" i="2" a="1"/>
  <c r="CE216" i="2" a="1"/>
  <c r="CE215" i="2" a="1"/>
  <c r="CE206" i="2" a="1"/>
  <c r="CE207" i="2" a="1"/>
  <c r="CE201" i="2" a="1"/>
  <c r="CE204" i="2" a="1"/>
  <c r="CE203" i="2" a="1"/>
  <c r="CE197" i="2" a="1"/>
  <c r="CG96" i="2"/>
  <c r="CK67" i="2"/>
  <c r="CF2" i="2"/>
  <c r="CF207" i="2" a="1"/>
  <c r="CE131" i="2" a="1"/>
  <c r="CE134" i="2" a="1"/>
  <c r="CE133" i="2" a="1"/>
  <c r="CE132" i="2" a="1"/>
  <c r="CE140" i="2" a="1"/>
  <c r="CE141" i="2" a="1"/>
  <c r="CE137" i="2" a="1"/>
  <c r="CE138" i="2" a="1"/>
  <c r="CE139" i="2" a="1"/>
  <c r="CE135" i="2" a="1"/>
  <c r="CE146" i="2" a="1"/>
  <c r="CE143" i="2" a="1"/>
  <c r="CE144" i="2" a="1"/>
  <c r="CE145" i="2" a="1"/>
  <c r="CE147" i="2" a="1"/>
  <c r="CE151" i="2" a="1"/>
  <c r="CE149" i="2" a="1"/>
  <c r="CE150" i="2" a="1"/>
  <c r="CE152" i="2" a="1"/>
  <c r="CE156" i="2" a="1"/>
  <c r="CE153" i="2" a="1"/>
  <c r="CE155" i="2" a="1"/>
  <c r="CE157" i="2" a="1"/>
  <c r="CE158" i="2" a="1"/>
  <c r="CE159" i="2" a="1"/>
  <c r="CH1" i="2"/>
  <c r="A68" i="7" a="1"/>
  <c r="CF205" i="2" a="1"/>
  <c r="CF199" i="2" a="1"/>
  <c r="CF201" i="2" a="1"/>
  <c r="CF197" i="2" a="1"/>
  <c r="CF216" i="2" a="1"/>
  <c r="CF200" i="2" a="1"/>
  <c r="CF206" i="2" a="1"/>
  <c r="CF204" i="2" a="1"/>
  <c r="CF203" i="2" a="1"/>
  <c r="CF198" i="2" a="1"/>
  <c r="CF215" i="2" a="1"/>
  <c r="CL67" i="2"/>
  <c r="CH96" i="2"/>
  <c r="CG2" i="2"/>
  <c r="CG215" i="2" a="1"/>
  <c r="CF132" i="2" a="1"/>
  <c r="CF134" i="2" a="1"/>
  <c r="CF135" i="2" a="1"/>
  <c r="CF131" i="2" a="1"/>
  <c r="CF140" i="2" a="1"/>
  <c r="CF141" i="2" a="1"/>
  <c r="CF139" i="2" a="1"/>
  <c r="CF137" i="2" a="1"/>
  <c r="CF133" i="2" a="1"/>
  <c r="CF143" i="2" a="1"/>
  <c r="CF144" i="2" a="1"/>
  <c r="CF138" i="2" a="1"/>
  <c r="CF145" i="2" a="1"/>
  <c r="CF146" i="2" a="1"/>
  <c r="CF147" i="2" a="1"/>
  <c r="CF149" i="2" a="1"/>
  <c r="CF150" i="2" a="1"/>
  <c r="CF152" i="2" a="1"/>
  <c r="CF156" i="2" a="1"/>
  <c r="CF151" i="2" a="1"/>
  <c r="CF153" i="2" a="1"/>
  <c r="CF159" i="2" a="1"/>
  <c r="CF157" i="2" a="1"/>
  <c r="CF158" i="2" a="1"/>
  <c r="CF155" i="2" a="1"/>
  <c r="CI1" i="2"/>
  <c r="A69" i="7" a="1"/>
  <c r="CG200" i="2" a="1"/>
  <c r="CG205" i="2" a="1"/>
  <c r="CG203" i="2" a="1"/>
  <c r="CG199" i="2" a="1"/>
  <c r="CG197" i="2" a="1"/>
  <c r="CG198" i="2" a="1"/>
  <c r="CG201" i="2" a="1"/>
  <c r="CG204" i="2" a="1"/>
  <c r="CG206" i="2" a="1"/>
  <c r="CG216" i="2" a="1"/>
  <c r="CG207" i="2" a="1"/>
  <c r="CI96" i="2"/>
  <c r="CM67" i="2"/>
  <c r="CH2" i="2"/>
  <c r="CH197" i="2" a="1"/>
  <c r="CG131" i="2" a="1"/>
  <c r="CG132" i="2" a="1"/>
  <c r="CG134" i="2" a="1"/>
  <c r="CG135" i="2" a="1"/>
  <c r="CG133" i="2" a="1"/>
  <c r="CG137" i="2" a="1"/>
  <c r="CG138" i="2" a="1"/>
  <c r="CG145" i="2" a="1"/>
  <c r="CG141" i="2" a="1"/>
  <c r="CG140" i="2" a="1"/>
  <c r="CG146" i="2" a="1"/>
  <c r="CG144" i="2" a="1"/>
  <c r="CG139" i="2" a="1"/>
  <c r="CG149" i="2" a="1"/>
  <c r="CG151" i="2" a="1"/>
  <c r="CG147" i="2" a="1"/>
  <c r="CG150" i="2" a="1"/>
  <c r="CG152" i="2" a="1"/>
  <c r="CG156" i="2" a="1"/>
  <c r="CG155" i="2" a="1"/>
  <c r="CG159" i="2" a="1"/>
  <c r="CG143" i="2" a="1"/>
  <c r="CG157" i="2" a="1"/>
  <c r="CG158" i="2" a="1"/>
  <c r="CG153" i="2" a="1"/>
  <c r="CJ1" i="2"/>
  <c r="A70" i="7" a="1"/>
  <c r="CH198" i="2" a="1"/>
  <c r="CH216" i="2" a="1"/>
  <c r="CH201" i="2" a="1"/>
  <c r="CH199" i="2" a="1"/>
  <c r="CH207" i="2" a="1"/>
  <c r="CH215" i="2" a="1"/>
  <c r="CH203" i="2" a="1"/>
  <c r="CH200" i="2" a="1"/>
  <c r="CH205" i="2" a="1"/>
  <c r="CH204" i="2" a="1"/>
  <c r="CH206" i="2" a="1"/>
  <c r="CN67" i="2"/>
  <c r="CJ96" i="2"/>
  <c r="CI2" i="2"/>
  <c r="CI206" i="2" a="1"/>
  <c r="CH137" i="2" a="1"/>
  <c r="CH132" i="2" a="1"/>
  <c r="CH135" i="2" a="1"/>
  <c r="CH131" i="2" a="1"/>
  <c r="CH133" i="2" a="1"/>
  <c r="CH140" i="2" a="1"/>
  <c r="CH134" i="2" a="1"/>
  <c r="CH138" i="2" a="1"/>
  <c r="CH141" i="2" a="1"/>
  <c r="CH144" i="2" a="1"/>
  <c r="CH149" i="2" a="1"/>
  <c r="CH139" i="2" a="1"/>
  <c r="CH146" i="2" a="1"/>
  <c r="CH143" i="2" a="1"/>
  <c r="CH147" i="2" a="1"/>
  <c r="CH145" i="2" a="1"/>
  <c r="CH150" i="2" a="1"/>
  <c r="CH152" i="2" a="1"/>
  <c r="CH155" i="2" a="1"/>
  <c r="CH159" i="2" a="1"/>
  <c r="CH151" i="2" a="1"/>
  <c r="CH157" i="2" a="1"/>
  <c r="CH156" i="2" a="1"/>
  <c r="CH158" i="2" a="1"/>
  <c r="CH153" i="2" a="1"/>
  <c r="CK1" i="2"/>
  <c r="A71" i="7" a="1"/>
  <c r="CI205" i="2" a="1"/>
  <c r="CI203" i="2" a="1"/>
  <c r="CI204" i="2" a="1"/>
  <c r="CI200" i="2" a="1"/>
  <c r="CI199" i="2" a="1"/>
  <c r="CI197" i="2" a="1"/>
  <c r="CI201" i="2" a="1"/>
  <c r="CI198" i="2" a="1"/>
  <c r="CI216" i="2" a="1"/>
  <c r="CI207" i="2" a="1"/>
  <c r="CI215" i="2" a="1"/>
  <c r="CO67" i="2"/>
  <c r="CK96" i="2"/>
  <c r="CJ2" i="2"/>
  <c r="CJ206" i="2" a="1"/>
  <c r="CI132" i="2" a="1"/>
  <c r="CI134" i="2" a="1"/>
  <c r="CI135" i="2" a="1"/>
  <c r="CI131" i="2" a="1"/>
  <c r="CI133" i="2" a="1"/>
  <c r="CI137" i="2" a="1"/>
  <c r="CI138" i="2" a="1"/>
  <c r="CI145" i="2" a="1"/>
  <c r="CI140" i="2" a="1"/>
  <c r="CI141" i="2" a="1"/>
  <c r="CI146" i="2" a="1"/>
  <c r="CI139" i="2" a="1"/>
  <c r="CI143" i="2" a="1"/>
  <c r="CI151" i="2" a="1"/>
  <c r="CI149" i="2" a="1"/>
  <c r="CI144" i="2" a="1"/>
  <c r="CI147" i="2" a="1"/>
  <c r="CI150" i="2" a="1"/>
  <c r="CI155" i="2" a="1"/>
  <c r="CI159" i="2" a="1"/>
  <c r="CI152" i="2" a="1"/>
  <c r="CI157" i="2" a="1"/>
  <c r="CI158" i="2" a="1"/>
  <c r="CI156" i="2" a="1"/>
  <c r="CI153" i="2" a="1"/>
  <c r="CL1" i="2"/>
  <c r="A72" i="7" a="1"/>
  <c r="CJ216" i="2" a="1"/>
  <c r="CJ215" i="2" a="1"/>
  <c r="CJ207" i="2" a="1"/>
  <c r="CJ204" i="2" a="1"/>
  <c r="CJ201" i="2" a="1"/>
  <c r="CJ205" i="2" a="1"/>
  <c r="CJ198" i="2" a="1"/>
  <c r="CJ200" i="2" a="1"/>
  <c r="CJ203" i="2" a="1"/>
  <c r="CJ197" i="2" a="1"/>
  <c r="CJ199" i="2" a="1"/>
  <c r="CL96" i="2"/>
  <c r="CP67" i="2"/>
  <c r="CK2" i="2"/>
  <c r="CK216" i="2" a="1"/>
  <c r="CJ131" i="2" a="1"/>
  <c r="CJ133" i="2" a="1"/>
  <c r="CJ132" i="2" a="1"/>
  <c r="CJ134" i="2" a="1"/>
  <c r="CJ135" i="2" a="1"/>
  <c r="CJ137" i="2" a="1"/>
  <c r="CJ138" i="2" a="1"/>
  <c r="CJ139" i="2" a="1"/>
  <c r="CJ145" i="2" a="1"/>
  <c r="CJ141" i="2" a="1"/>
  <c r="CJ144" i="2" a="1"/>
  <c r="CJ143" i="2" a="1"/>
  <c r="CJ147" i="2" a="1"/>
  <c r="CJ155" i="2" a="1"/>
  <c r="CJ140" i="2" a="1"/>
  <c r="CJ146" i="2" a="1"/>
  <c r="CJ149" i="2" a="1"/>
  <c r="CJ151" i="2" a="1"/>
  <c r="CJ152" i="2" a="1"/>
  <c r="CJ153" i="2" a="1"/>
  <c r="CJ159" i="2" a="1"/>
  <c r="CJ156" i="2" a="1"/>
  <c r="CJ157" i="2" a="1"/>
  <c r="CJ150" i="2" a="1"/>
  <c r="CJ158" i="2" a="1"/>
  <c r="CM1" i="2"/>
  <c r="A73" i="7" a="1"/>
  <c r="CK205" i="2" a="1"/>
  <c r="CK198" i="2" a="1"/>
  <c r="CK201" i="2" a="1"/>
  <c r="CK199" i="2" a="1"/>
  <c r="CK200" i="2" a="1"/>
  <c r="CK215" i="2" a="1"/>
  <c r="CK207" i="2" a="1"/>
  <c r="CK204" i="2" a="1"/>
  <c r="CK206" i="2" a="1"/>
  <c r="CK203" i="2" a="1"/>
  <c r="CK197" i="2" a="1"/>
  <c r="CQ67" i="2"/>
  <c r="CM96" i="2"/>
  <c r="CL2" i="2"/>
  <c r="CL198" i="2" a="1"/>
  <c r="CK131" i="2" a="1"/>
  <c r="CK133" i="2" a="1"/>
  <c r="CK132" i="2" a="1"/>
  <c r="CK137" i="2" a="1"/>
  <c r="CK134" i="2" a="1"/>
  <c r="CK135" i="2" a="1"/>
  <c r="CK139" i="2" a="1"/>
  <c r="CK138" i="2" a="1"/>
  <c r="CK140" i="2" a="1"/>
  <c r="CK141" i="2" a="1"/>
  <c r="CK145" i="2" a="1"/>
  <c r="CK146" i="2" a="1"/>
  <c r="CK144" i="2" a="1"/>
  <c r="CK149" i="2" a="1"/>
  <c r="CK143" i="2" a="1"/>
  <c r="CK147" i="2" a="1"/>
  <c r="CK153" i="2" a="1"/>
  <c r="CK158" i="2" a="1"/>
  <c r="CK155" i="2" a="1"/>
  <c r="CK150" i="2" a="1"/>
  <c r="CK151" i="2" a="1"/>
  <c r="CK152" i="2" a="1"/>
  <c r="CK159" i="2" a="1"/>
  <c r="CK157" i="2" a="1"/>
  <c r="CK156" i="2" a="1"/>
  <c r="CN1" i="2"/>
  <c r="A74" i="7" a="1"/>
  <c r="CL204" i="2" a="1"/>
  <c r="CL216" i="2" a="1"/>
  <c r="CL207" i="2" a="1"/>
  <c r="CL206" i="2" a="1"/>
  <c r="CL203" i="2" a="1"/>
  <c r="CL197" i="2" a="1"/>
  <c r="CL201" i="2" a="1"/>
  <c r="CL200" i="2" a="1"/>
  <c r="CL199" i="2" a="1"/>
  <c r="CL215" i="2" a="1"/>
  <c r="CL205" i="2" a="1"/>
  <c r="CN96" i="2"/>
  <c r="CR67" i="2"/>
  <c r="CM2" i="2"/>
  <c r="CM198" i="2" a="1"/>
  <c r="CL131" i="2" a="1"/>
  <c r="CL133" i="2" a="1"/>
  <c r="CL132" i="2" a="1"/>
  <c r="CL137" i="2" a="1"/>
  <c r="CL134" i="2" a="1"/>
  <c r="CL141" i="2" a="1"/>
  <c r="CL140" i="2" a="1"/>
  <c r="CL138" i="2" a="1"/>
  <c r="CL139" i="2" a="1"/>
  <c r="CL144" i="2" a="1"/>
  <c r="CL143" i="2" a="1"/>
  <c r="CL145" i="2" a="1"/>
  <c r="CL135" i="2" a="1"/>
  <c r="CL146" i="2" a="1"/>
  <c r="CL147" i="2" a="1"/>
  <c r="CL155" i="2" a="1"/>
  <c r="CL149" i="2" a="1"/>
  <c r="CL150" i="2" a="1"/>
  <c r="CL151" i="2" a="1"/>
  <c r="CL152" i="2" a="1"/>
  <c r="CL156" i="2" a="1"/>
  <c r="CL153" i="2" a="1"/>
  <c r="CL159" i="2" a="1"/>
  <c r="CL157" i="2" a="1"/>
  <c r="CL158" i="2" a="1"/>
  <c r="CO1" i="2"/>
  <c r="A75" i="7" a="1"/>
  <c r="CM216" i="2" a="1"/>
  <c r="CM199" i="2" a="1"/>
  <c r="CM200" i="2" a="1"/>
  <c r="CM206" i="2" a="1"/>
  <c r="CM215" i="2" a="1"/>
  <c r="CM201" i="2" a="1"/>
  <c r="CM203" i="2" a="1"/>
  <c r="CM197" i="2" a="1"/>
  <c r="CM205" i="2" a="1"/>
  <c r="CM207" i="2" a="1"/>
  <c r="CM204" i="2" a="1"/>
  <c r="CS67" i="2"/>
  <c r="CO96" i="2"/>
  <c r="CN2" i="2"/>
  <c r="CN206" i="2" a="1"/>
  <c r="CM131" i="2" a="1"/>
  <c r="CM132" i="2" a="1"/>
  <c r="CM134" i="2" a="1"/>
  <c r="CM137" i="2" a="1"/>
  <c r="CM140" i="2" a="1"/>
  <c r="CM139" i="2" a="1"/>
  <c r="CM138" i="2" a="1"/>
  <c r="CM133" i="2" a="1"/>
  <c r="CM135" i="2" a="1"/>
  <c r="CM143" i="2" a="1"/>
  <c r="CM147" i="2" a="1"/>
  <c r="CM145" i="2" a="1"/>
  <c r="CM141" i="2" a="1"/>
  <c r="CM146" i="2" a="1"/>
  <c r="CM151" i="2" a="1"/>
  <c r="CM144" i="2" a="1"/>
  <c r="CM150" i="2" a="1"/>
  <c r="CM153" i="2" a="1"/>
  <c r="CM156" i="2" a="1"/>
  <c r="CM155" i="2" a="1"/>
  <c r="CM152" i="2" a="1"/>
  <c r="CM158" i="2" a="1"/>
  <c r="CM157" i="2" a="1"/>
  <c r="CM159" i="2" a="1"/>
  <c r="CM149" i="2" a="1"/>
  <c r="CP1" i="2"/>
  <c r="A76" i="7" a="1"/>
  <c r="CN207" i="2" a="1"/>
  <c r="CN203" i="2" a="1"/>
  <c r="CN205" i="2" a="1"/>
  <c r="CN199" i="2" a="1"/>
  <c r="CN204" i="2" a="1"/>
  <c r="CN198" i="2" a="1"/>
  <c r="CN201" i="2" a="1"/>
  <c r="CN197" i="2" a="1"/>
  <c r="CN216" i="2" a="1"/>
  <c r="CN200" i="2" a="1"/>
  <c r="CN215" i="2" a="1"/>
  <c r="CP96" i="2"/>
  <c r="CT67" i="2"/>
  <c r="CO2" i="2"/>
  <c r="CO215" i="2" a="1"/>
  <c r="CN131" i="2" a="1"/>
  <c r="CN132" i="2" a="1"/>
  <c r="CN133" i="2" a="1"/>
  <c r="CN134" i="2" a="1"/>
  <c r="CN137" i="2" a="1"/>
  <c r="CN135" i="2" a="1"/>
  <c r="CN141" i="2" a="1"/>
  <c r="CN139" i="2" a="1"/>
  <c r="CN138" i="2" a="1"/>
  <c r="CN144" i="2" a="1"/>
  <c r="CN143" i="2" a="1"/>
  <c r="CN145" i="2" a="1"/>
  <c r="CN140" i="2" a="1"/>
  <c r="CN146" i="2" a="1"/>
  <c r="CN147" i="2" a="1"/>
  <c r="CN150" i="2" a="1"/>
  <c r="CN153" i="2" a="1"/>
  <c r="CN155" i="2" a="1"/>
  <c r="CN149" i="2" a="1"/>
  <c r="CN151" i="2" a="1"/>
  <c r="CN156" i="2" a="1"/>
  <c r="CN158" i="2" a="1"/>
  <c r="CN157" i="2" a="1"/>
  <c r="CN152" i="2" a="1"/>
  <c r="CN159" i="2" a="1"/>
  <c r="CQ1" i="2"/>
  <c r="A77" i="7" a="1"/>
  <c r="CO198" i="2" a="1"/>
  <c r="CO197" i="2" a="1"/>
  <c r="CO199" i="2" a="1"/>
  <c r="CO205" i="2" a="1"/>
  <c r="CO206" i="2" a="1"/>
  <c r="CO203" i="2" a="1"/>
  <c r="CO204" i="2" a="1"/>
  <c r="CO201" i="2" a="1"/>
  <c r="CO200" i="2" a="1"/>
  <c r="CO216" i="2" a="1"/>
  <c r="CO207" i="2" a="1"/>
  <c r="CU67" i="2"/>
  <c r="CQ96" i="2"/>
  <c r="CP2" i="2"/>
  <c r="CP197" i="2" a="1"/>
  <c r="CO131" i="2" a="1"/>
  <c r="CO132" i="2" a="1"/>
  <c r="CO135" i="2" a="1"/>
  <c r="CO133" i="2" a="1"/>
  <c r="CO134" i="2" a="1"/>
  <c r="CO137" i="2" a="1"/>
  <c r="CO140" i="2" a="1"/>
  <c r="CO139" i="2" a="1"/>
  <c r="CO138" i="2" a="1"/>
  <c r="CO144" i="2" a="1"/>
  <c r="CO143" i="2" a="1"/>
  <c r="CO145" i="2" a="1"/>
  <c r="CO141" i="2" a="1"/>
  <c r="CO146" i="2" a="1"/>
  <c r="CO149" i="2" a="1"/>
  <c r="CO147" i="2" a="1"/>
  <c r="CO151" i="2" a="1"/>
  <c r="CO150" i="2" a="1"/>
  <c r="CO152" i="2" a="1"/>
  <c r="CO156" i="2" a="1"/>
  <c r="CO155" i="2" a="1"/>
  <c r="CO159" i="2" a="1"/>
  <c r="CO153" i="2" a="1"/>
  <c r="CO158" i="2" a="1"/>
  <c r="CO157" i="2" a="1"/>
  <c r="CR1" i="2"/>
  <c r="A78" i="7" a="1"/>
  <c r="CP215" i="2" a="1"/>
  <c r="CP216" i="2" a="1"/>
  <c r="CP207" i="2" a="1"/>
  <c r="CP203" i="2" a="1"/>
  <c r="CP198" i="2" a="1"/>
  <c r="CP200" i="2" a="1"/>
  <c r="CP206" i="2" a="1"/>
  <c r="CP201" i="2" a="1"/>
  <c r="CP205" i="2" a="1"/>
  <c r="CP199" i="2" a="1"/>
  <c r="CP204" i="2" a="1"/>
  <c r="CR96" i="2"/>
  <c r="CV67" i="2"/>
  <c r="CQ2" i="2"/>
  <c r="CQ198" i="2" a="1"/>
  <c r="CP131" i="2" a="1"/>
  <c r="CP132" i="2" a="1"/>
  <c r="CP135" i="2" a="1"/>
  <c r="CP133" i="2" a="1"/>
  <c r="CP134" i="2" a="1"/>
  <c r="CP141" i="2" a="1"/>
  <c r="CP137" i="2" a="1"/>
  <c r="CP140" i="2" a="1"/>
  <c r="CP139" i="2" a="1"/>
  <c r="CP138" i="2" a="1"/>
  <c r="CP146" i="2" a="1"/>
  <c r="CP144" i="2" a="1"/>
  <c r="CP145" i="2" a="1"/>
  <c r="CP147" i="2" a="1"/>
  <c r="CP149" i="2" a="1"/>
  <c r="CP150" i="2" a="1"/>
  <c r="CP143" i="2" a="1"/>
  <c r="CP152" i="2" a="1"/>
  <c r="CP153" i="2" a="1"/>
  <c r="CP156" i="2" a="1"/>
  <c r="CP159" i="2" a="1"/>
  <c r="CP158" i="2" a="1"/>
  <c r="CP151" i="2" a="1"/>
  <c r="CP155" i="2" a="1"/>
  <c r="CP157" i="2" a="1"/>
  <c r="CS1" i="2"/>
  <c r="A79" i="7" a="1"/>
  <c r="CQ216" i="2" a="1"/>
  <c r="CQ207" i="2" a="1"/>
  <c r="CQ215" i="2" a="1"/>
  <c r="CQ205" i="2" a="1"/>
  <c r="CQ206" i="2" a="1"/>
  <c r="CQ203" i="2" a="1"/>
  <c r="CQ199" i="2" a="1"/>
  <c r="CQ197" i="2" a="1"/>
  <c r="CQ201" i="2" a="1"/>
  <c r="CQ200" i="2" a="1"/>
  <c r="CQ204" i="2" a="1"/>
  <c r="CW67" i="2"/>
  <c r="CS96" i="2"/>
  <c r="CR2" i="2"/>
  <c r="CR200" i="2" a="1"/>
  <c r="CQ131" i="2" a="1"/>
  <c r="CQ137" i="2" a="1"/>
  <c r="CQ135" i="2" a="1"/>
  <c r="CQ132" i="2" a="1"/>
  <c r="CQ133" i="2" a="1"/>
  <c r="CQ134" i="2" a="1"/>
  <c r="CQ141" i="2" a="1"/>
  <c r="CQ140" i="2" a="1"/>
  <c r="CQ138" i="2" a="1"/>
  <c r="CQ144" i="2" a="1"/>
  <c r="CQ143" i="2" a="1"/>
  <c r="CQ139" i="2" a="1"/>
  <c r="CQ147" i="2" a="1"/>
  <c r="CQ149" i="2" a="1"/>
  <c r="CQ146" i="2" a="1"/>
  <c r="CQ151" i="2" a="1"/>
  <c r="CQ150" i="2" a="1"/>
  <c r="CQ152" i="2" a="1"/>
  <c r="CQ153" i="2" a="1"/>
  <c r="CQ145" i="2" a="1"/>
  <c r="CQ155" i="2" a="1"/>
  <c r="CQ156" i="2" a="1"/>
  <c r="CQ158" i="2" a="1"/>
  <c r="CQ159" i="2" a="1"/>
  <c r="CQ157" i="2" a="1"/>
  <c r="CT1" i="2"/>
  <c r="A80" i="7" a="1"/>
  <c r="CR199" i="2" a="1"/>
  <c r="CR197" i="2" a="1"/>
  <c r="CR203" i="2" a="1"/>
  <c r="CR216" i="2" a="1"/>
  <c r="CR206" i="2" a="1"/>
  <c r="CR198" i="2" a="1"/>
  <c r="CR205" i="2" a="1"/>
  <c r="CR204" i="2" a="1"/>
  <c r="CR201" i="2" a="1"/>
  <c r="CR207" i="2" a="1"/>
  <c r="CR215" i="2" a="1"/>
  <c r="CT96" i="2"/>
  <c r="CX67" i="2"/>
  <c r="CS2" i="2"/>
  <c r="CS201" i="2" a="1"/>
  <c r="CR131" i="2" a="1"/>
  <c r="CR132" i="2" a="1"/>
  <c r="CR135" i="2" a="1"/>
  <c r="CR134" i="2" a="1"/>
  <c r="CR141" i="2" a="1"/>
  <c r="CR137" i="2" a="1"/>
  <c r="CR139" i="2" a="1"/>
  <c r="CR138" i="2" a="1"/>
  <c r="CR133" i="2" a="1"/>
  <c r="CR146" i="2" a="1"/>
  <c r="CR144" i="2" a="1"/>
  <c r="CR145" i="2" a="1"/>
  <c r="CR140" i="2" a="1"/>
  <c r="CR147" i="2" a="1"/>
  <c r="CR143" i="2" a="1"/>
  <c r="CR151" i="2" a="1"/>
  <c r="CR150" i="2" a="1"/>
  <c r="CR152" i="2" a="1"/>
  <c r="CR153" i="2" a="1"/>
  <c r="CR156" i="2" a="1"/>
  <c r="CR149" i="2" a="1"/>
  <c r="CR157" i="2" a="1"/>
  <c r="CR155" i="2" a="1"/>
  <c r="CR158" i="2" a="1"/>
  <c r="CR159" i="2" a="1"/>
  <c r="CU1" i="2"/>
  <c r="A81" i="7" a="1"/>
  <c r="CS199" i="2" a="1"/>
  <c r="CS200" i="2" a="1"/>
  <c r="CS216" i="2" a="1"/>
  <c r="CS215" i="2" a="1"/>
  <c r="CS203" i="2" a="1"/>
  <c r="CS205" i="2" a="1"/>
  <c r="CS207" i="2" a="1"/>
  <c r="CS204" i="2" a="1"/>
  <c r="CS206" i="2" a="1"/>
  <c r="CS197" i="2" a="1"/>
  <c r="CS198" i="2" a="1"/>
  <c r="CY67" i="2"/>
  <c r="CU96" i="2"/>
  <c r="CT2" i="2"/>
  <c r="CT203" i="2" a="1"/>
  <c r="CS131" i="2" a="1"/>
  <c r="CS132" i="2" a="1"/>
  <c r="CS134" i="2" a="1"/>
  <c r="CS137" i="2" a="1"/>
  <c r="CS133" i="2" a="1"/>
  <c r="CS135" i="2" a="1"/>
  <c r="CS141" i="2" a="1"/>
  <c r="CS140" i="2" a="1"/>
  <c r="CS139" i="2" a="1"/>
  <c r="CS146" i="2" a="1"/>
  <c r="CS138" i="2" a="1"/>
  <c r="CS144" i="2" a="1"/>
  <c r="CS143" i="2" a="1"/>
  <c r="CS149" i="2" a="1"/>
  <c r="CS151" i="2" a="1"/>
  <c r="CS145" i="2" a="1"/>
  <c r="CS155" i="2" a="1"/>
  <c r="CS150" i="2" a="1"/>
  <c r="CS147" i="2" a="1"/>
  <c r="CS152" i="2" a="1"/>
  <c r="CS153" i="2" a="1"/>
  <c r="CS156" i="2" a="1"/>
  <c r="CS158" i="2" a="1"/>
  <c r="CS159" i="2" a="1"/>
  <c r="CS157" i="2" a="1"/>
  <c r="CV1" i="2"/>
  <c r="A82" i="7" a="1"/>
  <c r="CT206" i="2" a="1"/>
  <c r="CT200" i="2" a="1"/>
  <c r="CT215" i="2" a="1"/>
  <c r="CT199" i="2" a="1"/>
  <c r="CT197" i="2" a="1"/>
  <c r="CT204" i="2" a="1"/>
  <c r="CT205" i="2" a="1"/>
  <c r="CT201" i="2" a="1"/>
  <c r="CT198" i="2" a="1"/>
  <c r="CT207" i="2" a="1"/>
  <c r="CT216" i="2" a="1"/>
  <c r="CV96" i="2"/>
  <c r="CZ67" i="2"/>
  <c r="CU2" i="2"/>
  <c r="CU216" i="2" a="1"/>
  <c r="CT131" i="2" a="1"/>
  <c r="CT134" i="2" a="1"/>
  <c r="CT135" i="2" a="1"/>
  <c r="CT137" i="2" a="1"/>
  <c r="CT132" i="2" a="1"/>
  <c r="CT133" i="2" a="1"/>
  <c r="CT139" i="2" a="1"/>
  <c r="CT146" i="2" a="1"/>
  <c r="CT138" i="2" a="1"/>
  <c r="CT144" i="2" a="1"/>
  <c r="CT143" i="2" a="1"/>
  <c r="CT145" i="2" a="1"/>
  <c r="CT147" i="2" a="1"/>
  <c r="CT140" i="2" a="1"/>
  <c r="CT151" i="2" a="1"/>
  <c r="CT150" i="2" a="1"/>
  <c r="CT152" i="2" a="1"/>
  <c r="CT141" i="2" a="1"/>
  <c r="CT153" i="2" a="1"/>
  <c r="CT156" i="2" a="1"/>
  <c r="CT149" i="2" a="1"/>
  <c r="CT157" i="2" a="1"/>
  <c r="CT159" i="2" a="1"/>
  <c r="CT158" i="2" a="1"/>
  <c r="CT155" i="2" a="1"/>
  <c r="CW1" i="2"/>
  <c r="A83" i="7" a="1"/>
  <c r="CU207" i="2" a="1"/>
  <c r="CU201" i="2" a="1"/>
  <c r="CU206" i="2" a="1"/>
  <c r="CU205" i="2" a="1"/>
  <c r="CU198" i="2" a="1"/>
  <c r="CU204" i="2" a="1"/>
  <c r="CU203" i="2" a="1"/>
  <c r="CU197" i="2" a="1"/>
  <c r="CU199" i="2" a="1"/>
  <c r="CU200" i="2" a="1"/>
  <c r="CU215" i="2" a="1"/>
  <c r="DA67" i="2"/>
  <c r="CW96" i="2"/>
  <c r="CV2" i="2"/>
  <c r="CV204" i="2" a="1"/>
  <c r="CU131" i="2" a="1"/>
  <c r="CU132" i="2" a="1"/>
  <c r="CU134" i="2" a="1"/>
  <c r="CU135" i="2" a="1"/>
  <c r="CU137" i="2" a="1"/>
  <c r="CU138" i="2" a="1"/>
  <c r="CU139" i="2" a="1"/>
  <c r="CU146" i="2" a="1"/>
  <c r="CU133" i="2" a="1"/>
  <c r="CU145" i="2" a="1"/>
  <c r="CU140" i="2" a="1"/>
  <c r="CU141" i="2" a="1"/>
  <c r="CU143" i="2" a="1"/>
  <c r="CU147" i="2" a="1"/>
  <c r="CU150" i="2" a="1"/>
  <c r="CU151" i="2" a="1"/>
  <c r="CU155" i="2" a="1"/>
  <c r="CU152" i="2" a="1"/>
  <c r="CU153" i="2" a="1"/>
  <c r="CU144" i="2" a="1"/>
  <c r="CU157" i="2" a="1"/>
  <c r="CU156" i="2" a="1"/>
  <c r="CU158" i="2" a="1"/>
  <c r="CU149" i="2" a="1"/>
  <c r="CU159" i="2" a="1"/>
  <c r="CX1" i="2"/>
  <c r="A84" i="7" a="1"/>
  <c r="CV203" i="2" a="1"/>
  <c r="CV197" i="2" a="1"/>
  <c r="CV198" i="2" a="1"/>
  <c r="CV205" i="2" a="1"/>
  <c r="CV200" i="2" a="1"/>
  <c r="CV215" i="2" a="1"/>
  <c r="CV199" i="2" a="1"/>
  <c r="CV207" i="2" a="1"/>
  <c r="CV206" i="2" a="1"/>
  <c r="CV201" i="2" a="1"/>
  <c r="CV216" i="2" a="1"/>
  <c r="CX96" i="2"/>
  <c r="DB67" i="2"/>
  <c r="CW2" i="2"/>
  <c r="CW200" i="2" a="1"/>
  <c r="CV131" i="2" a="1"/>
  <c r="CV135" i="2" a="1"/>
  <c r="CV133" i="2" a="1"/>
  <c r="CV138" i="2" a="1"/>
  <c r="CV134" i="2" a="1"/>
  <c r="CV132" i="2" a="1"/>
  <c r="CV137" i="2" a="1"/>
  <c r="CV141" i="2" a="1"/>
  <c r="CV140" i="2" a="1"/>
  <c r="CV139" i="2" a="1"/>
  <c r="CV143" i="2" a="1"/>
  <c r="CV144" i="2" a="1"/>
  <c r="CV145" i="2" a="1"/>
  <c r="CV147" i="2" a="1"/>
  <c r="CV146" i="2" a="1"/>
  <c r="CV150" i="2" a="1"/>
  <c r="CV149" i="2" a="1"/>
  <c r="CV151" i="2" a="1"/>
  <c r="CV155" i="2" a="1"/>
  <c r="CV152" i="2" a="1"/>
  <c r="CV153" i="2" a="1"/>
  <c r="CV159" i="2" a="1"/>
  <c r="CV157" i="2" a="1"/>
  <c r="CV156" i="2" a="1"/>
  <c r="CV158" i="2" a="1"/>
  <c r="CY1" i="2"/>
  <c r="A85" i="7" a="1"/>
  <c r="CW203" i="2" a="1"/>
  <c r="CW197" i="2" a="1"/>
  <c r="CW199" i="2" a="1"/>
  <c r="CW198" i="2" a="1"/>
  <c r="CW201" i="2" a="1"/>
  <c r="CW216" i="2" a="1"/>
  <c r="CW206" i="2" a="1"/>
  <c r="CW204" i="2" a="1"/>
  <c r="CW207" i="2" a="1"/>
  <c r="CW215" i="2" a="1"/>
  <c r="CW205" i="2" a="1"/>
  <c r="DC67" i="2"/>
  <c r="CY96" i="2"/>
  <c r="CX2" i="2"/>
  <c r="CX215" i="2" a="1"/>
  <c r="CW131" i="2" a="1"/>
  <c r="CW133" i="2" a="1"/>
  <c r="CW134" i="2" a="1"/>
  <c r="CW135" i="2" a="1"/>
  <c r="CW132" i="2" a="1"/>
  <c r="CW140" i="2" a="1"/>
  <c r="CW138" i="2" a="1"/>
  <c r="CW137" i="2" a="1"/>
  <c r="CW139" i="2" a="1"/>
  <c r="CW141" i="2" a="1"/>
  <c r="CW145" i="2" a="1"/>
  <c r="CW143" i="2" a="1"/>
  <c r="CW146" i="2" a="1"/>
  <c r="CW149" i="2" a="1"/>
  <c r="CW151" i="2" a="1"/>
  <c r="CW147" i="2" a="1"/>
  <c r="CW144" i="2" a="1"/>
  <c r="CW150" i="2" a="1"/>
  <c r="CW155" i="2" a="1"/>
  <c r="CW152" i="2" a="1"/>
  <c r="CW159" i="2" a="1"/>
  <c r="CW158" i="2" a="1"/>
  <c r="CW153" i="2" a="1"/>
  <c r="CW157" i="2" a="1"/>
  <c r="CW156" i="2" a="1"/>
  <c r="CZ1" i="2"/>
  <c r="A86" i="7" a="1"/>
  <c r="CX204" i="2" a="1"/>
  <c r="CX203" i="2" a="1"/>
  <c r="CX197" i="2" a="1"/>
  <c r="CX198" i="2" a="1"/>
  <c r="CX201" i="2" a="1"/>
  <c r="CX199" i="2" a="1"/>
  <c r="CX216" i="2" a="1"/>
  <c r="CX206" i="2" a="1"/>
  <c r="CX205" i="2" a="1"/>
  <c r="CX200" i="2" a="1"/>
  <c r="CX207" i="2" a="1"/>
  <c r="CZ96" i="2"/>
  <c r="DD67" i="2"/>
  <c r="CY2" i="2"/>
  <c r="CY200" i="2" a="1"/>
  <c r="CX133" i="2" a="1"/>
  <c r="CX131" i="2" a="1"/>
  <c r="CX134" i="2" a="1"/>
  <c r="CX135" i="2" a="1"/>
  <c r="CX139" i="2" a="1"/>
  <c r="CX140" i="2" a="1"/>
  <c r="CX138" i="2" a="1"/>
  <c r="CX132" i="2" a="1"/>
  <c r="CX137" i="2" a="1"/>
  <c r="CX143" i="2" a="1"/>
  <c r="CX145" i="2" a="1"/>
  <c r="CX149" i="2" a="1"/>
  <c r="CX151" i="2" a="1"/>
  <c r="CX141" i="2" a="1"/>
  <c r="CX150" i="2" a="1"/>
  <c r="CX147" i="2" a="1"/>
  <c r="CX155" i="2" a="1"/>
  <c r="CX146" i="2" a="1"/>
  <c r="CX144" i="2" a="1"/>
  <c r="CX159" i="2" a="1"/>
  <c r="CX156" i="2" a="1"/>
  <c r="CX153" i="2" a="1"/>
  <c r="CX157" i="2" a="1"/>
  <c r="CX152" i="2" a="1"/>
  <c r="CX158" i="2" a="1"/>
  <c r="DA1" i="2"/>
  <c r="A87" i="7" a="1"/>
  <c r="CY198" i="2" a="1"/>
  <c r="CY197" i="2" a="1"/>
  <c r="CY199" i="2" a="1"/>
  <c r="CY216" i="2" a="1"/>
  <c r="CY206" i="2" a="1"/>
  <c r="CY207" i="2" a="1"/>
  <c r="CY215" i="2" a="1"/>
  <c r="CY205" i="2" a="1"/>
  <c r="CY201" i="2" a="1"/>
  <c r="CY203" i="2" a="1"/>
  <c r="CY204" i="2" a="1"/>
  <c r="DE67" i="2"/>
  <c r="DA96" i="2"/>
  <c r="CZ2" i="2"/>
  <c r="CZ197" i="2" a="1"/>
  <c r="CY137" i="2" a="1"/>
  <c r="CY133" i="2" a="1"/>
  <c r="CY131" i="2" a="1"/>
  <c r="CY134" i="2" a="1"/>
  <c r="CY132" i="2" a="1"/>
  <c r="CY139" i="2" a="1"/>
  <c r="CY135" i="2" a="1"/>
  <c r="CY140" i="2" a="1"/>
  <c r="CY138" i="2" a="1"/>
  <c r="CY141" i="2" a="1"/>
  <c r="CY145" i="2" a="1"/>
  <c r="CY143" i="2" a="1"/>
  <c r="CY146" i="2" a="1"/>
  <c r="CY144" i="2" a="1"/>
  <c r="CY149" i="2" a="1"/>
  <c r="CY147" i="2" a="1"/>
  <c r="CY156" i="2" a="1"/>
  <c r="CY151" i="2" a="1"/>
  <c r="CY150" i="2" a="1"/>
  <c r="CY155" i="2" a="1"/>
  <c r="CY152" i="2" a="1"/>
  <c r="CY159" i="2" a="1"/>
  <c r="CY153" i="2" a="1"/>
  <c r="CY157" i="2" a="1"/>
  <c r="CY158" i="2" a="1"/>
  <c r="DB1" i="2"/>
  <c r="A88" i="7" a="1"/>
  <c r="CZ216" i="2" a="1"/>
  <c r="CZ207" i="2" a="1"/>
  <c r="CZ215" i="2" a="1"/>
  <c r="CZ198" i="2" a="1"/>
  <c r="CZ201" i="2" a="1"/>
  <c r="CZ200" i="2" a="1"/>
  <c r="CZ199" i="2" a="1"/>
  <c r="CZ206" i="2" a="1"/>
  <c r="CZ203" i="2" a="1"/>
  <c r="CZ205" i="2" a="1"/>
  <c r="CZ204" i="2" a="1"/>
  <c r="DB96" i="2"/>
  <c r="DC96" i="2"/>
  <c r="DF67" i="2"/>
  <c r="DG67" i="2"/>
  <c r="DA2" i="2"/>
  <c r="DA199" i="2" a="1"/>
  <c r="CZ131" i="2" a="1"/>
  <c r="CZ134" i="2" a="1"/>
  <c r="CZ135" i="2" a="1"/>
  <c r="CZ132" i="2" a="1"/>
  <c r="CZ139" i="2" a="1"/>
  <c r="CZ140" i="2" a="1"/>
  <c r="CZ138" i="2" a="1"/>
  <c r="CZ133" i="2" a="1"/>
  <c r="CZ137" i="2" a="1"/>
  <c r="CZ141" i="2" a="1"/>
  <c r="CZ144" i="2" a="1"/>
  <c r="CZ145" i="2" a="1"/>
  <c r="CZ143" i="2" a="1"/>
  <c r="CZ146" i="2" a="1"/>
  <c r="CZ156" i="2" a="1"/>
  <c r="CZ149" i="2" a="1"/>
  <c r="CZ147" i="2" a="1"/>
  <c r="CZ151" i="2" a="1"/>
  <c r="CZ152" i="2" a="1"/>
  <c r="CZ159" i="2" a="1"/>
  <c r="CZ153" i="2" a="1"/>
  <c r="CZ157" i="2" a="1"/>
  <c r="CZ155" i="2" a="1"/>
  <c r="CZ150" i="2" a="1"/>
  <c r="CZ158" i="2" a="1"/>
  <c r="DA155" i="2" a="1"/>
  <c r="DC1" i="2"/>
  <c r="A89" i="7" a="1"/>
  <c r="DA145" i="2" a="1"/>
  <c r="DA141" i="2" a="1"/>
  <c r="DA197" i="2" a="1"/>
  <c r="DA198" i="2" a="1"/>
  <c r="DA156" i="2" a="1"/>
  <c r="DA140" i="2" a="1"/>
  <c r="DA207" i="2" a="1"/>
  <c r="DA200" i="2" a="1"/>
  <c r="DA157" i="2" a="1"/>
  <c r="DA139" i="2" a="1"/>
  <c r="DA204" i="2" a="1"/>
  <c r="DA153" i="2" a="1"/>
  <c r="DA134" i="2" a="1"/>
  <c r="DA205" i="2" a="1"/>
  <c r="DA146" i="2" a="1"/>
  <c r="DA135" i="2" a="1"/>
  <c r="DA216" i="2" a="1"/>
  <c r="DA159" i="2" a="1"/>
  <c r="DA137" i="2" a="1"/>
  <c r="DA215" i="2" a="1"/>
  <c r="DA133" i="2" a="1"/>
  <c r="DA132" i="2" a="1"/>
  <c r="DA138" i="2" a="1"/>
  <c r="DA131" i="2" a="1"/>
  <c r="DA150" i="2" a="1"/>
  <c r="DA151" i="2" a="1"/>
  <c r="DB2" i="2"/>
  <c r="DB198" i="2" a="1"/>
  <c r="DA158" i="2" a="1"/>
  <c r="DA147" i="2" a="1"/>
  <c r="DA152" i="2" a="1"/>
  <c r="DA144" i="2" a="1"/>
  <c r="DA203" i="2" a="1"/>
  <c r="DA149" i="2" a="1"/>
  <c r="DA206" i="2" a="1"/>
  <c r="DA143" i="2" a="1"/>
  <c r="DA201" i="2" a="1"/>
  <c r="DH67" i="2"/>
  <c r="DD96" i="2"/>
  <c r="DB143" i="2" a="1"/>
  <c r="DB157" i="2" a="1"/>
  <c r="DB151" i="2" a="1"/>
  <c r="DB156" i="2" a="1"/>
  <c r="DD1" i="2"/>
  <c r="A90" i="7" a="1"/>
  <c r="DB159" i="2" a="1"/>
  <c r="DB141" i="2" a="1"/>
  <c r="DB134" i="2" a="1"/>
  <c r="DB135" i="2" a="1"/>
  <c r="DB140" i="2" a="1"/>
  <c r="DB201" i="2" a="1"/>
  <c r="DB199" i="2" a="1"/>
  <c r="DB206" i="2" a="1"/>
  <c r="DB216" i="2" a="1"/>
  <c r="DB158" i="2" a="1"/>
  <c r="DB138" i="2" a="1"/>
  <c r="DB145" i="2" a="1"/>
  <c r="DB203" i="2" a="1"/>
  <c r="DB204" i="2" a="1"/>
  <c r="DB144" i="2" a="1"/>
  <c r="DB205" i="2" a="1"/>
  <c r="DB150" i="2" a="1"/>
  <c r="DB139" i="2" a="1"/>
  <c r="DB207" i="2" a="1"/>
  <c r="DB215" i="2" a="1"/>
  <c r="DB137" i="2" a="1"/>
  <c r="DB200" i="2" a="1"/>
  <c r="DB197" i="2" a="1"/>
  <c r="DB147" i="2" a="1"/>
  <c r="DB132" i="2" a="1"/>
  <c r="DB152" i="2" a="1"/>
  <c r="DB155" i="2" a="1"/>
  <c r="DB131" i="2" a="1"/>
  <c r="DB153" i="2" a="1"/>
  <c r="DC2" i="2"/>
  <c r="DC198" i="2" a="1"/>
  <c r="DB133" i="2" a="1"/>
  <c r="DB149" i="2" a="1"/>
  <c r="DB146" i="2" a="1"/>
  <c r="DI67" i="2"/>
  <c r="DE96" i="2"/>
  <c r="DE1" i="2"/>
  <c r="A91" i="7" a="1"/>
  <c r="DC146" i="2" a="1"/>
  <c r="DC151" i="2" a="1"/>
  <c r="DC149" i="2" a="1"/>
  <c r="DC132" i="2" a="1"/>
  <c r="DC131" i="2" a="1"/>
  <c r="DC143" i="2" a="1"/>
  <c r="DC199" i="2" a="1"/>
  <c r="DC147" i="2" a="1"/>
  <c r="DC206" i="2" a="1"/>
  <c r="DC144" i="2" a="1"/>
  <c r="DC205" i="2" a="1"/>
  <c r="DC141" i="2" a="1"/>
  <c r="DC155" i="2" a="1"/>
  <c r="DC138" i="2" a="1"/>
  <c r="DC203" i="2" a="1"/>
  <c r="DC156" i="2" a="1"/>
  <c r="DC140" i="2" a="1"/>
  <c r="DC201" i="2" a="1"/>
  <c r="DC204" i="2" a="1"/>
  <c r="DC157" i="2" a="1"/>
  <c r="DC139" i="2" a="1"/>
  <c r="DC216" i="2" a="1"/>
  <c r="DC159" i="2" a="1"/>
  <c r="DC135" i="2" a="1"/>
  <c r="DC200" i="2" a="1"/>
  <c r="DC145" i="2" a="1"/>
  <c r="DC215" i="2" a="1"/>
  <c r="DC152" i="2" a="1"/>
  <c r="DC134" i="2" a="1"/>
  <c r="DC197" i="2" a="1"/>
  <c r="DC158" i="2" a="1"/>
  <c r="DC133" i="2" a="1"/>
  <c r="DC207" i="2" a="1"/>
  <c r="DC153" i="2" a="1"/>
  <c r="DC150" i="2" a="1"/>
  <c r="DC137" i="2" a="1"/>
  <c r="DD2" i="2"/>
  <c r="DD197" i="2" a="1"/>
  <c r="DF96" i="2"/>
  <c r="DJ67" i="2"/>
  <c r="DF1" i="2"/>
  <c r="A92" i="7" a="1"/>
  <c r="DD137" i="2" a="1"/>
  <c r="DD158" i="2" a="1"/>
  <c r="DD135" i="2" a="1"/>
  <c r="DD149" i="2" a="1"/>
  <c r="DD140" i="2" a="1"/>
  <c r="DD133" i="2" a="1"/>
  <c r="DD134" i="2" a="1"/>
  <c r="DD155" i="2" a="1"/>
  <c r="DD132" i="2" a="1"/>
  <c r="DD131" i="2" a="1"/>
  <c r="DD150" i="2" a="1"/>
  <c r="DD146" i="2" a="1"/>
  <c r="DD201" i="2" a="1"/>
  <c r="DD145" i="2" a="1"/>
  <c r="DD203" i="2" a="1"/>
  <c r="DD199" i="2" a="1"/>
  <c r="DD144" i="2" a="1"/>
  <c r="DD207" i="2" a="1"/>
  <c r="DD143" i="2" a="1"/>
  <c r="DD198" i="2" a="1"/>
  <c r="DD156" i="2" a="1"/>
  <c r="DD138" i="2" a="1"/>
  <c r="DD206" i="2" a="1"/>
  <c r="DD157" i="2" a="1"/>
  <c r="DD147" i="2" a="1"/>
  <c r="DD159" i="2" a="1"/>
  <c r="DD139" i="2" a="1"/>
  <c r="DD215" i="2" a="1"/>
  <c r="DD152" i="2" a="1"/>
  <c r="DD151" i="2" a="1"/>
  <c r="DD153" i="2" a="1"/>
  <c r="DD141" i="2" a="1"/>
  <c r="DD216" i="2" a="1"/>
  <c r="DD200" i="2" a="1"/>
  <c r="DD205" i="2" a="1"/>
  <c r="DD204" i="2" a="1"/>
  <c r="DE2" i="2"/>
  <c r="DE133" i="2" a="1"/>
  <c r="DG96" i="2"/>
  <c r="DK67" i="2"/>
  <c r="DE131" i="2" a="1"/>
  <c r="DE132" i="2" a="1"/>
  <c r="DE159" i="2" a="1"/>
  <c r="DE151" i="2" a="1"/>
  <c r="DE157" i="2" a="1"/>
  <c r="DE203" i="2" a="1"/>
  <c r="DE134" i="2" a="1"/>
  <c r="DE141" i="2" a="1"/>
  <c r="DE139" i="2" a="1"/>
  <c r="DE150" i="2" a="1"/>
  <c r="DE158" i="2" a="1"/>
  <c r="DE156" i="2" a="1"/>
  <c r="DE155" i="2" a="1"/>
  <c r="DE153" i="2" a="1"/>
  <c r="DE135" i="2" a="1"/>
  <c r="DE152" i="2" a="1"/>
  <c r="DE149" i="2" a="1"/>
  <c r="DE147" i="2" a="1"/>
  <c r="DE146" i="2" a="1"/>
  <c r="DE145" i="2" a="1"/>
  <c r="DE138" i="2" a="1"/>
  <c r="DE144" i="2" a="1"/>
  <c r="DE143" i="2" a="1"/>
  <c r="DE140" i="2" a="1"/>
  <c r="DG1" i="2"/>
  <c r="A93" i="7" a="1"/>
  <c r="DE204" i="2" a="1"/>
  <c r="DE206" i="2" a="1"/>
  <c r="DE137" i="2" a="1"/>
  <c r="DE201" i="2" a="1"/>
  <c r="DE207" i="2" a="1"/>
  <c r="DE197" i="2" a="1"/>
  <c r="DE205" i="2" a="1"/>
  <c r="DE216" i="2" a="1"/>
  <c r="DE198" i="2" a="1"/>
  <c r="DE215" i="2" a="1"/>
  <c r="DE199" i="2" a="1"/>
  <c r="DE200" i="2" a="1"/>
  <c r="DF2" i="2"/>
  <c r="DL67" i="2"/>
  <c r="DH96" i="2"/>
  <c r="DF206" i="2" a="1"/>
  <c r="DF153" i="2" a="1"/>
  <c r="DF155" i="2" a="1"/>
  <c r="DF159" i="2" a="1"/>
  <c r="DF158" i="2" a="1"/>
  <c r="DF145" i="2" a="1"/>
  <c r="DF150" i="2" a="1"/>
  <c r="DF147" i="2" a="1"/>
  <c r="DF138" i="2" a="1"/>
  <c r="DF140" i="2" a="1"/>
  <c r="DF146" i="2" a="1"/>
  <c r="DF143" i="2" a="1"/>
  <c r="DF137" i="2" a="1"/>
  <c r="DF216" i="2" a="1"/>
  <c r="DF144" i="2" a="1"/>
  <c r="DF134" i="2" a="1"/>
  <c r="DF156" i="2" a="1"/>
  <c r="DF157" i="2" a="1"/>
  <c r="DF152" i="2" a="1"/>
  <c r="DF139" i="2" a="1"/>
  <c r="DF141" i="2" a="1"/>
  <c r="DF151" i="2" a="1"/>
  <c r="DF200" i="2" a="1"/>
  <c r="DH1" i="2"/>
  <c r="A94" i="7" a="1"/>
  <c r="DF133" i="2" a="1"/>
  <c r="DF132" i="2" a="1"/>
  <c r="DF135" i="2" a="1"/>
  <c r="DF131" i="2" a="1"/>
  <c r="DF149" i="2" a="1"/>
  <c r="DF199" i="2" a="1"/>
  <c r="DF201" i="2" a="1"/>
  <c r="DF204" i="2" a="1"/>
  <c r="DF205" i="2" a="1"/>
  <c r="DF207" i="2" a="1"/>
  <c r="DF198" i="2" a="1"/>
  <c r="DF197" i="2" a="1"/>
  <c r="DF215" i="2" a="1"/>
  <c r="DF203" i="2" a="1"/>
  <c r="DG2" i="2"/>
  <c r="DG199" i="2" a="1"/>
  <c r="DI96" i="2"/>
  <c r="DM67" i="2"/>
  <c r="DG151" i="2" a="1"/>
  <c r="DG158" i="2" a="1"/>
  <c r="DG139" i="2" a="1"/>
  <c r="DI1" i="2"/>
  <c r="A95" i="7" a="1"/>
  <c r="DG159" i="2" a="1"/>
  <c r="DG140" i="2" a="1"/>
  <c r="DG215" i="2" a="1"/>
  <c r="DG133" i="2" a="1"/>
  <c r="DG137" i="2" a="1"/>
  <c r="DG135" i="2" a="1"/>
  <c r="DG156" i="2" a="1"/>
  <c r="DG134" i="2" a="1"/>
  <c r="DG152" i="2" a="1"/>
  <c r="DG132" i="2" a="1"/>
  <c r="DG150" i="2" a="1"/>
  <c r="DG131" i="2" a="1"/>
  <c r="DG155" i="2" a="1"/>
  <c r="DG138" i="2" a="1"/>
  <c r="DG153" i="2" a="1"/>
  <c r="DG146" i="2" a="1"/>
  <c r="DG149" i="2" a="1"/>
  <c r="DG201" i="2" a="1"/>
  <c r="DG147" i="2" a="1"/>
  <c r="DG198" i="2" a="1"/>
  <c r="DG145" i="2" a="1"/>
  <c r="DG197" i="2" a="1"/>
  <c r="DG144" i="2" a="1"/>
  <c r="DG200" i="2" a="1"/>
  <c r="DG143" i="2" a="1"/>
  <c r="DG205" i="2" a="1"/>
  <c r="DG157" i="2" a="1"/>
  <c r="DG141" i="2" a="1"/>
  <c r="DG207" i="2" a="1"/>
  <c r="DG204" i="2" a="1"/>
  <c r="DG216" i="2" a="1"/>
  <c r="DG203" i="2" a="1"/>
  <c r="DH2" i="2"/>
  <c r="DG206" i="2" a="1"/>
  <c r="DN67" i="2"/>
  <c r="DJ96" i="2"/>
  <c r="DH133" i="2" a="1"/>
  <c r="DH146" i="2" a="1"/>
  <c r="DH139" i="2" a="1"/>
  <c r="DI2" i="2"/>
  <c r="DH134" i="2" a="1"/>
  <c r="DH138" i="2" a="1"/>
  <c r="DH203" i="2" a="1"/>
  <c r="DH141" i="2" a="1"/>
  <c r="DH143" i="2" a="1"/>
  <c r="DH152" i="2" a="1"/>
  <c r="DH149" i="2" a="1"/>
  <c r="DH156" i="2" a="1"/>
  <c r="DH158" i="2" a="1"/>
  <c r="DH159" i="2" a="1"/>
  <c r="DH157" i="2" a="1"/>
  <c r="DH150" i="2" a="1"/>
  <c r="DH144" i="2" a="1"/>
  <c r="DH153" i="2" a="1"/>
  <c r="DH155" i="2" a="1"/>
  <c r="DH206" i="2" a="1"/>
  <c r="DH147" i="2" a="1"/>
  <c r="DH145" i="2" a="1"/>
  <c r="DH137" i="2" a="1"/>
  <c r="DH151" i="2" a="1"/>
  <c r="DH201" i="2" a="1"/>
  <c r="DH198" i="2" a="1"/>
  <c r="DH216" i="2" a="1"/>
  <c r="DH204" i="2" a="1"/>
  <c r="DH215" i="2" a="1"/>
  <c r="DH200" i="2" a="1"/>
  <c r="DH140" i="2" a="1"/>
  <c r="DH135" i="2" a="1"/>
  <c r="DH207" i="2" a="1"/>
  <c r="DH199" i="2" a="1"/>
  <c r="DH132" i="2" a="1"/>
  <c r="DH131" i="2" a="1"/>
  <c r="DJ1" i="2"/>
  <c r="A96" i="7" a="1"/>
  <c r="DH197" i="2" a="1"/>
  <c r="DH205" i="2" a="1"/>
  <c r="DK96" i="2"/>
  <c r="DO67" i="2"/>
  <c r="DI207" i="2" a="1"/>
  <c r="DI206" i="2" a="1"/>
  <c r="DI201" i="2" a="1"/>
  <c r="DI205" i="2" a="1"/>
  <c r="DI198" i="2" a="1"/>
  <c r="DI197" i="2" a="1"/>
  <c r="DI199" i="2" a="1"/>
  <c r="DI203" i="2" a="1"/>
  <c r="DI204" i="2" a="1"/>
  <c r="DI200" i="2" a="1"/>
  <c r="DI134" i="2" a="1"/>
  <c r="DI216" i="2" a="1"/>
  <c r="DI215" i="2" a="1"/>
  <c r="DJ2" i="2"/>
  <c r="DJ201" i="2" a="1"/>
  <c r="DI131" i="2" a="1"/>
  <c r="DI132" i="2" a="1"/>
  <c r="DI133" i="2" a="1"/>
  <c r="DI140" i="2" a="1"/>
  <c r="DI138" i="2" a="1"/>
  <c r="DI135" i="2" a="1"/>
  <c r="DI137" i="2" a="1"/>
  <c r="DI141" i="2" a="1"/>
  <c r="DI153" i="2" a="1"/>
  <c r="DI158" i="2" a="1"/>
  <c r="DI146" i="2" a="1"/>
  <c r="DI139" i="2" a="1"/>
  <c r="DI143" i="2" a="1"/>
  <c r="DI144" i="2" a="1"/>
  <c r="DI145" i="2" a="1"/>
  <c r="DI156" i="2" a="1"/>
  <c r="DI157" i="2" a="1"/>
  <c r="DI147" i="2" a="1"/>
  <c r="DI149" i="2" a="1"/>
  <c r="DI150" i="2" a="1"/>
  <c r="DI152" i="2" a="1"/>
  <c r="DI155" i="2" a="1"/>
  <c r="DI151" i="2" a="1"/>
  <c r="DI159" i="2" a="1"/>
  <c r="DK1" i="2"/>
  <c r="A97" i="7" a="1"/>
  <c r="DP67" i="2"/>
  <c r="DL96" i="2"/>
  <c r="DJ203" i="2" a="1"/>
  <c r="DJ199" i="2" a="1"/>
  <c r="DJ200" i="2" a="1"/>
  <c r="DJ216" i="2" a="1"/>
  <c r="DJ153" i="2" a="1"/>
  <c r="DJ197" i="2" a="1"/>
  <c r="DJ135" i="2" a="1"/>
  <c r="DJ143" i="2" a="1"/>
  <c r="DJ156" i="2" a="1"/>
  <c r="DJ133" i="2" a="1"/>
  <c r="DJ131" i="2" a="1"/>
  <c r="DJ137" i="2" a="1"/>
  <c r="DJ159" i="2" a="1"/>
  <c r="DJ139" i="2" a="1"/>
  <c r="DJ146" i="2" a="1"/>
  <c r="DJ144" i="2" a="1"/>
  <c r="DJ158" i="2" a="1"/>
  <c r="DJ205" i="2" a="1"/>
  <c r="DJ207" i="2" a="1"/>
  <c r="DJ204" i="2" a="1"/>
  <c r="DK2" i="2"/>
  <c r="DJ132" i="2" a="1"/>
  <c r="DJ145" i="2" a="1"/>
  <c r="DJ206" i="2" a="1"/>
  <c r="DJ215" i="2" a="1"/>
  <c r="DJ141" i="2" a="1"/>
  <c r="DJ149" i="2" a="1"/>
  <c r="DJ198" i="2" a="1"/>
  <c r="DJ140" i="2" a="1"/>
  <c r="DJ138" i="2" a="1"/>
  <c r="DJ134" i="2" a="1"/>
  <c r="DJ150" i="2" a="1"/>
  <c r="DJ152" i="2" a="1"/>
  <c r="DJ147" i="2" a="1"/>
  <c r="DJ155" i="2" a="1"/>
  <c r="DJ151" i="2" a="1"/>
  <c r="DJ157" i="2" a="1"/>
  <c r="DL1" i="2"/>
  <c r="A98" i="7" a="1"/>
  <c r="DM96" i="2"/>
  <c r="DQ67" i="2"/>
  <c r="DK207" i="2" a="1"/>
  <c r="DK205" i="2" a="1"/>
  <c r="DK158" i="2" a="1"/>
  <c r="DK215" i="2" a="1"/>
  <c r="DK159" i="2" a="1"/>
  <c r="DK198" i="2" a="1"/>
  <c r="DK146" i="2" a="1"/>
  <c r="DK147" i="2" a="1"/>
  <c r="DK134" i="2" a="1"/>
  <c r="DK143" i="2" a="1"/>
  <c r="DK144" i="2" a="1"/>
  <c r="DK149" i="2" a="1"/>
  <c r="DK153" i="2" a="1"/>
  <c r="DK155" i="2" a="1"/>
  <c r="DK151" i="2" a="1"/>
  <c r="DK216" i="2" a="1"/>
  <c r="DK203" i="2" a="1"/>
  <c r="DK199" i="2" a="1"/>
  <c r="DK138" i="2" a="1"/>
  <c r="DK156" i="2" a="1"/>
  <c r="DL2" i="2"/>
  <c r="DK133" i="2" a="1"/>
  <c r="DK132" i="2" a="1"/>
  <c r="DK135" i="2" a="1"/>
  <c r="DK140" i="2" a="1"/>
  <c r="DK145" i="2" a="1"/>
  <c r="DK150" i="2" a="1"/>
  <c r="DK141" i="2" a="1"/>
  <c r="DK152" i="2" a="1"/>
  <c r="DK206" i="2" a="1"/>
  <c r="DK204" i="2" a="1"/>
  <c r="DK131" i="2" a="1"/>
  <c r="DK139" i="2" a="1"/>
  <c r="DK157" i="2" a="1"/>
  <c r="DK200" i="2" a="1"/>
  <c r="DK201" i="2" a="1"/>
  <c r="DK197" i="2" a="1"/>
  <c r="DK137" i="2" a="1"/>
  <c r="DM1" i="2"/>
  <c r="A99" i="7" a="1"/>
  <c r="DR67" i="2"/>
  <c r="DN96" i="2"/>
  <c r="DL198" i="2" a="1"/>
  <c r="DL204" i="2" a="1"/>
  <c r="DL143" i="2" a="1"/>
  <c r="DL153" i="2" a="1"/>
  <c r="DL144" i="2" a="1"/>
  <c r="DL152" i="2" a="1"/>
  <c r="DL201" i="2" a="1"/>
  <c r="DL200" i="2" a="1"/>
  <c r="DL150" i="2" a="1"/>
  <c r="DL149" i="2" a="1"/>
  <c r="DL216" i="2" a="1"/>
  <c r="DL215" i="2" a="1"/>
  <c r="DL207" i="2" a="1"/>
  <c r="DL203" i="2" a="1"/>
  <c r="DL206" i="2" a="1"/>
  <c r="DL199" i="2" a="1"/>
  <c r="DL146" i="2" a="1"/>
  <c r="DL159" i="2" a="1"/>
  <c r="DL205" i="2" a="1"/>
  <c r="DL197" i="2" a="1"/>
  <c r="DL131" i="2" a="1"/>
  <c r="DL135" i="2" a="1"/>
  <c r="DL145" i="2" a="1"/>
  <c r="DL156" i="2" a="1"/>
  <c r="DL158" i="2" a="1"/>
  <c r="DM2" i="2"/>
  <c r="DL133" i="2" a="1"/>
  <c r="DL132" i="2" a="1"/>
  <c r="DL134" i="2" a="1"/>
  <c r="DL140" i="2" a="1"/>
  <c r="DL147" i="2" a="1"/>
  <c r="DL157" i="2" a="1"/>
  <c r="DL137" i="2" a="1"/>
  <c r="DL139" i="2" a="1"/>
  <c r="DL138" i="2" a="1"/>
  <c r="DL141" i="2" a="1"/>
  <c r="DL151" i="2" a="1"/>
  <c r="DL155" i="2" a="1"/>
  <c r="DN1" i="2"/>
  <c r="A100" i="7" a="1"/>
  <c r="DO96" i="2"/>
  <c r="DS67" i="2"/>
  <c r="DM157" i="2" a="1"/>
  <c r="DM159" i="2" a="1"/>
  <c r="DM150" i="2" a="1"/>
  <c r="DM152" i="2" a="1"/>
  <c r="DM141" i="2" a="1"/>
  <c r="DM137" i="2" a="1"/>
  <c r="DM153" i="2" a="1"/>
  <c r="DM146" i="2" a="1"/>
  <c r="DM145" i="2" a="1"/>
  <c r="DM143" i="2" a="1"/>
  <c r="DM149" i="2" a="1"/>
  <c r="DM147" i="2" a="1"/>
  <c r="DM156" i="2" a="1"/>
  <c r="DM158" i="2" a="1"/>
  <c r="DM155" i="2" a="1"/>
  <c r="DM144" i="2" a="1"/>
  <c r="DM151" i="2" a="1"/>
  <c r="DM197" i="2" a="1"/>
  <c r="DM138" i="2" a="1"/>
  <c r="DM216" i="2" a="1"/>
  <c r="DM215" i="2" a="1"/>
  <c r="DM198" i="2" a="1"/>
  <c r="DM199" i="2" a="1"/>
  <c r="DM200" i="2" a="1"/>
  <c r="DM139" i="2" a="1"/>
  <c r="DM207" i="2" a="1"/>
  <c r="DM205" i="2" a="1"/>
  <c r="DM206" i="2" a="1"/>
  <c r="DM201" i="2" a="1"/>
  <c r="DM204" i="2" a="1"/>
  <c r="DM203" i="2" a="1"/>
  <c r="DN2" i="2"/>
  <c r="DM135" i="2" a="1"/>
  <c r="DM133" i="2" a="1"/>
  <c r="DM132" i="2" a="1"/>
  <c r="DM131" i="2" a="1"/>
  <c r="DM134" i="2" a="1"/>
  <c r="DM140" i="2" a="1"/>
  <c r="DO1" i="2"/>
  <c r="A101" i="7" a="1"/>
  <c r="DT67" i="2"/>
  <c r="DP96" i="2"/>
  <c r="DN205" i="2" a="1"/>
  <c r="DN199" i="2" a="1"/>
  <c r="DN204" i="2" a="1"/>
  <c r="DN203" i="2" a="1"/>
  <c r="DN216" i="2" a="1"/>
  <c r="DN198" i="2" a="1"/>
  <c r="DN200" i="2" a="1"/>
  <c r="DN207" i="2" a="1"/>
  <c r="DN201" i="2" a="1"/>
  <c r="DN197" i="2" a="1"/>
  <c r="DN215" i="2" a="1"/>
  <c r="DN206" i="2" a="1"/>
  <c r="DO2" i="2"/>
  <c r="DN132" i="2" a="1"/>
  <c r="DN134" i="2" a="1"/>
  <c r="DN141" i="2" a="1"/>
  <c r="DN146" i="2" a="1"/>
  <c r="DN151" i="2" a="1"/>
  <c r="DN156" i="2" a="1"/>
  <c r="DN158" i="2" a="1"/>
  <c r="DN131" i="2" a="1"/>
  <c r="DN135" i="2" a="1"/>
  <c r="DN140" i="2" a="1"/>
  <c r="DN147" i="2" a="1"/>
  <c r="DN159" i="2" a="1"/>
  <c r="DN157" i="2" a="1"/>
  <c r="DN133" i="2" a="1"/>
  <c r="DN139" i="2" a="1"/>
  <c r="DN138" i="2" a="1"/>
  <c r="DN150" i="2" a="1"/>
  <c r="DN155" i="2" a="1"/>
  <c r="DN153" i="2" a="1"/>
  <c r="DN137" i="2" a="1"/>
  <c r="DN143" i="2" a="1"/>
  <c r="DN144" i="2" a="1"/>
  <c r="DN149" i="2" a="1"/>
  <c r="DN152" i="2" a="1"/>
  <c r="DN145" i="2" a="1"/>
  <c r="DP1" i="2"/>
  <c r="A102" i="7" a="1"/>
  <c r="DQ96" i="2"/>
  <c r="DU67" i="2"/>
  <c r="DO201" i="2" a="1"/>
  <c r="DO133" i="2" a="1"/>
  <c r="DO134" i="2" a="1"/>
  <c r="DP2" i="2"/>
  <c r="DP216" i="2" a="1"/>
  <c r="DO131" i="2" a="1"/>
  <c r="DO132" i="2" a="1"/>
  <c r="DO135" i="2" a="1"/>
  <c r="DO137" i="2" a="1"/>
  <c r="DO140" i="2" a="1"/>
  <c r="DO198" i="2" a="1"/>
  <c r="DO216" i="2" a="1"/>
  <c r="DO205" i="2" a="1"/>
  <c r="DO215" i="2" a="1"/>
  <c r="DO204" i="2" a="1"/>
  <c r="DO199" i="2" a="1"/>
  <c r="DO200" i="2" a="1"/>
  <c r="DO207" i="2" a="1"/>
  <c r="DO203" i="2" a="1"/>
  <c r="DO206" i="2" a="1"/>
  <c r="DO197" i="2" a="1"/>
  <c r="DO139" i="2" a="1"/>
  <c r="DO144" i="2" a="1"/>
  <c r="DO145" i="2" a="1"/>
  <c r="DO146" i="2" a="1"/>
  <c r="DO156" i="2" a="1"/>
  <c r="DO150" i="2" a="1"/>
  <c r="DO159" i="2" a="1"/>
  <c r="DO157" i="2" a="1"/>
  <c r="DO152" i="2" a="1"/>
  <c r="DO138" i="2" a="1"/>
  <c r="DO141" i="2" a="1"/>
  <c r="DO149" i="2" a="1"/>
  <c r="DO143" i="2" a="1"/>
  <c r="DO151" i="2" a="1"/>
  <c r="DO147" i="2" a="1"/>
  <c r="DO153" i="2" a="1"/>
  <c r="DO155" i="2" a="1"/>
  <c r="DO158" i="2" a="1"/>
  <c r="DQ1" i="2"/>
  <c r="A103" i="7" a="1"/>
  <c r="DV67" i="2"/>
  <c r="DW67" i="2"/>
  <c r="DR96" i="2"/>
  <c r="DS96" i="2"/>
  <c r="DP197" i="2" a="1"/>
  <c r="DP205" i="2" a="1"/>
  <c r="DP198" i="2" a="1"/>
  <c r="DP199" i="2" a="1"/>
  <c r="DP200" i="2" a="1"/>
  <c r="DP207" i="2" a="1"/>
  <c r="DP147" i="2" a="1"/>
  <c r="DP204" i="2" a="1"/>
  <c r="DP201" i="2" a="1"/>
  <c r="DP203" i="2" a="1"/>
  <c r="DP206" i="2" a="1"/>
  <c r="DP215" i="2" a="1"/>
  <c r="DP138" i="2" a="1"/>
  <c r="DQ2" i="2"/>
  <c r="DP137" i="2" a="1"/>
  <c r="DP135" i="2" a="1"/>
  <c r="DP139" i="2" a="1"/>
  <c r="DP146" i="2" a="1"/>
  <c r="DP131" i="2" a="1"/>
  <c r="DP133" i="2" a="1"/>
  <c r="DP141" i="2" a="1"/>
  <c r="DP132" i="2" a="1"/>
  <c r="DP134" i="2" a="1"/>
  <c r="DP140" i="2" a="1"/>
  <c r="DP150" i="2" a="1"/>
  <c r="DP143" i="2" a="1"/>
  <c r="DP145" i="2" a="1"/>
  <c r="DP144" i="2" a="1"/>
  <c r="DP149" i="2" a="1"/>
  <c r="DP155" i="2" a="1"/>
  <c r="DP151" i="2" a="1"/>
  <c r="DP152" i="2" a="1"/>
  <c r="DP159" i="2" a="1"/>
  <c r="DP157" i="2" a="1"/>
  <c r="DP156" i="2" a="1"/>
  <c r="DP153" i="2" a="1"/>
  <c r="DP158" i="2" a="1"/>
  <c r="DR1" i="2"/>
  <c r="A104" i="7" a="1"/>
  <c r="DT96" i="2"/>
  <c r="DX67" i="2"/>
  <c r="DQ131" i="2" a="1"/>
  <c r="DQ135" i="2" a="1"/>
  <c r="DQ133" i="2" a="1"/>
  <c r="DQ204" i="2" a="1"/>
  <c r="DQ157" i="2" a="1"/>
  <c r="DQ145" i="2" a="1"/>
  <c r="DQ146" i="2" a="1"/>
  <c r="DQ197" i="2" a="1"/>
  <c r="DQ201" i="2" a="1"/>
  <c r="DQ149" i="2" a="1"/>
  <c r="DQ199" i="2" a="1"/>
  <c r="DQ140" i="2" a="1"/>
  <c r="DQ200" i="2" a="1"/>
  <c r="DQ138" i="2" a="1"/>
  <c r="DQ139" i="2" a="1"/>
  <c r="DQ198" i="2" a="1"/>
  <c r="DQ216" i="2" a="1"/>
  <c r="DQ144" i="2" a="1"/>
  <c r="DQ206" i="2" a="1"/>
  <c r="DQ203" i="2" a="1"/>
  <c r="DQ143" i="2" a="1"/>
  <c r="DQ215" i="2" a="1"/>
  <c r="DQ150" i="2" a="1"/>
  <c r="DQ155" i="2" a="1"/>
  <c r="DQ132" i="2" a="1"/>
  <c r="DQ156" i="2" a="1"/>
  <c r="DQ158" i="2" a="1"/>
  <c r="DQ159" i="2" a="1"/>
  <c r="DQ152" i="2" a="1"/>
  <c r="DR2" i="2"/>
  <c r="DQ207" i="2" a="1"/>
  <c r="DQ141" i="2" a="1"/>
  <c r="DQ137" i="2" a="1"/>
  <c r="DQ134" i="2" a="1"/>
  <c r="DQ153" i="2" a="1"/>
  <c r="DQ151" i="2" a="1"/>
  <c r="DQ147" i="2" a="1"/>
  <c r="DQ205" i="2" a="1"/>
  <c r="DS1" i="2"/>
  <c r="A105" i="7" a="1"/>
  <c r="DY67" i="2"/>
  <c r="DU96" i="2"/>
  <c r="DR139" i="2" a="1"/>
  <c r="DR140" i="2" a="1"/>
  <c r="DR138" i="2" a="1"/>
  <c r="DR143" i="2" a="1"/>
  <c r="DR135" i="2" a="1"/>
  <c r="DR157" i="2" a="1"/>
  <c r="DR144" i="2" a="1"/>
  <c r="DR200" i="2" a="1"/>
  <c r="DR132" i="2" a="1"/>
  <c r="DR156" i="2" a="1"/>
  <c r="DR151" i="2" a="1"/>
  <c r="DR133" i="2" a="1"/>
  <c r="DR198" i="2" a="1"/>
  <c r="DR155" i="2" a="1"/>
  <c r="DR131" i="2" a="1"/>
  <c r="DR141" i="2" a="1"/>
  <c r="DS2" i="2"/>
  <c r="DS140" i="2" a="1"/>
  <c r="DR197" i="2" a="1"/>
  <c r="DR215" i="2" a="1"/>
  <c r="DR207" i="2" a="1"/>
  <c r="DR203" i="2" a="1"/>
  <c r="DR201" i="2" a="1"/>
  <c r="DR199" i="2" a="1"/>
  <c r="DR205" i="2" a="1"/>
  <c r="DR147" i="2" a="1"/>
  <c r="DR158" i="2" a="1"/>
  <c r="DR146" i="2" a="1"/>
  <c r="DR159" i="2" a="1"/>
  <c r="DR145" i="2" a="1"/>
  <c r="DR204" i="2" a="1"/>
  <c r="DR152" i="2" a="1"/>
  <c r="DR216" i="2" a="1"/>
  <c r="DR137" i="2" a="1"/>
  <c r="DR134" i="2" a="1"/>
  <c r="DR206" i="2" a="1"/>
  <c r="DR149" i="2" a="1"/>
  <c r="DR150" i="2" a="1"/>
  <c r="DR153" i="2" a="1"/>
  <c r="DT1" i="2"/>
  <c r="A106" i="7" a="1"/>
  <c r="DV96" i="2"/>
  <c r="DZ67" i="2"/>
  <c r="DS203" i="2" a="1"/>
  <c r="DS215" i="2" a="1"/>
  <c r="DS157" i="2" a="1"/>
  <c r="DT2" i="2"/>
  <c r="DS147" i="2" a="1"/>
  <c r="DS146" i="2" a="1"/>
  <c r="DS159" i="2" a="1"/>
  <c r="DS137" i="2" a="1"/>
  <c r="DS158" i="2" a="1"/>
  <c r="DS150" i="2" a="1"/>
  <c r="DS156" i="2" a="1"/>
  <c r="DS134" i="2" a="1"/>
  <c r="DS201" i="2" a="1"/>
  <c r="DS199" i="2" a="1"/>
  <c r="DS216" i="2" a="1"/>
  <c r="DS155" i="2" a="1"/>
  <c r="DS131" i="2" a="1"/>
  <c r="DS144" i="2" a="1"/>
  <c r="DS138" i="2" a="1"/>
  <c r="DS149" i="2" a="1"/>
  <c r="DS143" i="2" a="1"/>
  <c r="DS205" i="2" a="1"/>
  <c r="DS198" i="2" a="1"/>
  <c r="DS197" i="2" a="1"/>
  <c r="DS133" i="2" a="1"/>
  <c r="DS151" i="2" a="1"/>
  <c r="DS141" i="2" a="1"/>
  <c r="DS152" i="2" a="1"/>
  <c r="DS145" i="2" a="1"/>
  <c r="DS153" i="2" a="1"/>
  <c r="DS206" i="2" a="1"/>
  <c r="DS200" i="2" a="1"/>
  <c r="DS207" i="2" a="1"/>
  <c r="DS139" i="2" a="1"/>
  <c r="DS132" i="2" a="1"/>
  <c r="DS135" i="2" a="1"/>
  <c r="DS204" i="2" a="1"/>
  <c r="DU1" i="2"/>
  <c r="A107" i="7" a="1"/>
  <c r="DW96" i="2"/>
  <c r="EA67" i="2"/>
  <c r="DT132" i="2" a="1"/>
  <c r="DT206" i="2" a="1"/>
  <c r="DT147" i="2" a="1"/>
  <c r="DT138" i="2" a="1"/>
  <c r="DT134" i="2" a="1"/>
  <c r="DT198" i="2" a="1"/>
  <c r="DT133" i="2" a="1"/>
  <c r="DT215" i="2" a="1"/>
  <c r="DT158" i="2" a="1"/>
  <c r="DT204" i="2" a="1"/>
  <c r="DT152" i="2" a="1"/>
  <c r="DT143" i="2" a="1"/>
  <c r="DT141" i="2" a="1"/>
  <c r="DT155" i="2" a="1"/>
  <c r="DT156" i="2" a="1"/>
  <c r="DT159" i="2" a="1"/>
  <c r="DT216" i="2" a="1"/>
  <c r="DT203" i="2" a="1"/>
  <c r="DT199" i="2" a="1"/>
  <c r="DT200" i="2" a="1"/>
  <c r="DT135" i="2" a="1"/>
  <c r="DT140" i="2" a="1"/>
  <c r="DT151" i="2" a="1"/>
  <c r="DT144" i="2" a="1"/>
  <c r="DT145" i="2" a="1"/>
  <c r="DT146" i="2" a="1"/>
  <c r="DT153" i="2" a="1"/>
  <c r="DT150" i="2" a="1"/>
  <c r="DT149" i="2" a="1"/>
  <c r="DT157" i="2" a="1"/>
  <c r="DT207" i="2" a="1"/>
  <c r="DT201" i="2" a="1"/>
  <c r="DT205" i="2" a="1"/>
  <c r="DT197" i="2" a="1"/>
  <c r="DU2" i="2"/>
  <c r="DU133" i="2" a="1"/>
  <c r="DT137" i="2" a="1"/>
  <c r="DT139" i="2" a="1"/>
  <c r="DT131" i="2" a="1"/>
  <c r="DV1" i="2"/>
  <c r="A108" i="7" a="1"/>
  <c r="EB67" i="2"/>
  <c r="DX96" i="2"/>
  <c r="DU157" i="2" a="1"/>
  <c r="DU197" i="2" a="1"/>
  <c r="DU198" i="2" a="1"/>
  <c r="DU206" i="2" a="1"/>
  <c r="DU153" i="2" a="1"/>
  <c r="DU159" i="2" a="1"/>
  <c r="DU138" i="2" a="1"/>
  <c r="DU137" i="2" a="1"/>
  <c r="DU146" i="2" a="1"/>
  <c r="DU143" i="2" a="1"/>
  <c r="DU139" i="2" a="1"/>
  <c r="DU203" i="2" a="1"/>
  <c r="DU205" i="2" a="1"/>
  <c r="DU216" i="2" a="1"/>
  <c r="DU147" i="2" a="1"/>
  <c r="DU207" i="2" a="1"/>
  <c r="DU200" i="2" a="1"/>
  <c r="DU204" i="2" a="1"/>
  <c r="DU199" i="2" a="1"/>
  <c r="DU215" i="2" a="1"/>
  <c r="DU201" i="2" a="1"/>
  <c r="DU149" i="2" a="1"/>
  <c r="DU155" i="2" a="1"/>
  <c r="DV2" i="2"/>
  <c r="DU131" i="2" a="1"/>
  <c r="DU141" i="2" a="1"/>
  <c r="DU145" i="2" a="1"/>
  <c r="DU150" i="2" a="1"/>
  <c r="DU134" i="2" a="1"/>
  <c r="DU135" i="2" a="1"/>
  <c r="DU132" i="2" a="1"/>
  <c r="DU144" i="2" a="1"/>
  <c r="DU140" i="2" a="1"/>
  <c r="DU151" i="2" a="1"/>
  <c r="DU158" i="2" a="1"/>
  <c r="DU156" i="2" a="1"/>
  <c r="DU152" i="2" a="1"/>
  <c r="DW1" i="2"/>
  <c r="A109" i="7" a="1"/>
  <c r="DY96" i="2"/>
  <c r="EC67" i="2"/>
  <c r="DV152" i="2" a="1"/>
  <c r="DV144" i="2" a="1"/>
  <c r="DV199" i="2" a="1"/>
  <c r="DV133" i="2" a="1"/>
  <c r="DV140" i="2" a="1"/>
  <c r="DV145" i="2" a="1"/>
  <c r="DV153" i="2" a="1"/>
  <c r="DV156" i="2" a="1"/>
  <c r="DV216" i="2" a="1"/>
  <c r="DV146" i="2" a="1"/>
  <c r="DV147" i="2" a="1"/>
  <c r="DV207" i="2" a="1"/>
  <c r="DV132" i="2" a="1"/>
  <c r="DV143" i="2" a="1"/>
  <c r="DV150" i="2" a="1"/>
  <c r="DV141" i="2" a="1"/>
  <c r="DV149" i="2" a="1"/>
  <c r="DV151" i="2" a="1"/>
  <c r="DV204" i="2" a="1"/>
  <c r="DV198" i="2" a="1"/>
  <c r="DV201" i="2" a="1"/>
  <c r="DV200" i="2" a="1"/>
  <c r="DV215" i="2" a="1"/>
  <c r="DV203" i="2" a="1"/>
  <c r="DV206" i="2" a="1"/>
  <c r="DV205" i="2" a="1"/>
  <c r="DW2" i="2"/>
  <c r="DV131" i="2" a="1"/>
  <c r="DV134" i="2" a="1"/>
  <c r="DV135" i="2" a="1"/>
  <c r="DV197" i="2" a="1"/>
  <c r="DV137" i="2" a="1"/>
  <c r="DV138" i="2" a="1"/>
  <c r="DV139" i="2" a="1"/>
  <c r="DV155" i="2" a="1"/>
  <c r="DV159" i="2" a="1"/>
  <c r="DV158" i="2" a="1"/>
  <c r="DV157" i="2" a="1"/>
  <c r="DX1" i="2"/>
  <c r="A110" i="7" a="1"/>
  <c r="ED67" i="2"/>
  <c r="DZ96" i="2"/>
  <c r="DW207" i="2" a="1"/>
  <c r="DW199" i="2" a="1"/>
  <c r="DW152" i="2" a="1"/>
  <c r="DW144" i="2" a="1"/>
  <c r="DW157" i="2" a="1"/>
  <c r="DW159" i="2" a="1"/>
  <c r="DW133" i="2" a="1"/>
  <c r="DW147" i="2" a="1"/>
  <c r="DW149" i="2" a="1"/>
  <c r="DW153" i="2" a="1"/>
  <c r="DW158" i="2" a="1"/>
  <c r="DW156" i="2" a="1"/>
  <c r="DW198" i="2" a="1"/>
  <c r="DW140" i="2" a="1"/>
  <c r="DW150" i="2" a="1"/>
  <c r="DW204" i="2" a="1"/>
  <c r="DW201" i="2" a="1"/>
  <c r="DW206" i="2" a="1"/>
  <c r="DW141" i="2" a="1"/>
  <c r="DW135" i="2" a="1"/>
  <c r="DW139" i="2" a="1"/>
  <c r="DW137" i="2" a="1"/>
  <c r="DW146" i="2" a="1"/>
  <c r="DW143" i="2" a="1"/>
  <c r="DW151" i="2" a="1"/>
  <c r="DW203" i="2" a="1"/>
  <c r="DW215" i="2" a="1"/>
  <c r="DW197" i="2" a="1"/>
  <c r="DX2" i="2"/>
  <c r="DW132" i="2" a="1"/>
  <c r="DW155" i="2" a="1"/>
  <c r="DW205" i="2" a="1"/>
  <c r="DW134" i="2" a="1"/>
  <c r="DW138" i="2" a="1"/>
  <c r="DW145" i="2" a="1"/>
  <c r="DW200" i="2" a="1"/>
  <c r="DW216" i="2" a="1"/>
  <c r="DW131" i="2" a="1"/>
  <c r="DY1" i="2"/>
  <c r="A111" i="7" a="1"/>
  <c r="EA96" i="2"/>
  <c r="EE67" i="2"/>
  <c r="DX152" i="2" a="1"/>
  <c r="DX201" i="2" a="1"/>
  <c r="DX135" i="2" a="1"/>
  <c r="DX155" i="2" a="1"/>
  <c r="DX147" i="2" a="1"/>
  <c r="DX203" i="2" a="1"/>
  <c r="DX132" i="2" a="1"/>
  <c r="DX157" i="2" a="1"/>
  <c r="DX215" i="2" a="1"/>
  <c r="DX144" i="2" a="1"/>
  <c r="DX150" i="2" a="1"/>
  <c r="DX204" i="2" a="1"/>
  <c r="DX145" i="2" a="1"/>
  <c r="DX156" i="2" a="1"/>
  <c r="DX141" i="2" a="1"/>
  <c r="DX149" i="2" a="1"/>
  <c r="DX131" i="2" a="1"/>
  <c r="DX137" i="2" a="1"/>
  <c r="DX216" i="2" a="1"/>
  <c r="DX207" i="2" a="1"/>
  <c r="DX197" i="2" a="1"/>
  <c r="DX138" i="2" a="1"/>
  <c r="DX198" i="2" a="1"/>
  <c r="DX159" i="2" a="1"/>
  <c r="DX143" i="2" a="1"/>
  <c r="DX146" i="2" a="1"/>
  <c r="DX205" i="2" a="1"/>
  <c r="DX206" i="2" a="1"/>
  <c r="DX139" i="2" a="1"/>
  <c r="DX140" i="2" a="1"/>
  <c r="DX158" i="2" a="1"/>
  <c r="DX200" i="2" a="1"/>
  <c r="DX199" i="2" a="1"/>
  <c r="DX134" i="2" a="1"/>
  <c r="DX151" i="2" a="1"/>
  <c r="DY2" i="2"/>
  <c r="DX133" i="2" a="1"/>
  <c r="DX153" i="2" a="1"/>
  <c r="DZ1" i="2"/>
  <c r="A112" i="7" a="1"/>
  <c r="EF67" i="2"/>
  <c r="EB96" i="2"/>
  <c r="DY149" i="2" a="1"/>
  <c r="DY145" i="2" a="1"/>
  <c r="DY143" i="2" a="1"/>
  <c r="DY141" i="2" a="1"/>
  <c r="DY157" i="2" a="1"/>
  <c r="DY138" i="2" a="1"/>
  <c r="DY135" i="2" a="1"/>
  <c r="DY146" i="2" a="1"/>
  <c r="DY150" i="2" a="1"/>
  <c r="DY153" i="2" a="1"/>
  <c r="DY151" i="2" a="1"/>
  <c r="DY158" i="2" a="1"/>
  <c r="DY156" i="2" a="1"/>
  <c r="DY134" i="2" a="1"/>
  <c r="DY204" i="2" a="1"/>
  <c r="DY152" i="2" a="1"/>
  <c r="DY201" i="2" a="1"/>
  <c r="DY198" i="2" a="1"/>
  <c r="DY207" i="2" a="1"/>
  <c r="DY205" i="2" a="1"/>
  <c r="DY200" i="2" a="1"/>
  <c r="DY133" i="2" a="1"/>
  <c r="DY140" i="2" a="1"/>
  <c r="DY155" i="2" a="1"/>
  <c r="DY159" i="2" a="1"/>
  <c r="DY215" i="2" a="1"/>
  <c r="DY203" i="2" a="1"/>
  <c r="DY216" i="2" a="1"/>
  <c r="DY206" i="2" a="1"/>
  <c r="DY197" i="2" a="1"/>
  <c r="DY199" i="2" a="1"/>
  <c r="DZ2" i="2"/>
  <c r="DZ159" i="2" a="1"/>
  <c r="DY132" i="2" a="1"/>
  <c r="DY139" i="2" a="1"/>
  <c r="DY131" i="2" a="1"/>
  <c r="DY137" i="2" a="1"/>
  <c r="DY144" i="2" a="1"/>
  <c r="DY147" i="2" a="1"/>
  <c r="EA1" i="2"/>
  <c r="A113" i="7" a="1"/>
  <c r="EC96" i="2"/>
  <c r="EG67" i="2"/>
  <c r="DZ157" i="2" a="1"/>
  <c r="DZ215" i="2" a="1"/>
  <c r="DZ150" i="2" a="1"/>
  <c r="DZ131" i="2" a="1"/>
  <c r="DZ139" i="2" a="1"/>
  <c r="DZ144" i="2" a="1"/>
  <c r="DZ198" i="2" a="1"/>
  <c r="DZ201" i="2" a="1"/>
  <c r="DZ147" i="2" a="1"/>
  <c r="DZ132" i="2" a="1"/>
  <c r="DZ155" i="2" a="1"/>
  <c r="DZ152" i="2" a="1"/>
  <c r="DZ153" i="2" a="1"/>
  <c r="DZ205" i="2" a="1"/>
  <c r="DZ199" i="2" a="1"/>
  <c r="EA2" i="2"/>
  <c r="EA134" i="2" a="1"/>
  <c r="DZ134" i="2" a="1"/>
  <c r="DZ140" i="2" a="1"/>
  <c r="DZ143" i="2" a="1"/>
  <c r="DZ145" i="2" a="1"/>
  <c r="DZ138" i="2" a="1"/>
  <c r="DZ216" i="2" a="1"/>
  <c r="DZ133" i="2" a="1"/>
  <c r="DZ137" i="2" a="1"/>
  <c r="DZ156" i="2" a="1"/>
  <c r="DZ149" i="2" a="1"/>
  <c r="DZ146" i="2" a="1"/>
  <c r="DZ207" i="2" a="1"/>
  <c r="DZ204" i="2" a="1"/>
  <c r="DZ200" i="2" a="1"/>
  <c r="DZ203" i="2" a="1"/>
  <c r="DZ206" i="2" a="1"/>
  <c r="DZ197" i="2" a="1"/>
  <c r="DZ141" i="2" a="1"/>
  <c r="DZ135" i="2" a="1"/>
  <c r="DZ151" i="2" a="1"/>
  <c r="DZ158" i="2" a="1"/>
  <c r="EB1" i="2"/>
  <c r="A114" i="7" a="1"/>
  <c r="EH67" i="2"/>
  <c r="ED96" i="2"/>
  <c r="EA157" i="2" a="1"/>
  <c r="EA206" i="2" a="1"/>
  <c r="EA143" i="2" a="1"/>
  <c r="EA200" i="2" a="1"/>
  <c r="EA140" i="2" a="1"/>
  <c r="EA197" i="2" a="1"/>
  <c r="EA132" i="2" a="1"/>
  <c r="EA138" i="2" a="1"/>
  <c r="EA150" i="2" a="1"/>
  <c r="EA155" i="2" a="1"/>
  <c r="EA207" i="2" a="1"/>
  <c r="EA135" i="2" a="1"/>
  <c r="EA131" i="2" a="1"/>
  <c r="EA153" i="2" a="1"/>
  <c r="EA144" i="2" a="1"/>
  <c r="EA146" i="2" a="1"/>
  <c r="EA203" i="2" a="1"/>
  <c r="EA216" i="2" a="1"/>
  <c r="EA145" i="2" a="1"/>
  <c r="EA149" i="2" a="1"/>
  <c r="EA205" i="2" a="1"/>
  <c r="EA204" i="2" a="1"/>
  <c r="EA156" i="2" a="1"/>
  <c r="EA159" i="2" a="1"/>
  <c r="EA141" i="2" a="1"/>
  <c r="EA139" i="2" a="1"/>
  <c r="EA199" i="2" a="1"/>
  <c r="EA215" i="2" a="1"/>
  <c r="EA137" i="2" a="1"/>
  <c r="EA147" i="2" a="1"/>
  <c r="EA152" i="2" a="1"/>
  <c r="EA151" i="2" a="1"/>
  <c r="EA201" i="2" a="1"/>
  <c r="EA198" i="2" a="1"/>
  <c r="EB2" i="2"/>
  <c r="EA133" i="2" a="1"/>
  <c r="EA158" i="2" a="1"/>
  <c r="EC1" i="2"/>
  <c r="A115" i="7" a="1"/>
  <c r="EE96" i="2"/>
  <c r="EI67" i="2"/>
  <c r="EB159" i="2" a="1"/>
  <c r="EB145" i="2" a="1"/>
  <c r="EB131" i="2" a="1"/>
  <c r="EB203" i="2" a="1"/>
  <c r="EC2" i="2"/>
  <c r="EB152" i="2" a="1"/>
  <c r="EB153" i="2" a="1"/>
  <c r="EB141" i="2" a="1"/>
  <c r="EB140" i="2" a="1"/>
  <c r="EB150" i="2" a="1"/>
  <c r="EB206" i="2" a="1"/>
  <c r="EB133" i="2" a="1"/>
  <c r="EB198" i="2" a="1"/>
  <c r="EB216" i="2" a="1"/>
  <c r="EB197" i="2" a="1"/>
  <c r="EB146" i="2" a="1"/>
  <c r="EB207" i="2" a="1"/>
  <c r="EB151" i="2" a="1"/>
  <c r="EB139" i="2" a="1"/>
  <c r="EB155" i="2" a="1"/>
  <c r="EB147" i="2" a="1"/>
  <c r="EB157" i="2" a="1"/>
  <c r="EB158" i="2" a="1"/>
  <c r="EB205" i="2" a="1"/>
  <c r="EB134" i="2" a="1"/>
  <c r="EB137" i="2" a="1"/>
  <c r="EB144" i="2" a="1"/>
  <c r="EB149" i="2" a="1"/>
  <c r="EB156" i="2" a="1"/>
  <c r="EB201" i="2" a="1"/>
  <c r="EB199" i="2" a="1"/>
  <c r="EB215" i="2" a="1"/>
  <c r="EB204" i="2" a="1"/>
  <c r="EB200" i="2" a="1"/>
  <c r="EB132" i="2" a="1"/>
  <c r="EB135" i="2" a="1"/>
  <c r="EB138" i="2" a="1"/>
  <c r="EB143" i="2" a="1"/>
  <c r="ED1" i="2"/>
  <c r="A116" i="7" a="1"/>
  <c r="EF96" i="2"/>
  <c r="EG96" i="2"/>
  <c r="EJ67" i="2"/>
  <c r="EK67" i="2"/>
  <c r="EC138" i="2" a="1"/>
  <c r="EC146" i="2" a="1"/>
  <c r="EC132" i="2" a="1"/>
  <c r="EC151" i="2" a="1"/>
  <c r="EC149" i="2" a="1"/>
  <c r="EC141" i="2" a="1"/>
  <c r="EC150" i="2" a="1"/>
  <c r="EC152" i="2" a="1"/>
  <c r="EC216" i="2" a="1"/>
  <c r="EC205" i="2" a="1"/>
  <c r="EC197" i="2" a="1"/>
  <c r="EC157" i="2" a="1"/>
  <c r="EC158" i="2" a="1"/>
  <c r="EC145" i="2" a="1"/>
  <c r="EC201" i="2" a="1"/>
  <c r="EC140" i="2" a="1"/>
  <c r="EC147" i="2" a="1"/>
  <c r="EC139" i="2" a="1"/>
  <c r="EC155" i="2" a="1"/>
  <c r="EC199" i="2" a="1"/>
  <c r="EC153" i="2" a="1"/>
  <c r="EC215" i="2" a="1"/>
  <c r="EC203" i="2" a="1"/>
  <c r="EC207" i="2" a="1"/>
  <c r="EC206" i="2" a="1"/>
  <c r="EC198" i="2" a="1"/>
  <c r="EC200" i="2" a="1"/>
  <c r="EC204" i="2" a="1"/>
  <c r="ED2" i="2"/>
  <c r="EC131" i="2" a="1"/>
  <c r="EC133" i="2" a="1"/>
  <c r="EC135" i="2" a="1"/>
  <c r="EC137" i="2" a="1"/>
  <c r="EC134" i="2" a="1"/>
  <c r="EC143" i="2" a="1"/>
  <c r="EC144" i="2" a="1"/>
  <c r="EC159" i="2" a="1"/>
  <c r="EC156" i="2" a="1"/>
  <c r="EE1" i="2"/>
  <c r="A117" i="7" a="1"/>
  <c r="EL67" i="2"/>
  <c r="EH96" i="2"/>
  <c r="ED206" i="2" a="1"/>
  <c r="ED155" i="2" a="1"/>
  <c r="ED198" i="2" a="1"/>
  <c r="ED144" i="2" a="1"/>
  <c r="ED152" i="2" a="1"/>
  <c r="ED205" i="2" a="1"/>
  <c r="ED197" i="2" a="1"/>
  <c r="EE2" i="2"/>
  <c r="ED131" i="2" a="1"/>
  <c r="ED132" i="2" a="1"/>
  <c r="ED134" i="2" a="1"/>
  <c r="ED149" i="2" a="1"/>
  <c r="ED151" i="2" a="1"/>
  <c r="ED159" i="2" a="1"/>
  <c r="ED143" i="2" a="1"/>
  <c r="ED145" i="2" a="1"/>
  <c r="ED158" i="2" a="1"/>
  <c r="ED138" i="2" a="1"/>
  <c r="ED146" i="2" a="1"/>
  <c r="ED150" i="2" a="1"/>
  <c r="ED153" i="2" a="1"/>
  <c r="ED157" i="2" a="1"/>
  <c r="ED135" i="2" a="1"/>
  <c r="ED200" i="2" a="1"/>
  <c r="ED137" i="2" a="1"/>
  <c r="ED139" i="2" a="1"/>
  <c r="ED141" i="2" a="1"/>
  <c r="ED147" i="2" a="1"/>
  <c r="ED156" i="2" a="1"/>
  <c r="ED203" i="2" a="1"/>
  <c r="ED207" i="2" a="1"/>
  <c r="ED204" i="2" a="1"/>
  <c r="ED216" i="2" a="1"/>
  <c r="ED201" i="2" a="1"/>
  <c r="ED199" i="2" a="1"/>
  <c r="ED215" i="2" a="1"/>
  <c r="ED133" i="2" a="1"/>
  <c r="ED140" i="2" a="1"/>
  <c r="EF1" i="2"/>
  <c r="A118" i="7" a="1"/>
  <c r="EI96" i="2"/>
  <c r="EM67" i="2"/>
  <c r="EE155" i="2" a="1"/>
  <c r="EE152" i="2" a="1"/>
  <c r="EE149" i="2" a="1"/>
  <c r="EE138" i="2" a="1"/>
  <c r="EE156" i="2" a="1"/>
  <c r="EE207" i="2" a="1"/>
  <c r="EE157" i="2" a="1"/>
  <c r="EE134" i="2" a="1"/>
  <c r="EE144" i="2" a="1"/>
  <c r="EE145" i="2" a="1"/>
  <c r="EE159" i="2" a="1"/>
  <c r="EE133" i="2" a="1"/>
  <c r="EE131" i="2" a="1"/>
  <c r="EE216" i="2" a="1"/>
  <c r="EE215" i="2" a="1"/>
  <c r="EE197" i="2" a="1"/>
  <c r="EE201" i="2" a="1"/>
  <c r="EE206" i="2" a="1"/>
  <c r="EE147" i="2" a="1"/>
  <c r="EE135" i="2" a="1"/>
  <c r="EE205" i="2" a="1"/>
  <c r="EE204" i="2" a="1"/>
  <c r="EE139" i="2" a="1"/>
  <c r="EE146" i="2" a="1"/>
  <c r="EE143" i="2" a="1"/>
  <c r="EE137" i="2" a="1"/>
  <c r="EE158" i="2" a="1"/>
  <c r="EE140" i="2" a="1"/>
  <c r="EE153" i="2" a="1"/>
  <c r="EE198" i="2" a="1"/>
  <c r="EE132" i="2" a="1"/>
  <c r="EE150" i="2" a="1"/>
  <c r="EE199" i="2" a="1"/>
  <c r="EE141" i="2" a="1"/>
  <c r="EE151" i="2" a="1"/>
  <c r="EE200" i="2" a="1"/>
  <c r="EE203" i="2" a="1"/>
  <c r="EF2" i="2"/>
  <c r="EG1" i="2"/>
  <c r="A119" i="7" a="1"/>
  <c r="EN67" i="2"/>
  <c r="EJ96" i="2"/>
  <c r="EF134" i="2" a="1"/>
  <c r="EF144" i="2" a="1"/>
  <c r="EF147" i="2" a="1"/>
  <c r="EF156" i="2" a="1"/>
  <c r="EF198" i="2" a="1"/>
  <c r="EF138" i="2" a="1"/>
  <c r="EF206" i="2" a="1"/>
  <c r="EF131" i="2" a="1"/>
  <c r="EF135" i="2" a="1"/>
  <c r="EF146" i="2" a="1"/>
  <c r="EF150" i="2" a="1"/>
  <c r="EF152" i="2" a="1"/>
  <c r="EF151" i="2" a="1"/>
  <c r="EF157" i="2" a="1"/>
  <c r="EF140" i="2" a="1"/>
  <c r="EF201" i="2" a="1"/>
  <c r="EF216" i="2" a="1"/>
  <c r="EF132" i="2" a="1"/>
  <c r="EF143" i="2" a="1"/>
  <c r="EF153" i="2" a="1"/>
  <c r="EF204" i="2" a="1"/>
  <c r="EF158" i="2" a="1"/>
  <c r="EF200" i="2" a="1"/>
  <c r="EF199" i="2" a="1"/>
  <c r="EF133" i="2" a="1"/>
  <c r="EF137" i="2" a="1"/>
  <c r="EF141" i="2" a="1"/>
  <c r="EF159" i="2" a="1"/>
  <c r="EF139" i="2" a="1"/>
  <c r="EF155" i="2" a="1"/>
  <c r="EF149" i="2" a="1"/>
  <c r="EF145" i="2" a="1"/>
  <c r="EF197" i="2" a="1"/>
  <c r="EF207" i="2" a="1"/>
  <c r="EG2" i="2"/>
  <c r="EG144" i="2" a="1"/>
  <c r="EF215" i="2" a="1"/>
  <c r="EF203" i="2" a="1"/>
  <c r="EF205" i="2" a="1"/>
  <c r="EH1" i="2"/>
  <c r="A120" i="7" a="1"/>
  <c r="EO67" i="2"/>
  <c r="EK96" i="2"/>
  <c r="EG198" i="2" a="1"/>
  <c r="EG158" i="2" a="1"/>
  <c r="EG199" i="2" a="1"/>
  <c r="EG206" i="2" a="1"/>
  <c r="EG151" i="2" a="1"/>
  <c r="EH2" i="2"/>
  <c r="EG140" i="2" a="1"/>
  <c r="EG152" i="2" a="1"/>
  <c r="EG204" i="2" a="1"/>
  <c r="EG147" i="2" a="1"/>
  <c r="EG207" i="2" a="1"/>
  <c r="EG205" i="2" a="1"/>
  <c r="EG132" i="2" a="1"/>
  <c r="EG203" i="2" a="1"/>
  <c r="EG139" i="2" a="1"/>
  <c r="EG141" i="2" a="1"/>
  <c r="EG150" i="2" a="1"/>
  <c r="EG133" i="2" a="1"/>
  <c r="EG201" i="2" a="1"/>
  <c r="EG146" i="2" a="1"/>
  <c r="EG155" i="2" a="1"/>
  <c r="EG135" i="2" a="1"/>
  <c r="EG159" i="2" a="1"/>
  <c r="EG157" i="2" a="1"/>
  <c r="EG145" i="2" a="1"/>
  <c r="EG137" i="2" a="1"/>
  <c r="EG216" i="2" a="1"/>
  <c r="EG138" i="2" a="1"/>
  <c r="EG215" i="2" a="1"/>
  <c r="EG134" i="2" a="1"/>
  <c r="EG156" i="2" a="1"/>
  <c r="EG131" i="2" a="1"/>
  <c r="EG153" i="2" a="1"/>
  <c r="EG149" i="2" a="1"/>
  <c r="EG197" i="2" a="1"/>
  <c r="EG143" i="2" a="1"/>
  <c r="EG200" i="2" a="1"/>
  <c r="EI1" i="2"/>
  <c r="A121" i="7" a="1"/>
  <c r="EP67" i="2"/>
  <c r="EL96" i="2"/>
  <c r="EH151" i="2" a="1"/>
  <c r="EH200" i="2" a="1"/>
  <c r="EH138" i="2" a="1"/>
  <c r="EH197" i="2" a="1"/>
  <c r="EH135" i="2" a="1"/>
  <c r="EH131" i="2" a="1"/>
  <c r="EH216" i="2" a="1"/>
  <c r="EH132" i="2" a="1"/>
  <c r="EH157" i="2" a="1"/>
  <c r="EH206" i="2" a="1"/>
  <c r="EH145" i="2" a="1"/>
  <c r="EH201" i="2" a="1"/>
  <c r="EH158" i="2" a="1"/>
  <c r="EH134" i="2" a="1"/>
  <c r="EH143" i="2" a="1"/>
  <c r="EI2" i="2"/>
  <c r="EH199" i="2" a="1"/>
  <c r="EH139" i="2" a="1"/>
  <c r="EH155" i="2" a="1"/>
  <c r="EH144" i="2" a="1"/>
  <c r="EH205" i="2" a="1"/>
  <c r="EH159" i="2" a="1"/>
  <c r="EH150" i="2" a="1"/>
  <c r="EH207" i="2" a="1"/>
  <c r="EH153" i="2" a="1"/>
  <c r="EH137" i="2" a="1"/>
  <c r="EH156" i="2" a="1"/>
  <c r="EH146" i="2" a="1"/>
  <c r="EH133" i="2" a="1"/>
  <c r="EH141" i="2" a="1"/>
  <c r="EH152" i="2" a="1"/>
  <c r="EH215" i="2" a="1"/>
  <c r="EH149" i="2" a="1"/>
  <c r="EH140" i="2" a="1"/>
  <c r="EH203" i="2" a="1"/>
  <c r="EH204" i="2" a="1"/>
  <c r="EH147" i="2" a="1"/>
  <c r="EH198" i="2" a="1"/>
  <c r="EJ1" i="2"/>
  <c r="A122" i="7" a="1"/>
  <c r="EM96" i="2"/>
  <c r="EQ67" i="2"/>
  <c r="EI149" i="2" a="1"/>
  <c r="EI140" i="2" a="1"/>
  <c r="EI145" i="2" a="1"/>
  <c r="EI150" i="2" a="1"/>
  <c r="EI206" i="2" a="1"/>
  <c r="EI159" i="2" a="1"/>
  <c r="EI156" i="2" a="1"/>
  <c r="EI137" i="2" a="1"/>
  <c r="EI204" i="2" a="1"/>
  <c r="EI215" i="2" a="1"/>
  <c r="EI132" i="2" a="1"/>
  <c r="EI139" i="2" a="1"/>
  <c r="EI201" i="2" a="1"/>
  <c r="EI134" i="2" a="1"/>
  <c r="EI200" i="2" a="1"/>
  <c r="EI216" i="2" a="1"/>
  <c r="EI143" i="2" a="1"/>
  <c r="EI199" i="2" a="1"/>
  <c r="EI135" i="2" a="1"/>
  <c r="EI147" i="2" a="1"/>
  <c r="EI153" i="2" a="1"/>
  <c r="EI131" i="2" a="1"/>
  <c r="EI133" i="2" a="1"/>
  <c r="EJ2" i="2"/>
  <c r="EI151" i="2" a="1"/>
  <c r="EI144" i="2" a="1"/>
  <c r="EI138" i="2" a="1"/>
  <c r="EI205" i="2" a="1"/>
  <c r="EI158" i="2" a="1"/>
  <c r="EI155" i="2" a="1"/>
  <c r="EI146" i="2" a="1"/>
  <c r="EI203" i="2" a="1"/>
  <c r="EI207" i="2" a="1"/>
  <c r="EI152" i="2" a="1"/>
  <c r="EI141" i="2" a="1"/>
  <c r="EI198" i="2" a="1"/>
  <c r="EI197" i="2" a="1"/>
  <c r="EI157" i="2" a="1"/>
  <c r="EK1" i="2"/>
  <c r="A123" i="7" a="1"/>
  <c r="ER67" i="2"/>
  <c r="EN96" i="2"/>
  <c r="EJ138" i="2" a="1"/>
  <c r="EJ199" i="2" a="1"/>
  <c r="EJ155" i="2" a="1"/>
  <c r="EJ201" i="2" a="1"/>
  <c r="EJ197" i="2" a="1"/>
  <c r="EJ131" i="2" a="1"/>
  <c r="EJ144" i="2" a="1"/>
  <c r="EJ216" i="2" a="1"/>
  <c r="EJ132" i="2" a="1"/>
  <c r="EK2" i="2"/>
  <c r="EJ200" i="2" a="1"/>
  <c r="EJ146" i="2" a="1"/>
  <c r="EJ150" i="2" a="1"/>
  <c r="EJ198" i="2" a="1"/>
  <c r="EJ159" i="2" a="1"/>
  <c r="EJ152" i="2" a="1"/>
  <c r="EJ139" i="2" a="1"/>
  <c r="EJ151" i="2" a="1"/>
  <c r="EJ135" i="2" a="1"/>
  <c r="EJ143" i="2" a="1"/>
  <c r="EJ156" i="2" a="1"/>
  <c r="EJ149" i="2" a="1"/>
  <c r="EJ140" i="2" a="1"/>
  <c r="EJ145" i="2" a="1"/>
  <c r="EJ215" i="2" a="1"/>
  <c r="EJ147" i="2" a="1"/>
  <c r="EJ133" i="2" a="1"/>
  <c r="EJ134" i="2" a="1"/>
  <c r="EJ141" i="2" a="1"/>
  <c r="EJ157" i="2" a="1"/>
  <c r="EJ158" i="2" a="1"/>
  <c r="EJ204" i="2" a="1"/>
  <c r="EJ205" i="2" a="1"/>
  <c r="EJ206" i="2" a="1"/>
  <c r="EJ153" i="2" a="1"/>
  <c r="EJ203" i="2" a="1"/>
  <c r="EJ137" i="2" a="1"/>
  <c r="EJ207" i="2" a="1"/>
  <c r="EL1" i="2"/>
  <c r="A124" i="7" a="1"/>
  <c r="EO96" i="2"/>
  <c r="ES67" i="2"/>
  <c r="EK144" i="2" a="1"/>
  <c r="EK150" i="2" a="1"/>
  <c r="EK157" i="2" a="1"/>
  <c r="EK143" i="2" a="1"/>
  <c r="EK135" i="2" a="1"/>
  <c r="EK216" i="2" a="1"/>
  <c r="EK151" i="2" a="1"/>
  <c r="EK158" i="2" a="1"/>
  <c r="EK146" i="2" a="1"/>
  <c r="EK141" i="2" a="1"/>
  <c r="EK138" i="2" a="1"/>
  <c r="EK155" i="2" a="1"/>
  <c r="EK200" i="2" a="1"/>
  <c r="EK207" i="2" a="1"/>
  <c r="EK203" i="2" a="1"/>
  <c r="EK204" i="2" a="1"/>
  <c r="EK206" i="2" a="1"/>
  <c r="EK197" i="2" a="1"/>
  <c r="EK149" i="2" a="1"/>
  <c r="EK159" i="2" a="1"/>
  <c r="EK140" i="2" a="1"/>
  <c r="EK201" i="2" a="1"/>
  <c r="EK198" i="2" a="1"/>
  <c r="EL2" i="2"/>
  <c r="EK132" i="2" a="1"/>
  <c r="EK156" i="2" a="1"/>
  <c r="EK199" i="2" a="1"/>
  <c r="EK145" i="2" a="1"/>
  <c r="EK131" i="2" a="1"/>
  <c r="EK215" i="2" a="1"/>
  <c r="EK205" i="2" a="1"/>
  <c r="EK137" i="2" a="1"/>
  <c r="EK139" i="2" a="1"/>
  <c r="EK133" i="2" a="1"/>
  <c r="EK134" i="2" a="1"/>
  <c r="EK147" i="2" a="1"/>
  <c r="EK152" i="2" a="1"/>
  <c r="EK153" i="2" a="1"/>
  <c r="EM1" i="2"/>
  <c r="A125" i="7" a="1"/>
  <c r="ET67" i="2"/>
  <c r="EP96" i="2"/>
  <c r="EL138" i="2" a="1"/>
  <c r="EL153" i="2" a="1"/>
  <c r="EL131" i="2" a="1"/>
  <c r="EL144" i="2" a="1"/>
  <c r="EL201" i="2" a="1"/>
  <c r="EL204" i="2" a="1"/>
  <c r="EL139" i="2" a="1"/>
  <c r="EL151" i="2" a="1"/>
  <c r="EL197" i="2" a="1"/>
  <c r="EL140" i="2" a="1"/>
  <c r="EL159" i="2" a="1"/>
  <c r="EL133" i="2" a="1"/>
  <c r="EL155" i="2" a="1"/>
  <c r="EL158" i="2" a="1"/>
  <c r="EL143" i="2" a="1"/>
  <c r="EL150" i="2" a="1"/>
  <c r="EL152" i="2" a="1"/>
  <c r="EL206" i="2" a="1"/>
  <c r="EL215" i="2" a="1"/>
  <c r="EL135" i="2" a="1"/>
  <c r="EL207" i="2" a="1"/>
  <c r="EL216" i="2" a="1"/>
  <c r="EL147" i="2" a="1"/>
  <c r="EL205" i="2" a="1"/>
  <c r="EL132" i="2" a="1"/>
  <c r="EL134" i="2" a="1"/>
  <c r="EL137" i="2" a="1"/>
  <c r="EL156" i="2" a="1"/>
  <c r="EL200" i="2" a="1"/>
  <c r="EL199" i="2" a="1"/>
  <c r="EL146" i="2" a="1"/>
  <c r="EL141" i="2" a="1"/>
  <c r="EL198" i="2" a="1"/>
  <c r="EL203" i="2" a="1"/>
  <c r="EM2" i="2"/>
  <c r="EL157" i="2" a="1"/>
  <c r="EL145" i="2" a="1"/>
  <c r="EL149" i="2" a="1"/>
  <c r="EN1" i="2"/>
  <c r="A126" i="7" a="1"/>
  <c r="EQ96" i="2"/>
  <c r="EU67" i="2"/>
  <c r="EM146" i="2" a="1"/>
  <c r="EM153" i="2" a="1"/>
  <c r="EM205" i="2" a="1"/>
  <c r="EM141" i="2" a="1"/>
  <c r="EM139" i="2" a="1"/>
  <c r="EM151" i="2" a="1"/>
  <c r="EM152" i="2" a="1"/>
  <c r="EM155" i="2" a="1"/>
  <c r="EM157" i="2" a="1"/>
  <c r="EM215" i="2" a="1"/>
  <c r="EM216" i="2" a="1"/>
  <c r="EM203" i="2" a="1"/>
  <c r="EM133" i="2" a="1"/>
  <c r="EM137" i="2" a="1"/>
  <c r="EM144" i="2" a="1"/>
  <c r="EM200" i="2" a="1"/>
  <c r="EM145" i="2" a="1"/>
  <c r="EM158" i="2" a="1"/>
  <c r="EM201" i="2" a="1"/>
  <c r="EM131" i="2" a="1"/>
  <c r="EM138" i="2" a="1"/>
  <c r="EM149" i="2" a="1"/>
  <c r="EM150" i="2" a="1"/>
  <c r="EM132" i="2" a="1"/>
  <c r="EM140" i="2" a="1"/>
  <c r="EM206" i="2" a="1"/>
  <c r="EM197" i="2" a="1"/>
  <c r="EM204" i="2" a="1"/>
  <c r="EM199" i="2" a="1"/>
  <c r="EN2" i="2"/>
  <c r="EM159" i="2" a="1"/>
  <c r="EM134" i="2" a="1"/>
  <c r="EM135" i="2" a="1"/>
  <c r="EM147" i="2" a="1"/>
  <c r="EM156" i="2" a="1"/>
  <c r="EM143" i="2" a="1"/>
  <c r="EM207" i="2" a="1"/>
  <c r="EM198" i="2" a="1"/>
  <c r="EO1" i="2"/>
  <c r="A127" i="7" a="1"/>
  <c r="EV67" i="2"/>
  <c r="ER96" i="2"/>
  <c r="EN131" i="2" a="1"/>
  <c r="EN147" i="2" a="1"/>
  <c r="EN158" i="2" a="1"/>
  <c r="EN197" i="2" a="1"/>
  <c r="EN205" i="2" a="1"/>
  <c r="EN206" i="2" a="1"/>
  <c r="EN198" i="2" a="1"/>
  <c r="EN207" i="2" a="1"/>
  <c r="EN204" i="2" a="1"/>
  <c r="EN152" i="2" a="1"/>
  <c r="EN159" i="2" a="1"/>
  <c r="EN203" i="2" a="1"/>
  <c r="EN146" i="2" a="1"/>
  <c r="EN155" i="2" a="1"/>
  <c r="EN153" i="2" a="1"/>
  <c r="EN137" i="2" a="1"/>
  <c r="EN156" i="2" a="1"/>
  <c r="EN151" i="2" a="1"/>
  <c r="EN132" i="2" a="1"/>
  <c r="EN216" i="2" a="1"/>
  <c r="EN144" i="2" a="1"/>
  <c r="EN141" i="2" a="1"/>
  <c r="EN140" i="2" a="1"/>
  <c r="EN157" i="2" a="1"/>
  <c r="EN149" i="2" a="1"/>
  <c r="EN143" i="2" a="1"/>
  <c r="EN135" i="2" a="1"/>
  <c r="EN145" i="2" a="1"/>
  <c r="EN139" i="2" a="1"/>
  <c r="EN133" i="2" a="1"/>
  <c r="EN201" i="2" a="1"/>
  <c r="EN199" i="2" a="1"/>
  <c r="EN200" i="2" a="1"/>
  <c r="EN215" i="2" a="1"/>
  <c r="EO2" i="2"/>
  <c r="EN134" i="2" a="1"/>
  <c r="EN138" i="2" a="1"/>
  <c r="EN150" i="2" a="1"/>
  <c r="EP1" i="2"/>
  <c r="A128" i="7" a="1"/>
  <c r="ES96" i="2"/>
  <c r="EW67" i="2"/>
  <c r="EP2" i="2"/>
  <c r="EP159" i="2" a="1"/>
  <c r="EO134" i="2" a="1"/>
  <c r="EO145" i="2" a="1"/>
  <c r="EO140" i="2" a="1"/>
  <c r="EO158" i="2" a="1"/>
  <c r="EO151" i="2" a="1"/>
  <c r="EO201" i="2" a="1"/>
  <c r="EO204" i="2" a="1"/>
  <c r="EO207" i="2" a="1"/>
  <c r="EO157" i="2" a="1"/>
  <c r="EO150" i="2" a="1"/>
  <c r="EO198" i="2" a="1"/>
  <c r="EO138" i="2" a="1"/>
  <c r="EO143" i="2" a="1"/>
  <c r="EO216" i="2" a="1"/>
  <c r="EO149" i="2" a="1"/>
  <c r="EO215" i="2" a="1"/>
  <c r="EO206" i="2" a="1"/>
  <c r="EO132" i="2" a="1"/>
  <c r="EO141" i="2" a="1"/>
  <c r="EO159" i="2" a="1"/>
  <c r="EO203" i="2" a="1"/>
  <c r="EO137" i="2" a="1"/>
  <c r="EO144" i="2" a="1"/>
  <c r="EO156" i="2" a="1"/>
  <c r="EO147" i="2" a="1"/>
  <c r="EO152" i="2" a="1"/>
  <c r="EO200" i="2" a="1"/>
  <c r="EO155" i="2" a="1"/>
  <c r="EO146" i="2" a="1"/>
  <c r="EO197" i="2" a="1"/>
  <c r="EO139" i="2" a="1"/>
  <c r="EO133" i="2" a="1"/>
  <c r="EO153" i="2" a="1"/>
  <c r="EO199" i="2" a="1"/>
  <c r="EO205" i="2" a="1"/>
  <c r="EO131" i="2" a="1"/>
  <c r="EO135" i="2" a="1"/>
  <c r="EQ1" i="2"/>
  <c r="A129" i="7" a="1"/>
  <c r="EX67" i="2"/>
  <c r="ET96" i="2"/>
  <c r="EP206" i="2" a="1"/>
  <c r="EP143" i="2" a="1"/>
  <c r="EP152" i="2" a="1"/>
  <c r="EP139" i="2" a="1"/>
  <c r="EP141" i="2" a="1"/>
  <c r="EP147" i="2" a="1"/>
  <c r="EP207" i="2" a="1"/>
  <c r="EP150" i="2" a="1"/>
  <c r="EP158" i="2" a="1"/>
  <c r="EP199" i="2" a="1"/>
  <c r="EQ2" i="2"/>
  <c r="EP135" i="2" a="1"/>
  <c r="EP155" i="2" a="1"/>
  <c r="EP133" i="2" a="1"/>
  <c r="EP132" i="2" a="1"/>
  <c r="EP144" i="2" a="1"/>
  <c r="EP200" i="2" a="1"/>
  <c r="EP151" i="2" a="1"/>
  <c r="EP201" i="2" a="1"/>
  <c r="EP203" i="2" a="1"/>
  <c r="EP138" i="2" a="1"/>
  <c r="EP205" i="2" a="1"/>
  <c r="EP156" i="2" a="1"/>
  <c r="EP149" i="2" a="1"/>
  <c r="EP198" i="2" a="1"/>
  <c r="EP157" i="2" a="1"/>
  <c r="EP134" i="2" a="1"/>
  <c r="EP145" i="2" a="1"/>
  <c r="EP215" i="2" a="1"/>
  <c r="EP197" i="2" a="1"/>
  <c r="EP216" i="2" a="1"/>
  <c r="EP204" i="2" a="1"/>
  <c r="EP131" i="2" a="1"/>
  <c r="EP140" i="2" a="1"/>
  <c r="EP146" i="2" a="1"/>
  <c r="EP137" i="2" a="1"/>
  <c r="EP153" i="2" a="1"/>
  <c r="EQ143" i="2" a="1"/>
  <c r="EQ206" i="2" a="1"/>
  <c r="EQ134" i="2" a="1"/>
  <c r="EQ131" i="2" a="1"/>
  <c r="EQ132" i="2" a="1"/>
  <c r="EQ139" i="2" a="1"/>
  <c r="EQ147" i="2" a="1"/>
  <c r="ER1" i="2"/>
  <c r="A130" i="7" a="1"/>
  <c r="EU96" i="2"/>
  <c r="EY67" i="2"/>
  <c r="EQ204" i="2" a="1"/>
  <c r="EQ138" i="2" a="1"/>
  <c r="EQ156" i="2" a="1"/>
  <c r="EQ157" i="2" a="1"/>
  <c r="EQ155" i="2" a="1"/>
  <c r="EQ158" i="2" a="1"/>
  <c r="EQ153" i="2" a="1"/>
  <c r="EQ150" i="2" a="1"/>
  <c r="EQ200" i="2" a="1"/>
  <c r="EQ199" i="2" a="1"/>
  <c r="EQ144" i="2" a="1"/>
  <c r="EQ198" i="2" a="1"/>
  <c r="EQ203" i="2" a="1"/>
  <c r="EQ151" i="2" a="1"/>
  <c r="EQ207" i="2" a="1"/>
  <c r="EQ145" i="2" a="1"/>
  <c r="EQ149" i="2" a="1"/>
  <c r="EQ133" i="2" a="1"/>
  <c r="EQ140" i="2" a="1"/>
  <c r="EQ141" i="2" a="1"/>
  <c r="EQ152" i="2" a="1"/>
  <c r="EQ146" i="2" a="1"/>
  <c r="EQ197" i="2" a="1"/>
  <c r="EQ216" i="2" a="1"/>
  <c r="EQ215" i="2" a="1"/>
  <c r="ER2" i="2"/>
  <c r="EQ137" i="2" a="1"/>
  <c r="EQ135" i="2" a="1"/>
  <c r="EQ159" i="2" a="1"/>
  <c r="EQ205" i="2" a="1"/>
  <c r="EQ201" i="2" a="1"/>
  <c r="ES1" i="2"/>
  <c r="A131" i="7" a="1"/>
  <c r="EZ67" i="2"/>
  <c r="EV96" i="2"/>
  <c r="ER156" i="2" a="1"/>
  <c r="ER197" i="2" a="1"/>
  <c r="ES2" i="2"/>
  <c r="ER139" i="2" a="1"/>
  <c r="ER199" i="2" a="1"/>
  <c r="ER207" i="2" a="1"/>
  <c r="ER141" i="2" a="1"/>
  <c r="ER146" i="2" a="1"/>
  <c r="ER205" i="2" a="1"/>
  <c r="ER138" i="2" a="1"/>
  <c r="ER134" i="2" a="1"/>
  <c r="ER140" i="2" a="1"/>
  <c r="ER145" i="2" a="1"/>
  <c r="ER144" i="2" a="1"/>
  <c r="ER203" i="2" a="1"/>
  <c r="ER198" i="2" a="1"/>
  <c r="ER137" i="2" a="1"/>
  <c r="ER152" i="2" a="1"/>
  <c r="ER204" i="2" a="1"/>
  <c r="ER206" i="2" a="1"/>
  <c r="ER159" i="2" a="1"/>
  <c r="ER200" i="2" a="1"/>
  <c r="ER215" i="2" a="1"/>
  <c r="ER133" i="2" a="1"/>
  <c r="ER132" i="2" a="1"/>
  <c r="ER147" i="2" a="1"/>
  <c r="ER151" i="2" a="1"/>
  <c r="ER155" i="2" a="1"/>
  <c r="ER149" i="2" a="1"/>
  <c r="ER201" i="2" a="1"/>
  <c r="ER131" i="2" a="1"/>
  <c r="ER135" i="2" a="1"/>
  <c r="ER143" i="2" a="1"/>
  <c r="ER158" i="2" a="1"/>
  <c r="ER157" i="2" a="1"/>
  <c r="ER150" i="2" a="1"/>
  <c r="ER153" i="2" a="1"/>
  <c r="ER216" i="2" a="1"/>
  <c r="ES215" i="2" a="1"/>
  <c r="ES149" i="2" a="1"/>
  <c r="ES141" i="2" a="1"/>
  <c r="ES201" i="2" a="1"/>
  <c r="ES200" i="2" a="1"/>
  <c r="ES155" i="2" a="1"/>
  <c r="ES157" i="2" a="1"/>
  <c r="ES152" i="2" a="1"/>
  <c r="ES150" i="2" a="1"/>
  <c r="ES140" i="2" a="1"/>
  <c r="ES144" i="2" a="1"/>
  <c r="ES203" i="2" a="1"/>
  <c r="ES151" i="2" a="1"/>
  <c r="ES145" i="2" a="1"/>
  <c r="ES143" i="2" a="1"/>
  <c r="ES156" i="2" a="1"/>
  <c r="ES146" i="2" a="1"/>
  <c r="ES158" i="2" a="1"/>
  <c r="ES132" i="2" a="1"/>
  <c r="ES159" i="2" a="1"/>
  <c r="ES207" i="2" a="1"/>
  <c r="ES206" i="2" a="1"/>
  <c r="ES134" i="2" a="1"/>
  <c r="ES216" i="2" a="1"/>
  <c r="ES205" i="2" a="1"/>
  <c r="ES197" i="2" a="1"/>
  <c r="ET2" i="2"/>
  <c r="ET139" i="2" a="1"/>
  <c r="ES131" i="2" a="1"/>
  <c r="ES133" i="2" a="1"/>
  <c r="ES135" i="2" a="1"/>
  <c r="ES138" i="2" a="1"/>
  <c r="ES147" i="2" a="1"/>
  <c r="ES153" i="2" a="1"/>
  <c r="ET1" i="2"/>
  <c r="A132" i="7" a="1"/>
  <c r="EW96" i="2"/>
  <c r="FA67" i="2"/>
  <c r="ES139" i="2" a="1"/>
  <c r="ES137" i="2" a="1"/>
  <c r="ES198" i="2" a="1"/>
  <c r="ES199" i="2" a="1"/>
  <c r="ES204" i="2" a="1"/>
  <c r="ET206" i="2" a="1"/>
  <c r="ET149" i="2" a="1"/>
  <c r="ET156" i="2" a="1"/>
  <c r="ET199" i="2" a="1"/>
  <c r="ET153" i="2" a="1"/>
  <c r="ET197" i="2" a="1"/>
  <c r="EU2" i="2"/>
  <c r="ET131" i="2" a="1"/>
  <c r="ET137" i="2" a="1"/>
  <c r="ET201" i="2" a="1"/>
  <c r="ET205" i="2" a="1"/>
  <c r="ET198" i="2" a="1"/>
  <c r="ET216" i="2" a="1"/>
  <c r="ET141" i="2" a="1"/>
  <c r="ET155" i="2" a="1"/>
  <c r="ET145" i="2" a="1"/>
  <c r="ET203" i="2" a="1"/>
  <c r="ET143" i="2" a="1"/>
  <c r="ET204" i="2" a="1"/>
  <c r="ET151" i="2" a="1"/>
  <c r="ET144" i="2" a="1"/>
  <c r="ET146" i="2" a="1"/>
  <c r="ET133" i="2" a="1"/>
  <c r="ET138" i="2" a="1"/>
  <c r="ET150" i="2" a="1"/>
  <c r="ET159" i="2" a="1"/>
  <c r="ET157" i="2" a="1"/>
  <c r="ET152" i="2" a="1"/>
  <c r="ET207" i="2" a="1"/>
  <c r="ET134" i="2" a="1"/>
  <c r="ET215" i="2" a="1"/>
  <c r="ET135" i="2" a="1"/>
  <c r="ET200" i="2" a="1"/>
  <c r="ET147" i="2" a="1"/>
  <c r="ET132" i="2" a="1"/>
  <c r="ET140" i="2" a="1"/>
  <c r="ET158" i="2" a="1"/>
  <c r="EU1" i="2"/>
  <c r="A133" i="7" a="1"/>
  <c r="FB67" i="2"/>
  <c r="EX96" i="2"/>
  <c r="EU153" i="2" a="1"/>
  <c r="EU131" i="2" a="1"/>
  <c r="EU157" i="2" a="1"/>
  <c r="EU140" i="2" a="1"/>
  <c r="EU205" i="2" a="1"/>
  <c r="EU134" i="2" a="1"/>
  <c r="EU145" i="2" a="1"/>
  <c r="EU147" i="2" a="1"/>
  <c r="EU159" i="2" a="1"/>
  <c r="EU197" i="2" a="1"/>
  <c r="EU201" i="2" a="1"/>
  <c r="EU138" i="2" a="1"/>
  <c r="EU137" i="2" a="1"/>
  <c r="EU141" i="2" a="1"/>
  <c r="EU144" i="2" a="1"/>
  <c r="EU150" i="2" a="1"/>
  <c r="EU215" i="2" a="1"/>
  <c r="EU206" i="2" a="1"/>
  <c r="EU143" i="2" a="1"/>
  <c r="EU198" i="2" a="1"/>
  <c r="EU200" i="2" a="1"/>
  <c r="EU203" i="2" a="1"/>
  <c r="EU207" i="2" a="1"/>
  <c r="EU204" i="2" a="1"/>
  <c r="EU135" i="2" a="1"/>
  <c r="EU146" i="2" a="1"/>
  <c r="EU155" i="2" a="1"/>
  <c r="EU152" i="2" a="1"/>
  <c r="EU158" i="2" a="1"/>
  <c r="EU199" i="2" a="1"/>
  <c r="EU156" i="2" a="1"/>
  <c r="EU216" i="2" a="1"/>
  <c r="EV2" i="2"/>
  <c r="EU139" i="2" a="1"/>
  <c r="EU133" i="2" a="1"/>
  <c r="EU132" i="2" a="1"/>
  <c r="EU149" i="2" a="1"/>
  <c r="EU151" i="2" a="1"/>
  <c r="EV1" i="2"/>
  <c r="A134" i="7" a="1"/>
  <c r="EY96" i="2"/>
  <c r="FC67" i="2"/>
  <c r="EV145" i="2" a="1"/>
  <c r="EV153" i="2" a="1"/>
  <c r="EV157" i="2" a="1"/>
  <c r="EV207" i="2" a="1"/>
  <c r="EV158" i="2" a="1"/>
  <c r="EV198" i="2" a="1"/>
  <c r="EV149" i="2" a="1"/>
  <c r="EV151" i="2" a="1"/>
  <c r="EV140" i="2" a="1"/>
  <c r="EV147" i="2" a="1"/>
  <c r="EV200" i="2" a="1"/>
  <c r="EV205" i="2" a="1"/>
  <c r="EW2" i="2"/>
  <c r="EV131" i="2" a="1"/>
  <c r="EV138" i="2" a="1"/>
  <c r="EV135" i="2" a="1"/>
  <c r="EV141" i="2" a="1"/>
  <c r="EV143" i="2" a="1"/>
  <c r="EV144" i="2" a="1"/>
  <c r="EV150" i="2" a="1"/>
  <c r="EV152" i="2" a="1"/>
  <c r="EV159" i="2" a="1"/>
  <c r="EV133" i="2" a="1"/>
  <c r="EV206" i="2" a="1"/>
  <c r="EV216" i="2" a="1"/>
  <c r="EV201" i="2" a="1"/>
  <c r="EV203" i="2" a="1"/>
  <c r="EV204" i="2" a="1"/>
  <c r="EV134" i="2" a="1"/>
  <c r="EV155" i="2" a="1"/>
  <c r="EV139" i="2" a="1"/>
  <c r="EV197" i="2" a="1"/>
  <c r="EV215" i="2" a="1"/>
  <c r="EV199" i="2" a="1"/>
  <c r="EV146" i="2" a="1"/>
  <c r="EV132" i="2" a="1"/>
  <c r="EV137" i="2" a="1"/>
  <c r="EV156" i="2" a="1"/>
  <c r="EW1" i="2"/>
  <c r="A135" i="7" a="1"/>
  <c r="FD67" i="2"/>
  <c r="EZ96" i="2"/>
  <c r="EW146" i="2" a="1"/>
  <c r="EW205" i="2" a="1"/>
  <c r="EW156" i="2" a="1"/>
  <c r="EW139" i="2" a="1"/>
  <c r="EW145" i="2" a="1"/>
  <c r="EW138" i="2" a="1"/>
  <c r="EW137" i="2" a="1"/>
  <c r="EW143" i="2" a="1"/>
  <c r="EW201" i="2" a="1"/>
  <c r="EW149" i="2" a="1"/>
  <c r="EW155" i="2" a="1"/>
  <c r="EW151" i="2" a="1"/>
  <c r="EW159" i="2" a="1"/>
  <c r="EW152" i="2" a="1"/>
  <c r="EW215" i="2" a="1"/>
  <c r="EW203" i="2" a="1"/>
  <c r="EW204" i="2" a="1"/>
  <c r="EW199" i="2" a="1"/>
  <c r="EW200" i="2" a="1"/>
  <c r="EW216" i="2" a="1"/>
  <c r="EW206" i="2" a="1"/>
  <c r="EW198" i="2" a="1"/>
  <c r="EW197" i="2" a="1"/>
  <c r="EW140" i="2" a="1"/>
  <c r="EW132" i="2" a="1"/>
  <c r="EW134" i="2" a="1"/>
  <c r="EW133" i="2" a="1"/>
  <c r="EW158" i="2" a="1"/>
  <c r="EW141" i="2" a="1"/>
  <c r="EW153" i="2" a="1"/>
  <c r="EW157" i="2" a="1"/>
  <c r="EW150" i="2" a="1"/>
  <c r="EW207" i="2" a="1"/>
  <c r="EX2" i="2"/>
  <c r="EW131" i="2" a="1"/>
  <c r="EW135" i="2" a="1"/>
  <c r="EW144" i="2" a="1"/>
  <c r="EW147" i="2" a="1"/>
  <c r="EX1" i="2"/>
  <c r="A136" i="7" a="1"/>
  <c r="FA96" i="2"/>
  <c r="FE67" i="2"/>
  <c r="EX158" i="2" a="1"/>
  <c r="EX134" i="2" a="1"/>
  <c r="EX145" i="2" a="1"/>
  <c r="EX133" i="2" a="1"/>
  <c r="EX147" i="2" a="1"/>
  <c r="EX149" i="2" a="1"/>
  <c r="EX159" i="2" a="1"/>
  <c r="EX152" i="2" a="1"/>
  <c r="EX139" i="2" a="1"/>
  <c r="EX143" i="2" a="1"/>
  <c r="EX203" i="2" a="1"/>
  <c r="EX200" i="2" a="1"/>
  <c r="EX199" i="2" a="1"/>
  <c r="EX207" i="2" a="1"/>
  <c r="EX216" i="2" a="1"/>
  <c r="EX201" i="2" a="1"/>
  <c r="EX206" i="2" a="1"/>
  <c r="EX146" i="2" a="1"/>
  <c r="EX205" i="2" a="1"/>
  <c r="EX135" i="2" a="1"/>
  <c r="EX155" i="2" a="1"/>
  <c r="EX151" i="2" a="1"/>
  <c r="EY2" i="2"/>
  <c r="EY133" i="2" a="1"/>
  <c r="EX132" i="2" a="1"/>
  <c r="EX140" i="2" a="1"/>
  <c r="EX204" i="2" a="1"/>
  <c r="EX215" i="2" a="1"/>
  <c r="EX141" i="2" a="1"/>
  <c r="EX138" i="2" a="1"/>
  <c r="EX144" i="2" a="1"/>
  <c r="EX153" i="2" a="1"/>
  <c r="EX156" i="2" a="1"/>
  <c r="EX157" i="2" a="1"/>
  <c r="EX197" i="2" a="1"/>
  <c r="EX198" i="2" a="1"/>
  <c r="EX131" i="2" a="1"/>
  <c r="EX137" i="2" a="1"/>
  <c r="EX150" i="2" a="1"/>
  <c r="EY138" i="2" a="1"/>
  <c r="EY1" i="2"/>
  <c r="A137" i="7" a="1"/>
  <c r="FF67" i="2"/>
  <c r="FB96" i="2"/>
  <c r="EY199" i="2" a="1"/>
  <c r="EY139" i="2" a="1"/>
  <c r="EY145" i="2" a="1"/>
  <c r="EY155" i="2" a="1"/>
  <c r="EY143" i="2" a="1"/>
  <c r="EY216" i="2" a="1"/>
  <c r="EY198" i="2" a="1"/>
  <c r="EY215" i="2" a="1"/>
  <c r="EY204" i="2" a="1"/>
  <c r="EY134" i="2" a="1"/>
  <c r="EY201" i="2" a="1"/>
  <c r="EY206" i="2" a="1"/>
  <c r="EY205" i="2" a="1"/>
  <c r="EY200" i="2" a="1"/>
  <c r="EY156" i="2" a="1"/>
  <c r="EY152" i="2" a="1"/>
  <c r="EY144" i="2" a="1"/>
  <c r="EY159" i="2" a="1"/>
  <c r="EY140" i="2" a="1"/>
  <c r="EY150" i="2" a="1"/>
  <c r="EY146" i="2" a="1"/>
  <c r="EY151" i="2" a="1"/>
  <c r="EY149" i="2" a="1"/>
  <c r="EY147" i="2" a="1"/>
  <c r="EY203" i="2" a="1"/>
  <c r="EY158" i="2" a="1"/>
  <c r="EY157" i="2" a="1"/>
  <c r="EY197" i="2" a="1"/>
  <c r="EY207" i="2" a="1"/>
  <c r="EY135" i="2" a="1"/>
  <c r="EZ2" i="2"/>
  <c r="EY131" i="2" a="1"/>
  <c r="EY132" i="2" a="1"/>
  <c r="EY137" i="2" a="1"/>
  <c r="EY141" i="2" a="1"/>
  <c r="EY153" i="2" a="1"/>
  <c r="EZ1" i="2"/>
  <c r="A138" i="7" a="1"/>
  <c r="FC96" i="2"/>
  <c r="FG67" i="2"/>
  <c r="EZ146" i="2" a="1"/>
  <c r="EZ150" i="2" a="1"/>
  <c r="EZ158" i="2" a="1"/>
  <c r="EZ157" i="2" a="1"/>
  <c r="EZ156" i="2" a="1"/>
  <c r="EZ200" i="2" a="1"/>
  <c r="EZ145" i="2" a="1"/>
  <c r="EZ151" i="2" a="1"/>
  <c r="EZ149" i="2" a="1"/>
  <c r="EZ205" i="2" a="1"/>
  <c r="EZ147" i="2" a="1"/>
  <c r="EZ155" i="2" a="1"/>
  <c r="EZ206" i="2" a="1"/>
  <c r="EZ197" i="2" a="1"/>
  <c r="EZ203" i="2" a="1"/>
  <c r="EZ198" i="2" a="1"/>
  <c r="EZ132" i="2" a="1"/>
  <c r="EZ144" i="2" a="1"/>
  <c r="EZ135" i="2" a="1"/>
  <c r="FA2" i="2"/>
  <c r="EZ131" i="2" a="1"/>
  <c r="EZ133" i="2" a="1"/>
  <c r="EZ139" i="2" a="1"/>
  <c r="EZ152" i="2" a="1"/>
  <c r="EZ159" i="2" a="1"/>
  <c r="EZ153" i="2" a="1"/>
  <c r="EZ199" i="2" a="1"/>
  <c r="EZ201" i="2" a="1"/>
  <c r="EZ140" i="2" a="1"/>
  <c r="EZ216" i="2" a="1"/>
  <c r="EZ207" i="2" a="1"/>
  <c r="EZ215" i="2" a="1"/>
  <c r="EZ204" i="2" a="1"/>
  <c r="EZ134" i="2" a="1"/>
  <c r="EZ137" i="2" a="1"/>
  <c r="EZ141" i="2" a="1"/>
  <c r="EZ138" i="2" a="1"/>
  <c r="EZ143" i="2" a="1"/>
  <c r="FA1" i="2"/>
  <c r="A139" i="7" a="1"/>
  <c r="FD96" i="2"/>
  <c r="FH67" i="2"/>
  <c r="FA200" i="2" a="1"/>
  <c r="FA143" i="2" a="1"/>
  <c r="FB2" i="2"/>
  <c r="FA140" i="2" a="1"/>
  <c r="FA145" i="2" a="1"/>
  <c r="FA198" i="2" a="1"/>
  <c r="FA138" i="2" a="1"/>
  <c r="FA156" i="2" a="1"/>
  <c r="FA150" i="2" a="1"/>
  <c r="FA157" i="2" a="1"/>
  <c r="FA139" i="2" a="1"/>
  <c r="FA153" i="2" a="1"/>
  <c r="FA158" i="2" a="1"/>
  <c r="FA155" i="2" a="1"/>
  <c r="FA206" i="2" a="1"/>
  <c r="FA215" i="2" a="1"/>
  <c r="FA204" i="2" a="1"/>
  <c r="FA207" i="2" a="1"/>
  <c r="FA197" i="2" a="1"/>
  <c r="FA203" i="2" a="1"/>
  <c r="FA199" i="2" a="1"/>
  <c r="FA137" i="2" a="1"/>
  <c r="FA135" i="2" a="1"/>
  <c r="FA146" i="2" a="1"/>
  <c r="FA147" i="2" a="1"/>
  <c r="FA131" i="2" a="1"/>
  <c r="FA133" i="2" a="1"/>
  <c r="FA134" i="2" a="1"/>
  <c r="FA149" i="2" a="1"/>
  <c r="FA141" i="2" a="1"/>
  <c r="FA152" i="2" a="1"/>
  <c r="FA216" i="2" a="1"/>
  <c r="FA205" i="2" a="1"/>
  <c r="FA201" i="2" a="1"/>
  <c r="FA132" i="2" a="1"/>
  <c r="FA144" i="2" a="1"/>
  <c r="FA151" i="2" a="1"/>
  <c r="FA159" i="2" a="1"/>
  <c r="FB1" i="2"/>
  <c r="A140" i="7" a="1"/>
  <c r="FI67" i="2"/>
  <c r="FE96" i="2"/>
  <c r="FB200" i="2" a="1"/>
  <c r="FB198" i="2" a="1"/>
  <c r="FB203" i="2" a="1"/>
  <c r="FB199" i="2" a="1"/>
  <c r="FB197" i="2" a="1"/>
  <c r="FB137" i="2" a="1"/>
  <c r="FB140" i="2" a="1"/>
  <c r="FB205" i="2" a="1"/>
  <c r="FB207" i="2" a="1"/>
  <c r="FB204" i="2" a="1"/>
  <c r="FB206" i="2" a="1"/>
  <c r="FB215" i="2" a="1"/>
  <c r="FB159" i="2" a="1"/>
  <c r="FB139" i="2" a="1"/>
  <c r="FB131" i="2" a="1"/>
  <c r="FB133" i="2" a="1"/>
  <c r="FB132" i="2" a="1"/>
  <c r="FB135" i="2" a="1"/>
  <c r="FB134" i="2" a="1"/>
  <c r="FB216" i="2" a="1"/>
  <c r="FB153" i="2" a="1"/>
  <c r="FB156" i="2" a="1"/>
  <c r="FB146" i="2" a="1"/>
  <c r="FB143" i="2" a="1"/>
  <c r="FB155" i="2" a="1"/>
  <c r="FB145" i="2" a="1"/>
  <c r="FB141" i="2" a="1"/>
  <c r="FB147" i="2" a="1"/>
  <c r="FB149" i="2" a="1"/>
  <c r="FB151" i="2" a="1"/>
  <c r="FB201" i="2" a="1"/>
  <c r="FC2" i="2"/>
  <c r="FB157" i="2" a="1"/>
  <c r="FB138" i="2" a="1"/>
  <c r="FB144" i="2" a="1"/>
  <c r="FB158" i="2" a="1"/>
  <c r="FB152" i="2" a="1"/>
  <c r="FB150" i="2" a="1"/>
  <c r="FC1" i="2"/>
  <c r="A141" i="7" a="1"/>
  <c r="FF96" i="2"/>
  <c r="FJ67" i="2"/>
  <c r="FC207" i="2" a="1"/>
  <c r="FC204" i="2" a="1"/>
  <c r="FC200" i="2" a="1"/>
  <c r="FC198" i="2" a="1"/>
  <c r="FC157" i="2" a="1"/>
  <c r="FC197" i="2" a="1"/>
  <c r="FD2" i="2"/>
  <c r="FC132" i="2" a="1"/>
  <c r="FC139" i="2" a="1"/>
  <c r="FC215" i="2" a="1"/>
  <c r="FC143" i="2" a="1"/>
  <c r="FC141" i="2" a="1"/>
  <c r="FC140" i="2" a="1"/>
  <c r="FC203" i="2" a="1"/>
  <c r="FC205" i="2" a="1"/>
  <c r="FC131" i="2" a="1"/>
  <c r="FC146" i="2" a="1"/>
  <c r="FC145" i="2" a="1"/>
  <c r="FC158" i="2" a="1"/>
  <c r="FC156" i="2" a="1"/>
  <c r="FC159" i="2" a="1"/>
  <c r="FC216" i="2" a="1"/>
  <c r="FC135" i="2" a="1"/>
  <c r="FC138" i="2" a="1"/>
  <c r="FC206" i="2" a="1"/>
  <c r="FC137" i="2" a="1"/>
  <c r="FC149" i="2" a="1"/>
  <c r="FC153" i="2" a="1"/>
  <c r="FC134" i="2" a="1"/>
  <c r="FC152" i="2" a="1"/>
  <c r="FC147" i="2" a="1"/>
  <c r="FC155" i="2" a="1"/>
  <c r="FC151" i="2" a="1"/>
  <c r="FC201" i="2" a="1"/>
  <c r="FC199" i="2" a="1"/>
  <c r="FC133" i="2" a="1"/>
  <c r="FC144" i="2" a="1"/>
  <c r="FC150" i="2" a="1"/>
  <c r="FD207" i="2" a="1"/>
  <c r="FD205" i="2" a="1"/>
  <c r="FD204" i="2" a="1"/>
  <c r="FD197" i="2" a="1"/>
  <c r="FD201" i="2" a="1"/>
  <c r="FD198" i="2" a="1"/>
  <c r="FD145" i="2" a="1"/>
  <c r="FD158" i="2" a="1"/>
  <c r="FD137" i="2" a="1"/>
  <c r="FD134" i="2" a="1"/>
  <c r="FD146" i="2" a="1"/>
  <c r="FD150" i="2" a="1"/>
  <c r="FD144" i="2" a="1"/>
  <c r="FD139" i="2" a="1"/>
  <c r="FD138" i="2" a="1"/>
  <c r="FD147" i="2" a="1"/>
  <c r="FD157" i="2" a="1"/>
  <c r="FD199" i="2" a="1"/>
  <c r="FD200" i="2" a="1"/>
  <c r="FD216" i="2" a="1"/>
  <c r="FD215" i="2" a="1"/>
  <c r="FE2" i="2"/>
  <c r="FD131" i="2" a="1"/>
  <c r="FD133" i="2" a="1"/>
  <c r="FD140" i="2" a="1"/>
  <c r="FD143" i="2" a="1"/>
  <c r="FD141" i="2" a="1"/>
  <c r="FD151" i="2" a="1"/>
  <c r="FD149" i="2" a="1"/>
  <c r="FD152" i="2" a="1"/>
  <c r="FD153" i="2" a="1"/>
  <c r="FD155" i="2" a="1"/>
  <c r="FD1" i="2"/>
  <c r="A142" i="7" a="1"/>
  <c r="FK67" i="2"/>
  <c r="FG96" i="2"/>
  <c r="FD156" i="2" a="1"/>
  <c r="FD206" i="2" a="1"/>
  <c r="FD203" i="2" a="1"/>
  <c r="FD132" i="2" a="1"/>
  <c r="FD135" i="2" a="1"/>
  <c r="FD159" i="2" a="1"/>
  <c r="FE205" i="2" a="1"/>
  <c r="FE201" i="2" a="1"/>
  <c r="FE200" i="2" a="1"/>
  <c r="FE197" i="2" a="1"/>
  <c r="FE198" i="2" a="1"/>
  <c r="FE199" i="2" a="1"/>
  <c r="FE203" i="2" a="1"/>
  <c r="FE204" i="2" a="1"/>
  <c r="FE207" i="2" a="1"/>
  <c r="FE215" i="2" a="1"/>
  <c r="FE133" i="2" a="1"/>
  <c r="FE135" i="2" a="1"/>
  <c r="FE153" i="2" a="1"/>
  <c r="FE157" i="2" a="1"/>
  <c r="FE139" i="2" a="1"/>
  <c r="FE134" i="2" a="1"/>
  <c r="FE137" i="2" a="1"/>
  <c r="FE138" i="2" a="1"/>
  <c r="FE147" i="2" a="1"/>
  <c r="FE155" i="2" a="1"/>
  <c r="FE158" i="2" a="1"/>
  <c r="FE150" i="2" a="1"/>
  <c r="FE141" i="2" a="1"/>
  <c r="FE144" i="2" a="1"/>
  <c r="FE140" i="2" a="1"/>
  <c r="FE143" i="2" a="1"/>
  <c r="FE149" i="2" a="1"/>
  <c r="FE152" i="2" a="1"/>
  <c r="FE159" i="2" a="1"/>
  <c r="FE156" i="2" a="1"/>
  <c r="FE206" i="2" a="1"/>
  <c r="FE216" i="2" a="1"/>
  <c r="FF2" i="2"/>
  <c r="FF198" i="2" a="1"/>
  <c r="FE131" i="2" a="1"/>
  <c r="FE132" i="2" a="1"/>
  <c r="FE146" i="2" a="1"/>
  <c r="FE145" i="2" a="1"/>
  <c r="FE151" i="2" a="1"/>
  <c r="FE1" i="2"/>
  <c r="A143" i="7" a="1"/>
  <c r="FH96" i="2"/>
  <c r="FL67" i="2"/>
  <c r="FF197" i="2" a="1"/>
  <c r="FG2" i="2"/>
  <c r="FG159" i="2" a="1"/>
  <c r="FF133" i="2" a="1"/>
  <c r="FF138" i="2" a="1"/>
  <c r="FF139" i="2" a="1"/>
  <c r="FF146" i="2" a="1"/>
  <c r="FF135" i="2" a="1"/>
  <c r="FF137" i="2" a="1"/>
  <c r="FF144" i="2" a="1"/>
  <c r="FF140" i="2" a="1"/>
  <c r="FF157" i="2" a="1"/>
  <c r="FF158" i="2" a="1"/>
  <c r="FF153" i="2" a="1"/>
  <c r="FF204" i="2" a="1"/>
  <c r="FF203" i="2" a="1"/>
  <c r="FF215" i="2" a="1"/>
  <c r="FF216" i="2" a="1"/>
  <c r="FF207" i="2" a="1"/>
  <c r="FF205" i="2" a="1"/>
  <c r="FF206" i="2" a="1"/>
  <c r="FF145" i="2" a="1"/>
  <c r="FF141" i="2" a="1"/>
  <c r="FF143" i="2" a="1"/>
  <c r="FF147" i="2" a="1"/>
  <c r="FF149" i="2" a="1"/>
  <c r="FF152" i="2" a="1"/>
  <c r="FF156" i="2" a="1"/>
  <c r="FF155" i="2" a="1"/>
  <c r="FF159" i="2" a="1"/>
  <c r="FF199" i="2" a="1"/>
  <c r="FF201" i="2" a="1"/>
  <c r="FF200" i="2" a="1"/>
  <c r="FF131" i="2" a="1"/>
  <c r="FF132" i="2" a="1"/>
  <c r="FF134" i="2" a="1"/>
  <c r="FF151" i="2" a="1"/>
  <c r="FF150" i="2" a="1"/>
  <c r="FF1" i="2"/>
  <c r="A144" i="7" a="1"/>
  <c r="FM67" i="2"/>
  <c r="FI96" i="2"/>
  <c r="FG151" i="2" a="1"/>
  <c r="FG158" i="2" a="1"/>
  <c r="FG150" i="2" a="1"/>
  <c r="FG141" i="2" a="1"/>
  <c r="FG152" i="2" a="1"/>
  <c r="FG201" i="2" a="1"/>
  <c r="FG203" i="2" a="1"/>
  <c r="FG140" i="2" a="1"/>
  <c r="FG143" i="2" a="1"/>
  <c r="FG155" i="2" a="1"/>
  <c r="FG215" i="2" a="1"/>
  <c r="FG198" i="2" a="1"/>
  <c r="FG134" i="2" a="1"/>
  <c r="FG139" i="2" a="1"/>
  <c r="FG145" i="2" a="1"/>
  <c r="FG156" i="2" a="1"/>
  <c r="FG197" i="2" a="1"/>
  <c r="FG200" i="2" a="1"/>
  <c r="FH2" i="2"/>
  <c r="FH138" i="2" a="1"/>
  <c r="FG133" i="2" a="1"/>
  <c r="FG132" i="2" a="1"/>
  <c r="FG137" i="2" a="1"/>
  <c r="FG135" i="2" a="1"/>
  <c r="FG149" i="2" a="1"/>
  <c r="FG199" i="2" a="1"/>
  <c r="FG207" i="2" a="1"/>
  <c r="FG205" i="2" a="1"/>
  <c r="FG146" i="2" a="1"/>
  <c r="FG147" i="2" a="1"/>
  <c r="FG153" i="2" a="1"/>
  <c r="FG206" i="2" a="1"/>
  <c r="FG216" i="2" a="1"/>
  <c r="FG204" i="2" a="1"/>
  <c r="FG131" i="2" a="1"/>
  <c r="FG138" i="2" a="1"/>
  <c r="FG144" i="2" a="1"/>
  <c r="FG157" i="2" a="1"/>
  <c r="FG1" i="2"/>
  <c r="A145" i="7" a="1"/>
  <c r="FN67" i="2"/>
  <c r="FJ96" i="2"/>
  <c r="FH153" i="2" a="1"/>
  <c r="FH143" i="2" a="1"/>
  <c r="FH145" i="2" a="1"/>
  <c r="FH159" i="2" a="1"/>
  <c r="FH156" i="2" a="1"/>
  <c r="FH150" i="2" a="1"/>
  <c r="FH207" i="2" a="1"/>
  <c r="FH140" i="2" a="1"/>
  <c r="FH139" i="2" a="1"/>
  <c r="FH147" i="2" a="1"/>
  <c r="FH146" i="2" a="1"/>
  <c r="FH151" i="2" a="1"/>
  <c r="FH198" i="2" a="1"/>
  <c r="FH216" i="2" a="1"/>
  <c r="FH206" i="2" a="1"/>
  <c r="FH215" i="2" a="1"/>
  <c r="FH205" i="2" a="1"/>
  <c r="FH132" i="2" a="1"/>
  <c r="FH141" i="2" a="1"/>
  <c r="FH149" i="2" a="1"/>
  <c r="FH152" i="2" a="1"/>
  <c r="FH158" i="2" a="1"/>
  <c r="FH157" i="2" a="1"/>
  <c r="FH204" i="2" a="1"/>
  <c r="FH200" i="2" a="1"/>
  <c r="FH197" i="2" a="1"/>
  <c r="FH199" i="2" a="1"/>
  <c r="FH201" i="2" a="1"/>
  <c r="FH203" i="2" a="1"/>
  <c r="FI2" i="2"/>
  <c r="FI143" i="2" a="1"/>
  <c r="FH131" i="2" a="1"/>
  <c r="FH135" i="2" a="1"/>
  <c r="FH134" i="2" a="1"/>
  <c r="FH133" i="2" a="1"/>
  <c r="FH137" i="2" a="1"/>
  <c r="FH144" i="2" a="1"/>
  <c r="FH155" i="2" a="1"/>
  <c r="FH1" i="2"/>
  <c r="A146" i="7" a="1"/>
  <c r="FK96" i="2"/>
  <c r="FO67" i="2"/>
  <c r="FI141" i="2" a="1"/>
  <c r="FI137" i="2" a="1"/>
  <c r="FI144" i="2" a="1"/>
  <c r="FI135" i="2" a="1"/>
  <c r="FI132" i="2" a="1"/>
  <c r="FI203" i="2" a="1"/>
  <c r="FI139" i="2" a="1"/>
  <c r="FI134" i="2" a="1"/>
  <c r="FI153" i="2" a="1"/>
  <c r="FI152" i="2" a="1"/>
  <c r="FI150" i="2" a="1"/>
  <c r="FI216" i="2" a="1"/>
  <c r="FI205" i="2" a="1"/>
  <c r="FI207" i="2" a="1"/>
  <c r="FI204" i="2" a="1"/>
  <c r="FI200" i="2" a="1"/>
  <c r="FI215" i="2" a="1"/>
  <c r="FI131" i="2" a="1"/>
  <c r="FI145" i="2" a="1"/>
  <c r="FI140" i="2" a="1"/>
  <c r="FI149" i="2" a="1"/>
  <c r="FI147" i="2" a="1"/>
  <c r="FI201" i="2" a="1"/>
  <c r="FI199" i="2" a="1"/>
  <c r="FI198" i="2" a="1"/>
  <c r="FI197" i="2" a="1"/>
  <c r="FI206" i="2" a="1"/>
  <c r="FJ2" i="2"/>
  <c r="FI133" i="2" a="1"/>
  <c r="FI138" i="2" a="1"/>
  <c r="FI146" i="2" a="1"/>
  <c r="FI151" i="2" a="1"/>
  <c r="FI155" i="2" a="1"/>
  <c r="FI159" i="2" a="1"/>
  <c r="FI157" i="2" a="1"/>
  <c r="FI158" i="2" a="1"/>
  <c r="FI156" i="2" a="1"/>
  <c r="FI1" i="2"/>
  <c r="A147" i="7" a="1"/>
  <c r="FL96" i="2"/>
  <c r="FP67" i="2"/>
  <c r="FJ205" i="2" a="1"/>
  <c r="FJ156" i="2" a="1"/>
  <c r="FJ199" i="2" a="1"/>
  <c r="FJ134" i="2" a="1"/>
  <c r="FJ135" i="2" a="1"/>
  <c r="FJ141" i="2" a="1"/>
  <c r="FJ146" i="2" a="1"/>
  <c r="FJ152" i="2" a="1"/>
  <c r="FJ155" i="2" a="1"/>
  <c r="FJ200" i="2" a="1"/>
  <c r="FJ216" i="2" a="1"/>
  <c r="FJ207" i="2" a="1"/>
  <c r="FJ204" i="2" a="1"/>
  <c r="FJ132" i="2" a="1"/>
  <c r="FJ138" i="2" a="1"/>
  <c r="FJ150" i="2" a="1"/>
  <c r="FJ145" i="2" a="1"/>
  <c r="FJ147" i="2" a="1"/>
  <c r="FJ151" i="2" a="1"/>
  <c r="FJ159" i="2" a="1"/>
  <c r="FJ158" i="2" a="1"/>
  <c r="FJ215" i="2" a="1"/>
  <c r="FJ197" i="2" a="1"/>
  <c r="FJ201" i="2" a="1"/>
  <c r="FJ198" i="2" a="1"/>
  <c r="FJ203" i="2" a="1"/>
  <c r="FJ206" i="2" a="1"/>
  <c r="FK2" i="2"/>
  <c r="FK155" i="2" a="1"/>
  <c r="FJ133" i="2" a="1"/>
  <c r="FJ131" i="2" a="1"/>
  <c r="FJ137" i="2" a="1"/>
  <c r="FJ140" i="2" a="1"/>
  <c r="FJ139" i="2" a="1"/>
  <c r="FJ144" i="2" a="1"/>
  <c r="FJ143" i="2" a="1"/>
  <c r="FJ149" i="2" a="1"/>
  <c r="FJ153" i="2" a="1"/>
  <c r="FJ157" i="2" a="1"/>
  <c r="FJ1" i="2"/>
  <c r="A148" i="7" a="1"/>
  <c r="FM96" i="2"/>
  <c r="FQ67" i="2"/>
  <c r="FK158" i="2" a="1"/>
  <c r="FK151" i="2" a="1"/>
  <c r="FK143" i="2" a="1"/>
  <c r="FK145" i="2" a="1"/>
  <c r="FK139" i="2" a="1"/>
  <c r="FK144" i="2" a="1"/>
  <c r="FK134" i="2" a="1"/>
  <c r="FK140" i="2" a="1"/>
  <c r="FK156" i="2" a="1"/>
  <c r="FK157" i="2" a="1"/>
  <c r="FK198" i="2" a="1"/>
  <c r="FK152" i="2" a="1"/>
  <c r="FK201" i="2" a="1"/>
  <c r="FK203" i="2" a="1"/>
  <c r="FK153" i="2" a="1"/>
  <c r="FK206" i="2" a="1"/>
  <c r="FK149" i="2" a="1"/>
  <c r="FK146" i="2" a="1"/>
  <c r="FK141" i="2" a="1"/>
  <c r="FK135" i="2" a="1"/>
  <c r="FK207" i="2" a="1"/>
  <c r="FK133" i="2" a="1"/>
  <c r="FK150" i="2" a="1"/>
  <c r="FK159" i="2" a="1"/>
  <c r="FK199" i="2" a="1"/>
  <c r="FK197" i="2" a="1"/>
  <c r="FK215" i="2" a="1"/>
  <c r="FK204" i="2" a="1"/>
  <c r="FK205" i="2" a="1"/>
  <c r="FK216" i="2" a="1"/>
  <c r="FK200" i="2" a="1"/>
  <c r="FL2" i="2"/>
  <c r="FL198" i="2" a="1"/>
  <c r="FK131" i="2" a="1"/>
  <c r="FK137" i="2" a="1"/>
  <c r="FK132" i="2" a="1"/>
  <c r="FK138" i="2" a="1"/>
  <c r="FK147" i="2" a="1"/>
  <c r="FK1" i="2"/>
  <c r="A149" i="7" a="1"/>
  <c r="FR67" i="2"/>
  <c r="FN96" i="2"/>
  <c r="FL156" i="2" a="1"/>
  <c r="FL153" i="2" a="1"/>
  <c r="FL144" i="2" a="1"/>
  <c r="FL145" i="2" a="1"/>
  <c r="FL138" i="2" a="1"/>
  <c r="FL147" i="2" a="1"/>
  <c r="FL149" i="2" a="1"/>
  <c r="FL134" i="2" a="1"/>
  <c r="FL155" i="2" a="1"/>
  <c r="FL204" i="2" a="1"/>
  <c r="FL199" i="2" a="1"/>
  <c r="FL205" i="2" a="1"/>
  <c r="FL200" i="2" a="1"/>
  <c r="FL197" i="2" a="1"/>
  <c r="FL215" i="2" a="1"/>
  <c r="FL216" i="2" a="1"/>
  <c r="FL135" i="2" a="1"/>
  <c r="FL133" i="2" a="1"/>
  <c r="FL137" i="2" a="1"/>
  <c r="FL140" i="2" a="1"/>
  <c r="FL143" i="2" a="1"/>
  <c r="FL139" i="2" a="1"/>
  <c r="FL150" i="2" a="1"/>
  <c r="FL146" i="2" a="1"/>
  <c r="FL151" i="2" a="1"/>
  <c r="FL158" i="2" a="1"/>
  <c r="FL159" i="2" a="1"/>
  <c r="FL152" i="2" a="1"/>
  <c r="FL207" i="2" a="1"/>
  <c r="FL203" i="2" a="1"/>
  <c r="FL201" i="2" a="1"/>
  <c r="FL206" i="2" a="1"/>
  <c r="FM2" i="2"/>
  <c r="FM158" i="2" a="1"/>
  <c r="FL132" i="2" a="1"/>
  <c r="FL131" i="2" a="1"/>
  <c r="FL141" i="2" a="1"/>
  <c r="FL157" i="2" a="1"/>
  <c r="FL1" i="2"/>
  <c r="A150" i="7" a="1"/>
  <c r="FO96" i="2"/>
  <c r="FS67" i="2"/>
  <c r="FM151" i="2" a="1"/>
  <c r="FM153" i="2" a="1"/>
  <c r="FM152" i="2" a="1"/>
  <c r="FM144" i="2" a="1"/>
  <c r="FM157" i="2" a="1"/>
  <c r="FM155" i="2" a="1"/>
  <c r="FM138" i="2" a="1"/>
  <c r="FM141" i="2" a="1"/>
  <c r="FM140" i="2" a="1"/>
  <c r="FM216" i="2" a="1"/>
  <c r="FM199" i="2" a="1"/>
  <c r="FM207" i="2" a="1"/>
  <c r="FM206" i="2" a="1"/>
  <c r="FM197" i="2" a="1"/>
  <c r="FM205" i="2" a="1"/>
  <c r="FM134" i="2" a="1"/>
  <c r="FM133" i="2" a="1"/>
  <c r="FM143" i="2" a="1"/>
  <c r="FM145" i="2" a="1"/>
  <c r="FM146" i="2" a="1"/>
  <c r="FM150" i="2" a="1"/>
  <c r="FM147" i="2" a="1"/>
  <c r="FM156" i="2" a="1"/>
  <c r="FM159" i="2" a="1"/>
  <c r="FM200" i="2" a="1"/>
  <c r="FM201" i="2" a="1"/>
  <c r="FM198" i="2" a="1"/>
  <c r="FM215" i="2" a="1"/>
  <c r="FM204" i="2" a="1"/>
  <c r="FM203" i="2" a="1"/>
  <c r="FN2" i="2"/>
  <c r="FN138" i="2" a="1"/>
  <c r="FM131" i="2" a="1"/>
  <c r="FM132" i="2" a="1"/>
  <c r="FM135" i="2" a="1"/>
  <c r="FM137" i="2" a="1"/>
  <c r="FM139" i="2" a="1"/>
  <c r="FM149" i="2" a="1"/>
  <c r="FM1" i="2"/>
  <c r="A151" i="7" a="1"/>
  <c r="FT67" i="2"/>
  <c r="FP96" i="2"/>
  <c r="FN145" i="2" a="1"/>
  <c r="FN141" i="2" a="1"/>
  <c r="FN201" i="2" a="1"/>
  <c r="FN134" i="2" a="1"/>
  <c r="FN216" i="2" a="1"/>
  <c r="FN135" i="2" a="1"/>
  <c r="FN132" i="2" a="1"/>
  <c r="FN137" i="2" a="1"/>
  <c r="FN207" i="2" a="1"/>
  <c r="FN215" i="2" a="1"/>
  <c r="FN203" i="2" a="1"/>
  <c r="FN198" i="2" a="1"/>
  <c r="FN206" i="2" a="1"/>
  <c r="FN205" i="2" a="1"/>
  <c r="FN200" i="2" a="1"/>
  <c r="FN197" i="2" a="1"/>
  <c r="FN204" i="2" a="1"/>
  <c r="FN199" i="2" a="1"/>
  <c r="FO2" i="2"/>
  <c r="FN131" i="2" a="1"/>
  <c r="FN133" i="2" a="1"/>
  <c r="FN139" i="2" a="1"/>
  <c r="FN143" i="2" a="1"/>
  <c r="FN144" i="2" a="1"/>
  <c r="FN140" i="2" a="1"/>
  <c r="FN146" i="2" a="1"/>
  <c r="FN150" i="2" a="1"/>
  <c r="FN147" i="2" a="1"/>
  <c r="FN152" i="2" a="1"/>
  <c r="FN153" i="2" a="1"/>
  <c r="FN158" i="2" a="1"/>
  <c r="FN151" i="2" a="1"/>
  <c r="FN155" i="2" a="1"/>
  <c r="FN156" i="2" a="1"/>
  <c r="FN157" i="2" a="1"/>
  <c r="FN149" i="2" a="1"/>
  <c r="FN159" i="2" a="1"/>
  <c r="FN1" i="2"/>
  <c r="A152" i="7" a="1"/>
  <c r="FQ96" i="2"/>
  <c r="FU67" i="2"/>
  <c r="FO159" i="2" a="1"/>
  <c r="FO146" i="2" a="1"/>
  <c r="FO152" i="2" a="1"/>
  <c r="FO149" i="2" a="1"/>
  <c r="FO199" i="2" a="1"/>
  <c r="FO207" i="2" a="1"/>
  <c r="FO201" i="2" a="1"/>
  <c r="FO203" i="2" a="1"/>
  <c r="FO215" i="2" a="1"/>
  <c r="FO155" i="2" a="1"/>
  <c r="FO216" i="2" a="1"/>
  <c r="FO205" i="2" a="1"/>
  <c r="FO204" i="2" a="1"/>
  <c r="FO197" i="2" a="1"/>
  <c r="FO140" i="2" a="1"/>
  <c r="FO198" i="2" a="1"/>
  <c r="FO200" i="2" a="1"/>
  <c r="FO206" i="2" a="1"/>
  <c r="FO137" i="2" a="1"/>
  <c r="FP2" i="2"/>
  <c r="FO131" i="2" a="1"/>
  <c r="FO133" i="2" a="1"/>
  <c r="FO139" i="2" a="1"/>
  <c r="FO135" i="2" a="1"/>
  <c r="FO132" i="2" a="1"/>
  <c r="FO134" i="2" a="1"/>
  <c r="FO138" i="2" a="1"/>
  <c r="FO144" i="2" a="1"/>
  <c r="FO143" i="2" a="1"/>
  <c r="FO145" i="2" a="1"/>
  <c r="FO141" i="2" a="1"/>
  <c r="FO151" i="2" a="1"/>
  <c r="FO153" i="2" a="1"/>
  <c r="FO147" i="2" a="1"/>
  <c r="FO150" i="2" a="1"/>
  <c r="FO158" i="2" a="1"/>
  <c r="FO156" i="2" a="1"/>
  <c r="FO157" i="2" a="1"/>
  <c r="FO1" i="2"/>
  <c r="A153" i="7" a="1"/>
  <c r="FV67" i="2"/>
  <c r="FR96" i="2"/>
  <c r="FP138" i="2" a="1"/>
  <c r="FP157" i="2" a="1"/>
  <c r="FP159" i="2" a="1"/>
  <c r="FP145" i="2" a="1"/>
  <c r="FP134" i="2" a="1"/>
  <c r="FP153" i="2" a="1"/>
  <c r="FP150" i="2" a="1"/>
  <c r="FP197" i="2" a="1"/>
  <c r="FP143" i="2" a="1"/>
  <c r="FP216" i="2" a="1"/>
  <c r="FP206" i="2" a="1"/>
  <c r="FP199" i="2" a="1"/>
  <c r="FP215" i="2" a="1"/>
  <c r="FP207" i="2" a="1"/>
  <c r="FP137" i="2" a="1"/>
  <c r="FP139" i="2" a="1"/>
  <c r="FP147" i="2" a="1"/>
  <c r="FP152" i="2" a="1"/>
  <c r="FP151" i="2" a="1"/>
  <c r="FP156" i="2" a="1"/>
  <c r="FP201" i="2" a="1"/>
  <c r="FP205" i="2" a="1"/>
  <c r="FP203" i="2" a="1"/>
  <c r="FP204" i="2" a="1"/>
  <c r="FP200" i="2" a="1"/>
  <c r="FP198" i="2" a="1"/>
  <c r="FQ2" i="2"/>
  <c r="FP132" i="2" a="1"/>
  <c r="FP141" i="2" a="1"/>
  <c r="FP131" i="2" a="1"/>
  <c r="FP133" i="2" a="1"/>
  <c r="FP140" i="2" a="1"/>
  <c r="FP135" i="2" a="1"/>
  <c r="FP144" i="2" a="1"/>
  <c r="FP146" i="2" a="1"/>
  <c r="FP155" i="2" a="1"/>
  <c r="FP149" i="2" a="1"/>
  <c r="FP158" i="2" a="1"/>
  <c r="FP1" i="2"/>
  <c r="A154" i="7" a="1"/>
  <c r="FW67" i="2"/>
  <c r="FS96" i="2"/>
  <c r="FQ159" i="2" a="1"/>
  <c r="FQ157" i="2" a="1"/>
  <c r="FQ138" i="2" a="1"/>
  <c r="FQ146" i="2" a="1"/>
  <c r="FQ204" i="2" a="1"/>
  <c r="FQ145" i="2" a="1"/>
  <c r="FQ131" i="2" a="1"/>
  <c r="FQ137" i="2" a="1"/>
  <c r="FQ132" i="2" a="1"/>
  <c r="FQ143" i="2" a="1"/>
  <c r="FQ152" i="2" a="1"/>
  <c r="FQ153" i="2" a="1"/>
  <c r="FQ155" i="2" a="1"/>
  <c r="FQ158" i="2" a="1"/>
  <c r="FQ201" i="2" a="1"/>
  <c r="FQ198" i="2" a="1"/>
  <c r="FQ216" i="2" a="1"/>
  <c r="FQ207" i="2" a="1"/>
  <c r="FQ215" i="2" a="1"/>
  <c r="FQ200" i="2" a="1"/>
  <c r="FQ199" i="2" a="1"/>
  <c r="FQ205" i="2" a="1"/>
  <c r="FQ203" i="2" a="1"/>
  <c r="FQ206" i="2" a="1"/>
  <c r="FQ197" i="2" a="1"/>
  <c r="FR2" i="2"/>
  <c r="FQ133" i="2" a="1"/>
  <c r="FQ135" i="2" a="1"/>
  <c r="FQ134" i="2" a="1"/>
  <c r="FQ144" i="2" a="1"/>
  <c r="FQ140" i="2" a="1"/>
  <c r="FQ141" i="2" a="1"/>
  <c r="FQ147" i="2" a="1"/>
  <c r="FQ139" i="2" a="1"/>
  <c r="FQ150" i="2" a="1"/>
  <c r="FQ151" i="2" a="1"/>
  <c r="FQ156" i="2" a="1"/>
  <c r="FQ149" i="2" a="1"/>
  <c r="FQ1" i="2"/>
  <c r="A155" i="7" a="1"/>
  <c r="FX67" i="2"/>
  <c r="FT96" i="2"/>
  <c r="FR206" i="2" a="1"/>
  <c r="FR204" i="2" a="1"/>
  <c r="FR197" i="2" a="1"/>
  <c r="FR200" i="2" a="1"/>
  <c r="FR146" i="2" a="1"/>
  <c r="FR215" i="2" a="1"/>
  <c r="FR216" i="2" a="1"/>
  <c r="FR198" i="2" a="1"/>
  <c r="FR147" i="2" a="1"/>
  <c r="FR207" i="2" a="1"/>
  <c r="FR205" i="2" a="1"/>
  <c r="FR203" i="2" a="1"/>
  <c r="FR201" i="2" a="1"/>
  <c r="FR149" i="2" a="1"/>
  <c r="FR199" i="2" a="1"/>
  <c r="FS2" i="2"/>
  <c r="FS156" i="2" a="1"/>
  <c r="FR131" i="2" a="1"/>
  <c r="FR134" i="2" a="1"/>
  <c r="FR157" i="2" a="1"/>
  <c r="FR132" i="2" a="1"/>
  <c r="FR135" i="2" a="1"/>
  <c r="FR144" i="2" a="1"/>
  <c r="FR138" i="2" a="1"/>
  <c r="FR133" i="2" a="1"/>
  <c r="FR139" i="2" a="1"/>
  <c r="FR143" i="2" a="1"/>
  <c r="FR145" i="2" a="1"/>
  <c r="FR140" i="2" a="1"/>
  <c r="FR151" i="2" a="1"/>
  <c r="FR137" i="2" a="1"/>
  <c r="FR141" i="2" a="1"/>
  <c r="FR155" i="2" a="1"/>
  <c r="FR152" i="2" a="1"/>
  <c r="FR153" i="2" a="1"/>
  <c r="FR158" i="2" a="1"/>
  <c r="FR156" i="2" a="1"/>
  <c r="FR159" i="2" a="1"/>
  <c r="FR150" i="2" a="1"/>
  <c r="FR1" i="2"/>
  <c r="A156" i="7" a="1"/>
  <c r="FY67" i="2"/>
  <c r="FU96" i="2"/>
  <c r="FS159" i="2" a="1"/>
  <c r="FS157" i="2" a="1"/>
  <c r="FS153" i="2" a="1"/>
  <c r="FS144" i="2" a="1"/>
  <c r="FS201" i="2" a="1"/>
  <c r="FS205" i="2" a="1"/>
  <c r="FS150" i="2" a="1"/>
  <c r="FS139" i="2" a="1"/>
  <c r="FS143" i="2" a="1"/>
  <c r="FS140" i="2" a="1"/>
  <c r="FS152" i="2" a="1"/>
  <c r="FS197" i="2" a="1"/>
  <c r="FS203" i="2" a="1"/>
  <c r="FS206" i="2" a="1"/>
  <c r="FS204" i="2" a="1"/>
  <c r="FS199" i="2" a="1"/>
  <c r="FT2" i="2"/>
  <c r="FS133" i="2" a="1"/>
  <c r="FS134" i="2" a="1"/>
  <c r="FS132" i="2" a="1"/>
  <c r="FS135" i="2" a="1"/>
  <c r="FS138" i="2" a="1"/>
  <c r="FS141" i="2" a="1"/>
  <c r="FS151" i="2" a="1"/>
  <c r="FS147" i="2" a="1"/>
  <c r="FS149" i="2" a="1"/>
  <c r="FS146" i="2" a="1"/>
  <c r="FS155" i="2" a="1"/>
  <c r="FS158" i="2" a="1"/>
  <c r="FS215" i="2" a="1"/>
  <c r="FS207" i="2" a="1"/>
  <c r="FS216" i="2" a="1"/>
  <c r="FS198" i="2" a="1"/>
  <c r="FS200" i="2" a="1"/>
  <c r="FS131" i="2" a="1"/>
  <c r="FS137" i="2" a="1"/>
  <c r="FS145" i="2" a="1"/>
  <c r="FS1" i="2"/>
  <c r="A157" i="7" a="1"/>
  <c r="FV96" i="2"/>
  <c r="FZ67" i="2"/>
  <c r="FT159" i="2" a="1"/>
  <c r="FT156" i="2" a="1"/>
  <c r="FT203" i="2" a="1"/>
  <c r="FT215" i="2" a="1"/>
  <c r="FT143" i="2" a="1"/>
  <c r="FT138" i="2" a="1"/>
  <c r="FT144" i="2" a="1"/>
  <c r="FT139" i="2" a="1"/>
  <c r="FT140" i="2" a="1"/>
  <c r="FT149" i="2" a="1"/>
  <c r="FT141" i="2" a="1"/>
  <c r="FT150" i="2" a="1"/>
  <c r="FT155" i="2" a="1"/>
  <c r="FT157" i="2" a="1"/>
  <c r="FT205" i="2" a="1"/>
  <c r="FT216" i="2" a="1"/>
  <c r="FT200" i="2" a="1"/>
  <c r="FT197" i="2" a="1"/>
  <c r="FU2" i="2"/>
  <c r="FT131" i="2" a="1"/>
  <c r="FT137" i="2" a="1"/>
  <c r="FT146" i="2" a="1"/>
  <c r="FT147" i="2" a="1"/>
  <c r="FT152" i="2" a="1"/>
  <c r="FT206" i="2" a="1"/>
  <c r="FT207" i="2" a="1"/>
  <c r="FT204" i="2" a="1"/>
  <c r="FT198" i="2" a="1"/>
  <c r="FT199" i="2" a="1"/>
  <c r="FT201" i="2" a="1"/>
  <c r="FT134" i="2" a="1"/>
  <c r="FT132" i="2" a="1"/>
  <c r="FT133" i="2" a="1"/>
  <c r="FT135" i="2" a="1"/>
  <c r="FT145" i="2" a="1"/>
  <c r="FT151" i="2" a="1"/>
  <c r="FT153" i="2" a="1"/>
  <c r="FT158" i="2" a="1"/>
  <c r="FT1" i="2"/>
  <c r="A158" i="7" a="1"/>
  <c r="GA67" i="2"/>
  <c r="FW96" i="2"/>
  <c r="FU216" i="2" a="1"/>
  <c r="FU204" i="2" a="1"/>
  <c r="FU206" i="2" a="1"/>
  <c r="FU205" i="2" a="1"/>
  <c r="FU201" i="2" a="1"/>
  <c r="FU203" i="2" a="1"/>
  <c r="FU200" i="2" a="1"/>
  <c r="FU215" i="2" a="1"/>
  <c r="FU137" i="2" a="1"/>
  <c r="FU141" i="2" a="1"/>
  <c r="FU197" i="2" a="1"/>
  <c r="FV2" i="2"/>
  <c r="FU131" i="2" a="1"/>
  <c r="FU146" i="2" a="1"/>
  <c r="FU155" i="2" a="1"/>
  <c r="FU134" i="2" a="1"/>
  <c r="FU132" i="2" a="1"/>
  <c r="FU133" i="2" a="1"/>
  <c r="FU145" i="2" a="1"/>
  <c r="FU135" i="2" a="1"/>
  <c r="FU140" i="2" a="1"/>
  <c r="FU138" i="2" a="1"/>
  <c r="FU149" i="2" a="1"/>
  <c r="FU159" i="2" a="1"/>
  <c r="FU144" i="2" a="1"/>
  <c r="FU143" i="2" a="1"/>
  <c r="FU151" i="2" a="1"/>
  <c r="FU147" i="2" a="1"/>
  <c r="FU152" i="2" a="1"/>
  <c r="FU153" i="2" a="1"/>
  <c r="FU158" i="2" a="1"/>
  <c r="FU156" i="2" a="1"/>
  <c r="FU150" i="2" a="1"/>
  <c r="FU157" i="2" a="1"/>
  <c r="FU198" i="2" a="1"/>
  <c r="FU207" i="2" a="1"/>
  <c r="FU199" i="2" a="1"/>
  <c r="FU139" i="2" a="1"/>
  <c r="FU1" i="2"/>
  <c r="A159" i="7" a="1"/>
  <c r="FX96" i="2"/>
  <c r="GB67" i="2"/>
  <c r="FV147" i="2" a="1"/>
  <c r="FV152" i="2" a="1"/>
  <c r="FV158" i="2" a="1"/>
  <c r="FV135" i="2" a="1"/>
  <c r="FV144" i="2" a="1"/>
  <c r="FV141" i="2" a="1"/>
  <c r="FV145" i="2" a="1"/>
  <c r="FV155" i="2" a="1"/>
  <c r="FV156" i="2" a="1"/>
  <c r="FV200" i="2" a="1"/>
  <c r="FV139" i="2" a="1"/>
  <c r="FV143" i="2" a="1"/>
  <c r="FV153" i="2" a="1"/>
  <c r="FV133" i="2" a="1"/>
  <c r="FV138" i="2" a="1"/>
  <c r="FV134" i="2" a="1"/>
  <c r="FV150" i="2" a="1"/>
  <c r="FV159" i="2" a="1"/>
  <c r="FV204" i="2" a="1"/>
  <c r="FV199" i="2" a="1"/>
  <c r="FV206" i="2" a="1"/>
  <c r="FV205" i="2" a="1"/>
  <c r="FV201" i="2" a="1"/>
  <c r="FV197" i="2" a="1"/>
  <c r="FV198" i="2" a="1"/>
  <c r="FV203" i="2" a="1"/>
  <c r="FV215" i="2" a="1"/>
  <c r="FW2" i="2"/>
  <c r="FV131" i="2" a="1"/>
  <c r="FV140" i="2" a="1"/>
  <c r="FV146" i="2" a="1"/>
  <c r="FV151" i="2" a="1"/>
  <c r="FV149" i="2" a="1"/>
  <c r="FV157" i="2" a="1"/>
  <c r="FV207" i="2" a="1"/>
  <c r="FV216" i="2" a="1"/>
  <c r="FV132" i="2" a="1"/>
  <c r="FV137" i="2" a="1"/>
  <c r="FV1" i="2"/>
  <c r="A160" i="7" a="1"/>
  <c r="GC67" i="2"/>
  <c r="FY96" i="2"/>
  <c r="FW207" i="2" a="1"/>
  <c r="FW159" i="2" a="1"/>
  <c r="FW144" i="2" a="1"/>
  <c r="FW135" i="2" a="1"/>
  <c r="FW138" i="2" a="1"/>
  <c r="FW149" i="2" a="1"/>
  <c r="FW143" i="2" a="1"/>
  <c r="FW157" i="2" a="1"/>
  <c r="FW158" i="2" a="1"/>
  <c r="FW205" i="2" a="1"/>
  <c r="FW197" i="2" a="1"/>
  <c r="FW199" i="2" a="1"/>
  <c r="FW215" i="2" a="1"/>
  <c r="FW216" i="2" a="1"/>
  <c r="FW201" i="2" a="1"/>
  <c r="FW204" i="2" a="1"/>
  <c r="FW200" i="2" a="1"/>
  <c r="FW132" i="2" a="1"/>
  <c r="FX2" i="2"/>
  <c r="FW131" i="2" a="1"/>
  <c r="FW134" i="2" a="1"/>
  <c r="FW133" i="2" a="1"/>
  <c r="FW140" i="2" a="1"/>
  <c r="FW139" i="2" a="1"/>
  <c r="FW146" i="2" a="1"/>
  <c r="FW145" i="2" a="1"/>
  <c r="FW151" i="2" a="1"/>
  <c r="FW150" i="2" a="1"/>
  <c r="FW156" i="2" a="1"/>
  <c r="FW153" i="2" a="1"/>
  <c r="FW155" i="2" a="1"/>
  <c r="FW203" i="2" a="1"/>
  <c r="FW198" i="2" a="1"/>
  <c r="FW206" i="2" a="1"/>
  <c r="FW137" i="2" a="1"/>
  <c r="FW141" i="2" a="1"/>
  <c r="FW147" i="2" a="1"/>
  <c r="FW152" i="2" a="1"/>
  <c r="FW1" i="2"/>
  <c r="A161" i="7" a="1"/>
  <c r="FZ96" i="2"/>
  <c r="GD67" i="2"/>
  <c r="FX135" i="2" a="1"/>
  <c r="FX157" i="2" a="1"/>
  <c r="FX133" i="2" a="1"/>
  <c r="FX147" i="2" a="1"/>
  <c r="FX139" i="2" a="1"/>
  <c r="FX141" i="2" a="1"/>
  <c r="FX146" i="2" a="1"/>
  <c r="FX159" i="2" a="1"/>
  <c r="FX152" i="2" a="1"/>
  <c r="FX215" i="2" a="1"/>
  <c r="FX216" i="2" a="1"/>
  <c r="FX207" i="2" a="1"/>
  <c r="FX205" i="2" a="1"/>
  <c r="FX201" i="2" a="1"/>
  <c r="FX206" i="2" a="1"/>
  <c r="FX203" i="2" a="1"/>
  <c r="FX197" i="2" a="1"/>
  <c r="FX200" i="2" a="1"/>
  <c r="FX132" i="2" a="1"/>
  <c r="FX198" i="2" a="1"/>
  <c r="FY2" i="2"/>
  <c r="FX131" i="2" a="1"/>
  <c r="FX134" i="2" a="1"/>
  <c r="FX140" i="2" a="1"/>
  <c r="FX137" i="2" a="1"/>
  <c r="FX138" i="2" a="1"/>
  <c r="FX143" i="2" a="1"/>
  <c r="FX145" i="2" a="1"/>
  <c r="FX144" i="2" a="1"/>
  <c r="FX151" i="2" a="1"/>
  <c r="FX149" i="2" a="1"/>
  <c r="FX150" i="2" a="1"/>
  <c r="FX158" i="2" a="1"/>
  <c r="FX153" i="2" a="1"/>
  <c r="FX155" i="2" a="1"/>
  <c r="FX156" i="2" a="1"/>
  <c r="FX199" i="2" a="1"/>
  <c r="FX204" i="2" a="1"/>
  <c r="FX1" i="2"/>
  <c r="A162" i="7" a="1"/>
  <c r="GE67" i="2"/>
  <c r="GA96" i="2"/>
  <c r="FY156" i="2" a="1"/>
  <c r="FY155" i="2" a="1"/>
  <c r="FY149" i="2" a="1"/>
  <c r="FY200" i="2" a="1"/>
  <c r="FY133" i="2" a="1"/>
  <c r="FY151" i="2" a="1"/>
  <c r="FY135" i="2" a="1"/>
  <c r="FY140" i="2" a="1"/>
  <c r="FY143" i="2" a="1"/>
  <c r="FY145" i="2" a="1"/>
  <c r="FY146" i="2" a="1"/>
  <c r="FY144" i="2" a="1"/>
  <c r="FY150" i="2" a="1"/>
  <c r="FY152" i="2" a="1"/>
  <c r="FY158" i="2" a="1"/>
  <c r="FY198" i="2" a="1"/>
  <c r="FY216" i="2" a="1"/>
  <c r="FY207" i="2" a="1"/>
  <c r="FY206" i="2" a="1"/>
  <c r="FY201" i="2" a="1"/>
  <c r="FY199" i="2" a="1"/>
  <c r="FY215" i="2" a="1"/>
  <c r="FY203" i="2" a="1"/>
  <c r="FY205" i="2" a="1"/>
  <c r="FY204" i="2" a="1"/>
  <c r="FY197" i="2" a="1"/>
  <c r="FZ2" i="2"/>
  <c r="FY131" i="2" a="1"/>
  <c r="FY134" i="2" a="1"/>
  <c r="FY132" i="2" a="1"/>
  <c r="FY141" i="2" a="1"/>
  <c r="FY137" i="2" a="1"/>
  <c r="FY138" i="2" a="1"/>
  <c r="FY139" i="2" a="1"/>
  <c r="FY147" i="2" a="1"/>
  <c r="FY153" i="2" a="1"/>
  <c r="FY159" i="2" a="1"/>
  <c r="FY157" i="2" a="1"/>
  <c r="FY1" i="2"/>
  <c r="A163" i="7" a="1"/>
  <c r="GF67" i="2"/>
  <c r="GB96" i="2"/>
  <c r="FZ152" i="2" a="1"/>
  <c r="FZ156" i="2" a="1"/>
  <c r="FZ153" i="2" a="1"/>
  <c r="FZ146" i="2" a="1"/>
  <c r="FZ159" i="2" a="1"/>
  <c r="FZ158" i="2" a="1"/>
  <c r="FZ207" i="2" a="1"/>
  <c r="FZ206" i="2" a="1"/>
  <c r="FZ201" i="2" a="1"/>
  <c r="FZ199" i="2" a="1"/>
  <c r="FZ203" i="2" a="1"/>
  <c r="FZ205" i="2" a="1"/>
  <c r="FZ215" i="2" a="1"/>
  <c r="FZ216" i="2" a="1"/>
  <c r="FZ204" i="2" a="1"/>
  <c r="FZ197" i="2" a="1"/>
  <c r="FZ200" i="2" a="1"/>
  <c r="FZ198" i="2" a="1"/>
  <c r="GA2" i="2"/>
  <c r="GA152" i="2" a="1"/>
  <c r="FZ131" i="2" a="1"/>
  <c r="FZ133" i="2" a="1"/>
  <c r="FZ141" i="2" a="1"/>
  <c r="FZ135" i="2" a="1"/>
  <c r="FZ134" i="2" a="1"/>
  <c r="FZ137" i="2" a="1"/>
  <c r="FZ132" i="2" a="1"/>
  <c r="FZ140" i="2" a="1"/>
  <c r="FZ145" i="2" a="1"/>
  <c r="FZ139" i="2" a="1"/>
  <c r="FZ138" i="2" a="1"/>
  <c r="FZ144" i="2" a="1"/>
  <c r="FZ147" i="2" a="1"/>
  <c r="FZ143" i="2" a="1"/>
  <c r="FZ151" i="2" a="1"/>
  <c r="FZ149" i="2" a="1"/>
  <c r="FZ157" i="2" a="1"/>
  <c r="FZ155" i="2" a="1"/>
  <c r="FZ150" i="2" a="1"/>
  <c r="FZ1" i="2"/>
  <c r="A164" i="7" a="1"/>
  <c r="GC96" i="2"/>
  <c r="GG67" i="2"/>
  <c r="GA158" i="2" a="1"/>
  <c r="GA144" i="2" a="1"/>
  <c r="GA147" i="2" a="1"/>
  <c r="GA143" i="2" a="1"/>
  <c r="GA149" i="2" a="1"/>
  <c r="GA197" i="2" a="1"/>
  <c r="GA138" i="2" a="1"/>
  <c r="GA140" i="2" a="1"/>
  <c r="GA159" i="2" a="1"/>
  <c r="GA157" i="2" a="1"/>
  <c r="GA205" i="2" a="1"/>
  <c r="GA207" i="2" a="1"/>
  <c r="GA204" i="2" a="1"/>
  <c r="GA199" i="2" a="1"/>
  <c r="GA206" i="2" a="1"/>
  <c r="GA198" i="2" a="1"/>
  <c r="GA201" i="2" a="1"/>
  <c r="GA200" i="2" a="1"/>
  <c r="GA215" i="2" a="1"/>
  <c r="GA216" i="2" a="1"/>
  <c r="GA203" i="2" a="1"/>
  <c r="GB2" i="2"/>
  <c r="GA131" i="2" a="1"/>
  <c r="GA141" i="2" a="1"/>
  <c r="GA135" i="2" a="1"/>
  <c r="GA132" i="2" a="1"/>
  <c r="GA133" i="2" a="1"/>
  <c r="GA139" i="2" a="1"/>
  <c r="GA137" i="2" a="1"/>
  <c r="GA134" i="2" a="1"/>
  <c r="GA145" i="2" a="1"/>
  <c r="GA146" i="2" a="1"/>
  <c r="GA150" i="2" a="1"/>
  <c r="GA151" i="2" a="1"/>
  <c r="GA153" i="2" a="1"/>
  <c r="GA156" i="2" a="1"/>
  <c r="GA155" i="2" a="1"/>
  <c r="GA1" i="2"/>
  <c r="A165" i="7" a="1"/>
  <c r="GD96" i="2"/>
  <c r="GH67" i="2"/>
  <c r="GB149" i="2" a="1"/>
  <c r="GB156" i="2" a="1"/>
  <c r="GB147" i="2" a="1"/>
  <c r="GB152" i="2" a="1"/>
  <c r="GB145" i="2" a="1"/>
  <c r="GB151" i="2" a="1"/>
  <c r="GB204" i="2" a="1"/>
  <c r="GB207" i="2" a="1"/>
  <c r="GB205" i="2" a="1"/>
  <c r="GB206" i="2" a="1"/>
  <c r="GB139" i="2" a="1"/>
  <c r="GB141" i="2" a="1"/>
  <c r="GB153" i="2" a="1"/>
  <c r="GB216" i="2" a="1"/>
  <c r="GB201" i="2" a="1"/>
  <c r="GB203" i="2" a="1"/>
  <c r="GB215" i="2" a="1"/>
  <c r="GB200" i="2" a="1"/>
  <c r="GB199" i="2" a="1"/>
  <c r="GB197" i="2" a="1"/>
  <c r="GB198" i="2" a="1"/>
  <c r="GC2" i="2"/>
  <c r="GB131" i="2" a="1"/>
  <c r="GB133" i="2" a="1"/>
  <c r="GB135" i="2" a="1"/>
  <c r="GB134" i="2" a="1"/>
  <c r="GB132" i="2" a="1"/>
  <c r="GB140" i="2" a="1"/>
  <c r="GB138" i="2" a="1"/>
  <c r="GB143" i="2" a="1"/>
  <c r="GB144" i="2" a="1"/>
  <c r="GB146" i="2" a="1"/>
  <c r="GB137" i="2" a="1"/>
  <c r="GB155" i="2" a="1"/>
  <c r="GB150" i="2" a="1"/>
  <c r="GB159" i="2" a="1"/>
  <c r="GB158" i="2" a="1"/>
  <c r="GB157" i="2" a="1"/>
  <c r="GB1" i="2"/>
  <c r="A166" i="7" a="1"/>
  <c r="GI67" i="2"/>
  <c r="GE96" i="2"/>
  <c r="GC138" i="2" a="1"/>
  <c r="GC157" i="2" a="1"/>
  <c r="GC150" i="2" a="1"/>
  <c r="GC149" i="2" a="1"/>
  <c r="GC159" i="2" a="1"/>
  <c r="GC215" i="2" a="1"/>
  <c r="GC207" i="2" a="1"/>
  <c r="GC203" i="2" a="1"/>
  <c r="GC205" i="2" a="1"/>
  <c r="GC133" i="2" a="1"/>
  <c r="GC206" i="2" a="1"/>
  <c r="GC201" i="2" a="1"/>
  <c r="GC200" i="2" a="1"/>
  <c r="GC144" i="2" a="1"/>
  <c r="GC199" i="2" a="1"/>
  <c r="GC197" i="2" a="1"/>
  <c r="GC132" i="2" a="1"/>
  <c r="GC135" i="2" a="1"/>
  <c r="GC134" i="2" a="1"/>
  <c r="GC141" i="2" a="1"/>
  <c r="GC140" i="2" a="1"/>
  <c r="GC137" i="2" a="1"/>
  <c r="GC145" i="2" a="1"/>
  <c r="GC146" i="2" a="1"/>
  <c r="GC139" i="2" a="1"/>
  <c r="GC155" i="2" a="1"/>
  <c r="GC153" i="2" a="1"/>
  <c r="GC151" i="2" a="1"/>
  <c r="GC156" i="2" a="1"/>
  <c r="GC158" i="2" a="1"/>
  <c r="GC147" i="2" a="1"/>
  <c r="GC198" i="2" a="1"/>
  <c r="GC204" i="2" a="1"/>
  <c r="GC216" i="2" a="1"/>
  <c r="GD2" i="2"/>
  <c r="GC131" i="2" a="1"/>
  <c r="GC143" i="2" a="1"/>
  <c r="GC152" i="2" a="1"/>
  <c r="GC1" i="2"/>
  <c r="A167" i="7" a="1"/>
  <c r="GF96" i="2"/>
  <c r="GJ67" i="2"/>
  <c r="GD152" i="2" a="1"/>
  <c r="GD158" i="2" a="1"/>
  <c r="GD144" i="2" a="1"/>
  <c r="GD147" i="2" a="1"/>
  <c r="GD203" i="2" a="1"/>
  <c r="GD216" i="2" a="1"/>
  <c r="GD145" i="2" a="1"/>
  <c r="GD141" i="2" a="1"/>
  <c r="GD150" i="2" a="1"/>
  <c r="GD153" i="2" a="1"/>
  <c r="GD201" i="2" a="1"/>
  <c r="GD206" i="2" a="1"/>
  <c r="GD135" i="2" a="1"/>
  <c r="GD140" i="2" a="1"/>
  <c r="GD146" i="2" a="1"/>
  <c r="GD151" i="2" a="1"/>
  <c r="GD157" i="2" a="1"/>
  <c r="GD197" i="2" a="1"/>
  <c r="GD134" i="2" a="1"/>
  <c r="GD156" i="2" a="1"/>
  <c r="GD205" i="2" a="1"/>
  <c r="GD204" i="2" a="1"/>
  <c r="GD200" i="2" a="1"/>
  <c r="GD198" i="2" a="1"/>
  <c r="GE2" i="2"/>
  <c r="GE159" i="2" a="1"/>
  <c r="GD131" i="2" a="1"/>
  <c r="GD137" i="2" a="1"/>
  <c r="GD133" i="2" a="1"/>
  <c r="GD132" i="2" a="1"/>
  <c r="GD138" i="2" a="1"/>
  <c r="GD143" i="2" a="1"/>
  <c r="GD155" i="2" a="1"/>
  <c r="GD159" i="2" a="1"/>
  <c r="GD149" i="2" a="1"/>
  <c r="GD215" i="2" a="1"/>
  <c r="GD207" i="2" a="1"/>
  <c r="GD199" i="2" a="1"/>
  <c r="GD139" i="2" a="1"/>
  <c r="GD1" i="2"/>
  <c r="A168" i="7" a="1"/>
  <c r="GK67" i="2"/>
  <c r="GG96" i="2"/>
  <c r="GE198" i="2" a="1"/>
  <c r="GE207" i="2" a="1"/>
  <c r="GE144" i="2" a="1"/>
  <c r="GE138" i="2" a="1"/>
  <c r="GE155" i="2" a="1"/>
  <c r="GE137" i="2" a="1"/>
  <c r="GE133" i="2" a="1"/>
  <c r="GE139" i="2" a="1"/>
  <c r="GE146" i="2" a="1"/>
  <c r="GE140" i="2" a="1"/>
  <c r="GE145" i="2" a="1"/>
  <c r="GE151" i="2" a="1"/>
  <c r="GE152" i="2" a="1"/>
  <c r="GE147" i="2" a="1"/>
  <c r="GE149" i="2" a="1"/>
  <c r="GE157" i="2" a="1"/>
  <c r="GE156" i="2" a="1"/>
  <c r="GE215" i="2" a="1"/>
  <c r="GE205" i="2" a="1"/>
  <c r="GE201" i="2" a="1"/>
  <c r="GE200" i="2" a="1"/>
  <c r="GE204" i="2" a="1"/>
  <c r="GE206" i="2" a="1"/>
  <c r="GE203" i="2" a="1"/>
  <c r="GE197" i="2" a="1"/>
  <c r="GE199" i="2" a="1"/>
  <c r="GE216" i="2" a="1"/>
  <c r="GE132" i="2" a="1"/>
  <c r="GF2" i="2"/>
  <c r="GF157" i="2" a="1"/>
  <c r="GE131" i="2" a="1"/>
  <c r="GE135" i="2" a="1"/>
  <c r="GE134" i="2" a="1"/>
  <c r="GE143" i="2" a="1"/>
  <c r="GE150" i="2" a="1"/>
  <c r="GE153" i="2" a="1"/>
  <c r="GE141" i="2" a="1"/>
  <c r="GE158" i="2" a="1"/>
  <c r="GE1" i="2"/>
  <c r="A169" i="7" a="1"/>
  <c r="GL67" i="2"/>
  <c r="GH96" i="2"/>
  <c r="GF146" i="2" a="1"/>
  <c r="GF155" i="2" a="1"/>
  <c r="GF138" i="2" a="1"/>
  <c r="GF141" i="2" a="1"/>
  <c r="GF137" i="2" a="1"/>
  <c r="GF153" i="2" a="1"/>
  <c r="GF151" i="2" a="1"/>
  <c r="GF216" i="2" a="1"/>
  <c r="GF200" i="2" a="1"/>
  <c r="GF132" i="2" a="1"/>
  <c r="GF133" i="2" a="1"/>
  <c r="GF135" i="2" a="1"/>
  <c r="GF140" i="2" a="1"/>
  <c r="GF143" i="2" a="1"/>
  <c r="GF147" i="2" a="1"/>
  <c r="GF152" i="2" a="1"/>
  <c r="GF158" i="2" a="1"/>
  <c r="GF159" i="2" a="1"/>
  <c r="GF199" i="2" a="1"/>
  <c r="GF204" i="2" a="1"/>
  <c r="GF197" i="2" a="1"/>
  <c r="GF203" i="2" a="1"/>
  <c r="GF198" i="2" a="1"/>
  <c r="GF131" i="2" a="1"/>
  <c r="GF139" i="2" a="1"/>
  <c r="GF145" i="2" a="1"/>
  <c r="GF150" i="2" a="1"/>
  <c r="GF149" i="2" a="1"/>
  <c r="GF215" i="2" a="1"/>
  <c r="GF205" i="2" a="1"/>
  <c r="GF201" i="2" a="1"/>
  <c r="GF207" i="2" a="1"/>
  <c r="GF206" i="2" a="1"/>
  <c r="GG2" i="2"/>
  <c r="GG157" i="2" a="1"/>
  <c r="GF134" i="2" a="1"/>
  <c r="GF144" i="2" a="1"/>
  <c r="GF156" i="2" a="1"/>
  <c r="GF1" i="2"/>
  <c r="A170" i="7" a="1"/>
  <c r="GM67" i="2"/>
  <c r="GI96" i="2"/>
  <c r="GG141" i="2" a="1"/>
  <c r="GG150" i="2" a="1"/>
  <c r="GG159" i="2" a="1"/>
  <c r="GG143" i="2" a="1"/>
  <c r="GG146" i="2" a="1"/>
  <c r="GG158" i="2" a="1"/>
  <c r="GG207" i="2" a="1"/>
  <c r="GG198" i="2" a="1"/>
  <c r="GG138" i="2" a="1"/>
  <c r="GG204" i="2" a="1"/>
  <c r="GG215" i="2" a="1"/>
  <c r="GG203" i="2" a="1"/>
  <c r="GG133" i="2" a="1"/>
  <c r="GG135" i="2" a="1"/>
  <c r="GG144" i="2" a="1"/>
  <c r="GG145" i="2" a="1"/>
  <c r="GG155" i="2" a="1"/>
  <c r="GG151" i="2" a="1"/>
  <c r="GG149" i="2" a="1"/>
  <c r="GG200" i="2" a="1"/>
  <c r="GG199" i="2" a="1"/>
  <c r="GH2" i="2"/>
  <c r="GG134" i="2" a="1"/>
  <c r="GG139" i="2" a="1"/>
  <c r="GG197" i="2" a="1"/>
  <c r="GG216" i="2" a="1"/>
  <c r="GG201" i="2" a="1"/>
  <c r="GG206" i="2" a="1"/>
  <c r="GG205" i="2" a="1"/>
  <c r="GG131" i="2" a="1"/>
  <c r="GG132" i="2" a="1"/>
  <c r="GG140" i="2" a="1"/>
  <c r="GG137" i="2" a="1"/>
  <c r="GG147" i="2" a="1"/>
  <c r="GG152" i="2" a="1"/>
  <c r="GG153" i="2" a="1"/>
  <c r="GG156" i="2" a="1"/>
  <c r="GG1" i="2"/>
  <c r="A171" i="7" a="1"/>
  <c r="GN67" i="2"/>
  <c r="GJ96" i="2"/>
  <c r="GH147" i="2" a="1"/>
  <c r="GH155" i="2" a="1"/>
  <c r="GH157" i="2" a="1"/>
  <c r="GH149" i="2" a="1"/>
  <c r="GH159" i="2" a="1"/>
  <c r="GH207" i="2" a="1"/>
  <c r="GH141" i="2" a="1"/>
  <c r="GH197" i="2" a="1"/>
  <c r="GH131" i="2" a="1"/>
  <c r="GH143" i="2" a="1"/>
  <c r="GH158" i="2" a="1"/>
  <c r="GH199" i="2" a="1"/>
  <c r="GH206" i="2" a="1"/>
  <c r="GH216" i="2" a="1"/>
  <c r="GH204" i="2" a="1"/>
  <c r="GH205" i="2" a="1"/>
  <c r="GH215" i="2" a="1"/>
  <c r="GH201" i="2" a="1"/>
  <c r="GH203" i="2" a="1"/>
  <c r="GH200" i="2" a="1"/>
  <c r="GH198" i="2" a="1"/>
  <c r="GH132" i="2" a="1"/>
  <c r="GI2" i="2"/>
  <c r="GH134" i="2" a="1"/>
  <c r="GH140" i="2" a="1"/>
  <c r="GH133" i="2" a="1"/>
  <c r="GH135" i="2" a="1"/>
  <c r="GH139" i="2" a="1"/>
  <c r="GH138" i="2" a="1"/>
  <c r="GH137" i="2" a="1"/>
  <c r="GH144" i="2" a="1"/>
  <c r="GH145" i="2" a="1"/>
  <c r="GH151" i="2" a="1"/>
  <c r="GH150" i="2" a="1"/>
  <c r="GH146" i="2" a="1"/>
  <c r="GH152" i="2" a="1"/>
  <c r="GH156" i="2" a="1"/>
  <c r="GH153" i="2" a="1"/>
  <c r="GH1" i="2"/>
  <c r="A172" i="7" a="1"/>
  <c r="GO67" i="2"/>
  <c r="GK96" i="2"/>
  <c r="GI159" i="2" a="1"/>
  <c r="GI155" i="2" a="1"/>
  <c r="GI157" i="2" a="1"/>
  <c r="GI156" i="2" a="1"/>
  <c r="GI144" i="2" a="1"/>
  <c r="GI145" i="2" a="1"/>
  <c r="GI138" i="2" a="1"/>
  <c r="GI137" i="2" a="1"/>
  <c r="GI149" i="2" a="1"/>
  <c r="GI146" i="2" a="1"/>
  <c r="GI150" i="2" a="1"/>
  <c r="GI152" i="2" a="1"/>
  <c r="GI151" i="2" a="1"/>
  <c r="GI206" i="2" a="1"/>
  <c r="GI197" i="2" a="1"/>
  <c r="GI198" i="2" a="1"/>
  <c r="GI215" i="2" a="1"/>
  <c r="GI216" i="2" a="1"/>
  <c r="GI207" i="2" a="1"/>
  <c r="GI200" i="2" a="1"/>
  <c r="GI203" i="2" a="1"/>
  <c r="GI205" i="2" a="1"/>
  <c r="GI201" i="2" a="1"/>
  <c r="GI199" i="2" a="1"/>
  <c r="GI204" i="2" a="1"/>
  <c r="GI132" i="2" a="1"/>
  <c r="GJ2" i="2"/>
  <c r="GI131" i="2" a="1"/>
  <c r="GI134" i="2" a="1"/>
  <c r="GI133" i="2" a="1"/>
  <c r="GI139" i="2" a="1"/>
  <c r="GI135" i="2" a="1"/>
  <c r="GI141" i="2" a="1"/>
  <c r="GI140" i="2" a="1"/>
  <c r="GI143" i="2" a="1"/>
  <c r="GI147" i="2" a="1"/>
  <c r="GI158" i="2" a="1"/>
  <c r="GI153" i="2" a="1"/>
  <c r="GI1" i="2"/>
  <c r="A173" i="7" a="1"/>
  <c r="GP67" i="2"/>
  <c r="GL96" i="2"/>
  <c r="GJ156" i="2" a="1"/>
  <c r="GJ155" i="2" a="1"/>
  <c r="GJ138" i="2" a="1"/>
  <c r="GJ200" i="2" a="1"/>
  <c r="GJ207" i="2" a="1"/>
  <c r="GJ146" i="2" a="1"/>
  <c r="GJ140" i="2" a="1"/>
  <c r="GJ152" i="2" a="1"/>
  <c r="GJ147" i="2" a="1"/>
  <c r="GJ151" i="2" a="1"/>
  <c r="GJ153" i="2" a="1"/>
  <c r="GJ159" i="2" a="1"/>
  <c r="GJ206" i="2" a="1"/>
  <c r="GJ216" i="2" a="1"/>
  <c r="GJ204" i="2" a="1"/>
  <c r="GJ197" i="2" a="1"/>
  <c r="GJ198" i="2" a="1"/>
  <c r="GJ205" i="2" a="1"/>
  <c r="GJ131" i="2" a="1"/>
  <c r="GJ134" i="2" a="1"/>
  <c r="GJ139" i="2" a="1"/>
  <c r="GJ135" i="2" a="1"/>
  <c r="GJ144" i="2" a="1"/>
  <c r="GJ145" i="2" a="1"/>
  <c r="GJ150" i="2" a="1"/>
  <c r="GJ149" i="2" a="1"/>
  <c r="GJ141" i="2" a="1"/>
  <c r="GJ158" i="2" a="1"/>
  <c r="GJ199" i="2" a="1"/>
  <c r="GJ215" i="2" a="1"/>
  <c r="GJ203" i="2" a="1"/>
  <c r="GJ201" i="2" a="1"/>
  <c r="GK2" i="2"/>
  <c r="GJ137" i="2" a="1"/>
  <c r="GJ132" i="2" a="1"/>
  <c r="GJ133" i="2" a="1"/>
  <c r="GJ143" i="2" a="1"/>
  <c r="GJ157" i="2" a="1"/>
  <c r="GJ1" i="2"/>
  <c r="A174" i="7" a="1"/>
  <c r="GQ67" i="2"/>
  <c r="GM96" i="2"/>
  <c r="GK158" i="2" a="1"/>
  <c r="GK157" i="2" a="1"/>
  <c r="GK200" i="2" a="1"/>
  <c r="GK147" i="2" a="1"/>
  <c r="GK201" i="2" a="1"/>
  <c r="GK215" i="2" a="1"/>
  <c r="GK216" i="2" a="1"/>
  <c r="GK138" i="2" a="1"/>
  <c r="GK198" i="2" a="1"/>
  <c r="GK132" i="2" a="1"/>
  <c r="GK135" i="2" a="1"/>
  <c r="GK141" i="2" a="1"/>
  <c r="GK140" i="2" a="1"/>
  <c r="GK137" i="2" a="1"/>
  <c r="GK143" i="2" a="1"/>
  <c r="GK144" i="2" a="1"/>
  <c r="GK145" i="2" a="1"/>
  <c r="GK151" i="2" a="1"/>
  <c r="GK152" i="2" a="1"/>
  <c r="GK153" i="2" a="1"/>
  <c r="GK159" i="2" a="1"/>
  <c r="GK155" i="2" a="1"/>
  <c r="GK203" i="2" a="1"/>
  <c r="GK205" i="2" a="1"/>
  <c r="GK206" i="2" a="1"/>
  <c r="GK199" i="2" a="1"/>
  <c r="GL2" i="2"/>
  <c r="GL159" i="2" a="1"/>
  <c r="GK134" i="2" a="1"/>
  <c r="GK133" i="2" a="1"/>
  <c r="GK139" i="2" a="1"/>
  <c r="GK146" i="2" a="1"/>
  <c r="GK150" i="2" a="1"/>
  <c r="GK207" i="2" a="1"/>
  <c r="GK197" i="2" a="1"/>
  <c r="GK204" i="2" a="1"/>
  <c r="GK131" i="2" a="1"/>
  <c r="GK149" i="2" a="1"/>
  <c r="GK156" i="2" a="1"/>
  <c r="GK1" i="2"/>
  <c r="A175" i="7" a="1"/>
  <c r="GN96" i="2"/>
  <c r="GR67" i="2"/>
  <c r="GL152" i="2" a="1"/>
  <c r="GL153" i="2" a="1"/>
  <c r="GL143" i="2" a="1"/>
  <c r="GL155" i="2" a="1"/>
  <c r="GL140" i="2" a="1"/>
  <c r="GL139" i="2" a="1"/>
  <c r="GL199" i="2" a="1"/>
  <c r="GL201" i="2" a="1"/>
  <c r="GL197" i="2" a="1"/>
  <c r="GL200" i="2" a="1"/>
  <c r="GL131" i="2" a="1"/>
  <c r="GL133" i="2" a="1"/>
  <c r="GL141" i="2" a="1"/>
  <c r="GL146" i="2" a="1"/>
  <c r="GL145" i="2" a="1"/>
  <c r="GL149" i="2" a="1"/>
  <c r="GL147" i="2" a="1"/>
  <c r="GL158" i="2" a="1"/>
  <c r="GL206" i="2" a="1"/>
  <c r="GL215" i="2" a="1"/>
  <c r="GL216" i="2" a="1"/>
  <c r="GL205" i="2" a="1"/>
  <c r="GL203" i="2" a="1"/>
  <c r="GL207" i="2" a="1"/>
  <c r="GL204" i="2" a="1"/>
  <c r="GL198" i="2" a="1"/>
  <c r="GM2" i="2"/>
  <c r="GL132" i="2" a="1"/>
  <c r="GL134" i="2" a="1"/>
  <c r="GL137" i="2" a="1"/>
  <c r="GL135" i="2" a="1"/>
  <c r="GL138" i="2" a="1"/>
  <c r="GL144" i="2" a="1"/>
  <c r="GL150" i="2" a="1"/>
  <c r="GL151" i="2" a="1"/>
  <c r="GL157" i="2" a="1"/>
  <c r="GL156" i="2" a="1"/>
  <c r="GL1" i="2"/>
  <c r="A176" i="7" a="1"/>
  <c r="GS67" i="2"/>
  <c r="GO96" i="2"/>
  <c r="GM152" i="2" a="1"/>
  <c r="GM159" i="2" a="1"/>
  <c r="GM158" i="2" a="1"/>
  <c r="GM144" i="2" a="1"/>
  <c r="GM157" i="2" a="1"/>
  <c r="GM201" i="2" a="1"/>
  <c r="GM207" i="2" a="1"/>
  <c r="GM200" i="2" a="1"/>
  <c r="GM141" i="2" a="1"/>
  <c r="GM204" i="2" a="1"/>
  <c r="GM205" i="2" a="1"/>
  <c r="GM215" i="2" a="1"/>
  <c r="GM146" i="2" a="1"/>
  <c r="GM132" i="2" a="1"/>
  <c r="GM138" i="2" a="1"/>
  <c r="GM140" i="2" a="1"/>
  <c r="GM137" i="2" a="1"/>
  <c r="GM135" i="2" a="1"/>
  <c r="GM145" i="2" a="1"/>
  <c r="GM153" i="2" a="1"/>
  <c r="GM149" i="2" a="1"/>
  <c r="GM156" i="2" a="1"/>
  <c r="GM151" i="2" a="1"/>
  <c r="GM199" i="2" a="1"/>
  <c r="GM197" i="2" a="1"/>
  <c r="GM206" i="2" a="1"/>
  <c r="GM198" i="2" a="1"/>
  <c r="GM216" i="2" a="1"/>
  <c r="GM203" i="2" a="1"/>
  <c r="GN2" i="2"/>
  <c r="GM131" i="2" a="1"/>
  <c r="GM134" i="2" a="1"/>
  <c r="GM133" i="2" a="1"/>
  <c r="GM139" i="2" a="1"/>
  <c r="GM143" i="2" a="1"/>
  <c r="GM147" i="2" a="1"/>
  <c r="GM150" i="2" a="1"/>
  <c r="GM155" i="2" a="1"/>
  <c r="GM1" i="2"/>
  <c r="A177" i="7" a="1"/>
  <c r="GP96" i="2"/>
  <c r="GT67" i="2"/>
  <c r="GN155" i="2" a="1"/>
  <c r="GN144" i="2" a="1"/>
  <c r="GN150" i="2" a="1"/>
  <c r="GN151" i="2" a="1"/>
  <c r="GN145" i="2" a="1"/>
  <c r="GN159" i="2" a="1"/>
  <c r="GN156" i="2" a="1"/>
  <c r="GN135" i="2" a="1"/>
  <c r="GN140" i="2" a="1"/>
  <c r="GN141" i="2" a="1"/>
  <c r="GN158" i="2" a="1"/>
  <c r="GN199" i="2" a="1"/>
  <c r="GN216" i="2" a="1"/>
  <c r="GN200" i="2" a="1"/>
  <c r="GN206" i="2" a="1"/>
  <c r="GN204" i="2" a="1"/>
  <c r="GN205" i="2" a="1"/>
  <c r="GN207" i="2" a="1"/>
  <c r="GN198" i="2" a="1"/>
  <c r="GN201" i="2" a="1"/>
  <c r="GN203" i="2" a="1"/>
  <c r="GN197" i="2" a="1"/>
  <c r="GN215" i="2" a="1"/>
  <c r="GO2" i="2"/>
  <c r="GN134" i="2" a="1"/>
  <c r="GN131" i="2" a="1"/>
  <c r="GN133" i="2" a="1"/>
  <c r="GN137" i="2" a="1"/>
  <c r="GN132" i="2" a="1"/>
  <c r="GN139" i="2" a="1"/>
  <c r="GN143" i="2" a="1"/>
  <c r="GN138" i="2" a="1"/>
  <c r="GN146" i="2" a="1"/>
  <c r="GN147" i="2" a="1"/>
  <c r="GN153" i="2" a="1"/>
  <c r="GN149" i="2" a="1"/>
  <c r="GN152" i="2" a="1"/>
  <c r="GN157" i="2" a="1"/>
  <c r="GN1" i="2"/>
  <c r="A178" i="7" a="1"/>
  <c r="GU67" i="2"/>
  <c r="GQ96" i="2"/>
  <c r="GO153" i="2" a="1"/>
  <c r="GO159" i="2" a="1"/>
  <c r="GO156" i="2" a="1"/>
  <c r="GO215" i="2" a="1"/>
  <c r="GO140" i="2" a="1"/>
  <c r="GO206" i="2" a="1"/>
  <c r="GO204" i="2" a="1"/>
  <c r="GO201" i="2" a="1"/>
  <c r="GO216" i="2" a="1"/>
  <c r="GO207" i="2" a="1"/>
  <c r="GO143" i="2" a="1"/>
  <c r="GO203" i="2" a="1"/>
  <c r="GO200" i="2" a="1"/>
  <c r="GO197" i="2" a="1"/>
  <c r="GO198" i="2" a="1"/>
  <c r="GO199" i="2" a="1"/>
  <c r="GO205" i="2" a="1"/>
  <c r="GO132" i="2" a="1"/>
  <c r="GO145" i="2" a="1"/>
  <c r="GP2" i="2"/>
  <c r="GO131" i="2" a="1"/>
  <c r="GO133" i="2" a="1"/>
  <c r="GO141" i="2" a="1"/>
  <c r="GO137" i="2" a="1"/>
  <c r="GO134" i="2" a="1"/>
  <c r="GO147" i="2" a="1"/>
  <c r="GO135" i="2" a="1"/>
  <c r="GO139" i="2" a="1"/>
  <c r="GO138" i="2" a="1"/>
  <c r="GO146" i="2" a="1"/>
  <c r="GO144" i="2" a="1"/>
  <c r="GO151" i="2" a="1"/>
  <c r="GO155" i="2" a="1"/>
  <c r="GO149" i="2" a="1"/>
  <c r="GO152" i="2" a="1"/>
  <c r="GO157" i="2" a="1"/>
  <c r="GO158" i="2" a="1"/>
  <c r="GO150" i="2" a="1"/>
  <c r="GO1" i="2"/>
  <c r="A179" i="7" a="1"/>
  <c r="GR96" i="2"/>
  <c r="GV67" i="2"/>
  <c r="GP156" i="2" a="1"/>
  <c r="GP200" i="2" a="1"/>
  <c r="GP150" i="2" a="1"/>
  <c r="GP147" i="2" a="1"/>
  <c r="GP197" i="2" a="1"/>
  <c r="GP138" i="2" a="1"/>
  <c r="GP146" i="2" a="1"/>
  <c r="GP140" i="2" a="1"/>
  <c r="GP151" i="2" a="1"/>
  <c r="GP149" i="2" a="1"/>
  <c r="GP155" i="2" a="1"/>
  <c r="GP157" i="2" a="1"/>
  <c r="GP158" i="2" a="1"/>
  <c r="GP199" i="2" a="1"/>
  <c r="GP201" i="2" a="1"/>
  <c r="GP205" i="2" a="1"/>
  <c r="GP134" i="2" a="1"/>
  <c r="GP131" i="2" a="1"/>
  <c r="GP141" i="2" a="1"/>
  <c r="GP153" i="2" a="1"/>
  <c r="GP152" i="2" a="1"/>
  <c r="GP203" i="2" a="1"/>
  <c r="GP198" i="2" a="1"/>
  <c r="GP215" i="2" a="1"/>
  <c r="GP216" i="2" a="1"/>
  <c r="GP207" i="2" a="1"/>
  <c r="GP206" i="2" a="1"/>
  <c r="GP204" i="2" a="1"/>
  <c r="GQ2" i="2"/>
  <c r="GQ158" i="2" a="1"/>
  <c r="GP133" i="2" a="1"/>
  <c r="GP135" i="2" a="1"/>
  <c r="GP137" i="2" a="1"/>
  <c r="GP132" i="2" a="1"/>
  <c r="GP144" i="2" a="1"/>
  <c r="GP143" i="2" a="1"/>
  <c r="GP139" i="2" a="1"/>
  <c r="GP145" i="2" a="1"/>
  <c r="GP159" i="2" a="1"/>
  <c r="GP1" i="2"/>
  <c r="A180" i="7" a="1"/>
  <c r="GW67" i="2"/>
  <c r="GX67" i="2"/>
  <c r="GS96" i="2"/>
  <c r="GT96" i="2"/>
  <c r="GQ199" i="2" a="1"/>
  <c r="GQ150" i="2" a="1"/>
  <c r="GQ134" i="2" a="1"/>
  <c r="GQ140" i="2" a="1"/>
  <c r="GQ137" i="2" a="1"/>
  <c r="GQ145" i="2" a="1"/>
  <c r="GQ152" i="2" a="1"/>
  <c r="GQ143" i="2" a="1"/>
  <c r="GQ146" i="2" a="1"/>
  <c r="GQ156" i="2" a="1"/>
  <c r="GQ155" i="2" a="1"/>
  <c r="GQ153" i="2" a="1"/>
  <c r="GQ149" i="2" a="1"/>
  <c r="GQ159" i="2" a="1"/>
  <c r="GQ157" i="2" a="1"/>
  <c r="GQ200" i="2" a="1"/>
  <c r="GQ216" i="2" a="1"/>
  <c r="GQ215" i="2" a="1"/>
  <c r="GQ201" i="2" a="1"/>
  <c r="GQ207" i="2" a="1"/>
  <c r="GQ206" i="2" a="1"/>
  <c r="GQ197" i="2" a="1"/>
  <c r="GQ203" i="2" a="1"/>
  <c r="GQ205" i="2" a="1"/>
  <c r="GQ198" i="2" a="1"/>
  <c r="GQ204" i="2" a="1"/>
  <c r="GQ135" i="2" a="1"/>
  <c r="GR2" i="2"/>
  <c r="GR153" i="2" a="1"/>
  <c r="GQ131" i="2" a="1"/>
  <c r="GQ133" i="2" a="1"/>
  <c r="GQ132" i="2" a="1"/>
  <c r="GQ138" i="2" a="1"/>
  <c r="GQ139" i="2" a="1"/>
  <c r="GQ144" i="2" a="1"/>
  <c r="GQ141" i="2" a="1"/>
  <c r="GQ151" i="2" a="1"/>
  <c r="GQ147" i="2" a="1"/>
  <c r="GQ1" i="2"/>
  <c r="A181" i="7" a="1"/>
  <c r="V67" i="2"/>
  <c r="U67" i="2"/>
  <c r="S67" i="2"/>
  <c r="T67" i="2"/>
  <c r="E87" i="9"/>
  <c r="GU96" i="2"/>
  <c r="GR138" i="2" a="1"/>
  <c r="GR139" i="2" a="1"/>
  <c r="GR155" i="2" a="1"/>
  <c r="GR144" i="2" a="1"/>
  <c r="GR140" i="2" a="1"/>
  <c r="GR143" i="2" a="1"/>
  <c r="GR137" i="2" a="1"/>
  <c r="GR135" i="2" a="1"/>
  <c r="GR199" i="2" a="1"/>
  <c r="GR131" i="2" a="1"/>
  <c r="GR198" i="2" a="1"/>
  <c r="GR204" i="2" a="1"/>
  <c r="GR197" i="2" a="1"/>
  <c r="GR206" i="2" a="1"/>
  <c r="GR146" i="2" a="1"/>
  <c r="GR205" i="2" a="1"/>
  <c r="GR201" i="2" a="1"/>
  <c r="GR156" i="2" a="1"/>
  <c r="GR203" i="2" a="1"/>
  <c r="GR150" i="2" a="1"/>
  <c r="GR133" i="2" a="1"/>
  <c r="GR157" i="2" a="1"/>
  <c r="GR145" i="2" a="1"/>
  <c r="GR159" i="2" a="1"/>
  <c r="GR149" i="2" a="1"/>
  <c r="GR132" i="2" a="1"/>
  <c r="GR141" i="2" a="1"/>
  <c r="GR207" i="2" a="1"/>
  <c r="GS2" i="2"/>
  <c r="GR215" i="2" a="1"/>
  <c r="GR151" i="2" a="1"/>
  <c r="GR147" i="2" a="1"/>
  <c r="GR200" i="2" a="1"/>
  <c r="GR158" i="2" a="1"/>
  <c r="GR134" i="2" a="1"/>
  <c r="GR152" i="2" a="1"/>
  <c r="GR216" i="2" a="1"/>
  <c r="GR1" i="2"/>
  <c r="A182" i="7" a="1"/>
  <c r="GV96" i="2"/>
  <c r="GS206" i="2" a="1"/>
  <c r="GS207" i="2" a="1"/>
  <c r="GS153" i="2" a="1"/>
  <c r="GS150" i="2" a="1"/>
  <c r="GS143" i="2" a="1"/>
  <c r="GS215" i="2" a="1"/>
  <c r="GS147" i="2" a="1"/>
  <c r="GS145" i="2" a="1"/>
  <c r="GS197" i="2" a="1"/>
  <c r="GS134" i="2" a="1"/>
  <c r="GS205" i="2" a="1"/>
  <c r="GS157" i="2" a="1"/>
  <c r="GS216" i="2" a="1"/>
  <c r="GS204" i="2" a="1"/>
  <c r="GS135" i="2" a="1"/>
  <c r="GS138" i="2" a="1"/>
  <c r="GS139" i="2" a="1"/>
  <c r="GS203" i="2" a="1"/>
  <c r="GS200" i="2" a="1"/>
  <c r="GS149" i="2" a="1"/>
  <c r="GS159" i="2" a="1"/>
  <c r="GS137" i="2" a="1"/>
  <c r="GS201" i="2" a="1"/>
  <c r="GS144" i="2" a="1"/>
  <c r="GS140" i="2" a="1"/>
  <c r="GS156" i="2" a="1"/>
  <c r="GS133" i="2" a="1"/>
  <c r="GS132" i="2" a="1"/>
  <c r="GS199" i="2" a="1"/>
  <c r="GS146" i="2" a="1"/>
  <c r="GS131" i="2" a="1"/>
  <c r="GS151" i="2" a="1"/>
  <c r="GT2" i="2"/>
  <c r="GS158" i="2" a="1"/>
  <c r="GS198" i="2" a="1"/>
  <c r="GS155" i="2" a="1"/>
  <c r="GS141" i="2" a="1"/>
  <c r="GS152" i="2" a="1"/>
  <c r="GS1" i="2"/>
  <c r="A183" i="7" a="1"/>
  <c r="GW96" i="2"/>
  <c r="GT199" i="2" a="1"/>
  <c r="GT149" i="2" a="1"/>
  <c r="GT200" i="2" a="1"/>
  <c r="GT138" i="2" a="1"/>
  <c r="GT139" i="2" a="1"/>
  <c r="GT131" i="2" a="1"/>
  <c r="GT216" i="2" a="1"/>
  <c r="GT156" i="2" a="1"/>
  <c r="GT153" i="2" a="1"/>
  <c r="GT137" i="2" a="1"/>
  <c r="GT158" i="2" a="1"/>
  <c r="GT206" i="2" a="1"/>
  <c r="GT203" i="2" a="1"/>
  <c r="GT140" i="2" a="1"/>
  <c r="GT132" i="2" a="1"/>
  <c r="GT157" i="2" a="1"/>
  <c r="GT204" i="2" a="1"/>
  <c r="GT155" i="2" a="1"/>
  <c r="GT159" i="2" a="1"/>
  <c r="GT150" i="2" a="1"/>
  <c r="GT135" i="2" a="1"/>
  <c r="GT197" i="2" a="1"/>
  <c r="GT134" i="2" a="1"/>
  <c r="GT201" i="2" a="1"/>
  <c r="GT133" i="2" a="1"/>
  <c r="GT151" i="2" a="1"/>
  <c r="GU2" i="2"/>
  <c r="GT147" i="2" a="1"/>
  <c r="GT152" i="2" a="1"/>
  <c r="GT146" i="2" a="1"/>
  <c r="GT207" i="2" a="1"/>
  <c r="GT143" i="2" a="1"/>
  <c r="GT215" i="2" a="1"/>
  <c r="GT141" i="2" a="1"/>
  <c r="GT145" i="2" a="1"/>
  <c r="GT198" i="2" a="1"/>
  <c r="GT144" i="2" a="1"/>
  <c r="GT205" i="2" a="1"/>
  <c r="GT1" i="2"/>
  <c r="A184" i="7" a="1"/>
  <c r="GX96" i="2"/>
  <c r="GU131" i="2" a="1"/>
  <c r="GU157" i="2" a="1"/>
  <c r="GU215" i="2" a="1"/>
  <c r="GU205" i="2" a="1"/>
  <c r="GU200" i="2" a="1"/>
  <c r="GU137" i="2" a="1"/>
  <c r="GU199" i="2" a="1"/>
  <c r="GU156" i="2" a="1"/>
  <c r="GU147" i="2" a="1"/>
  <c r="GU139" i="2" a="1"/>
  <c r="GU150" i="2" a="1"/>
  <c r="GU206" i="2" a="1"/>
  <c r="GU133" i="2" a="1"/>
  <c r="GU207" i="2" a="1"/>
  <c r="GU132" i="2" a="1"/>
  <c r="GU135" i="2" a="1"/>
  <c r="GU201" i="2" a="1"/>
  <c r="GU149" i="2" a="1"/>
  <c r="GU155" i="2" a="1"/>
  <c r="GU134" i="2" a="1"/>
  <c r="GU153" i="2" a="1"/>
  <c r="GU146" i="2" a="1"/>
  <c r="GV2" i="2"/>
  <c r="GU158" i="2" a="1"/>
  <c r="GU152" i="2" a="1"/>
  <c r="GU151" i="2" a="1"/>
  <c r="GU216" i="2" a="1"/>
  <c r="GU145" i="2" a="1"/>
  <c r="GU141" i="2" a="1"/>
  <c r="GU198" i="2" a="1"/>
  <c r="GU143" i="2" a="1"/>
  <c r="GU140" i="2" a="1"/>
  <c r="GU204" i="2" a="1"/>
  <c r="GU159" i="2" a="1"/>
  <c r="GU144" i="2" a="1"/>
  <c r="GU203" i="2" a="1"/>
  <c r="GU138" i="2" a="1"/>
  <c r="GU197" i="2" a="1"/>
  <c r="GU1" i="2"/>
  <c r="A185" i="7" a="1"/>
  <c r="GW2" i="2"/>
  <c r="GV151" i="2" a="1"/>
  <c r="GV152" i="2" a="1"/>
  <c r="GV206" i="2" a="1"/>
  <c r="GV207" i="2" a="1"/>
  <c r="GV153" i="2" a="1"/>
  <c r="GV158" i="2" a="1"/>
  <c r="GV203" i="2" a="1"/>
  <c r="GV149" i="2" a="1"/>
  <c r="GV150" i="2" a="1"/>
  <c r="GV205" i="2" a="1"/>
  <c r="GV157" i="2" a="1"/>
  <c r="GV146" i="2" a="1"/>
  <c r="GV147" i="2" a="1"/>
  <c r="GV159" i="2" a="1"/>
  <c r="GV143" i="2" a="1"/>
  <c r="GV145" i="2" a="1"/>
  <c r="GV216" i="2" a="1"/>
  <c r="GV144" i="2" a="1"/>
  <c r="GV215" i="2" a="1"/>
  <c r="GV138" i="2" a="1"/>
  <c r="GV141" i="2" a="1"/>
  <c r="GV137" i="2" a="1"/>
  <c r="GV197" i="2" a="1"/>
  <c r="GV199" i="2" a="1"/>
  <c r="GV139" i="2" a="1"/>
  <c r="GV201" i="2" a="1"/>
  <c r="GV140" i="2" a="1"/>
  <c r="GV198" i="2" a="1"/>
  <c r="GV133" i="2" a="1"/>
  <c r="GV200" i="2" a="1"/>
  <c r="GV156" i="2" a="1"/>
  <c r="GV204" i="2" a="1"/>
  <c r="GV135" i="2" a="1"/>
  <c r="GV132" i="2" a="1"/>
  <c r="GV134" i="2" a="1"/>
  <c r="GV155" i="2" a="1"/>
  <c r="GV131" i="2" a="1"/>
  <c r="GV1" i="2"/>
  <c r="A186" i="7" a="1"/>
  <c r="GW157" i="2" a="1"/>
  <c r="GW146" i="2" a="1"/>
  <c r="GW135" i="2" a="1"/>
  <c r="GW155" i="2" a="1"/>
  <c r="GW150" i="2" a="1"/>
  <c r="GW152" i="2" a="1"/>
  <c r="GW134" i="2" a="1"/>
  <c r="GW158" i="2" a="1"/>
  <c r="GW156" i="2" a="1"/>
  <c r="GW131" i="2" a="1"/>
  <c r="GW201" i="2" a="1"/>
  <c r="GW207" i="2" a="1"/>
  <c r="GW197" i="2" a="1"/>
  <c r="GW215" i="2" a="1"/>
  <c r="GW143" i="2" a="1"/>
  <c r="GW145" i="2" a="1"/>
  <c r="GW138" i="2" a="1"/>
  <c r="GW137" i="2" a="1"/>
  <c r="GW206" i="2" a="1"/>
  <c r="GW139" i="2" a="1"/>
  <c r="GW147" i="2" a="1"/>
  <c r="GW140" i="2" a="1"/>
  <c r="GW133" i="2" a="1"/>
  <c r="GW144" i="2" a="1"/>
  <c r="GW153" i="2" a="1"/>
  <c r="GW132" i="2" a="1"/>
  <c r="GW200" i="2" a="1"/>
  <c r="GW216" i="2" a="1"/>
  <c r="GW203" i="2" a="1"/>
  <c r="GW199" i="2" a="1"/>
  <c r="GW151" i="2" a="1"/>
  <c r="GW149" i="2" a="1"/>
  <c r="GW141" i="2" a="1"/>
  <c r="GW159" i="2" a="1"/>
  <c r="GX2" i="2"/>
  <c r="GW204" i="2" a="1"/>
  <c r="GW205" i="2" a="1"/>
  <c r="GW198" i="2" a="1"/>
  <c r="GW1" i="2"/>
  <c r="A187" i="7" a="1"/>
  <c r="V2" i="2"/>
  <c r="T2" i="2"/>
  <c r="E22" i="9"/>
  <c r="S2" i="2"/>
  <c r="U2" i="2"/>
  <c r="GX158" i="2" a="1"/>
  <c r="GX140" i="2" a="1"/>
  <c r="GX215" i="2" a="1"/>
  <c r="GX206" i="2" a="1"/>
  <c r="GX135" i="2" a="1"/>
  <c r="GX146" i="2" a="1"/>
  <c r="GX145" i="2" a="1"/>
  <c r="GX155" i="2" a="1"/>
  <c r="GX137" i="2" a="1"/>
  <c r="GX153" i="2" a="1"/>
  <c r="GX149" i="2" a="1"/>
  <c r="GX156" i="2" a="1"/>
  <c r="GX159" i="2" a="1"/>
  <c r="GX157" i="2" a="1"/>
  <c r="GX204" i="2" a="1"/>
  <c r="GX199" i="2" a="1"/>
  <c r="GX198" i="2" a="1"/>
  <c r="GX134" i="2" a="1"/>
  <c r="GX144" i="2" a="1"/>
  <c r="GX132" i="2" a="1"/>
  <c r="GX133" i="2" a="1"/>
  <c r="GX131" i="2" a="1"/>
  <c r="GX141" i="2" a="1"/>
  <c r="GX139" i="2" a="1"/>
  <c r="GX138" i="2" a="1"/>
  <c r="GX150" i="2" a="1"/>
  <c r="GX147" i="2" a="1"/>
  <c r="GX151" i="2" a="1"/>
  <c r="GX197" i="2" a="1"/>
  <c r="GX201" i="2" a="1"/>
  <c r="GX203" i="2" a="1"/>
  <c r="GX207" i="2" a="1"/>
  <c r="GX216" i="2" a="1"/>
  <c r="GX200" i="2" a="1"/>
  <c r="GX205" i="2" a="1"/>
  <c r="GX143" i="2" a="1"/>
  <c r="GX152" i="2" a="1"/>
  <c r="GX1" i="2"/>
  <c r="A188" i="7" a="1"/>
  <c r="R68" i="2"/>
  <c r="R16" i="2"/>
  <c r="R43" i="2"/>
  <c r="R80" i="2"/>
  <c r="R45" i="2"/>
  <c r="R41" i="2"/>
  <c r="R73" i="2"/>
  <c r="R49" i="2"/>
  <c r="D69" i="9"/>
  <c r="R46" i="2"/>
  <c r="R5" i="2"/>
  <c r="R44" i="2"/>
  <c r="R65" i="2"/>
  <c r="R24" i="2"/>
  <c r="R50" i="2"/>
  <c r="R94" i="2"/>
  <c r="R71" i="2"/>
  <c r="R3" i="2"/>
  <c r="D23" i="9"/>
  <c r="R47" i="2"/>
  <c r="R81" i="2"/>
  <c r="R54" i="2"/>
  <c r="R7" i="2"/>
  <c r="R29" i="2"/>
  <c r="R93" i="2"/>
  <c r="R8" i="2"/>
  <c r="R33" i="2"/>
  <c r="R19" i="2"/>
  <c r="D39" i="9"/>
  <c r="R38" i="2"/>
  <c r="R10" i="2"/>
  <c r="R70" i="2"/>
  <c r="R66" i="2"/>
  <c r="R34" i="2"/>
  <c r="R18" i="2"/>
  <c r="R82" i="2"/>
  <c r="R40" i="2"/>
  <c r="R13" i="2"/>
  <c r="R14" i="2"/>
  <c r="R76" i="2"/>
  <c r="R75" i="2"/>
  <c r="R23" i="2"/>
  <c r="R28" i="2"/>
  <c r="R12" i="2"/>
  <c r="R17" i="2"/>
  <c r="R91" i="2"/>
  <c r="R69" i="2"/>
  <c r="R53" i="2"/>
  <c r="R37" i="2"/>
  <c r="R26" i="2"/>
  <c r="R60" i="2"/>
  <c r="R55" i="2"/>
  <c r="R51" i="2"/>
  <c r="R74" i="2"/>
  <c r="R58" i="2"/>
  <c r="R64" i="2"/>
  <c r="R6" i="2"/>
  <c r="R31" i="2"/>
  <c r="R36" i="2"/>
  <c r="R61" i="2"/>
  <c r="R21" i="2"/>
  <c r="R11" i="2"/>
  <c r="R30" i="2"/>
  <c r="R35" i="2"/>
  <c r="R57" i="2"/>
  <c r="R72" i="2"/>
  <c r="R59" i="2"/>
  <c r="R27" i="2"/>
  <c r="R89" i="2"/>
  <c r="R32" i="2"/>
  <c r="R88" i="2"/>
  <c r="R63" i="2"/>
  <c r="R22" i="2"/>
  <c r="R9" i="2"/>
  <c r="R20" i="2"/>
  <c r="R56" i="2"/>
  <c r="R84" i="2"/>
  <c r="R42" i="2"/>
  <c r="R48" i="2"/>
  <c r="R78" i="2"/>
  <c r="R62" i="2"/>
  <c r="R52" i="2"/>
  <c r="R92" i="2"/>
  <c r="R79" i="2"/>
  <c r="R25" i="2"/>
  <c r="R87" i="2"/>
  <c r="R86" i="2"/>
  <c r="R39" i="2"/>
  <c r="R77" i="2"/>
  <c r="R15" i="2"/>
  <c r="D35" i="9"/>
  <c r="R95" i="2"/>
  <c r="R114" i="2"/>
  <c r="R101" i="2"/>
  <c r="R123" i="2"/>
  <c r="R108" i="2"/>
  <c r="R109" i="2"/>
  <c r="R107" i="2"/>
  <c r="R112" i="2"/>
  <c r="R97" i="2"/>
  <c r="R119" i="2"/>
  <c r="R125" i="2"/>
  <c r="R124" i="2"/>
  <c r="R111" i="2"/>
  <c r="R118" i="2"/>
  <c r="R105" i="2"/>
  <c r="R100" i="2"/>
  <c r="R4" i="2"/>
  <c r="R103" i="2"/>
  <c r="R106" i="2"/>
  <c r="R120" i="2"/>
  <c r="R115" i="2"/>
  <c r="R90" i="2"/>
  <c r="R116" i="2"/>
  <c r="R85" i="2"/>
  <c r="R83" i="2"/>
  <c r="D103" i="9"/>
  <c r="R126" i="2"/>
  <c r="R110" i="2"/>
  <c r="R122" i="2"/>
  <c r="R104" i="2"/>
  <c r="R121" i="2"/>
  <c r="R98" i="2"/>
  <c r="R117" i="2"/>
  <c r="R113" i="2"/>
  <c r="R102" i="2"/>
  <c r="R99" i="2"/>
  <c r="Q59" i="2"/>
  <c r="D79" i="9"/>
  <c r="Q26" i="2"/>
  <c r="D46" i="9"/>
  <c r="Q50" i="2"/>
  <c r="T50" i="2"/>
  <c r="E70" i="9"/>
  <c r="D70" i="9"/>
  <c r="Q24" i="2"/>
  <c r="V24" i="2"/>
  <c r="D44" i="9"/>
  <c r="Q44" i="2"/>
  <c r="U44" i="2"/>
  <c r="D64" i="9"/>
  <c r="Q17" i="2"/>
  <c r="U17" i="2"/>
  <c r="D37" i="9"/>
  <c r="Q46" i="2"/>
  <c r="T46" i="2"/>
  <c r="E66" i="9"/>
  <c r="D66" i="9"/>
  <c r="Q4" i="2"/>
  <c r="S4" i="2"/>
  <c r="D24" i="9"/>
  <c r="H35" i="9"/>
  <c r="Q9" i="2"/>
  <c r="D29" i="9"/>
  <c r="Q31" i="2"/>
  <c r="D51" i="9"/>
  <c r="Q23" i="2"/>
  <c r="D43" i="9"/>
  <c r="Q93" i="2"/>
  <c r="V93" i="2"/>
  <c r="D113" i="9"/>
  <c r="Q73" i="2"/>
  <c r="V73" i="2"/>
  <c r="D93" i="9"/>
  <c r="Q92" i="2"/>
  <c r="V92" i="2"/>
  <c r="D112" i="9"/>
  <c r="Q34" i="2"/>
  <c r="V34" i="2"/>
  <c r="D54" i="9"/>
  <c r="Q37" i="2"/>
  <c r="S37" i="2"/>
  <c r="D57" i="9"/>
  <c r="Q78" i="2"/>
  <c r="D98" i="9"/>
  <c r="Q69" i="2"/>
  <c r="D89" i="9"/>
  <c r="Q11" i="2"/>
  <c r="U11" i="2"/>
  <c r="D31" i="9"/>
  <c r="Q84" i="2"/>
  <c r="V84" i="2"/>
  <c r="D104" i="9"/>
  <c r="Q61" i="2"/>
  <c r="S61" i="2"/>
  <c r="D81" i="9"/>
  <c r="Q20" i="2"/>
  <c r="S20" i="2"/>
  <c r="D40" i="9"/>
  <c r="Q77" i="2"/>
  <c r="S77" i="2"/>
  <c r="D97" i="9"/>
  <c r="Q22" i="2"/>
  <c r="V22" i="2"/>
  <c r="D42" i="9"/>
  <c r="Q6" i="2"/>
  <c r="D26" i="9"/>
  <c r="Q75" i="2"/>
  <c r="D95" i="9"/>
  <c r="Q29" i="2"/>
  <c r="D49" i="9"/>
  <c r="Q41" i="2"/>
  <c r="S41" i="2"/>
  <c r="D61" i="9"/>
  <c r="Q60" i="2"/>
  <c r="U60" i="2"/>
  <c r="D80" i="9"/>
  <c r="Q72" i="2"/>
  <c r="U72" i="2"/>
  <c r="D92" i="9"/>
  <c r="Q62" i="2"/>
  <c r="U62" i="2"/>
  <c r="D82" i="9"/>
  <c r="Q90" i="2"/>
  <c r="S90" i="2"/>
  <c r="D110" i="9"/>
  <c r="Q65" i="2"/>
  <c r="D85" i="9"/>
  <c r="H39" i="9"/>
  <c r="H69" i="9"/>
  <c r="Q39" i="2"/>
  <c r="D59" i="9"/>
  <c r="Q63" i="2"/>
  <c r="V63" i="2"/>
  <c r="D83" i="9"/>
  <c r="Q64" i="2"/>
  <c r="T64" i="2"/>
  <c r="E84" i="9"/>
  <c r="D84" i="9"/>
  <c r="Q76" i="2"/>
  <c r="V76" i="2"/>
  <c r="D96" i="9"/>
  <c r="Q7" i="2"/>
  <c r="T7" i="2"/>
  <c r="E27" i="9"/>
  <c r="D27" i="9"/>
  <c r="Q45" i="2"/>
  <c r="S45" i="2"/>
  <c r="D65" i="9"/>
  <c r="Q18" i="2"/>
  <c r="D38" i="9"/>
  <c r="Q52" i="2"/>
  <c r="D72" i="9"/>
  <c r="Q21" i="2"/>
  <c r="V21" i="2"/>
  <c r="D41" i="9"/>
  <c r="Q33" i="2"/>
  <c r="V33" i="2"/>
  <c r="D53" i="9"/>
  <c r="Q95" i="2"/>
  <c r="V95" i="2"/>
  <c r="D115" i="9"/>
  <c r="Q86" i="2"/>
  <c r="S86" i="2"/>
  <c r="D106" i="9"/>
  <c r="Q88" i="2"/>
  <c r="V88" i="2"/>
  <c r="D108" i="9"/>
  <c r="Q58" i="2"/>
  <c r="T58" i="2"/>
  <c r="E78" i="9"/>
  <c r="D78" i="9"/>
  <c r="Q14" i="2"/>
  <c r="D34" i="9"/>
  <c r="Q54" i="2"/>
  <c r="D74" i="9"/>
  <c r="Q80" i="2"/>
  <c r="U80" i="2"/>
  <c r="D100" i="9"/>
  <c r="H103" i="9"/>
  <c r="Q66" i="2"/>
  <c r="V66" i="2"/>
  <c r="D86" i="9"/>
  <c r="Q35" i="2"/>
  <c r="V35" i="2"/>
  <c r="D55" i="9"/>
  <c r="Q10" i="2"/>
  <c r="S10" i="2"/>
  <c r="D30" i="9"/>
  <c r="Q38" i="2"/>
  <c r="S38" i="2"/>
  <c r="D58" i="9"/>
  <c r="Q5" i="2"/>
  <c r="S5" i="2"/>
  <c r="D25" i="9"/>
  <c r="Q56" i="2"/>
  <c r="V56" i="2"/>
  <c r="D76" i="9"/>
  <c r="Q8" i="2"/>
  <c r="S8" i="2"/>
  <c r="D28" i="9"/>
  <c r="Q87" i="2"/>
  <c r="V87" i="2"/>
  <c r="D107" i="9"/>
  <c r="Q32" i="2"/>
  <c r="V32" i="2"/>
  <c r="D52" i="9"/>
  <c r="Q74" i="2"/>
  <c r="T74" i="2"/>
  <c r="E94" i="9"/>
  <c r="D94" i="9"/>
  <c r="Q13" i="2"/>
  <c r="S13" i="2"/>
  <c r="D33" i="9"/>
  <c r="Q81" i="2"/>
  <c r="V81" i="2"/>
  <c r="D101" i="9"/>
  <c r="Q43" i="2"/>
  <c r="D63" i="9"/>
  <c r="Q94" i="2"/>
  <c r="T94" i="2"/>
  <c r="E114" i="9"/>
  <c r="D114" i="9"/>
  <c r="Q57" i="2"/>
  <c r="D77" i="9"/>
  <c r="Q53" i="2"/>
  <c r="U53" i="2"/>
  <c r="D73" i="9"/>
  <c r="Q48" i="2"/>
  <c r="U48" i="2"/>
  <c r="D68" i="9"/>
  <c r="Q42" i="2"/>
  <c r="T42" i="2"/>
  <c r="E62" i="9"/>
  <c r="D62" i="9"/>
  <c r="Q28" i="2"/>
  <c r="V28" i="2"/>
  <c r="D48" i="9"/>
  <c r="Q25" i="2"/>
  <c r="U25" i="2"/>
  <c r="D45" i="9"/>
  <c r="Q89" i="2"/>
  <c r="D109" i="9"/>
  <c r="Q51" i="2"/>
  <c r="D71" i="9"/>
  <c r="Q40" i="2"/>
  <c r="V40" i="2"/>
  <c r="D60" i="9"/>
  <c r="Q47" i="2"/>
  <c r="U47" i="2"/>
  <c r="D67" i="9"/>
  <c r="Q16" i="2"/>
  <c r="U16" i="2"/>
  <c r="D36" i="9"/>
  <c r="Q71" i="2"/>
  <c r="U71" i="2"/>
  <c r="D91" i="9"/>
  <c r="Q85" i="2"/>
  <c r="V85" i="2"/>
  <c r="D105" i="9"/>
  <c r="Q70" i="2"/>
  <c r="T70" i="2"/>
  <c r="E90" i="9"/>
  <c r="D90" i="9"/>
  <c r="Q30" i="2"/>
  <c r="D50" i="9"/>
  <c r="Q91" i="2"/>
  <c r="U91" i="2"/>
  <c r="D111" i="9"/>
  <c r="Q12" i="2"/>
  <c r="D32" i="9"/>
  <c r="Q36" i="2"/>
  <c r="T36" i="2"/>
  <c r="E56" i="9"/>
  <c r="D56" i="9"/>
  <c r="Q79" i="2"/>
  <c r="U79" i="2"/>
  <c r="D99" i="9"/>
  <c r="Q27" i="2"/>
  <c r="V27" i="2"/>
  <c r="D47" i="9"/>
  <c r="Q55" i="2"/>
  <c r="T55" i="2"/>
  <c r="E75" i="9"/>
  <c r="D75" i="9"/>
  <c r="Q82" i="2"/>
  <c r="V82" i="2"/>
  <c r="D102" i="9"/>
  <c r="H23" i="9"/>
  <c r="Q68" i="2"/>
  <c r="V68" i="2"/>
  <c r="D88" i="9"/>
  <c r="Q19" i="2"/>
  <c r="H36" i="1"/>
  <c r="I36" i="1"/>
  <c r="Q49" i="2"/>
  <c r="B86" i="1"/>
  <c r="B87" i="1"/>
  <c r="H37" i="1"/>
  <c r="I37" i="1"/>
  <c r="Q15" i="2"/>
  <c r="H35" i="1"/>
  <c r="I35" i="1"/>
  <c r="Q3" i="2"/>
  <c r="G6" i="1"/>
  <c r="R128" i="2"/>
  <c r="G5" i="1"/>
  <c r="H34" i="1"/>
  <c r="Q83" i="2"/>
  <c r="H38" i="1"/>
  <c r="I38" i="1"/>
  <c r="T8" i="2"/>
  <c r="E28" i="9"/>
  <c r="V8" i="2"/>
  <c r="U8" i="2"/>
  <c r="T26" i="2"/>
  <c r="E46" i="9"/>
  <c r="V26" i="2"/>
  <c r="S26" i="2"/>
  <c r="U59" i="2"/>
  <c r="S59" i="2"/>
  <c r="V59" i="2"/>
  <c r="T59" i="2"/>
  <c r="E79" i="9"/>
  <c r="S9" i="2"/>
  <c r="V9" i="2"/>
  <c r="U9" i="2"/>
  <c r="T9" i="2"/>
  <c r="E29" i="9"/>
  <c r="V31" i="2"/>
  <c r="S31" i="2"/>
  <c r="T31" i="2"/>
  <c r="E51" i="9"/>
  <c r="U31" i="2"/>
  <c r="U23" i="2"/>
  <c r="V23" i="2"/>
  <c r="T23" i="2"/>
  <c r="E43" i="9"/>
  <c r="U29" i="2"/>
  <c r="S29" i="2"/>
  <c r="U18" i="2"/>
  <c r="V18" i="2"/>
  <c r="S18" i="2"/>
  <c r="T18" i="2"/>
  <c r="E38" i="9"/>
  <c r="T52" i="2"/>
  <c r="E72" i="9"/>
  <c r="V52" i="2"/>
  <c r="V5" i="2"/>
  <c r="T5" i="2"/>
  <c r="E25" i="9"/>
  <c r="U5" i="2"/>
  <c r="S57" i="2"/>
  <c r="T57" i="2"/>
  <c r="E77" i="9"/>
  <c r="V57" i="2"/>
  <c r="U57" i="2"/>
  <c r="V12" i="2"/>
  <c r="T12" i="2"/>
  <c r="E32" i="9"/>
  <c r="S12" i="2"/>
  <c r="U12" i="2"/>
  <c r="U50" i="2"/>
  <c r="S50" i="2"/>
  <c r="V50" i="2"/>
  <c r="T78" i="2"/>
  <c r="E98" i="9"/>
  <c r="S78" i="2"/>
  <c r="U78" i="2"/>
  <c r="V78" i="2"/>
  <c r="S69" i="2"/>
  <c r="T69" i="2"/>
  <c r="E89" i="9"/>
  <c r="V69" i="2"/>
  <c r="U69" i="2"/>
  <c r="V6" i="2"/>
  <c r="T6" i="2"/>
  <c r="E26" i="9"/>
  <c r="S6" i="2"/>
  <c r="U6" i="2"/>
  <c r="T75" i="2"/>
  <c r="E95" i="9"/>
  <c r="S75" i="2"/>
  <c r="V75" i="2"/>
  <c r="U75" i="2"/>
  <c r="V65" i="2"/>
  <c r="S65" i="2"/>
  <c r="T65" i="2"/>
  <c r="E85" i="9"/>
  <c r="U65" i="2"/>
  <c r="T39" i="2"/>
  <c r="E59" i="9"/>
  <c r="V39" i="2"/>
  <c r="U39" i="2"/>
  <c r="V14" i="2"/>
  <c r="T14" i="2"/>
  <c r="E34" i="9"/>
  <c r="S14" i="2"/>
  <c r="U14" i="2"/>
  <c r="S54" i="2"/>
  <c r="U54" i="2"/>
  <c r="T54" i="2"/>
  <c r="E74" i="9"/>
  <c r="S43" i="2"/>
  <c r="U43" i="2"/>
  <c r="V43" i="2"/>
  <c r="T43" i="2"/>
  <c r="E63" i="9"/>
  <c r="T89" i="2"/>
  <c r="E109" i="9"/>
  <c r="S89" i="2"/>
  <c r="V89" i="2"/>
  <c r="U89" i="2"/>
  <c r="U51" i="2"/>
  <c r="S51" i="2"/>
  <c r="V51" i="2"/>
  <c r="V30" i="2"/>
  <c r="U30" i="2"/>
  <c r="S30" i="2"/>
  <c r="T30" i="2"/>
  <c r="E50" i="9"/>
  <c r="V29" i="2"/>
  <c r="V80" i="2"/>
  <c r="T80" i="2"/>
  <c r="E100" i="9"/>
  <c r="S80" i="2"/>
  <c r="V54" i="2"/>
  <c r="T51" i="2"/>
  <c r="E71" i="9"/>
  <c r="U26" i="2"/>
  <c r="V94" i="2"/>
  <c r="U87" i="2"/>
  <c r="U85" i="2"/>
  <c r="T29" i="2"/>
  <c r="E49" i="9"/>
  <c r="S23" i="2"/>
  <c r="S87" i="2"/>
  <c r="U66" i="2"/>
  <c r="T11" i="2"/>
  <c r="E31" i="9"/>
  <c r="V60" i="2"/>
  <c r="V11" i="2"/>
  <c r="T24" i="2"/>
  <c r="E44" i="9"/>
  <c r="S24" i="2"/>
  <c r="S39" i="2"/>
  <c r="U24" i="2"/>
  <c r="S84" i="2"/>
  <c r="T93" i="2"/>
  <c r="E113" i="9"/>
  <c r="V48" i="2"/>
  <c r="F103" i="9"/>
  <c r="S85" i="2"/>
  <c r="S82" i="2"/>
  <c r="S34" i="2"/>
  <c r="U55" i="2"/>
  <c r="S81" i="2"/>
  <c r="U95" i="2"/>
  <c r="T44" i="2"/>
  <c r="E64" i="9"/>
  <c r="T20" i="2"/>
  <c r="E40" i="9"/>
  <c r="U20" i="2"/>
  <c r="V20" i="2"/>
  <c r="U34" i="2"/>
  <c r="S55" i="2"/>
  <c r="U13" i="2"/>
  <c r="T45" i="2"/>
  <c r="E65" i="9"/>
  <c r="S95" i="2"/>
  <c r="V44" i="2"/>
  <c r="S33" i="2"/>
  <c r="T28" i="2"/>
  <c r="E48" i="9"/>
  <c r="U81" i="2"/>
  <c r="T10" i="2"/>
  <c r="E30" i="9"/>
  <c r="V55" i="2"/>
  <c r="V13" i="2"/>
  <c r="S93" i="2"/>
  <c r="U10" i="2"/>
  <c r="T92" i="2"/>
  <c r="E112" i="9"/>
  <c r="T13" i="2"/>
  <c r="E33" i="9"/>
  <c r="U93" i="2"/>
  <c r="U33" i="2"/>
  <c r="T33" i="2"/>
  <c r="E53" i="9"/>
  <c r="U82" i="2"/>
  <c r="V10" i="2"/>
  <c r="S92" i="2"/>
  <c r="T90" i="2"/>
  <c r="E110" i="9"/>
  <c r="U92" i="2"/>
  <c r="S72" i="2"/>
  <c r="V41" i="2"/>
  <c r="T81" i="2"/>
  <c r="E101" i="9"/>
  <c r="U45" i="2"/>
  <c r="T95" i="2"/>
  <c r="E115" i="9"/>
  <c r="T84" i="2"/>
  <c r="E104" i="9"/>
  <c r="U7" i="2"/>
  <c r="S44" i="2"/>
  <c r="V37" i="2"/>
  <c r="T85" i="2"/>
  <c r="E105" i="9"/>
  <c r="S79" i="2"/>
  <c r="S25" i="2"/>
  <c r="T87" i="2"/>
  <c r="E107" i="9"/>
  <c r="V58" i="2"/>
  <c r="S28" i="2"/>
  <c r="V38" i="2"/>
  <c r="T82" i="2"/>
  <c r="E102" i="9"/>
  <c r="V7" i="2"/>
  <c r="V70" i="2"/>
  <c r="T25" i="2"/>
  <c r="E45" i="9"/>
  <c r="V79" i="2"/>
  <c r="V25" i="2"/>
  <c r="T88" i="2"/>
  <c r="E108" i="9"/>
  <c r="U28" i="2"/>
  <c r="V45" i="2"/>
  <c r="U70" i="2"/>
  <c r="T37" i="2"/>
  <c r="E57" i="9"/>
  <c r="U38" i="2"/>
  <c r="S64" i="2"/>
  <c r="T79" i="2"/>
  <c r="E99" i="9"/>
  <c r="S16" i="2"/>
  <c r="U88" i="2"/>
  <c r="U22" i="2"/>
  <c r="V90" i="2"/>
  <c r="S70" i="2"/>
  <c r="V16" i="2"/>
  <c r="S88" i="2"/>
  <c r="U41" i="2"/>
  <c r="T22" i="2"/>
  <c r="E42" i="9"/>
  <c r="S7" i="2"/>
  <c r="U58" i="2"/>
  <c r="U64" i="2"/>
  <c r="S58" i="2"/>
  <c r="T38" i="2"/>
  <c r="E58" i="9"/>
  <c r="T16" i="2"/>
  <c r="E36" i="9"/>
  <c r="T41" i="2"/>
  <c r="E61" i="9"/>
  <c r="S22" i="2"/>
  <c r="U37" i="2"/>
  <c r="T35" i="2"/>
  <c r="E55" i="9"/>
  <c r="U90" i="2"/>
  <c r="T34" i="2"/>
  <c r="E54" i="9"/>
  <c r="U42" i="2"/>
  <c r="H99" i="9"/>
  <c r="F99" i="9"/>
  <c r="H36" i="9"/>
  <c r="F36" i="9"/>
  <c r="H68" i="9"/>
  <c r="F68" i="9"/>
  <c r="H52" i="9"/>
  <c r="F52" i="9"/>
  <c r="H86" i="9"/>
  <c r="F86" i="9"/>
  <c r="H115" i="9"/>
  <c r="F115" i="9"/>
  <c r="H84" i="9"/>
  <c r="F84" i="9"/>
  <c r="H92" i="9"/>
  <c r="F92" i="9"/>
  <c r="H40" i="9"/>
  <c r="F40" i="9"/>
  <c r="H112" i="9"/>
  <c r="F112" i="9"/>
  <c r="H66" i="9"/>
  <c r="F66" i="9"/>
  <c r="T76" i="2"/>
  <c r="E96" i="9"/>
  <c r="S42" i="2"/>
  <c r="V42" i="2"/>
  <c r="H56" i="9"/>
  <c r="F56" i="9"/>
  <c r="H67" i="9"/>
  <c r="F67" i="9"/>
  <c r="H73" i="9"/>
  <c r="F73" i="9"/>
  <c r="H107" i="9"/>
  <c r="F107" i="9"/>
  <c r="H53" i="9"/>
  <c r="F53" i="9"/>
  <c r="H83" i="9"/>
  <c r="F83" i="9"/>
  <c r="F80" i="9"/>
  <c r="H80" i="9"/>
  <c r="H81" i="9"/>
  <c r="F81" i="9"/>
  <c r="H93" i="9"/>
  <c r="F93" i="9"/>
  <c r="H37" i="9"/>
  <c r="F37" i="9"/>
  <c r="F47" i="9"/>
  <c r="H47" i="9"/>
  <c r="H62" i="9"/>
  <c r="F62" i="9"/>
  <c r="H55" i="9"/>
  <c r="F55" i="9"/>
  <c r="H96" i="9"/>
  <c r="F96" i="9"/>
  <c r="H82" i="9"/>
  <c r="F82" i="9"/>
  <c r="H97" i="9"/>
  <c r="F97" i="9"/>
  <c r="H24" i="9"/>
  <c r="F24" i="9"/>
  <c r="U76" i="2"/>
  <c r="T71" i="2"/>
  <c r="E91" i="9"/>
  <c r="H88" i="9"/>
  <c r="F88" i="9"/>
  <c r="H28" i="9"/>
  <c r="F28" i="9"/>
  <c r="H59" i="9"/>
  <c r="F59" i="9"/>
  <c r="H64" i="9"/>
  <c r="F64" i="9"/>
  <c r="V71" i="2"/>
  <c r="T61" i="2"/>
  <c r="E81" i="9"/>
  <c r="H71" i="9"/>
  <c r="F71" i="9"/>
  <c r="H72" i="9"/>
  <c r="F72" i="9"/>
  <c r="H44" i="9"/>
  <c r="F44" i="9"/>
  <c r="T72" i="2"/>
  <c r="E92" i="9"/>
  <c r="F22" i="9"/>
  <c r="S53" i="2"/>
  <c r="T62" i="2"/>
  <c r="E82" i="9"/>
  <c r="V72" i="2"/>
  <c r="T68" i="2"/>
  <c r="E88" i="9"/>
  <c r="V47" i="2"/>
  <c r="V74" i="2"/>
  <c r="V86" i="2"/>
  <c r="V64" i="2"/>
  <c r="V77" i="2"/>
  <c r="U4" i="2"/>
  <c r="U61" i="2"/>
  <c r="S21" i="2"/>
  <c r="T91" i="2"/>
  <c r="E111" i="9"/>
  <c r="H50" i="9"/>
  <c r="F50" i="9"/>
  <c r="H109" i="9"/>
  <c r="F109" i="9"/>
  <c r="H63" i="9"/>
  <c r="F63" i="9"/>
  <c r="H25" i="9"/>
  <c r="F25" i="9"/>
  <c r="H34" i="9"/>
  <c r="F34" i="9"/>
  <c r="H38" i="9"/>
  <c r="F38" i="9"/>
  <c r="F39" i="9"/>
  <c r="H95" i="9"/>
  <c r="F95" i="9"/>
  <c r="H89" i="9"/>
  <c r="F89" i="9"/>
  <c r="H51" i="9"/>
  <c r="F51" i="9"/>
  <c r="H70" i="9"/>
  <c r="F70" i="9"/>
  <c r="S71" i="2"/>
  <c r="H32" i="9"/>
  <c r="F32" i="9"/>
  <c r="H100" i="9"/>
  <c r="F100" i="9"/>
  <c r="H113" i="9"/>
  <c r="F113" i="9"/>
  <c r="S17" i="2"/>
  <c r="T17" i="2"/>
  <c r="E37" i="9"/>
  <c r="H114" i="9"/>
  <c r="F114" i="9"/>
  <c r="H49" i="9"/>
  <c r="F49" i="9"/>
  <c r="T53" i="2"/>
  <c r="E73" i="9"/>
  <c r="V17" i="2"/>
  <c r="V53" i="2"/>
  <c r="S62" i="2"/>
  <c r="S68" i="2"/>
  <c r="T27" i="2"/>
  <c r="E47" i="9"/>
  <c r="U40" i="2"/>
  <c r="T32" i="2"/>
  <c r="E52" i="9"/>
  <c r="T63" i="2"/>
  <c r="E83" i="9"/>
  <c r="U73" i="2"/>
  <c r="V4" i="2"/>
  <c r="V61" i="2"/>
  <c r="U21" i="2"/>
  <c r="S91" i="2"/>
  <c r="F23" i="9"/>
  <c r="S74" i="2"/>
  <c r="U86" i="2"/>
  <c r="H76" i="9"/>
  <c r="F76" i="9"/>
  <c r="H43" i="9"/>
  <c r="F43" i="9"/>
  <c r="V62" i="2"/>
  <c r="T4" i="2"/>
  <c r="E24" i="9"/>
  <c r="S48" i="2"/>
  <c r="S35" i="2"/>
  <c r="T66" i="2"/>
  <c r="E86" i="9"/>
  <c r="U94" i="2"/>
  <c r="U52" i="2"/>
  <c r="T60" i="2"/>
  <c r="E80" i="9"/>
  <c r="U68" i="2"/>
  <c r="S27" i="2"/>
  <c r="S40" i="2"/>
  <c r="S32" i="2"/>
  <c r="U63" i="2"/>
  <c r="T73" i="2"/>
  <c r="E93" i="9"/>
  <c r="U36" i="2"/>
  <c r="S46" i="2"/>
  <c r="S56" i="2"/>
  <c r="T21" i="2"/>
  <c r="E41" i="9"/>
  <c r="V91" i="2"/>
  <c r="H102" i="9"/>
  <c r="F102" i="9"/>
  <c r="H90" i="9"/>
  <c r="F90" i="9"/>
  <c r="H45" i="9"/>
  <c r="F45" i="9"/>
  <c r="H101" i="9"/>
  <c r="F101" i="9"/>
  <c r="H58" i="9"/>
  <c r="F58" i="9"/>
  <c r="H78" i="9"/>
  <c r="F78" i="9"/>
  <c r="H65" i="9"/>
  <c r="F65" i="9"/>
  <c r="H85" i="9"/>
  <c r="F85" i="9"/>
  <c r="H26" i="9"/>
  <c r="F26" i="9"/>
  <c r="H98" i="9"/>
  <c r="F98" i="9"/>
  <c r="H29" i="9"/>
  <c r="F29" i="9"/>
  <c r="H46" i="9"/>
  <c r="F46" i="9"/>
  <c r="H91" i="9"/>
  <c r="F91" i="9"/>
  <c r="H94" i="9"/>
  <c r="F94" i="9"/>
  <c r="H106" i="9"/>
  <c r="F106" i="9"/>
  <c r="H54" i="9"/>
  <c r="F54" i="9"/>
  <c r="S76" i="2"/>
  <c r="H60" i="9"/>
  <c r="F60" i="9"/>
  <c r="H41" i="9"/>
  <c r="F41" i="9"/>
  <c r="H61" i="9"/>
  <c r="F61" i="9"/>
  <c r="T47" i="2"/>
  <c r="E67" i="9"/>
  <c r="U77" i="2"/>
  <c r="S47" i="2"/>
  <c r="T77" i="2"/>
  <c r="E97" i="9"/>
  <c r="H111" i="9"/>
  <c r="F111" i="9"/>
  <c r="H74" i="9"/>
  <c r="F74" i="9"/>
  <c r="F31" i="9"/>
  <c r="H31" i="9"/>
  <c r="T86" i="2"/>
  <c r="E106" i="9"/>
  <c r="T48" i="2"/>
  <c r="E68" i="9"/>
  <c r="U35" i="2"/>
  <c r="S66" i="2"/>
  <c r="S94" i="2"/>
  <c r="S52" i="2"/>
  <c r="S60" i="2"/>
  <c r="U27" i="2"/>
  <c r="T40" i="2"/>
  <c r="E60" i="9"/>
  <c r="U32" i="2"/>
  <c r="S63" i="2"/>
  <c r="S73" i="2"/>
  <c r="S36" i="2"/>
  <c r="U46" i="2"/>
  <c r="U56" i="2"/>
  <c r="H77" i="9"/>
  <c r="F77" i="9"/>
  <c r="H104" i="9"/>
  <c r="F104" i="9"/>
  <c r="U74" i="2"/>
  <c r="F87" i="9"/>
  <c r="F69" i="9"/>
  <c r="V36" i="2"/>
  <c r="V46" i="2"/>
  <c r="T56" i="2"/>
  <c r="E76" i="9"/>
  <c r="U84" i="2"/>
  <c r="S11" i="2"/>
  <c r="H75" i="9"/>
  <c r="F75" i="9"/>
  <c r="H105" i="9"/>
  <c r="F105" i="9"/>
  <c r="H48" i="9"/>
  <c r="F48" i="9"/>
  <c r="H33" i="9"/>
  <c r="F33" i="9"/>
  <c r="H30" i="9"/>
  <c r="F30" i="9"/>
  <c r="H108" i="9"/>
  <c r="F108" i="9"/>
  <c r="F27" i="9"/>
  <c r="H27" i="9"/>
  <c r="H110" i="9"/>
  <c r="F110" i="9"/>
  <c r="H42" i="9"/>
  <c r="F42" i="9"/>
  <c r="H57" i="9"/>
  <c r="F57" i="9"/>
  <c r="F35" i="9"/>
  <c r="F79" i="9"/>
  <c r="H79" i="9"/>
  <c r="V83" i="2"/>
  <c r="S83" i="2"/>
  <c r="T83" i="2"/>
  <c r="E103" i="9"/>
  <c r="U83" i="2"/>
  <c r="I34" i="1"/>
  <c r="H39" i="1"/>
  <c r="V15" i="2"/>
  <c r="T15" i="2"/>
  <c r="E35" i="9"/>
  <c r="U15" i="2"/>
  <c r="S15" i="2"/>
  <c r="V3" i="2"/>
  <c r="U3" i="2"/>
  <c r="T3" i="2"/>
  <c r="E23" i="9"/>
  <c r="S3" i="2"/>
  <c r="V49" i="2"/>
  <c r="T49" i="2"/>
  <c r="E69" i="9"/>
  <c r="S49" i="2"/>
  <c r="U49" i="2"/>
  <c r="U19" i="2"/>
  <c r="S19" i="2"/>
  <c r="V19" i="2"/>
  <c r="T19" i="2"/>
  <c r="E39" i="9"/>
  <c r="B131" i="9"/>
  <c r="B130" i="9"/>
  <c r="B128" i="9"/>
  <c r="G89" i="9"/>
  <c r="I89" i="9"/>
  <c r="K89" i="9"/>
  <c r="G69" i="9"/>
  <c r="I69" i="9"/>
  <c r="K69" i="9"/>
  <c r="G67" i="9"/>
  <c r="I67" i="9"/>
  <c r="G29" i="9"/>
  <c r="I29" i="9"/>
  <c r="G95" i="9"/>
  <c r="I95" i="9"/>
  <c r="G90" i="9"/>
  <c r="I90" i="9"/>
  <c r="G60" i="9"/>
  <c r="I60" i="9"/>
  <c r="G79" i="9"/>
  <c r="I79" i="9"/>
  <c r="G48" i="9"/>
  <c r="I48" i="9"/>
  <c r="G77" i="9"/>
  <c r="I77" i="9"/>
  <c r="G26" i="9"/>
  <c r="I26" i="9"/>
  <c r="G102" i="9"/>
  <c r="I102" i="9"/>
  <c r="G113" i="9"/>
  <c r="I113" i="9"/>
  <c r="G38" i="9"/>
  <c r="I38" i="9"/>
  <c r="G52" i="9"/>
  <c r="I52" i="9"/>
  <c r="G35" i="9"/>
  <c r="I35" i="9"/>
  <c r="G82" i="9"/>
  <c r="I82" i="9"/>
  <c r="G30" i="9"/>
  <c r="I30" i="9"/>
  <c r="G106" i="9"/>
  <c r="I106" i="9"/>
  <c r="G112" i="9"/>
  <c r="I112" i="9"/>
  <c r="G111" i="9"/>
  <c r="I111" i="9"/>
  <c r="G43" i="9"/>
  <c r="I43" i="9"/>
  <c r="G59" i="9"/>
  <c r="I59" i="9"/>
  <c r="G55" i="9"/>
  <c r="I55" i="9"/>
  <c r="G53" i="9"/>
  <c r="I53" i="9"/>
  <c r="G87" i="9"/>
  <c r="I87" i="9"/>
  <c r="G41" i="9"/>
  <c r="I41" i="9"/>
  <c r="G72" i="9"/>
  <c r="I72" i="9"/>
  <c r="G104" i="9"/>
  <c r="I104" i="9"/>
  <c r="G71" i="9"/>
  <c r="I71" i="9"/>
  <c r="G57" i="9"/>
  <c r="I57" i="9"/>
  <c r="G100" i="9"/>
  <c r="I100" i="9"/>
  <c r="G68" i="9"/>
  <c r="I68" i="9"/>
  <c r="G83" i="9"/>
  <c r="I83" i="9"/>
  <c r="G75" i="9"/>
  <c r="I75" i="9"/>
  <c r="G32" i="9"/>
  <c r="I32" i="9"/>
  <c r="G110" i="9"/>
  <c r="I110" i="9"/>
  <c r="G94" i="9"/>
  <c r="I94" i="9"/>
  <c r="G78" i="9"/>
  <c r="I78" i="9"/>
  <c r="G63" i="9"/>
  <c r="I63" i="9"/>
  <c r="G40" i="9"/>
  <c r="I40" i="9"/>
  <c r="G99" i="9"/>
  <c r="I99" i="9"/>
  <c r="G23" i="9"/>
  <c r="I23" i="9"/>
  <c r="G114" i="9"/>
  <c r="I114" i="9"/>
  <c r="G93" i="9"/>
  <c r="I93" i="9"/>
  <c r="G86" i="9"/>
  <c r="I86" i="9"/>
  <c r="G85" i="9"/>
  <c r="I85" i="9"/>
  <c r="G66" i="9"/>
  <c r="I66" i="9"/>
  <c r="G64" i="9"/>
  <c r="I64" i="9"/>
  <c r="G25" i="9"/>
  <c r="I25" i="9"/>
  <c r="G36" i="9"/>
  <c r="I36" i="9"/>
  <c r="G76" i="9"/>
  <c r="I76" i="9"/>
  <c r="G70" i="9"/>
  <c r="I70" i="9"/>
  <c r="G28" i="9"/>
  <c r="I28" i="9"/>
  <c r="G62" i="9"/>
  <c r="I62" i="9"/>
  <c r="G107" i="9"/>
  <c r="I107" i="9"/>
  <c r="G61" i="9"/>
  <c r="I61" i="9"/>
  <c r="G37" i="9"/>
  <c r="I37" i="9"/>
  <c r="G45" i="9"/>
  <c r="I45" i="9"/>
  <c r="B127" i="9"/>
  <c r="G81" i="9"/>
  <c r="I81" i="9"/>
  <c r="G54" i="9"/>
  <c r="I54" i="9"/>
  <c r="G34" i="9"/>
  <c r="I34" i="9"/>
  <c r="G74" i="9"/>
  <c r="I74" i="9"/>
  <c r="G42" i="9"/>
  <c r="I42" i="9"/>
  <c r="G91" i="9"/>
  <c r="I91" i="9"/>
  <c r="G58" i="9"/>
  <c r="I58" i="9"/>
  <c r="G109" i="9"/>
  <c r="I109" i="9"/>
  <c r="G92" i="9"/>
  <c r="I92" i="9"/>
  <c r="G44" i="9"/>
  <c r="I44" i="9"/>
  <c r="G24" i="9"/>
  <c r="I24" i="9"/>
  <c r="G98" i="9"/>
  <c r="I98" i="9"/>
  <c r="G97" i="9"/>
  <c r="I97" i="9"/>
  <c r="G31" i="9"/>
  <c r="I31" i="9"/>
  <c r="G80" i="9"/>
  <c r="I80" i="9"/>
  <c r="G96" i="9"/>
  <c r="I96" i="9"/>
  <c r="G65" i="9"/>
  <c r="I65" i="9"/>
  <c r="C6" i="1"/>
  <c r="G27" i="9"/>
  <c r="I27" i="9"/>
  <c r="G51" i="9"/>
  <c r="I51" i="9"/>
  <c r="G22" i="9"/>
  <c r="G88" i="9"/>
  <c r="I88" i="9"/>
  <c r="G73" i="9"/>
  <c r="I73" i="9"/>
  <c r="G115" i="9"/>
  <c r="I115" i="9"/>
  <c r="G56" i="9"/>
  <c r="I56" i="9"/>
  <c r="G33" i="9"/>
  <c r="I33" i="9"/>
  <c r="G39" i="9"/>
  <c r="I39" i="9"/>
  <c r="G105" i="9"/>
  <c r="I105" i="9"/>
  <c r="C14" i="1"/>
  <c r="B129" i="9"/>
  <c r="G108" i="9"/>
  <c r="I108" i="9"/>
  <c r="G46" i="9"/>
  <c r="I46" i="9"/>
  <c r="G101" i="9"/>
  <c r="I101" i="9"/>
  <c r="G49" i="9"/>
  <c r="I49" i="9"/>
  <c r="G50" i="9"/>
  <c r="I50" i="9"/>
  <c r="G47" i="9"/>
  <c r="I47" i="9"/>
  <c r="G84" i="9"/>
  <c r="I84" i="9"/>
  <c r="G103" i="9"/>
  <c r="I103" i="9"/>
  <c r="B120" i="9"/>
  <c r="B149" i="9"/>
  <c r="B122" i="9"/>
  <c r="B151" i="9"/>
  <c r="B121" i="9"/>
  <c r="B150" i="9"/>
  <c r="F34" i="1"/>
  <c r="C12" i="1"/>
  <c r="B10" i="1"/>
  <c r="C10" i="1"/>
  <c r="B11" i="1"/>
  <c r="D34" i="1"/>
  <c r="C11" i="1"/>
  <c r="E34" i="1"/>
  <c r="B34" i="1"/>
  <c r="B12" i="1"/>
  <c r="C13" i="1"/>
  <c r="B13" i="1"/>
  <c r="C34" i="1"/>
  <c r="B14" i="1"/>
  <c r="D2" i="1"/>
  <c r="C5" i="1"/>
  <c r="E5" i="1"/>
  <c r="A6" i="1"/>
  <c r="E6" i="1"/>
  <c r="B83" i="1"/>
  <c r="C85" i="1"/>
  <c r="B84" i="1"/>
  <c r="A5" i="1"/>
  <c r="C84" i="1"/>
  <c r="C83" i="1"/>
  <c r="B85" i="1"/>
  <c r="F35" i="1"/>
  <c r="E35" i="1"/>
  <c r="B35" i="1"/>
  <c r="D35" i="1"/>
  <c r="C35" i="1"/>
  <c r="D36" i="1"/>
  <c r="E36" i="1"/>
  <c r="F36" i="1"/>
  <c r="C36" i="1"/>
  <c r="B36" i="1"/>
  <c r="F37" i="1"/>
  <c r="D37" i="1"/>
  <c r="E37" i="1"/>
  <c r="C37" i="1"/>
  <c r="B37" i="1"/>
  <c r="F38" i="1"/>
  <c r="B38" i="1"/>
  <c r="E38" i="1"/>
  <c r="C38" i="1"/>
  <c r="D38" i="1"/>
  <c r="B132" i="9"/>
  <c r="C129" i="9"/>
  <c r="J89" i="9"/>
  <c r="J69" i="9"/>
  <c r="J49" i="9"/>
  <c r="K49" i="9"/>
  <c r="K86" i="9"/>
  <c r="J86" i="9"/>
  <c r="K101" i="9"/>
  <c r="J101" i="9"/>
  <c r="J96" i="9"/>
  <c r="K96" i="9"/>
  <c r="K72" i="9"/>
  <c r="J72" i="9"/>
  <c r="K108" i="9"/>
  <c r="J108" i="9"/>
  <c r="J41" i="9"/>
  <c r="K41" i="9"/>
  <c r="J61" i="9"/>
  <c r="K61" i="9"/>
  <c r="J63" i="9"/>
  <c r="K63" i="9"/>
  <c r="J77" i="9"/>
  <c r="K77" i="9"/>
  <c r="J79" i="9"/>
  <c r="K79" i="9"/>
  <c r="K56" i="9"/>
  <c r="J56" i="9"/>
  <c r="J92" i="9"/>
  <c r="K92" i="9"/>
  <c r="J70" i="9"/>
  <c r="K70" i="9"/>
  <c r="J110" i="9"/>
  <c r="K110" i="9"/>
  <c r="K111" i="9"/>
  <c r="J111" i="9"/>
  <c r="J60" i="9"/>
  <c r="K60" i="9"/>
  <c r="K46" i="9"/>
  <c r="J46" i="9"/>
  <c r="J38" i="9"/>
  <c r="K38" i="9"/>
  <c r="K80" i="9"/>
  <c r="J80" i="9"/>
  <c r="K97" i="9"/>
  <c r="J97" i="9"/>
  <c r="K26" i="9"/>
  <c r="J26" i="9"/>
  <c r="K98" i="9"/>
  <c r="J98" i="9"/>
  <c r="J55" i="9"/>
  <c r="K55" i="9"/>
  <c r="K115" i="9"/>
  <c r="J115" i="9"/>
  <c r="K109" i="9"/>
  <c r="J109" i="9"/>
  <c r="J76" i="9"/>
  <c r="K76" i="9"/>
  <c r="J32" i="9"/>
  <c r="K32" i="9"/>
  <c r="K112" i="9"/>
  <c r="J112" i="9"/>
  <c r="K90" i="9"/>
  <c r="J90" i="9"/>
  <c r="K81" i="9"/>
  <c r="J81" i="9"/>
  <c r="J104" i="9"/>
  <c r="K104" i="9"/>
  <c r="K23" i="9"/>
  <c r="J23" i="9"/>
  <c r="K113" i="9"/>
  <c r="J113" i="9"/>
  <c r="J53" i="9"/>
  <c r="K53" i="9"/>
  <c r="J105" i="9"/>
  <c r="K105" i="9"/>
  <c r="J73" i="9"/>
  <c r="K73" i="9"/>
  <c r="K58" i="9"/>
  <c r="J58" i="9"/>
  <c r="K36" i="9"/>
  <c r="J36" i="9"/>
  <c r="K75" i="9"/>
  <c r="J75" i="9"/>
  <c r="K106" i="9"/>
  <c r="J106" i="9"/>
  <c r="K95" i="9"/>
  <c r="J95" i="9"/>
  <c r="K114" i="9"/>
  <c r="J114" i="9"/>
  <c r="K45" i="9"/>
  <c r="J45" i="9"/>
  <c r="K40" i="9"/>
  <c r="J40" i="9"/>
  <c r="K39" i="9"/>
  <c r="J39" i="9"/>
  <c r="K62" i="9"/>
  <c r="J62" i="9"/>
  <c r="J59" i="9"/>
  <c r="K59" i="9"/>
  <c r="K44" i="9"/>
  <c r="J44" i="9"/>
  <c r="J103" i="9"/>
  <c r="K103" i="9"/>
  <c r="K88" i="9"/>
  <c r="J88" i="9"/>
  <c r="K91" i="9"/>
  <c r="J91" i="9"/>
  <c r="K25" i="9"/>
  <c r="J25" i="9"/>
  <c r="K83" i="9"/>
  <c r="J83" i="9"/>
  <c r="K30" i="9"/>
  <c r="J30" i="9"/>
  <c r="K29" i="9"/>
  <c r="J29" i="9"/>
  <c r="K54" i="9"/>
  <c r="J54" i="9"/>
  <c r="K35" i="9"/>
  <c r="J35" i="9"/>
  <c r="K99" i="9"/>
  <c r="J99" i="9"/>
  <c r="J102" i="9"/>
  <c r="K102" i="9"/>
  <c r="K107" i="9"/>
  <c r="J107" i="9"/>
  <c r="K78" i="9"/>
  <c r="J78" i="9"/>
  <c r="K33" i="9"/>
  <c r="J33" i="9"/>
  <c r="K43" i="9"/>
  <c r="J43" i="9"/>
  <c r="K84" i="9"/>
  <c r="J84" i="9"/>
  <c r="G136" i="9"/>
  <c r="C136" i="9"/>
  <c r="E136" i="9"/>
  <c r="I22" i="9"/>
  <c r="F136" i="9"/>
  <c r="D136" i="9"/>
  <c r="F137" i="9"/>
  <c r="G137" i="9"/>
  <c r="C137" i="9"/>
  <c r="E137" i="9"/>
  <c r="D137" i="9"/>
  <c r="G138" i="9"/>
  <c r="C138" i="9"/>
  <c r="E138" i="9"/>
  <c r="F138" i="9"/>
  <c r="D138" i="9"/>
  <c r="F139" i="9"/>
  <c r="D139" i="9"/>
  <c r="C139" i="9"/>
  <c r="E139" i="9"/>
  <c r="G139" i="9"/>
  <c r="D140" i="9"/>
  <c r="F140" i="9"/>
  <c r="G140" i="9"/>
  <c r="C140" i="9"/>
  <c r="E140" i="9"/>
  <c r="G141" i="9"/>
  <c r="F141" i="9"/>
  <c r="C141" i="9"/>
  <c r="E141" i="9"/>
  <c r="D141" i="9"/>
  <c r="F142" i="9"/>
  <c r="D142" i="9"/>
  <c r="C142" i="9"/>
  <c r="E142" i="9"/>
  <c r="G142" i="9"/>
  <c r="F143" i="9"/>
  <c r="F144" i="9"/>
  <c r="C143" i="9"/>
  <c r="E143" i="9"/>
  <c r="D144" i="9"/>
  <c r="G143" i="9"/>
  <c r="D143" i="9"/>
  <c r="G144" i="9"/>
  <c r="C144" i="9"/>
  <c r="E144" i="9"/>
  <c r="K42" i="9"/>
  <c r="J42" i="9"/>
  <c r="J64" i="9"/>
  <c r="K64" i="9"/>
  <c r="J68" i="9"/>
  <c r="K68" i="9"/>
  <c r="K67" i="9"/>
  <c r="J67" i="9"/>
  <c r="K71" i="9"/>
  <c r="J71" i="9"/>
  <c r="K65" i="9"/>
  <c r="J65" i="9"/>
  <c r="K37" i="9"/>
  <c r="J37" i="9"/>
  <c r="K87" i="9"/>
  <c r="J87" i="9"/>
  <c r="K24" i="9"/>
  <c r="J24" i="9"/>
  <c r="K48" i="9"/>
  <c r="J48" i="9"/>
  <c r="K28" i="9"/>
  <c r="J28" i="9"/>
  <c r="K47" i="9"/>
  <c r="J47" i="9"/>
  <c r="K51" i="9"/>
  <c r="J51" i="9"/>
  <c r="J74" i="9"/>
  <c r="K74" i="9"/>
  <c r="K66" i="9"/>
  <c r="J66" i="9"/>
  <c r="J100" i="9"/>
  <c r="K100" i="9"/>
  <c r="K93" i="9"/>
  <c r="J93" i="9"/>
  <c r="K52" i="9"/>
  <c r="J52" i="9"/>
  <c r="K31" i="9"/>
  <c r="J31" i="9"/>
  <c r="K94" i="9"/>
  <c r="J94" i="9"/>
  <c r="K50" i="9"/>
  <c r="J50" i="9"/>
  <c r="K27" i="9"/>
  <c r="J27" i="9"/>
  <c r="J34" i="9"/>
  <c r="K34" i="9"/>
  <c r="K85" i="9"/>
  <c r="J85" i="9"/>
  <c r="J57" i="9"/>
  <c r="K57" i="9"/>
  <c r="K82" i="9"/>
  <c r="J82" i="9"/>
  <c r="B152" i="9"/>
  <c r="B123" i="9"/>
  <c r="C120" i="9"/>
  <c r="G36" i="1"/>
  <c r="C45" i="1"/>
  <c r="G38" i="1"/>
  <c r="C39" i="1"/>
  <c r="G34" i="1"/>
  <c r="G37" i="1"/>
  <c r="B46" i="1"/>
  <c r="B39" i="1"/>
  <c r="E39" i="1"/>
  <c r="D39" i="1"/>
  <c r="C15" i="1"/>
  <c r="B15" i="1"/>
  <c r="G35" i="1"/>
  <c r="B44" i="1"/>
  <c r="F39" i="1"/>
  <c r="C131" i="9"/>
  <c r="C130" i="9"/>
  <c r="C128" i="9"/>
  <c r="C127" i="9"/>
  <c r="H141" i="9"/>
  <c r="H137" i="9"/>
  <c r="H139" i="9"/>
  <c r="H144" i="9"/>
  <c r="H140" i="9"/>
  <c r="J22" i="9"/>
  <c r="K22" i="9"/>
  <c r="H136" i="9"/>
  <c r="H143" i="9"/>
  <c r="H142" i="9"/>
  <c r="H138" i="9"/>
  <c r="D151" i="9"/>
  <c r="D149" i="9"/>
  <c r="D152" i="9"/>
  <c r="D150" i="9"/>
  <c r="C122" i="9"/>
  <c r="C121" i="9"/>
  <c r="D45" i="1"/>
  <c r="E45" i="1"/>
  <c r="B45" i="1"/>
  <c r="G45" i="1"/>
  <c r="F45" i="1"/>
  <c r="E43" i="1"/>
  <c r="B43" i="1"/>
  <c r="D47" i="1"/>
  <c r="G47" i="1"/>
  <c r="B47" i="1"/>
  <c r="F47" i="1"/>
  <c r="C47" i="1"/>
  <c r="E47" i="1"/>
  <c r="C46" i="1"/>
  <c r="E46" i="1"/>
  <c r="G46" i="1"/>
  <c r="G39" i="1"/>
  <c r="F48" i="1"/>
  <c r="F43" i="1"/>
  <c r="G44" i="1"/>
  <c r="G43" i="1"/>
  <c r="E44" i="1"/>
  <c r="C43" i="1"/>
  <c r="D43" i="1"/>
  <c r="C44" i="1"/>
  <c r="D10" i="1"/>
  <c r="D15" i="1"/>
  <c r="D14" i="1"/>
  <c r="D11" i="1"/>
  <c r="D12" i="1"/>
  <c r="D13" i="1"/>
  <c r="F44" i="1"/>
  <c r="D44" i="1"/>
  <c r="D46" i="1"/>
  <c r="F46" i="1"/>
  <c r="C132" i="9"/>
  <c r="D121" i="9"/>
  <c r="D122" i="9"/>
  <c r="D120" i="9"/>
  <c r="D129" i="9"/>
  <c r="D128" i="9"/>
  <c r="D131" i="9"/>
  <c r="D130" i="9"/>
  <c r="D127" i="9"/>
  <c r="C123" i="9"/>
  <c r="G48" i="1"/>
  <c r="C48" i="1"/>
  <c r="E48" i="1"/>
  <c r="B48" i="1"/>
  <c r="D48" i="1"/>
  <c r="F130" i="9"/>
  <c r="F131" i="9"/>
  <c r="F128" i="9"/>
  <c r="F129" i="9"/>
  <c r="C149" i="9"/>
  <c r="D123" i="9"/>
  <c r="F120" i="9"/>
  <c r="C151" i="9"/>
  <c r="E151" i="9"/>
  <c r="F122" i="9"/>
  <c r="D132" i="9"/>
  <c r="E127" i="9"/>
  <c r="F127" i="9"/>
  <c r="C150" i="9"/>
  <c r="E150" i="9"/>
  <c r="F121" i="9"/>
  <c r="E120" i="9"/>
  <c r="E122" i="9"/>
  <c r="F132" i="9"/>
  <c r="E129" i="9"/>
  <c r="E128" i="9"/>
  <c r="F123" i="9"/>
  <c r="E131" i="9"/>
  <c r="C152" i="9"/>
  <c r="E121" i="9"/>
  <c r="E130" i="9"/>
  <c r="E123" i="9"/>
  <c r="E132" i="9"/>
  <c r="E149" i="9"/>
  <c r="E152" i="9"/>
  <c r="C188" i="7"/>
  <c r="D188" i="7"/>
  <c r="C187" i="7"/>
  <c r="D187" i="7"/>
  <c r="GK208" i="2"/>
  <c r="GK214" i="2" a="1"/>
  <c r="GJ208" i="2"/>
  <c r="GJ214" i="2" a="1"/>
  <c r="GI208" i="2"/>
  <c r="GI214" i="2" a="1"/>
  <c r="FW208" i="2"/>
  <c r="FW214" i="2" a="1"/>
  <c r="FU208" i="2"/>
  <c r="FU214" i="2" a="1"/>
  <c r="FT208" i="2"/>
  <c r="FT214" i="2" a="1"/>
  <c r="FS208" i="2"/>
  <c r="FS214" i="2" a="1"/>
  <c r="FG208" i="2"/>
  <c r="FG214" i="2" a="1"/>
  <c r="FE208" i="2"/>
  <c r="FE214" i="2" a="1"/>
  <c r="FD208" i="2"/>
  <c r="FD214" i="2" a="1"/>
  <c r="FC208" i="2"/>
  <c r="FC214" i="2" a="1"/>
  <c r="EQ208" i="2"/>
  <c r="EQ214" i="2" a="1"/>
  <c r="EO208" i="2"/>
  <c r="EO214" i="2" a="1"/>
  <c r="EN208" i="2"/>
  <c r="EN214" i="2" a="1"/>
  <c r="EM208" i="2"/>
  <c r="EM214" i="2" a="1"/>
  <c r="EA208" i="2"/>
  <c r="EA214" i="2" a="1"/>
  <c r="DY208" i="2"/>
  <c r="DY214" i="2" a="1"/>
  <c r="DX208" i="2"/>
  <c r="DX214" i="2" a="1"/>
  <c r="DW208" i="2"/>
  <c r="DW214" i="2" a="1"/>
  <c r="DK208" i="2"/>
  <c r="DK214" i="2" a="1"/>
  <c r="DI208" i="2"/>
  <c r="DI214" i="2" a="1"/>
  <c r="DH208" i="2"/>
  <c r="DH214" i="2" a="1"/>
  <c r="DG208" i="2"/>
  <c r="DG214" i="2" a="1"/>
  <c r="CU208" i="2"/>
  <c r="CU214" i="2" a="1"/>
  <c r="CS208" i="2"/>
  <c r="CS214" i="2" a="1"/>
  <c r="CR208" i="2"/>
  <c r="CR214" i="2" a="1"/>
  <c r="CQ208" i="2"/>
  <c r="CQ214" i="2" a="1"/>
  <c r="CE208" i="2"/>
  <c r="CE214" i="2" a="1"/>
  <c r="CC208" i="2"/>
  <c r="CC214" i="2" a="1"/>
  <c r="CB208" i="2"/>
  <c r="CB214" i="2" a="1"/>
  <c r="CA208" i="2"/>
  <c r="CA214" i="2" a="1"/>
  <c r="BW208" i="2"/>
  <c r="BW214" i="2" a="1"/>
  <c r="BO208" i="2"/>
  <c r="BO214" i="2" a="1"/>
  <c r="BM208" i="2"/>
  <c r="BM214" i="2" a="1"/>
  <c r="BL208" i="2"/>
  <c r="BL214" i="2" a="1"/>
  <c r="BK208" i="2"/>
  <c r="BK214" i="2" a="1"/>
  <c r="BG208" i="2"/>
  <c r="BG214" i="2" a="1"/>
  <c r="AY208" i="2"/>
  <c r="AY214" i="2" a="1"/>
  <c r="AW208" i="2"/>
  <c r="AW214" i="2" a="1"/>
  <c r="AV208" i="2"/>
  <c r="AV214" i="2" a="1"/>
  <c r="AU208" i="2"/>
  <c r="AU214" i="2" a="1"/>
  <c r="AQ208" i="2"/>
  <c r="AQ214" i="2" a="1"/>
  <c r="AK208" i="2"/>
  <c r="AK214" i="2" a="1"/>
  <c r="AI208" i="2"/>
  <c r="AI214" i="2" a="1"/>
  <c r="AG208" i="2"/>
  <c r="AG214" i="2" a="1"/>
  <c r="AF208" i="2"/>
  <c r="AF214" i="2" a="1"/>
  <c r="AE208" i="2"/>
  <c r="AE214" i="2" a="1"/>
  <c r="AA208" i="2"/>
  <c r="AA214" i="2" a="1"/>
  <c r="CA219" i="2"/>
  <c r="BH219" i="2"/>
  <c r="AR219" i="2"/>
  <c r="GQ202" i="2"/>
  <c r="GN202" i="2"/>
  <c r="GA202" i="2"/>
  <c r="FX202" i="2"/>
  <c r="FK202" i="2"/>
  <c r="FJ202" i="2"/>
  <c r="FH202" i="2"/>
  <c r="EU202" i="2"/>
  <c r="ET202" i="2"/>
  <c r="ER202" i="2"/>
  <c r="EE202" i="2"/>
  <c r="ED202" i="2"/>
  <c r="EB202" i="2"/>
  <c r="DO202" i="2"/>
  <c r="DN202" i="2"/>
  <c r="CY202" i="2"/>
  <c r="CX202" i="2"/>
  <c r="CV202" i="2"/>
  <c r="CI202" i="2"/>
  <c r="CH202" i="2"/>
  <c r="CF202" i="2"/>
  <c r="BS202" i="2"/>
  <c r="BR202" i="2"/>
  <c r="BP202" i="2"/>
  <c r="BC202" i="2"/>
  <c r="BB202" i="2"/>
  <c r="AZ202" i="2"/>
  <c r="AM202" i="2"/>
  <c r="AL202" i="2"/>
  <c r="AJ202" i="2"/>
  <c r="W202" i="2"/>
  <c r="GX160" i="2"/>
  <c r="GV160" i="2"/>
  <c r="GI160" i="2"/>
  <c r="GH160" i="2"/>
  <c r="GF160" i="2"/>
  <c r="FS160" i="2"/>
  <c r="FR160" i="2"/>
  <c r="FP160" i="2"/>
  <c r="FC160" i="2"/>
  <c r="FB160" i="2"/>
  <c r="EZ160" i="2"/>
  <c r="EM160" i="2"/>
  <c r="EL160" i="2"/>
  <c r="EJ160" i="2"/>
  <c r="DW160" i="2"/>
  <c r="DV160" i="2"/>
  <c r="DT160" i="2"/>
  <c r="DG160" i="2"/>
  <c r="DF160" i="2"/>
  <c r="DD160" i="2"/>
  <c r="CQ160" i="2"/>
  <c r="CP160" i="2"/>
  <c r="CN160" i="2"/>
  <c r="CA160" i="2"/>
  <c r="BZ160" i="2"/>
  <c r="BX160" i="2"/>
  <c r="BK160" i="2"/>
  <c r="BH160" i="2"/>
  <c r="BF160" i="2"/>
  <c r="AU160" i="2"/>
  <c r="AT160" i="2"/>
  <c r="AR160" i="2"/>
  <c r="AP160" i="2"/>
  <c r="AE160" i="2"/>
  <c r="AD160" i="2"/>
  <c r="AB160" i="2"/>
  <c r="Z160" i="2"/>
  <c r="GQ154" i="2"/>
  <c r="GP154" i="2"/>
  <c r="GN154" i="2"/>
  <c r="GL154" i="2"/>
  <c r="GA154" i="2"/>
  <c r="FX154" i="2"/>
  <c r="FV154" i="2"/>
  <c r="FK154" i="2"/>
  <c r="FJ154" i="2"/>
  <c r="FH154" i="2"/>
  <c r="FF154" i="2"/>
  <c r="ET154" i="2"/>
  <c r="ER154" i="2"/>
  <c r="EP154" i="2"/>
  <c r="EE154" i="2"/>
  <c r="ED154" i="2"/>
  <c r="EB154" i="2"/>
  <c r="DZ154" i="2"/>
  <c r="DO154" i="2"/>
  <c r="DN154" i="2"/>
  <c r="DL154" i="2"/>
  <c r="DJ154" i="2"/>
  <c r="CY154" i="2"/>
  <c r="CX154" i="2"/>
  <c r="CV154" i="2"/>
  <c r="CT154" i="2"/>
  <c r="CI154" i="2"/>
  <c r="CH154" i="2"/>
  <c r="CF154" i="2"/>
  <c r="CD154" i="2"/>
  <c r="BS154" i="2"/>
  <c r="BR154" i="2"/>
  <c r="BP154" i="2"/>
  <c r="BN154" i="2"/>
  <c r="BC154" i="2"/>
  <c r="BB154" i="2"/>
  <c r="AZ154" i="2"/>
  <c r="AX154" i="2"/>
  <c r="AM154" i="2"/>
  <c r="AL154" i="2"/>
  <c r="AJ154" i="2"/>
  <c r="AH154" i="2"/>
  <c r="W154" i="2"/>
  <c r="GX148" i="2"/>
  <c r="GV148" i="2"/>
  <c r="GT148" i="2"/>
  <c r="GH148" i="2"/>
  <c r="GF148" i="2"/>
  <c r="FP148" i="2"/>
  <c r="FN148" i="2"/>
  <c r="FB148" i="2"/>
  <c r="EZ148" i="2"/>
  <c r="EX148" i="2"/>
  <c r="EL148" i="2"/>
  <c r="EJ148" i="2"/>
  <c r="EH148" i="2"/>
  <c r="DV148" i="2"/>
  <c r="DT148" i="2"/>
  <c r="DR148" i="2"/>
  <c r="DF148" i="2"/>
  <c r="DD148" i="2"/>
  <c r="CP148" i="2"/>
  <c r="CN148" i="2"/>
  <c r="CL148" i="2"/>
  <c r="BZ148" i="2"/>
  <c r="BX148" i="2"/>
  <c r="BV148" i="2"/>
  <c r="BJ148" i="2"/>
  <c r="BH148" i="2"/>
  <c r="BF148" i="2"/>
  <c r="AT148" i="2"/>
  <c r="AR148" i="2"/>
  <c r="AP148" i="2"/>
  <c r="AD148" i="2"/>
  <c r="AB148" i="2"/>
  <c r="Z148" i="2"/>
  <c r="GP142" i="2"/>
  <c r="GN142" i="2"/>
  <c r="GL142" i="2"/>
  <c r="FZ142" i="2"/>
  <c r="FX142" i="2"/>
  <c r="FV142" i="2"/>
  <c r="FJ142" i="2"/>
  <c r="FH142" i="2"/>
  <c r="FF142" i="2"/>
  <c r="ER142" i="2"/>
  <c r="EP142" i="2"/>
  <c r="ED142" i="2"/>
  <c r="EB142" i="2"/>
  <c r="DZ142" i="2"/>
  <c r="DN142" i="2"/>
  <c r="DL142" i="2"/>
  <c r="DJ142" i="2"/>
  <c r="CX142" i="2"/>
  <c r="CV142" i="2"/>
  <c r="CT142" i="2"/>
  <c r="CH142" i="2"/>
  <c r="CF142" i="2"/>
  <c r="CD142" i="2"/>
  <c r="BR142" i="2"/>
  <c r="BP142" i="2"/>
  <c r="BN142" i="2"/>
  <c r="BB142" i="2"/>
  <c r="AZ142" i="2"/>
  <c r="AX142" i="2"/>
  <c r="AL142" i="2"/>
  <c r="AJ142" i="2"/>
  <c r="AH142" i="2"/>
  <c r="GX136" i="2"/>
  <c r="GV136" i="2"/>
  <c r="GT136" i="2"/>
  <c r="GH136" i="2"/>
  <c r="GF136" i="2"/>
  <c r="GD136" i="2"/>
  <c r="FR136" i="2"/>
  <c r="FP136" i="2"/>
  <c r="FN136" i="2"/>
  <c r="FB136" i="2"/>
  <c r="EZ136" i="2"/>
  <c r="EX136" i="2"/>
  <c r="EL136" i="2"/>
  <c r="EJ136" i="2"/>
  <c r="EH136" i="2"/>
  <c r="DV136" i="2"/>
  <c r="DT136" i="2"/>
  <c r="DR136" i="2"/>
  <c r="DF136" i="2"/>
  <c r="DD136" i="2"/>
  <c r="DB136" i="2"/>
  <c r="CP136" i="2"/>
  <c r="CN136" i="2"/>
  <c r="CL136" i="2"/>
  <c r="BZ136" i="2"/>
  <c r="BX136" i="2"/>
  <c r="BV136" i="2"/>
  <c r="BJ136" i="2"/>
  <c r="BH136" i="2"/>
  <c r="BF136" i="2"/>
  <c r="AT136" i="2"/>
  <c r="AR136" i="2"/>
  <c r="AP136" i="2"/>
  <c r="AD136" i="2"/>
  <c r="AB136" i="2"/>
  <c r="Z136" i="2"/>
  <c r="G57" i="8"/>
  <c r="E57" i="8"/>
  <c r="F57" i="8"/>
  <c r="E56" i="8"/>
  <c r="F56" i="8"/>
  <c r="G56" i="8"/>
  <c r="E58" i="8"/>
  <c r="F58" i="8"/>
  <c r="G58" i="8"/>
  <c r="G59" i="8"/>
  <c r="E60" i="8"/>
  <c r="F60" i="8"/>
  <c r="E61" i="8"/>
  <c r="F61" i="8"/>
  <c r="E59" i="8"/>
  <c r="F59" i="8"/>
  <c r="F74" i="8"/>
  <c r="H74" i="8"/>
  <c r="E54" i="8"/>
  <c r="F54" i="8"/>
  <c r="E55" i="8"/>
  <c r="F55" i="8"/>
  <c r="G55" i="8"/>
  <c r="G20" i="8"/>
  <c r="G28" i="8"/>
  <c r="G52" i="8"/>
  <c r="G36" i="8"/>
  <c r="G54" i="8"/>
  <c r="EU154" i="2"/>
  <c r="BV160" i="2"/>
  <c r="CL160" i="2"/>
  <c r="DB160" i="2"/>
  <c r="Y208" i="2"/>
  <c r="Y214" i="2" a="1"/>
  <c r="DR160" i="2"/>
  <c r="EH160" i="2"/>
  <c r="EX160" i="2"/>
  <c r="FN160" i="2"/>
  <c r="GD160" i="2"/>
  <c r="GT160" i="2"/>
  <c r="AH202" i="2"/>
  <c r="AX202" i="2"/>
  <c r="BN202" i="2"/>
  <c r="CT202" i="2"/>
  <c r="DJ202" i="2"/>
  <c r="DZ202" i="2"/>
  <c r="EP202" i="2"/>
  <c r="FF202" i="2"/>
  <c r="CM208" i="2"/>
  <c r="CM214" i="2" a="1"/>
  <c r="AC136" i="2"/>
  <c r="AS136" i="2"/>
  <c r="BI136" i="2"/>
  <c r="BY136" i="2"/>
  <c r="EI136" i="2"/>
  <c r="AQ136" i="2"/>
  <c r="CM136" i="2"/>
  <c r="DS136" i="2"/>
  <c r="GE136" i="2"/>
  <c r="AA136" i="2"/>
  <c r="BG136" i="2"/>
  <c r="BW136" i="2"/>
  <c r="DC136" i="2"/>
  <c r="EY136" i="2"/>
  <c r="FO136" i="2"/>
  <c r="FO167" i="2"/>
  <c r="GU136" i="2"/>
  <c r="G44" i="8"/>
  <c r="G21" i="8"/>
  <c r="G29" i="8"/>
  <c r="G37" i="8"/>
  <c r="E74" i="8"/>
  <c r="W136" i="2"/>
  <c r="AM136" i="2"/>
  <c r="BC136" i="2"/>
  <c r="BS136" i="2"/>
  <c r="CI136" i="2"/>
  <c r="CY136" i="2"/>
  <c r="DO136" i="2"/>
  <c r="EE136" i="2"/>
  <c r="EU136" i="2"/>
  <c r="EU167" i="2"/>
  <c r="FK136" i="2"/>
  <c r="GA136" i="2"/>
  <c r="GQ136" i="2"/>
  <c r="AE142" i="2"/>
  <c r="AU142" i="2"/>
  <c r="BK142" i="2"/>
  <c r="CA142" i="2"/>
  <c r="CQ142" i="2"/>
  <c r="DG142" i="2"/>
  <c r="DW142" i="2"/>
  <c r="EM142" i="2"/>
  <c r="FC142" i="2"/>
  <c r="FS142" i="2"/>
  <c r="GI142" i="2"/>
  <c r="W148" i="2"/>
  <c r="AM148" i="2"/>
  <c r="AM180" i="2"/>
  <c r="BC148" i="2"/>
  <c r="BS148" i="2"/>
  <c r="CI148" i="2"/>
  <c r="CY148" i="2"/>
  <c r="DO148" i="2"/>
  <c r="EE148" i="2"/>
  <c r="EU148" i="2"/>
  <c r="FK148" i="2"/>
  <c r="GA148" i="2"/>
  <c r="GQ148" i="2"/>
  <c r="AE154" i="2"/>
  <c r="AU154" i="2"/>
  <c r="BK154" i="2"/>
  <c r="CA154" i="2"/>
  <c r="W208" i="2"/>
  <c r="W214" i="2" a="1"/>
  <c r="AM208" i="2"/>
  <c r="AM214" i="2" a="1"/>
  <c r="BC208" i="2"/>
  <c r="BC214" i="2" a="1"/>
  <c r="BS208" i="2"/>
  <c r="BS214" i="2" a="1"/>
  <c r="CI208" i="2"/>
  <c r="CI214" i="2" a="1"/>
  <c r="CY208" i="2"/>
  <c r="CY214" i="2" a="1"/>
  <c r="DO208" i="2"/>
  <c r="DO214" i="2" a="1"/>
  <c r="EE208" i="2"/>
  <c r="EE214" i="2" a="1"/>
  <c r="X136" i="2"/>
  <c r="AN136" i="2"/>
  <c r="BD136" i="2"/>
  <c r="BT136" i="2"/>
  <c r="CJ136" i="2"/>
  <c r="CZ136" i="2"/>
  <c r="DP136" i="2"/>
  <c r="EF136" i="2"/>
  <c r="EV136" i="2"/>
  <c r="FL136" i="2"/>
  <c r="FL166" i="2"/>
  <c r="GB136" i="2"/>
  <c r="GR136" i="2"/>
  <c r="AF142" i="2"/>
  <c r="AV142" i="2"/>
  <c r="BL142" i="2"/>
  <c r="CB142" i="2"/>
  <c r="CR142" i="2"/>
  <c r="DH142" i="2"/>
  <c r="DX142" i="2"/>
  <c r="EN142" i="2"/>
  <c r="FD142" i="2"/>
  <c r="FT142" i="2"/>
  <c r="GJ142" i="2"/>
  <c r="X148" i="2"/>
  <c r="AN148" i="2"/>
  <c r="BD148" i="2"/>
  <c r="BD178" i="2"/>
  <c r="BT148" i="2"/>
  <c r="CJ148" i="2"/>
  <c r="CZ148" i="2"/>
  <c r="DP148" i="2"/>
  <c r="EF148" i="2"/>
  <c r="EV148" i="2"/>
  <c r="FL148" i="2"/>
  <c r="GB148" i="2"/>
  <c r="GR148" i="2"/>
  <c r="AF154" i="2"/>
  <c r="AV154" i="2"/>
  <c r="BL154" i="2"/>
  <c r="CB154" i="2"/>
  <c r="CR154" i="2"/>
  <c r="DH154" i="2"/>
  <c r="DX154" i="2"/>
  <c r="DX185" i="2"/>
  <c r="EN154" i="2"/>
  <c r="FD154" i="2"/>
  <c r="FT154" i="2"/>
  <c r="GJ154" i="2"/>
  <c r="X160" i="2"/>
  <c r="AN160" i="2"/>
  <c r="BD160" i="2"/>
  <c r="BT160" i="2"/>
  <c r="CJ160" i="2"/>
  <c r="CZ160" i="2"/>
  <c r="DP160" i="2"/>
  <c r="EF160" i="2"/>
  <c r="EV160" i="2"/>
  <c r="FL160" i="2"/>
  <c r="GB160" i="2"/>
  <c r="GR160" i="2"/>
  <c r="AF202" i="2"/>
  <c r="AV202" i="2"/>
  <c r="BL202" i="2"/>
  <c r="CB202" i="2"/>
  <c r="CR202" i="2"/>
  <c r="DH202" i="2"/>
  <c r="DX202" i="2"/>
  <c r="EN202" i="2"/>
  <c r="FD202" i="2"/>
  <c r="FT202" i="2"/>
  <c r="GJ202" i="2"/>
  <c r="AN219" i="2"/>
  <c r="BT219" i="2"/>
  <c r="X208" i="2"/>
  <c r="X214" i="2" a="1"/>
  <c r="AN208" i="2"/>
  <c r="AN214" i="2" a="1"/>
  <c r="BD208" i="2"/>
  <c r="BD214" i="2" a="1"/>
  <c r="BT208" i="2"/>
  <c r="BT214" i="2" a="1"/>
  <c r="CJ208" i="2"/>
  <c r="CJ214" i="2" a="1"/>
  <c r="CZ208" i="2"/>
  <c r="CZ214" i="2" a="1"/>
  <c r="DP208" i="2"/>
  <c r="DP214" i="2" a="1"/>
  <c r="EF208" i="2"/>
  <c r="EF214" i="2" a="1"/>
  <c r="EV208" i="2"/>
  <c r="EV214" i="2" a="1"/>
  <c r="FL208" i="2"/>
  <c r="FL214" i="2" a="1"/>
  <c r="GB208" i="2"/>
  <c r="GB214" i="2" a="1"/>
  <c r="GR208" i="2"/>
  <c r="GR214" i="2" a="1"/>
  <c r="Y136" i="2"/>
  <c r="BE136" i="2"/>
  <c r="CK136" i="2"/>
  <c r="DQ136" i="2"/>
  <c r="EW136" i="2"/>
  <c r="GC136" i="2"/>
  <c r="GS136" i="2"/>
  <c r="BM142" i="2"/>
  <c r="DI142" i="2"/>
  <c r="EO142" i="2"/>
  <c r="FE142" i="2"/>
  <c r="FE171" i="2"/>
  <c r="GK142" i="2"/>
  <c r="Y148" i="2"/>
  <c r="AO148" i="2"/>
  <c r="BE148" i="2"/>
  <c r="BU148" i="2"/>
  <c r="CK148" i="2"/>
  <c r="DA148" i="2"/>
  <c r="DQ148" i="2"/>
  <c r="EG148" i="2"/>
  <c r="EW148" i="2"/>
  <c r="FM148" i="2"/>
  <c r="GC148" i="2"/>
  <c r="GC180" i="2"/>
  <c r="GS148" i="2"/>
  <c r="AG154" i="2"/>
  <c r="AW154" i="2"/>
  <c r="BM154" i="2"/>
  <c r="BM185" i="2"/>
  <c r="CC154" i="2"/>
  <c r="CS154" i="2"/>
  <c r="DI154" i="2"/>
  <c r="DY154" i="2"/>
  <c r="EO154" i="2"/>
  <c r="FE154" i="2"/>
  <c r="FU154" i="2"/>
  <c r="GK154" i="2"/>
  <c r="Y160" i="2"/>
  <c r="AO160" i="2"/>
  <c r="BE160" i="2"/>
  <c r="BU160" i="2"/>
  <c r="BU193" i="2"/>
  <c r="CK160" i="2"/>
  <c r="DA160" i="2"/>
  <c r="DQ160" i="2"/>
  <c r="EG160" i="2"/>
  <c r="EG190" i="2"/>
  <c r="EW160" i="2"/>
  <c r="FM160" i="2"/>
  <c r="GC160" i="2"/>
  <c r="GS160" i="2"/>
  <c r="AG202" i="2"/>
  <c r="AW202" i="2"/>
  <c r="BM202" i="2"/>
  <c r="CC202" i="2"/>
  <c r="CS202" i="2"/>
  <c r="DI202" i="2"/>
  <c r="DY202" i="2"/>
  <c r="EO202" i="2"/>
  <c r="FE202" i="2"/>
  <c r="FU202" i="2"/>
  <c r="GK202" i="2"/>
  <c r="AO219" i="2"/>
  <c r="BU219" i="2"/>
  <c r="AO208" i="2"/>
  <c r="AO214" i="2" a="1"/>
  <c r="BE208" i="2"/>
  <c r="BE214" i="2" a="1"/>
  <c r="BU208" i="2"/>
  <c r="BU214" i="2" a="1"/>
  <c r="CK208" i="2"/>
  <c r="CK214" i="2" a="1"/>
  <c r="DA208" i="2"/>
  <c r="DA214" i="2" a="1"/>
  <c r="DQ208" i="2"/>
  <c r="DQ214" i="2" a="1"/>
  <c r="EG208" i="2"/>
  <c r="EG214" i="2" a="1"/>
  <c r="EW208" i="2"/>
  <c r="EW214" i="2" a="1"/>
  <c r="FM208" i="2"/>
  <c r="FM214" i="2" a="1"/>
  <c r="GC208" i="2"/>
  <c r="GC214" i="2" a="1"/>
  <c r="AO136" i="2"/>
  <c r="AO166" i="2"/>
  <c r="BU136" i="2"/>
  <c r="DA136" i="2"/>
  <c r="EG136" i="2"/>
  <c r="FM136" i="2"/>
  <c r="AG142" i="2"/>
  <c r="AW142" i="2"/>
  <c r="CC142" i="2"/>
  <c r="CS142" i="2"/>
  <c r="DY142" i="2"/>
  <c r="FU142" i="2"/>
  <c r="FV202" i="2"/>
  <c r="GL202" i="2"/>
  <c r="AP219" i="2"/>
  <c r="BV219" i="2"/>
  <c r="Z208" i="2"/>
  <c r="Z214" i="2" a="1"/>
  <c r="AP208" i="2"/>
  <c r="AP214" i="2" a="1"/>
  <c r="BF208" i="2"/>
  <c r="BF214" i="2" a="1"/>
  <c r="BV208" i="2"/>
  <c r="BV214" i="2" a="1"/>
  <c r="CL208" i="2"/>
  <c r="CL214" i="2" a="1"/>
  <c r="DB208" i="2"/>
  <c r="DB214" i="2" a="1"/>
  <c r="DR208" i="2"/>
  <c r="DR214" i="2" a="1"/>
  <c r="EH208" i="2"/>
  <c r="EH214" i="2" a="1"/>
  <c r="EX208" i="2"/>
  <c r="EX214" i="2" a="1"/>
  <c r="FN208" i="2"/>
  <c r="FN214" i="2" a="1"/>
  <c r="GD208" i="2"/>
  <c r="GD214" i="2" a="1"/>
  <c r="GT208" i="2"/>
  <c r="GT214" i="2" a="1"/>
  <c r="AI142" i="2"/>
  <c r="CU142" i="2"/>
  <c r="EA142" i="2"/>
  <c r="FW142" i="2"/>
  <c r="AQ148" i="2"/>
  <c r="DC148" i="2"/>
  <c r="DC179" i="2"/>
  <c r="FO148" i="2"/>
  <c r="AY154" i="2"/>
  <c r="CE154" i="2"/>
  <c r="DK154" i="2"/>
  <c r="EQ154" i="2"/>
  <c r="GM154" i="2"/>
  <c r="AA160" i="2"/>
  <c r="BG160" i="2"/>
  <c r="CM160" i="2"/>
  <c r="EI160" i="2"/>
  <c r="DC208" i="2"/>
  <c r="DC214" i="2" a="1"/>
  <c r="DS208" i="2"/>
  <c r="DS214" i="2" a="1"/>
  <c r="EI208" i="2"/>
  <c r="EI214" i="2" a="1"/>
  <c r="EY208" i="2"/>
  <c r="EY214" i="2" a="1"/>
  <c r="FO208" i="2"/>
  <c r="FO214" i="2" a="1"/>
  <c r="GE208" i="2"/>
  <c r="GE214" i="2" a="1"/>
  <c r="GU208" i="2"/>
  <c r="GU214" i="2" a="1"/>
  <c r="BX219" i="2"/>
  <c r="AB208" i="2"/>
  <c r="AB214" i="2" a="1"/>
  <c r="AR208" i="2"/>
  <c r="AR214" i="2" a="1"/>
  <c r="BH208" i="2"/>
  <c r="BH214" i="2" a="1"/>
  <c r="BX208" i="2"/>
  <c r="BX214" i="2" a="1"/>
  <c r="CN208" i="2"/>
  <c r="CN214" i="2" a="1"/>
  <c r="DD208" i="2"/>
  <c r="DD214" i="2" a="1"/>
  <c r="DT208" i="2"/>
  <c r="DT214" i="2" a="1"/>
  <c r="EJ208" i="2"/>
  <c r="EJ214" i="2" a="1"/>
  <c r="EZ208" i="2"/>
  <c r="EZ214" i="2" a="1"/>
  <c r="FP208" i="2"/>
  <c r="FP214" i="2" a="1"/>
  <c r="GF208" i="2"/>
  <c r="GF214" i="2" a="1"/>
  <c r="GV208" i="2"/>
  <c r="GV214" i="2" a="1"/>
  <c r="AY142" i="2"/>
  <c r="CE142" i="2"/>
  <c r="EQ142" i="2"/>
  <c r="GM142" i="2"/>
  <c r="BG148" i="2"/>
  <c r="BG179" i="2"/>
  <c r="DS148" i="2"/>
  <c r="GE148" i="2"/>
  <c r="FG154" i="2"/>
  <c r="CO136" i="2"/>
  <c r="DE136" i="2"/>
  <c r="DU136" i="2"/>
  <c r="EK136" i="2"/>
  <c r="FA136" i="2"/>
  <c r="FQ136" i="2"/>
  <c r="GG136" i="2"/>
  <c r="GW136" i="2"/>
  <c r="AK142" i="2"/>
  <c r="BA142" i="2"/>
  <c r="BA173" i="2"/>
  <c r="BQ142" i="2"/>
  <c r="CG142" i="2"/>
  <c r="CW142" i="2"/>
  <c r="CW175" i="2"/>
  <c r="DM142" i="2"/>
  <c r="EC142" i="2"/>
  <c r="ES142" i="2"/>
  <c r="FI142" i="2"/>
  <c r="FY142" i="2"/>
  <c r="GO142" i="2"/>
  <c r="AC148" i="2"/>
  <c r="AS148" i="2"/>
  <c r="BI148" i="2"/>
  <c r="BY148" i="2"/>
  <c r="CO148" i="2"/>
  <c r="DE148" i="2"/>
  <c r="DU148" i="2"/>
  <c r="DU178" i="2"/>
  <c r="EK148" i="2"/>
  <c r="FA148" i="2"/>
  <c r="FQ148" i="2"/>
  <c r="FQ180" i="2"/>
  <c r="GG148" i="2"/>
  <c r="GW148" i="2"/>
  <c r="AK154" i="2"/>
  <c r="BQ154" i="2"/>
  <c r="CG154" i="2"/>
  <c r="CW154" i="2"/>
  <c r="DM154" i="2"/>
  <c r="EC154" i="2"/>
  <c r="ES154" i="2"/>
  <c r="FI154" i="2"/>
  <c r="FY154" i="2"/>
  <c r="GO154" i="2"/>
  <c r="AC160" i="2"/>
  <c r="AC192" i="2"/>
  <c r="AS160" i="2"/>
  <c r="BI160" i="2"/>
  <c r="BY160" i="2"/>
  <c r="BY193" i="2"/>
  <c r="CO160" i="2"/>
  <c r="DE160" i="2"/>
  <c r="DU160" i="2"/>
  <c r="EK160" i="2"/>
  <c r="FA160" i="2"/>
  <c r="FQ160" i="2"/>
  <c r="GG160" i="2"/>
  <c r="GW160" i="2"/>
  <c r="AK202" i="2"/>
  <c r="BA202" i="2"/>
  <c r="BQ202" i="2"/>
  <c r="CG202" i="2"/>
  <c r="CW202" i="2"/>
  <c r="CW210" i="2"/>
  <c r="DM202" i="2"/>
  <c r="EC202" i="2"/>
  <c r="ES202" i="2"/>
  <c r="ES212" i="2"/>
  <c r="FI202" i="2"/>
  <c r="FY202" i="2"/>
  <c r="GO202" i="2"/>
  <c r="BI219" i="2"/>
  <c r="AC208" i="2"/>
  <c r="AC214" i="2" a="1"/>
  <c r="AS208" i="2"/>
  <c r="AS214" i="2" a="1"/>
  <c r="BI208" i="2"/>
  <c r="BI214" i="2" a="1"/>
  <c r="BY208" i="2"/>
  <c r="BY214" i="2" a="1"/>
  <c r="CO208" i="2"/>
  <c r="CO214" i="2" a="1"/>
  <c r="DE208" i="2"/>
  <c r="DE214" i="2" a="1"/>
  <c r="DU208" i="2"/>
  <c r="DU214" i="2" a="1"/>
  <c r="EK208" i="2"/>
  <c r="EK214" i="2" a="1"/>
  <c r="FA208" i="2"/>
  <c r="FA214" i="2" a="1"/>
  <c r="FQ208" i="2"/>
  <c r="FQ214" i="2" a="1"/>
  <c r="GG208" i="2"/>
  <c r="GG214" i="2" a="1"/>
  <c r="GW208" i="2"/>
  <c r="GW214" i="2" a="1"/>
  <c r="BO142" i="2"/>
  <c r="DK142" i="2"/>
  <c r="FG142" i="2"/>
  <c r="AA148" i="2"/>
  <c r="BW148" i="2"/>
  <c r="EY148" i="2"/>
  <c r="GU148" i="2"/>
  <c r="AI154" i="2"/>
  <c r="BO154" i="2"/>
  <c r="CU154" i="2"/>
  <c r="EA154" i="2"/>
  <c r="FW154" i="2"/>
  <c r="AQ160" i="2"/>
  <c r="AQ191" i="2"/>
  <c r="BW160" i="2"/>
  <c r="DC160" i="2"/>
  <c r="DS160" i="2"/>
  <c r="DS192" i="2"/>
  <c r="EY160" i="2"/>
  <c r="FO160" i="2"/>
  <c r="GE160" i="2"/>
  <c r="GU160" i="2"/>
  <c r="AI202" i="2"/>
  <c r="AY202" i="2"/>
  <c r="AY211" i="2"/>
  <c r="BO202" i="2"/>
  <c r="BO209" i="2"/>
  <c r="CE202" i="2"/>
  <c r="CU202" i="2"/>
  <c r="DK202" i="2"/>
  <c r="EA202" i="2"/>
  <c r="EA213" i="2"/>
  <c r="EQ202" i="2"/>
  <c r="FG202" i="2"/>
  <c r="FG211" i="2"/>
  <c r="FW202" i="2"/>
  <c r="GM202" i="2"/>
  <c r="AQ219" i="2"/>
  <c r="FZ202" i="2"/>
  <c r="GP202" i="2"/>
  <c r="BJ219" i="2"/>
  <c r="AD208" i="2"/>
  <c r="AD214" i="2" a="1"/>
  <c r="AT208" i="2"/>
  <c r="AT214" i="2" a="1"/>
  <c r="BJ208" i="2"/>
  <c r="BJ214" i="2" a="1"/>
  <c r="BZ208" i="2"/>
  <c r="BZ214" i="2" a="1"/>
  <c r="CP208" i="2"/>
  <c r="CP214" i="2" a="1"/>
  <c r="DF208" i="2"/>
  <c r="DF214" i="2" a="1"/>
  <c r="DV208" i="2"/>
  <c r="DV214" i="2" a="1"/>
  <c r="EL208" i="2"/>
  <c r="EL214" i="2" a="1"/>
  <c r="FB208" i="2"/>
  <c r="FB214" i="2" a="1"/>
  <c r="FR208" i="2"/>
  <c r="FR214" i="2" a="1"/>
  <c r="GH208" i="2"/>
  <c r="GH214" i="2" a="1"/>
  <c r="EI148" i="2"/>
  <c r="EA209" i="2"/>
  <c r="EA212" i="2"/>
  <c r="AR166" i="2"/>
  <c r="AR165" i="2"/>
  <c r="AR169" i="2"/>
  <c r="AR167" i="2"/>
  <c r="AR168" i="2"/>
  <c r="FP166" i="2"/>
  <c r="FP168" i="2"/>
  <c r="FP169" i="2"/>
  <c r="FP167" i="2"/>
  <c r="FP165" i="2"/>
  <c r="CF173" i="2"/>
  <c r="CF172" i="2"/>
  <c r="CF171" i="2"/>
  <c r="CF174" i="2"/>
  <c r="CF175" i="2"/>
  <c r="FH175" i="2"/>
  <c r="FH172" i="2"/>
  <c r="FH171" i="2"/>
  <c r="FH174" i="2"/>
  <c r="FH173" i="2"/>
  <c r="BH181" i="2"/>
  <c r="BH178" i="2"/>
  <c r="BH179" i="2"/>
  <c r="BH180" i="2"/>
  <c r="BH177" i="2"/>
  <c r="GF177" i="2"/>
  <c r="GF178" i="2"/>
  <c r="GF181" i="2"/>
  <c r="GF179" i="2"/>
  <c r="GF180" i="2"/>
  <c r="DL187" i="2"/>
  <c r="DL186" i="2"/>
  <c r="DL185" i="2"/>
  <c r="DL184" i="2"/>
  <c r="DL183" i="2"/>
  <c r="BX191" i="2"/>
  <c r="BX193" i="2"/>
  <c r="BX190" i="2"/>
  <c r="BX192" i="2"/>
  <c r="BX189" i="2"/>
  <c r="DT193" i="2"/>
  <c r="DT192" i="2"/>
  <c r="DT189" i="2"/>
  <c r="DT190" i="2"/>
  <c r="DT191" i="2"/>
  <c r="CV212" i="2"/>
  <c r="CV210" i="2"/>
  <c r="CV213" i="2"/>
  <c r="CV211" i="2"/>
  <c r="CV209" i="2"/>
  <c r="FX209" i="2"/>
  <c r="FX211" i="2"/>
  <c r="FX213" i="2"/>
  <c r="FX212" i="2"/>
  <c r="FX210" i="2"/>
  <c r="GS208" i="2"/>
  <c r="GS214" i="2" a="1"/>
  <c r="D89" i="8"/>
  <c r="AX183" i="2"/>
  <c r="AX187" i="2"/>
  <c r="AX186" i="2"/>
  <c r="AX185" i="2"/>
  <c r="AX184" i="2"/>
  <c r="FN169" i="2"/>
  <c r="FN168" i="2"/>
  <c r="FN165" i="2"/>
  <c r="FN166" i="2"/>
  <c r="FN167" i="2"/>
  <c r="FV172" i="2"/>
  <c r="FV175" i="2"/>
  <c r="FV173" i="2"/>
  <c r="FV171" i="2"/>
  <c r="FV174" i="2"/>
  <c r="BN183" i="2"/>
  <c r="BN187" i="2"/>
  <c r="BN185" i="2"/>
  <c r="BN184" i="2"/>
  <c r="BN186" i="2"/>
  <c r="F82" i="8"/>
  <c r="G82" i="8"/>
  <c r="E89" i="8"/>
  <c r="CM148" i="2"/>
  <c r="CL169" i="2"/>
  <c r="CL168" i="2"/>
  <c r="CL167" i="2"/>
  <c r="CL166" i="2"/>
  <c r="CL165" i="2"/>
  <c r="EP171" i="2"/>
  <c r="EP173" i="2"/>
  <c r="EP175" i="2"/>
  <c r="EP174" i="2"/>
  <c r="EP172" i="2"/>
  <c r="BV179" i="2"/>
  <c r="BV178" i="2"/>
  <c r="BV181" i="2"/>
  <c r="BV180" i="2"/>
  <c r="BV177" i="2"/>
  <c r="FN179" i="2"/>
  <c r="FN178" i="2"/>
  <c r="FN181" i="2"/>
  <c r="FN177" i="2"/>
  <c r="FN180" i="2"/>
  <c r="AH183" i="2"/>
  <c r="AH187" i="2"/>
  <c r="AH186" i="2"/>
  <c r="AH185" i="2"/>
  <c r="AH184" i="2"/>
  <c r="G45" i="8"/>
  <c r="C14" i="9"/>
  <c r="G53" i="8"/>
  <c r="C15" i="9"/>
  <c r="F83" i="8"/>
  <c r="G83" i="8"/>
  <c r="BV167" i="2"/>
  <c r="BV165" i="2"/>
  <c r="BV168" i="2"/>
  <c r="BV169" i="2"/>
  <c r="BV166" i="2"/>
  <c r="AH174" i="2"/>
  <c r="AH171" i="2"/>
  <c r="AH173" i="2"/>
  <c r="AH172" i="2"/>
  <c r="AH175" i="2"/>
  <c r="DT165" i="2"/>
  <c r="DT166" i="2"/>
  <c r="DT168" i="2"/>
  <c r="DT169" i="2"/>
  <c r="DT167" i="2"/>
  <c r="CV172" i="2"/>
  <c r="CV175" i="2"/>
  <c r="CV174" i="2"/>
  <c r="CV173" i="2"/>
  <c r="CV171" i="2"/>
  <c r="AR179" i="2"/>
  <c r="AR178" i="2"/>
  <c r="AR180" i="2"/>
  <c r="AR181" i="2"/>
  <c r="AR177" i="2"/>
  <c r="EJ178" i="2"/>
  <c r="EJ180" i="2"/>
  <c r="EJ181" i="2"/>
  <c r="EJ179" i="2"/>
  <c r="EJ177" i="2"/>
  <c r="CF185" i="2"/>
  <c r="CF183" i="2"/>
  <c r="CF186" i="2"/>
  <c r="CF184" i="2"/>
  <c r="CF187" i="2"/>
  <c r="AR193" i="2"/>
  <c r="AR192" i="2"/>
  <c r="AR190" i="2"/>
  <c r="AR191" i="2"/>
  <c r="AR189" i="2"/>
  <c r="GV189" i="2"/>
  <c r="GV190" i="2"/>
  <c r="GV193" i="2"/>
  <c r="GV191" i="2"/>
  <c r="GV192" i="2"/>
  <c r="EB210" i="2"/>
  <c r="EB209" i="2"/>
  <c r="EB211" i="2"/>
  <c r="EB212" i="2"/>
  <c r="EB213" i="2"/>
  <c r="BJ165" i="2"/>
  <c r="BJ168" i="2"/>
  <c r="BJ166" i="2"/>
  <c r="BJ167" i="2"/>
  <c r="BJ169" i="2"/>
  <c r="G22" i="8"/>
  <c r="G30" i="8"/>
  <c r="G38" i="8"/>
  <c r="G46" i="8"/>
  <c r="C16" i="9"/>
  <c r="F84" i="8"/>
  <c r="G84" i="8"/>
  <c r="Z168" i="2"/>
  <c r="Z166" i="2"/>
  <c r="Z167" i="2"/>
  <c r="Z169" i="2"/>
  <c r="Z165" i="2"/>
  <c r="GT165" i="2"/>
  <c r="GT168" i="2"/>
  <c r="GT169" i="2"/>
  <c r="GT166" i="2"/>
  <c r="GT167" i="2"/>
  <c r="FF175" i="2"/>
  <c r="FF171" i="2"/>
  <c r="FF173" i="2"/>
  <c r="FF172" i="2"/>
  <c r="FF174" i="2"/>
  <c r="GD148" i="2"/>
  <c r="DJ184" i="2"/>
  <c r="DJ187" i="2"/>
  <c r="DJ186" i="2"/>
  <c r="DJ183" i="2"/>
  <c r="DJ185" i="2"/>
  <c r="DV166" i="2"/>
  <c r="DV167" i="2"/>
  <c r="DV169" i="2"/>
  <c r="DV168" i="2"/>
  <c r="DV165" i="2"/>
  <c r="CX172" i="2"/>
  <c r="CX174" i="2"/>
  <c r="CX175" i="2"/>
  <c r="CX171" i="2"/>
  <c r="CX173" i="2"/>
  <c r="DV179" i="2"/>
  <c r="DV178" i="2"/>
  <c r="DV181" i="2"/>
  <c r="DV180" i="2"/>
  <c r="DV177" i="2"/>
  <c r="BB183" i="2"/>
  <c r="BB187" i="2"/>
  <c r="BB186" i="2"/>
  <c r="BB185" i="2"/>
  <c r="BB184" i="2"/>
  <c r="FZ154" i="2"/>
  <c r="AT190" i="2"/>
  <c r="AT191" i="2"/>
  <c r="AT189" i="2"/>
  <c r="AT192" i="2"/>
  <c r="AT193" i="2"/>
  <c r="DF190" i="2"/>
  <c r="DF189" i="2"/>
  <c r="DF192" i="2"/>
  <c r="DF191" i="2"/>
  <c r="DF193" i="2"/>
  <c r="FR193" i="2"/>
  <c r="FR191" i="2"/>
  <c r="FR190" i="2"/>
  <c r="FR189" i="2"/>
  <c r="FR192" i="2"/>
  <c r="CX213" i="2"/>
  <c r="CX210" i="2"/>
  <c r="CX211" i="2"/>
  <c r="CX209" i="2"/>
  <c r="CX212" i="2"/>
  <c r="AE136" i="2"/>
  <c r="GI136" i="2"/>
  <c r="BS142" i="2"/>
  <c r="EU142" i="2"/>
  <c r="AE148" i="2"/>
  <c r="CA148" i="2"/>
  <c r="FC148" i="2"/>
  <c r="BS184" i="2"/>
  <c r="BS185" i="2"/>
  <c r="BS183" i="2"/>
  <c r="BS186" i="2"/>
  <c r="BS187" i="2"/>
  <c r="AE189" i="2"/>
  <c r="AE190" i="2"/>
  <c r="AE192" i="2"/>
  <c r="AE191" i="2"/>
  <c r="AE193" i="2"/>
  <c r="DG190" i="2"/>
  <c r="DG189" i="2"/>
  <c r="DG191" i="2"/>
  <c r="DG193" i="2"/>
  <c r="DG192" i="2"/>
  <c r="FS193" i="2"/>
  <c r="FS192" i="2"/>
  <c r="FS191" i="2"/>
  <c r="FS190" i="2"/>
  <c r="FS189" i="2"/>
  <c r="CI209" i="2"/>
  <c r="CI211" i="2"/>
  <c r="CI213" i="2"/>
  <c r="CI210" i="2"/>
  <c r="CI212" i="2"/>
  <c r="E73" i="8"/>
  <c r="EH168" i="2"/>
  <c r="EH167" i="2"/>
  <c r="EH165" i="2"/>
  <c r="EH166" i="2"/>
  <c r="EH169" i="2"/>
  <c r="DJ173" i="2"/>
  <c r="DJ175" i="2"/>
  <c r="DJ171" i="2"/>
  <c r="DJ174" i="2"/>
  <c r="DJ172" i="2"/>
  <c r="GT181" i="2"/>
  <c r="GT178" i="2"/>
  <c r="GT177" i="2"/>
  <c r="GT179" i="2"/>
  <c r="GT180" i="2"/>
  <c r="CD183" i="2"/>
  <c r="CD187" i="2"/>
  <c r="CD184" i="2"/>
  <c r="CD185" i="2"/>
  <c r="CD186" i="2"/>
  <c r="CD202" i="2"/>
  <c r="CN169" i="2"/>
  <c r="CN166" i="2"/>
  <c r="CN165" i="2"/>
  <c r="CN167" i="2"/>
  <c r="CN168" i="2"/>
  <c r="EZ169" i="2"/>
  <c r="EZ168" i="2"/>
  <c r="EZ167" i="2"/>
  <c r="EZ165" i="2"/>
  <c r="EZ166" i="2"/>
  <c r="BP172" i="2"/>
  <c r="BP174" i="2"/>
  <c r="BP173" i="2"/>
  <c r="BP171" i="2"/>
  <c r="BP175" i="2"/>
  <c r="GN175" i="2"/>
  <c r="GN171" i="2"/>
  <c r="GN173" i="2"/>
  <c r="GN172" i="2"/>
  <c r="GN174" i="2"/>
  <c r="CN178" i="2"/>
  <c r="CN181" i="2"/>
  <c r="CN177" i="2"/>
  <c r="CN179" i="2"/>
  <c r="CN180" i="2"/>
  <c r="FP178" i="2"/>
  <c r="FP180" i="2"/>
  <c r="FP177" i="2"/>
  <c r="FP179" i="2"/>
  <c r="FP181" i="2"/>
  <c r="EB184" i="2"/>
  <c r="EB185" i="2"/>
  <c r="EB183" i="2"/>
  <c r="EB187" i="2"/>
  <c r="EB186" i="2"/>
  <c r="CN192" i="2"/>
  <c r="CN191" i="2"/>
  <c r="CN189" i="2"/>
  <c r="CN193" i="2"/>
  <c r="CN190" i="2"/>
  <c r="GF190" i="2"/>
  <c r="GF191" i="2"/>
  <c r="GF192" i="2"/>
  <c r="GF193" i="2"/>
  <c r="GF189" i="2"/>
  <c r="AJ209" i="2"/>
  <c r="AJ211" i="2"/>
  <c r="AJ213" i="2"/>
  <c r="AJ210" i="2"/>
  <c r="AJ212" i="2"/>
  <c r="FH211" i="2"/>
  <c r="FH213" i="2"/>
  <c r="FH209" i="2"/>
  <c r="FH210" i="2"/>
  <c r="FH212" i="2"/>
  <c r="DF169" i="2"/>
  <c r="DF167" i="2"/>
  <c r="DF165" i="2"/>
  <c r="DF168" i="2"/>
  <c r="DF166" i="2"/>
  <c r="FZ173" i="2"/>
  <c r="FZ174" i="2"/>
  <c r="FZ175" i="2"/>
  <c r="FZ171" i="2"/>
  <c r="FZ172" i="2"/>
  <c r="DF178" i="2"/>
  <c r="DF180" i="2"/>
  <c r="DF179" i="2"/>
  <c r="DF177" i="2"/>
  <c r="DF181" i="2"/>
  <c r="GH179" i="2"/>
  <c r="GH178" i="2"/>
  <c r="GH180" i="2"/>
  <c r="GH181" i="2"/>
  <c r="GH177" i="2"/>
  <c r="CH184" i="2"/>
  <c r="CH187" i="2"/>
  <c r="CH185" i="2"/>
  <c r="CH186" i="2"/>
  <c r="CH183" i="2"/>
  <c r="GP184" i="2"/>
  <c r="GP186" i="2"/>
  <c r="GP187" i="2"/>
  <c r="GP185" i="2"/>
  <c r="GP183" i="2"/>
  <c r="AD189" i="2"/>
  <c r="AD191" i="2"/>
  <c r="AD190" i="2"/>
  <c r="AD192" i="2"/>
  <c r="AD193" i="2"/>
  <c r="DV189" i="2"/>
  <c r="DV190" i="2"/>
  <c r="DV193" i="2"/>
  <c r="DV192" i="2"/>
  <c r="DV191" i="2"/>
  <c r="GX191" i="2"/>
  <c r="GX190" i="2"/>
  <c r="GX193" i="2"/>
  <c r="GX189" i="2"/>
  <c r="GX192" i="2"/>
  <c r="AL212" i="2"/>
  <c r="AL210" i="2"/>
  <c r="AL211" i="2"/>
  <c r="AL213" i="2"/>
  <c r="AL209" i="2"/>
  <c r="ED211" i="2"/>
  <c r="ED212" i="2"/>
  <c r="ED209" i="2"/>
  <c r="ED213" i="2"/>
  <c r="ED210" i="2"/>
  <c r="CA136" i="2"/>
  <c r="EM136" i="2"/>
  <c r="W142" i="2"/>
  <c r="CI142" i="2"/>
  <c r="GA142" i="2"/>
  <c r="BK148" i="2"/>
  <c r="CQ148" i="2"/>
  <c r="EM148" i="2"/>
  <c r="BC184" i="2"/>
  <c r="BC185" i="2"/>
  <c r="BC187" i="2"/>
  <c r="BC186" i="2"/>
  <c r="BC183" i="2"/>
  <c r="DO184" i="2"/>
  <c r="DO186" i="2"/>
  <c r="DO185" i="2"/>
  <c r="DO187" i="2"/>
  <c r="DO183" i="2"/>
  <c r="FK185" i="2"/>
  <c r="FK187" i="2"/>
  <c r="FK186" i="2"/>
  <c r="FK183" i="2"/>
  <c r="FK184" i="2"/>
  <c r="AU192" i="2"/>
  <c r="AU190" i="2"/>
  <c r="AU191" i="2"/>
  <c r="AU193" i="2"/>
  <c r="AU189" i="2"/>
  <c r="CQ191" i="2"/>
  <c r="CQ190" i="2"/>
  <c r="CQ189" i="2"/>
  <c r="CQ192" i="2"/>
  <c r="CQ193" i="2"/>
  <c r="EM193" i="2"/>
  <c r="EM189" i="2"/>
  <c r="EM190" i="2"/>
  <c r="EM192" i="2"/>
  <c r="EM191" i="2"/>
  <c r="W213" i="2"/>
  <c r="W209" i="2"/>
  <c r="W212" i="2"/>
  <c r="W210" i="2"/>
  <c r="W211" i="2"/>
  <c r="BS212" i="2"/>
  <c r="BS211" i="2"/>
  <c r="BS209" i="2"/>
  <c r="BS213" i="2"/>
  <c r="BS210" i="2"/>
  <c r="EE211" i="2"/>
  <c r="EE213" i="2"/>
  <c r="EE209" i="2"/>
  <c r="EE210" i="2"/>
  <c r="EE212" i="2"/>
  <c r="FK210" i="2"/>
  <c r="FK209" i="2"/>
  <c r="FK212" i="2"/>
  <c r="FK211" i="2"/>
  <c r="FK213" i="2"/>
  <c r="GQ210" i="2"/>
  <c r="GQ212" i="2"/>
  <c r="GQ211" i="2"/>
  <c r="GQ213" i="2"/>
  <c r="GQ209" i="2"/>
  <c r="CB136" i="2"/>
  <c r="FD136" i="2"/>
  <c r="BT142" i="2"/>
  <c r="EV142" i="2"/>
  <c r="AF148" i="2"/>
  <c r="CB148" i="2"/>
  <c r="FT148" i="2"/>
  <c r="G23" i="8"/>
  <c r="G31" i="8"/>
  <c r="G39" i="8"/>
  <c r="G47" i="8"/>
  <c r="F73" i="8"/>
  <c r="F85" i="8"/>
  <c r="G85" i="8"/>
  <c r="EX169" i="2"/>
  <c r="EX165" i="2"/>
  <c r="EX168" i="2"/>
  <c r="EX166" i="2"/>
  <c r="EX167" i="2"/>
  <c r="CD175" i="2"/>
  <c r="CD172" i="2"/>
  <c r="CD174" i="2"/>
  <c r="CD171" i="2"/>
  <c r="CD173" i="2"/>
  <c r="BF179" i="2"/>
  <c r="BF177" i="2"/>
  <c r="BF181" i="2"/>
  <c r="BF178" i="2"/>
  <c r="BF180" i="2"/>
  <c r="EX177" i="2"/>
  <c r="EX180" i="2"/>
  <c r="EX178" i="2"/>
  <c r="EX179" i="2"/>
  <c r="EX181" i="2"/>
  <c r="FF184" i="2"/>
  <c r="FF187" i="2"/>
  <c r="FF185" i="2"/>
  <c r="FF183" i="2"/>
  <c r="FF186" i="2"/>
  <c r="AP193" i="2"/>
  <c r="AP190" i="2"/>
  <c r="AP192" i="2"/>
  <c r="AP189" i="2"/>
  <c r="AP191" i="2"/>
  <c r="BH167" i="2"/>
  <c r="BH166" i="2"/>
  <c r="BH165" i="2"/>
  <c r="BH168" i="2"/>
  <c r="BH169" i="2"/>
  <c r="DD168" i="2"/>
  <c r="DD165" i="2"/>
  <c r="DD167" i="2"/>
  <c r="DD169" i="2"/>
  <c r="DD166" i="2"/>
  <c r="ER171" i="2"/>
  <c r="ER174" i="2"/>
  <c r="ER172" i="2"/>
  <c r="ER175" i="2"/>
  <c r="ER173" i="2"/>
  <c r="BX179" i="2"/>
  <c r="BX178" i="2"/>
  <c r="BX177" i="2"/>
  <c r="BX181" i="2"/>
  <c r="BX180" i="2"/>
  <c r="GV181" i="2"/>
  <c r="GV179" i="2"/>
  <c r="GV180" i="2"/>
  <c r="GV178" i="2"/>
  <c r="GV177" i="2"/>
  <c r="BP183" i="2"/>
  <c r="BP185" i="2"/>
  <c r="BP187" i="2"/>
  <c r="BP184" i="2"/>
  <c r="BP186" i="2"/>
  <c r="BH192" i="2"/>
  <c r="BH191" i="2"/>
  <c r="BH190" i="2"/>
  <c r="BH189" i="2"/>
  <c r="BH193" i="2"/>
  <c r="EJ192" i="2"/>
  <c r="EJ191" i="2"/>
  <c r="EJ189" i="2"/>
  <c r="EJ190" i="2"/>
  <c r="EJ193" i="2"/>
  <c r="AZ209" i="2"/>
  <c r="AZ212" i="2"/>
  <c r="AZ213" i="2"/>
  <c r="AZ210" i="2"/>
  <c r="AZ211" i="2"/>
  <c r="ER210" i="2"/>
  <c r="ER209" i="2"/>
  <c r="ER212" i="2"/>
  <c r="ER213" i="2"/>
  <c r="ER211" i="2"/>
  <c r="BZ165" i="2"/>
  <c r="BZ168" i="2"/>
  <c r="BZ166" i="2"/>
  <c r="BZ167" i="2"/>
  <c r="BZ169" i="2"/>
  <c r="GX166" i="2"/>
  <c r="GX165" i="2"/>
  <c r="GX168" i="2"/>
  <c r="GX167" i="2"/>
  <c r="GX169" i="2"/>
  <c r="BR172" i="2"/>
  <c r="BR175" i="2"/>
  <c r="BR173" i="2"/>
  <c r="BR171" i="2"/>
  <c r="BR174" i="2"/>
  <c r="ET142" i="2"/>
  <c r="BZ179" i="2"/>
  <c r="BZ178" i="2"/>
  <c r="BZ181" i="2"/>
  <c r="BZ180" i="2"/>
  <c r="BZ177" i="2"/>
  <c r="FR148" i="2"/>
  <c r="CX187" i="2"/>
  <c r="CX186" i="2"/>
  <c r="CX185" i="2"/>
  <c r="CX184" i="2"/>
  <c r="CX183" i="2"/>
  <c r="FJ183" i="2"/>
  <c r="FJ185" i="2"/>
  <c r="FJ184" i="2"/>
  <c r="FJ186" i="2"/>
  <c r="FJ187" i="2"/>
  <c r="CP189" i="2"/>
  <c r="CP193" i="2"/>
  <c r="CP190" i="2"/>
  <c r="CP191" i="2"/>
  <c r="CP192" i="2"/>
  <c r="FB189" i="2"/>
  <c r="FB193" i="2"/>
  <c r="FB192" i="2"/>
  <c r="FB191" i="2"/>
  <c r="FB190" i="2"/>
  <c r="BB211" i="2"/>
  <c r="BB212" i="2"/>
  <c r="BB213" i="2"/>
  <c r="BB210" i="2"/>
  <c r="BB209" i="2"/>
  <c r="DN213" i="2"/>
  <c r="DN210" i="2"/>
  <c r="DN209" i="2"/>
  <c r="DN211" i="2"/>
  <c r="DN212" i="2"/>
  <c r="CQ136" i="2"/>
  <c r="FC136" i="2"/>
  <c r="AM142" i="2"/>
  <c r="CY142" i="2"/>
  <c r="FK142" i="2"/>
  <c r="AU148" i="2"/>
  <c r="DW148" i="2"/>
  <c r="FS148" i="2"/>
  <c r="W185" i="2"/>
  <c r="W183" i="2"/>
  <c r="W186" i="2"/>
  <c r="W187" i="2"/>
  <c r="W184" i="2"/>
  <c r="CI183" i="2"/>
  <c r="CI185" i="2"/>
  <c r="CI186" i="2"/>
  <c r="CI187" i="2"/>
  <c r="CI184" i="2"/>
  <c r="EE183" i="2"/>
  <c r="EE186" i="2"/>
  <c r="EE187" i="2"/>
  <c r="EE185" i="2"/>
  <c r="EE184" i="2"/>
  <c r="GQ186" i="2"/>
  <c r="GQ183" i="2"/>
  <c r="GQ185" i="2"/>
  <c r="GQ187" i="2"/>
  <c r="GQ184" i="2"/>
  <c r="BK190" i="2"/>
  <c r="BK191" i="2"/>
  <c r="BK189" i="2"/>
  <c r="BK192" i="2"/>
  <c r="BK193" i="2"/>
  <c r="DW190" i="2"/>
  <c r="DW192" i="2"/>
  <c r="DW189" i="2"/>
  <c r="DW191" i="2"/>
  <c r="DW193" i="2"/>
  <c r="GI190" i="2"/>
  <c r="GI189" i="2"/>
  <c r="GI193" i="2"/>
  <c r="GI191" i="2"/>
  <c r="GI192" i="2"/>
  <c r="BC211" i="2"/>
  <c r="BC213" i="2"/>
  <c r="BC212" i="2"/>
  <c r="BC210" i="2"/>
  <c r="BC209" i="2"/>
  <c r="DO211" i="2"/>
  <c r="DO210" i="2"/>
  <c r="DO209" i="2"/>
  <c r="DO213" i="2"/>
  <c r="DO212" i="2"/>
  <c r="BZ219" i="2"/>
  <c r="BY219" i="2"/>
  <c r="BW219" i="2"/>
  <c r="BS219" i="2"/>
  <c r="BR219" i="2"/>
  <c r="BQ219" i="2"/>
  <c r="BP219" i="2"/>
  <c r="BO219" i="2"/>
  <c r="BN219" i="2"/>
  <c r="BM219" i="2"/>
  <c r="BK219" i="2"/>
  <c r="BG219" i="2"/>
  <c r="BF219" i="2"/>
  <c r="BE219" i="2"/>
  <c r="BD219" i="2"/>
  <c r="BC219" i="2"/>
  <c r="BB219" i="2"/>
  <c r="BA219" i="2"/>
  <c r="AZ219" i="2"/>
  <c r="AY219" i="2"/>
  <c r="AX219" i="2"/>
  <c r="AW219" i="2"/>
  <c r="AV219" i="2"/>
  <c r="AU219" i="2"/>
  <c r="AT219" i="2"/>
  <c r="AS219" i="2"/>
  <c r="AS220" i="2"/>
  <c r="AF136" i="2"/>
  <c r="CR136" i="2"/>
  <c r="EN136" i="2"/>
  <c r="X142" i="2"/>
  <c r="CJ142" i="2"/>
  <c r="GR142" i="2"/>
  <c r="BL148" i="2"/>
  <c r="DX148" i="2"/>
  <c r="DP154" i="2"/>
  <c r="GR154" i="2"/>
  <c r="BL160" i="2"/>
  <c r="DH160" i="2"/>
  <c r="FT160" i="2"/>
  <c r="BD202" i="2"/>
  <c r="DP202" i="2"/>
  <c r="GB202" i="2"/>
  <c r="E72" i="8"/>
  <c r="DB167" i="2"/>
  <c r="DB168" i="2"/>
  <c r="DB166" i="2"/>
  <c r="DB165" i="2"/>
  <c r="DB169" i="2"/>
  <c r="AX172" i="2"/>
  <c r="AX174" i="2"/>
  <c r="AX171" i="2"/>
  <c r="AX175" i="2"/>
  <c r="AX173" i="2"/>
  <c r="CL178" i="2"/>
  <c r="CL180" i="2"/>
  <c r="CL179" i="2"/>
  <c r="CL181" i="2"/>
  <c r="CL177" i="2"/>
  <c r="GL186" i="2"/>
  <c r="GL184" i="2"/>
  <c r="GL187" i="2"/>
  <c r="GL185" i="2"/>
  <c r="GL183" i="2"/>
  <c r="AB167" i="2"/>
  <c r="AB166" i="2"/>
  <c r="AB169" i="2"/>
  <c r="AB165" i="2"/>
  <c r="AB168" i="2"/>
  <c r="GF169" i="2"/>
  <c r="GF168" i="2"/>
  <c r="GF166" i="2"/>
  <c r="GF167" i="2"/>
  <c r="GF165" i="2"/>
  <c r="AJ173" i="2"/>
  <c r="AJ172" i="2"/>
  <c r="AJ171" i="2"/>
  <c r="AJ175" i="2"/>
  <c r="AJ174" i="2"/>
  <c r="FX171" i="2"/>
  <c r="FX173" i="2"/>
  <c r="FX172" i="2"/>
  <c r="FX175" i="2"/>
  <c r="FX174" i="2"/>
  <c r="AB180" i="2"/>
  <c r="AB179" i="2"/>
  <c r="AB178" i="2"/>
  <c r="AB177" i="2"/>
  <c r="AB181" i="2"/>
  <c r="DD180" i="2"/>
  <c r="DD179" i="2"/>
  <c r="DD181" i="2"/>
  <c r="DD178" i="2"/>
  <c r="DD177" i="2"/>
  <c r="AJ185" i="2"/>
  <c r="AJ187" i="2"/>
  <c r="AJ186" i="2"/>
  <c r="AJ184" i="2"/>
  <c r="AJ183" i="2"/>
  <c r="ER185" i="2"/>
  <c r="ER186" i="2"/>
  <c r="ER187" i="2"/>
  <c r="ER183" i="2"/>
  <c r="ER184" i="2"/>
  <c r="AB192" i="2"/>
  <c r="AB191" i="2"/>
  <c r="AB190" i="2"/>
  <c r="AB189" i="2"/>
  <c r="AB193" i="2"/>
  <c r="FP192" i="2"/>
  <c r="FP191" i="2"/>
  <c r="FP189" i="2"/>
  <c r="FP193" i="2"/>
  <c r="FP190" i="2"/>
  <c r="BP211" i="2"/>
  <c r="BP210" i="2"/>
  <c r="BP213" i="2"/>
  <c r="BP209" i="2"/>
  <c r="BP212" i="2"/>
  <c r="GN210" i="2"/>
  <c r="GN209" i="2"/>
  <c r="GN212" i="2"/>
  <c r="GN213" i="2"/>
  <c r="GN211" i="2"/>
  <c r="AT166" i="2"/>
  <c r="AT167" i="2"/>
  <c r="AT165" i="2"/>
  <c r="AT169" i="2"/>
  <c r="AT168" i="2"/>
  <c r="FB169" i="2"/>
  <c r="FB168" i="2"/>
  <c r="FB165" i="2"/>
  <c r="FB167" i="2"/>
  <c r="FB166" i="2"/>
  <c r="BB171" i="2"/>
  <c r="BB175" i="2"/>
  <c r="BB174" i="2"/>
  <c r="BB173" i="2"/>
  <c r="BB172" i="2"/>
  <c r="FJ174" i="2"/>
  <c r="FJ173" i="2"/>
  <c r="FJ171" i="2"/>
  <c r="FJ172" i="2"/>
  <c r="FJ175" i="2"/>
  <c r="CP179" i="2"/>
  <c r="CP181" i="2"/>
  <c r="CP180" i="2"/>
  <c r="CP178" i="2"/>
  <c r="CP177" i="2"/>
  <c r="GX178" i="2"/>
  <c r="GX180" i="2"/>
  <c r="GX177" i="2"/>
  <c r="GX181" i="2"/>
  <c r="GX179" i="2"/>
  <c r="BR183" i="2"/>
  <c r="BR186" i="2"/>
  <c r="BR185" i="2"/>
  <c r="BR187" i="2"/>
  <c r="BR184" i="2"/>
  <c r="ET185" i="2"/>
  <c r="ET184" i="2"/>
  <c r="ET187" i="2"/>
  <c r="ET183" i="2"/>
  <c r="ET186" i="2"/>
  <c r="BJ160" i="2"/>
  <c r="EL193" i="2"/>
  <c r="EL191" i="2"/>
  <c r="EL190" i="2"/>
  <c r="EL189" i="2"/>
  <c r="EL192" i="2"/>
  <c r="CH212" i="2"/>
  <c r="CH211" i="2"/>
  <c r="CH210" i="2"/>
  <c r="CH209" i="2"/>
  <c r="CH213" i="2"/>
  <c r="ET209" i="2"/>
  <c r="ET210" i="2"/>
  <c r="ET213" i="2"/>
  <c r="ET211" i="2"/>
  <c r="ET212" i="2"/>
  <c r="AU136" i="2"/>
  <c r="DG136" i="2"/>
  <c r="DO142" i="2"/>
  <c r="GQ142" i="2"/>
  <c r="DG148" i="2"/>
  <c r="GI148" i="2"/>
  <c r="AM186" i="2"/>
  <c r="AM185" i="2"/>
  <c r="AM183" i="2"/>
  <c r="AM184" i="2"/>
  <c r="AM187" i="2"/>
  <c r="CY183" i="2"/>
  <c r="CY185" i="2"/>
  <c r="CY187" i="2"/>
  <c r="CY184" i="2"/>
  <c r="CY186" i="2"/>
  <c r="GA184" i="2"/>
  <c r="GA185" i="2"/>
  <c r="GA186" i="2"/>
  <c r="GA183" i="2"/>
  <c r="GA187" i="2"/>
  <c r="CA193" i="2"/>
  <c r="CA189" i="2"/>
  <c r="CA190" i="2"/>
  <c r="CA192" i="2"/>
  <c r="CA191" i="2"/>
  <c r="FC192" i="2"/>
  <c r="FC190" i="2"/>
  <c r="FC191" i="2"/>
  <c r="FC189" i="2"/>
  <c r="FC193" i="2"/>
  <c r="AM211" i="2"/>
  <c r="AM213" i="2"/>
  <c r="AM209" i="2"/>
  <c r="AM212" i="2"/>
  <c r="AM210" i="2"/>
  <c r="CY211" i="2"/>
  <c r="CY213" i="2"/>
  <c r="CY209" i="2"/>
  <c r="CY210" i="2"/>
  <c r="CY212" i="2"/>
  <c r="EU211" i="2"/>
  <c r="EU212" i="2"/>
  <c r="EU213" i="2"/>
  <c r="EU209" i="2"/>
  <c r="EU210" i="2"/>
  <c r="GA212" i="2"/>
  <c r="GA211" i="2"/>
  <c r="GA213" i="2"/>
  <c r="GA210" i="2"/>
  <c r="GA209" i="2"/>
  <c r="BL136" i="2"/>
  <c r="FT136" i="2"/>
  <c r="AN142" i="2"/>
  <c r="EF142" i="2"/>
  <c r="DH148" i="2"/>
  <c r="GJ148" i="2"/>
  <c r="AN154" i="2"/>
  <c r="CJ154" i="2"/>
  <c r="GB154" i="2"/>
  <c r="AV160" i="2"/>
  <c r="EN160" i="2"/>
  <c r="X202" i="2"/>
  <c r="CZ202" i="2"/>
  <c r="FL202" i="2"/>
  <c r="BM136" i="2"/>
  <c r="FU136" i="2"/>
  <c r="BU142" i="2"/>
  <c r="GC142" i="2"/>
  <c r="CC148" i="2"/>
  <c r="FU148" i="2"/>
  <c r="CK154" i="2"/>
  <c r="GC154" i="2"/>
  <c r="BM160" i="2"/>
  <c r="EO160" i="2"/>
  <c r="BE202" i="2"/>
  <c r="FM202" i="2"/>
  <c r="AH136" i="2"/>
  <c r="AX136" i="2"/>
  <c r="BN136" i="2"/>
  <c r="CD136" i="2"/>
  <c r="CT136" i="2"/>
  <c r="DJ136" i="2"/>
  <c r="DZ136" i="2"/>
  <c r="EP136" i="2"/>
  <c r="FF136" i="2"/>
  <c r="FV136" i="2"/>
  <c r="GL136" i="2"/>
  <c r="Z142" i="2"/>
  <c r="AP142" i="2"/>
  <c r="BF142" i="2"/>
  <c r="BV142" i="2"/>
  <c r="CL142" i="2"/>
  <c r="DB142" i="2"/>
  <c r="DR142" i="2"/>
  <c r="EH142" i="2"/>
  <c r="EX142" i="2"/>
  <c r="FN142" i="2"/>
  <c r="GD142" i="2"/>
  <c r="GT142" i="2"/>
  <c r="AH148" i="2"/>
  <c r="AX148" i="2"/>
  <c r="BN148" i="2"/>
  <c r="CD148" i="2"/>
  <c r="CT148" i="2"/>
  <c r="DJ148" i="2"/>
  <c r="DZ148" i="2"/>
  <c r="EP148" i="2"/>
  <c r="FF148" i="2"/>
  <c r="FV148" i="2"/>
  <c r="GL148" i="2"/>
  <c r="Z154" i="2"/>
  <c r="AP154" i="2"/>
  <c r="AP161" i="2"/>
  <c r="BF154" i="2"/>
  <c r="BF161" i="2"/>
  <c r="BV154" i="2"/>
  <c r="CL154" i="2"/>
  <c r="DB154" i="2"/>
  <c r="DR154" i="2"/>
  <c r="EH154" i="2"/>
  <c r="EX154" i="2"/>
  <c r="FN154" i="2"/>
  <c r="GD154" i="2"/>
  <c r="GT154" i="2"/>
  <c r="AH160" i="2"/>
  <c r="AX160" i="2"/>
  <c r="BN160" i="2"/>
  <c r="CD160" i="2"/>
  <c r="CT160" i="2"/>
  <c r="DJ160" i="2"/>
  <c r="DZ160" i="2"/>
  <c r="EP160" i="2"/>
  <c r="FF160" i="2"/>
  <c r="FV160" i="2"/>
  <c r="GL160" i="2"/>
  <c r="Z202" i="2"/>
  <c r="AP196" i="2"/>
  <c r="AP202" i="2"/>
  <c r="BF202" i="2"/>
  <c r="BV202" i="2"/>
  <c r="CL202" i="2"/>
  <c r="DB202" i="2"/>
  <c r="DR202" i="2"/>
  <c r="EH202" i="2"/>
  <c r="EX202" i="2"/>
  <c r="FN202" i="2"/>
  <c r="GD202" i="2"/>
  <c r="GT202" i="2"/>
  <c r="AH208" i="2"/>
  <c r="AH214" i="2" a="1"/>
  <c r="AX208" i="2"/>
  <c r="AX214" i="2" a="1"/>
  <c r="BN208" i="2"/>
  <c r="BN214" i="2" a="1"/>
  <c r="CD208" i="2"/>
  <c r="CD214" i="2" a="1"/>
  <c r="CT208" i="2"/>
  <c r="CT214" i="2" a="1"/>
  <c r="DJ208" i="2"/>
  <c r="DJ214" i="2" a="1"/>
  <c r="DZ208" i="2"/>
  <c r="DZ214" i="2" a="1"/>
  <c r="EP208" i="2"/>
  <c r="EP214" i="2" a="1"/>
  <c r="FF208" i="2"/>
  <c r="FF214" i="2" a="1"/>
  <c r="FV208" i="2"/>
  <c r="FV214" i="2" a="1"/>
  <c r="GL208" i="2"/>
  <c r="GL214" i="2" a="1"/>
  <c r="G24" i="8"/>
  <c r="G32" i="8"/>
  <c r="G40" i="8"/>
  <c r="F72" i="8"/>
  <c r="G48" i="8"/>
  <c r="F86" i="8"/>
  <c r="G86" i="8"/>
  <c r="CP169" i="2"/>
  <c r="CP166" i="2"/>
  <c r="CP165" i="2"/>
  <c r="CP167" i="2"/>
  <c r="CP168" i="2"/>
  <c r="CH173" i="2"/>
  <c r="CH175" i="2"/>
  <c r="CH172" i="2"/>
  <c r="CH171" i="2"/>
  <c r="CH174" i="2"/>
  <c r="BJ178" i="2"/>
  <c r="BJ180" i="2"/>
  <c r="BJ181" i="2"/>
  <c r="BJ179" i="2"/>
  <c r="BJ177" i="2"/>
  <c r="EL179" i="2"/>
  <c r="EL180" i="2"/>
  <c r="EL181" i="2"/>
  <c r="EL177" i="2"/>
  <c r="EL178" i="2"/>
  <c r="AL186" i="2"/>
  <c r="AL187" i="2"/>
  <c r="AL183" i="2"/>
  <c r="AL185" i="2"/>
  <c r="AL184" i="2"/>
  <c r="ED185" i="2"/>
  <c r="ED183" i="2"/>
  <c r="ED186" i="2"/>
  <c r="ED184" i="2"/>
  <c r="ED187" i="2"/>
  <c r="BZ190" i="2"/>
  <c r="BZ193" i="2"/>
  <c r="BZ191" i="2"/>
  <c r="BZ189" i="2"/>
  <c r="BZ192" i="2"/>
  <c r="GH189" i="2"/>
  <c r="GH191" i="2"/>
  <c r="GH190" i="2"/>
  <c r="GH192" i="2"/>
  <c r="GH193" i="2"/>
  <c r="BR211" i="2"/>
  <c r="BR209" i="2"/>
  <c r="BR210" i="2"/>
  <c r="BR212" i="2"/>
  <c r="BR213" i="2"/>
  <c r="FJ212" i="2"/>
  <c r="FJ209" i="2"/>
  <c r="FJ210" i="2"/>
  <c r="FJ211" i="2"/>
  <c r="FJ213" i="2"/>
  <c r="BK136" i="2"/>
  <c r="FS136" i="2"/>
  <c r="BC142" i="2"/>
  <c r="CC136" i="2"/>
  <c r="FE136" i="2"/>
  <c r="Y142" i="2"/>
  <c r="CK142" i="2"/>
  <c r="EW142" i="2"/>
  <c r="AW148" i="2"/>
  <c r="FE148" i="2"/>
  <c r="Y154" i="2"/>
  <c r="DA154" i="2"/>
  <c r="FM154" i="2"/>
  <c r="AW160" i="2"/>
  <c r="DY160" i="2"/>
  <c r="DA202" i="2"/>
  <c r="AI136" i="2"/>
  <c r="CE136" i="2"/>
  <c r="EQ136" i="2"/>
  <c r="BW142" i="2"/>
  <c r="FO142" i="2"/>
  <c r="BO148" i="2"/>
  <c r="DK148" i="2"/>
  <c r="GM148" i="2"/>
  <c r="AQ154" i="2"/>
  <c r="BW154" i="2"/>
  <c r="EI154" i="2"/>
  <c r="FO154" i="2"/>
  <c r="GU154" i="2"/>
  <c r="AI160" i="2"/>
  <c r="BO160" i="2"/>
  <c r="CU160" i="2"/>
  <c r="EA160" i="2"/>
  <c r="FG160" i="2"/>
  <c r="GM160" i="2"/>
  <c r="BG202" i="2"/>
  <c r="DC202" i="2"/>
  <c r="EI202" i="2"/>
  <c r="GU202" i="2"/>
  <c r="GM208" i="2"/>
  <c r="GM214" i="2" a="1"/>
  <c r="E71" i="8"/>
  <c r="BF168" i="2"/>
  <c r="BF165" i="2"/>
  <c r="BF166" i="2"/>
  <c r="BF167" i="2"/>
  <c r="BF169" i="2"/>
  <c r="DZ173" i="2"/>
  <c r="DZ175" i="2"/>
  <c r="DZ174" i="2"/>
  <c r="DZ171" i="2"/>
  <c r="DZ172" i="2"/>
  <c r="Z180" i="2"/>
  <c r="Z178" i="2"/>
  <c r="Z177" i="2"/>
  <c r="Z181" i="2"/>
  <c r="Z179" i="2"/>
  <c r="EH180" i="2"/>
  <c r="EH181" i="2"/>
  <c r="EH178" i="2"/>
  <c r="EH179" i="2"/>
  <c r="EH177" i="2"/>
  <c r="EP187" i="2"/>
  <c r="EP185" i="2"/>
  <c r="EP186" i="2"/>
  <c r="EP184" i="2"/>
  <c r="EP183" i="2"/>
  <c r="BF189" i="2"/>
  <c r="BF191" i="2"/>
  <c r="BF193" i="2"/>
  <c r="BF190" i="2"/>
  <c r="BF192" i="2"/>
  <c r="FR166" i="2"/>
  <c r="FR169" i="2"/>
  <c r="FR168" i="2"/>
  <c r="FR165" i="2"/>
  <c r="FR167" i="2"/>
  <c r="AL174" i="2"/>
  <c r="AL172" i="2"/>
  <c r="AL175" i="2"/>
  <c r="AL171" i="2"/>
  <c r="AL173" i="2"/>
  <c r="GP175" i="2"/>
  <c r="GP172" i="2"/>
  <c r="GP174" i="2"/>
  <c r="GP171" i="2"/>
  <c r="GP173" i="2"/>
  <c r="AD178" i="2"/>
  <c r="AD181" i="2"/>
  <c r="AD179" i="2"/>
  <c r="AD180" i="2"/>
  <c r="AD177" i="2"/>
  <c r="AV136" i="2"/>
  <c r="DX136" i="2"/>
  <c r="BD142" i="2"/>
  <c r="DP142" i="2"/>
  <c r="GB142" i="2"/>
  <c r="AV148" i="2"/>
  <c r="EN148" i="2"/>
  <c r="X154" i="2"/>
  <c r="BD154" i="2"/>
  <c r="CZ154" i="2"/>
  <c r="EV154" i="2"/>
  <c r="AF160" i="2"/>
  <c r="CR160" i="2"/>
  <c r="FD160" i="2"/>
  <c r="AN202" i="2"/>
  <c r="BT202" i="2"/>
  <c r="EF202" i="2"/>
  <c r="GR202" i="2"/>
  <c r="AG136" i="2"/>
  <c r="CS136" i="2"/>
  <c r="EO136" i="2"/>
  <c r="BE142" i="2"/>
  <c r="DQ142" i="2"/>
  <c r="GS142" i="2"/>
  <c r="AG148" i="2"/>
  <c r="CS148" i="2"/>
  <c r="DY148" i="2"/>
  <c r="BU154" i="2"/>
  <c r="EG154" i="2"/>
  <c r="AG160" i="2"/>
  <c r="DI160" i="2"/>
  <c r="GK160" i="2"/>
  <c r="AO202" i="2"/>
  <c r="AO196" i="2"/>
  <c r="DQ202" i="2"/>
  <c r="GC202" i="2"/>
  <c r="BO136" i="2"/>
  <c r="EA136" i="2"/>
  <c r="FW136" i="2"/>
  <c r="AQ142" i="2"/>
  <c r="CM142" i="2"/>
  <c r="DS142" i="2"/>
  <c r="EI142" i="2"/>
  <c r="GE142" i="2"/>
  <c r="AY148" i="2"/>
  <c r="CU148" i="2"/>
  <c r="EQ148" i="2"/>
  <c r="FG148" i="2"/>
  <c r="AA154" i="2"/>
  <c r="BG154" i="2"/>
  <c r="CM154" i="2"/>
  <c r="DS154" i="2"/>
  <c r="EY154" i="2"/>
  <c r="GE154" i="2"/>
  <c r="AY160" i="2"/>
  <c r="CE160" i="2"/>
  <c r="DK160" i="2"/>
  <c r="EQ160" i="2"/>
  <c r="FW160" i="2"/>
  <c r="AA202" i="2"/>
  <c r="AQ202" i="2"/>
  <c r="AQ196" i="2"/>
  <c r="BW202" i="2"/>
  <c r="CM202" i="2"/>
  <c r="DS202" i="2"/>
  <c r="EY202" i="2"/>
  <c r="FO202" i="2"/>
  <c r="GE202" i="2"/>
  <c r="BP136" i="2"/>
  <c r="CF136" i="2"/>
  <c r="CV136" i="2"/>
  <c r="DL136" i="2"/>
  <c r="EB136" i="2"/>
  <c r="ER136" i="2"/>
  <c r="FH136" i="2"/>
  <c r="FX136" i="2"/>
  <c r="GN136" i="2"/>
  <c r="BX142" i="2"/>
  <c r="CN142" i="2"/>
  <c r="DD142" i="2"/>
  <c r="DT142" i="2"/>
  <c r="EJ142" i="2"/>
  <c r="EZ142" i="2"/>
  <c r="FP142" i="2"/>
  <c r="GF142" i="2"/>
  <c r="GV142" i="2"/>
  <c r="BP148" i="2"/>
  <c r="CF148" i="2"/>
  <c r="CV148" i="2"/>
  <c r="DL148" i="2"/>
  <c r="EB148" i="2"/>
  <c r="ER148" i="2"/>
  <c r="FH148" i="2"/>
  <c r="FX148" i="2"/>
  <c r="GN148" i="2"/>
  <c r="AB154" i="2"/>
  <c r="BX154" i="2"/>
  <c r="CN154" i="2"/>
  <c r="DD154" i="2"/>
  <c r="DT154" i="2"/>
  <c r="EJ154" i="2"/>
  <c r="EZ154" i="2"/>
  <c r="FP154" i="2"/>
  <c r="GF154" i="2"/>
  <c r="GV154" i="2"/>
  <c r="BP160" i="2"/>
  <c r="CF160" i="2"/>
  <c r="CV160" i="2"/>
  <c r="DL160" i="2"/>
  <c r="EB160" i="2"/>
  <c r="ER160" i="2"/>
  <c r="FH160" i="2"/>
  <c r="FX160" i="2"/>
  <c r="GN160" i="2"/>
  <c r="AR202" i="2"/>
  <c r="AR196" i="2"/>
  <c r="BH202" i="2"/>
  <c r="BX202" i="2"/>
  <c r="CN202" i="2"/>
  <c r="DD202" i="2"/>
  <c r="DT202" i="2"/>
  <c r="EJ202" i="2"/>
  <c r="EZ202" i="2"/>
  <c r="FP202" i="2"/>
  <c r="GF202" i="2"/>
  <c r="GV202" i="2"/>
  <c r="AJ208" i="2"/>
  <c r="AJ214" i="2" a="1"/>
  <c r="AZ208" i="2"/>
  <c r="AZ214" i="2" a="1"/>
  <c r="BP208" i="2"/>
  <c r="BP214" i="2" a="1"/>
  <c r="CF208" i="2"/>
  <c r="CF214" i="2" a="1"/>
  <c r="CV208" i="2"/>
  <c r="CV214" i="2" a="1"/>
  <c r="DL208" i="2"/>
  <c r="DL214" i="2" a="1"/>
  <c r="EB208" i="2"/>
  <c r="EB214" i="2" a="1"/>
  <c r="ER208" i="2"/>
  <c r="ER214" i="2" a="1"/>
  <c r="FH208" i="2"/>
  <c r="FH214" i="2" a="1"/>
  <c r="FX208" i="2"/>
  <c r="FX214" i="2" a="1"/>
  <c r="GN208" i="2"/>
  <c r="GN214" i="2" a="1"/>
  <c r="G25" i="8"/>
  <c r="G33" i="8"/>
  <c r="F71" i="8"/>
  <c r="G41" i="8"/>
  <c r="G49" i="8"/>
  <c r="G87" i="8"/>
  <c r="F87" i="8"/>
  <c r="C186" i="7"/>
  <c r="D186" i="7"/>
  <c r="C185" i="7"/>
  <c r="D185" i="7"/>
  <c r="C184" i="7"/>
  <c r="D184" i="7"/>
  <c r="C183" i="7"/>
  <c r="D183" i="7"/>
  <c r="C182" i="7"/>
  <c r="D182" i="7"/>
  <c r="C181" i="7"/>
  <c r="D181" i="7"/>
  <c r="C180" i="7"/>
  <c r="D180" i="7"/>
  <c r="C179" i="7"/>
  <c r="D179" i="7"/>
  <c r="C178" i="7"/>
  <c r="D178" i="7"/>
  <c r="C177" i="7"/>
  <c r="D177" i="7"/>
  <c r="C176" i="7"/>
  <c r="D176" i="7"/>
  <c r="C175" i="7"/>
  <c r="D175" i="7"/>
  <c r="C174" i="7"/>
  <c r="D174" i="7"/>
  <c r="C173" i="7"/>
  <c r="D173" i="7"/>
  <c r="C172" i="7"/>
  <c r="D172" i="7"/>
  <c r="C171" i="7"/>
  <c r="D171" i="7"/>
  <c r="C170" i="7"/>
  <c r="D170" i="7"/>
  <c r="C169" i="7"/>
  <c r="D169" i="7"/>
  <c r="C168" i="7"/>
  <c r="D168" i="7"/>
  <c r="C167" i="7"/>
  <c r="D167" i="7"/>
  <c r="C166" i="7"/>
  <c r="D166" i="7"/>
  <c r="C165" i="7"/>
  <c r="D165" i="7"/>
  <c r="C164" i="7"/>
  <c r="D164" i="7"/>
  <c r="C163" i="7"/>
  <c r="D163" i="7"/>
  <c r="C162" i="7"/>
  <c r="D162" i="7"/>
  <c r="C161" i="7"/>
  <c r="D161" i="7"/>
  <c r="C160" i="7"/>
  <c r="D160" i="7"/>
  <c r="C159" i="7"/>
  <c r="D159" i="7"/>
  <c r="C158" i="7"/>
  <c r="D158" i="7"/>
  <c r="C157" i="7"/>
  <c r="D157" i="7"/>
  <c r="C156" i="7"/>
  <c r="D156" i="7"/>
  <c r="C155" i="7"/>
  <c r="D155" i="7"/>
  <c r="C154" i="7"/>
  <c r="D154" i="7"/>
  <c r="C153" i="7"/>
  <c r="D153" i="7"/>
  <c r="C152" i="7"/>
  <c r="D152" i="7"/>
  <c r="C151" i="7"/>
  <c r="D151" i="7"/>
  <c r="C150" i="7"/>
  <c r="D150" i="7"/>
  <c r="C149" i="7"/>
  <c r="D149" i="7"/>
  <c r="C148" i="7"/>
  <c r="D148" i="7"/>
  <c r="C147" i="7"/>
  <c r="D147" i="7"/>
  <c r="C146" i="7"/>
  <c r="D146" i="7"/>
  <c r="C145" i="7"/>
  <c r="D145" i="7"/>
  <c r="C144" i="7"/>
  <c r="D144" i="7"/>
  <c r="C143" i="7"/>
  <c r="D143" i="7"/>
  <c r="C142" i="7"/>
  <c r="D142" i="7"/>
  <c r="C141" i="7"/>
  <c r="D141" i="7"/>
  <c r="C140" i="7"/>
  <c r="D140" i="7"/>
  <c r="C139" i="7"/>
  <c r="D139" i="7"/>
  <c r="C138" i="7"/>
  <c r="D138" i="7"/>
  <c r="C137" i="7"/>
  <c r="D137" i="7"/>
  <c r="C136" i="7"/>
  <c r="D136" i="7"/>
  <c r="C135" i="7"/>
  <c r="D135" i="7"/>
  <c r="C134" i="7"/>
  <c r="D134" i="7"/>
  <c r="C133" i="7"/>
  <c r="D133" i="7"/>
  <c r="C132" i="7"/>
  <c r="D132" i="7"/>
  <c r="C131" i="7"/>
  <c r="D131" i="7"/>
  <c r="C130" i="7"/>
  <c r="D130" i="7"/>
  <c r="C129" i="7"/>
  <c r="D129" i="7"/>
  <c r="C128" i="7"/>
  <c r="D128" i="7"/>
  <c r="C127" i="7"/>
  <c r="D127" i="7"/>
  <c r="C126" i="7"/>
  <c r="D126" i="7"/>
  <c r="C125" i="7"/>
  <c r="D125" i="7"/>
  <c r="C124" i="7"/>
  <c r="D124" i="7"/>
  <c r="C123" i="7"/>
  <c r="D123" i="7"/>
  <c r="C122" i="7"/>
  <c r="D122" i="7"/>
  <c r="C121" i="7"/>
  <c r="D121" i="7"/>
  <c r="C120" i="7"/>
  <c r="D120" i="7"/>
  <c r="C119" i="7"/>
  <c r="D119" i="7"/>
  <c r="C118" i="7"/>
  <c r="D118" i="7"/>
  <c r="C117" i="7"/>
  <c r="D117" i="7"/>
  <c r="C116" i="7"/>
  <c r="D116" i="7"/>
  <c r="C115" i="7"/>
  <c r="D115" i="7"/>
  <c r="C114" i="7"/>
  <c r="D114" i="7"/>
  <c r="C113" i="7"/>
  <c r="D113" i="7"/>
  <c r="C112" i="7"/>
  <c r="D112" i="7"/>
  <c r="C111" i="7"/>
  <c r="D111" i="7"/>
  <c r="C110" i="7"/>
  <c r="D110" i="7"/>
  <c r="C109" i="7"/>
  <c r="D109" i="7"/>
  <c r="C108" i="7"/>
  <c r="D108" i="7"/>
  <c r="C107" i="7"/>
  <c r="D107" i="7"/>
  <c r="C106" i="7"/>
  <c r="D106" i="7"/>
  <c r="C105" i="7"/>
  <c r="D105" i="7"/>
  <c r="C104" i="7"/>
  <c r="D104" i="7"/>
  <c r="C103" i="7"/>
  <c r="D103" i="7"/>
  <c r="C102" i="7"/>
  <c r="D102" i="7"/>
  <c r="C101" i="7"/>
  <c r="D101" i="7"/>
  <c r="C100" i="7"/>
  <c r="D100" i="7"/>
  <c r="C99" i="7"/>
  <c r="D99" i="7"/>
  <c r="C98" i="7"/>
  <c r="D98" i="7"/>
  <c r="C97" i="7"/>
  <c r="D97" i="7"/>
  <c r="C96" i="7"/>
  <c r="D96" i="7"/>
  <c r="C95" i="7"/>
  <c r="D95" i="7"/>
  <c r="C94" i="7"/>
  <c r="D94" i="7"/>
  <c r="C93" i="7"/>
  <c r="D93" i="7"/>
  <c r="C92" i="7"/>
  <c r="D92" i="7"/>
  <c r="C91" i="7"/>
  <c r="D91" i="7"/>
  <c r="C90" i="7"/>
  <c r="D90" i="7"/>
  <c r="C89" i="7"/>
  <c r="D89" i="7"/>
  <c r="C88" i="7"/>
  <c r="D88" i="7"/>
  <c r="C87" i="7"/>
  <c r="D87" i="7"/>
  <c r="C86" i="7"/>
  <c r="D86" i="7"/>
  <c r="C85" i="7"/>
  <c r="D85" i="7"/>
  <c r="C84" i="7"/>
  <c r="D84" i="7"/>
  <c r="C83" i="7"/>
  <c r="D83" i="7"/>
  <c r="C82" i="7"/>
  <c r="D82" i="7"/>
  <c r="C81" i="7"/>
  <c r="D81" i="7"/>
  <c r="C80" i="7"/>
  <c r="D80" i="7"/>
  <c r="C79" i="7"/>
  <c r="D79" i="7"/>
  <c r="C78" i="7"/>
  <c r="D78" i="7"/>
  <c r="C77" i="7"/>
  <c r="D77" i="7"/>
  <c r="C76" i="7"/>
  <c r="D76" i="7"/>
  <c r="C75" i="7"/>
  <c r="D75" i="7"/>
  <c r="C74" i="7"/>
  <c r="D74" i="7"/>
  <c r="C73" i="7"/>
  <c r="D73" i="7"/>
  <c r="C72" i="7"/>
  <c r="D72" i="7"/>
  <c r="C71" i="7"/>
  <c r="D71" i="7"/>
  <c r="C70" i="7"/>
  <c r="D70" i="7"/>
  <c r="C69" i="7"/>
  <c r="D69" i="7"/>
  <c r="C68" i="7"/>
  <c r="D68" i="7"/>
  <c r="C67" i="7"/>
  <c r="D67" i="7"/>
  <c r="C66" i="7"/>
  <c r="D66" i="7"/>
  <c r="C65" i="7"/>
  <c r="D65" i="7"/>
  <c r="C64" i="7"/>
  <c r="D64" i="7"/>
  <c r="C63" i="7"/>
  <c r="D63" i="7"/>
  <c r="C62" i="7"/>
  <c r="D62" i="7"/>
  <c r="C61" i="7"/>
  <c r="D61" i="7"/>
  <c r="C60" i="7"/>
  <c r="D60" i="7"/>
  <c r="C59" i="7"/>
  <c r="D59" i="7"/>
  <c r="C58" i="7"/>
  <c r="D58" i="7"/>
  <c r="C57" i="7"/>
  <c r="D57" i="7"/>
  <c r="C56" i="7"/>
  <c r="D56" i="7"/>
  <c r="C55" i="7"/>
  <c r="D55" i="7"/>
  <c r="C54" i="7"/>
  <c r="D54" i="7"/>
  <c r="C53" i="7"/>
  <c r="D53" i="7"/>
  <c r="C52" i="7"/>
  <c r="D52" i="7"/>
  <c r="C51" i="7"/>
  <c r="D51" i="7"/>
  <c r="C50" i="7"/>
  <c r="D50" i="7"/>
  <c r="C49" i="7"/>
  <c r="D49" i="7"/>
  <c r="C48" i="7"/>
  <c r="D48" i="7"/>
  <c r="C47" i="7"/>
  <c r="D47" i="7"/>
  <c r="C46" i="7"/>
  <c r="D46" i="7"/>
  <c r="C45" i="7"/>
  <c r="D45" i="7"/>
  <c r="C44" i="7"/>
  <c r="D44" i="7"/>
  <c r="C43" i="7"/>
  <c r="D43" i="7"/>
  <c r="C42" i="7"/>
  <c r="D42" i="7"/>
  <c r="C41" i="7"/>
  <c r="D41" i="7"/>
  <c r="C40" i="7"/>
  <c r="D40" i="7"/>
  <c r="C39" i="7"/>
  <c r="D39" i="7"/>
  <c r="C38" i="7"/>
  <c r="D38" i="7"/>
  <c r="C37" i="7"/>
  <c r="D37" i="7"/>
  <c r="C36" i="7"/>
  <c r="D36" i="7"/>
  <c r="C35" i="7"/>
  <c r="D35" i="7"/>
  <c r="C34" i="7"/>
  <c r="D34" i="7"/>
  <c r="C33" i="7"/>
  <c r="D33" i="7"/>
  <c r="C32" i="7"/>
  <c r="D32" i="7"/>
  <c r="C31" i="7"/>
  <c r="D31" i="7"/>
  <c r="C30" i="7"/>
  <c r="D30" i="7"/>
  <c r="C29" i="7"/>
  <c r="D29" i="7"/>
  <c r="C28" i="7"/>
  <c r="D28" i="7"/>
  <c r="C27" i="7"/>
  <c r="D27" i="7"/>
  <c r="C26" i="7"/>
  <c r="D26" i="7"/>
  <c r="C25" i="7"/>
  <c r="D25" i="7"/>
  <c r="C24" i="7"/>
  <c r="D24" i="7"/>
  <c r="C23" i="7"/>
  <c r="D23" i="7"/>
  <c r="C22" i="7"/>
  <c r="D22" i="7"/>
  <c r="C21" i="7"/>
  <c r="D21" i="7"/>
  <c r="C20" i="7"/>
  <c r="D20" i="7"/>
  <c r="C19" i="7"/>
  <c r="D19" i="7"/>
  <c r="C18" i="7"/>
  <c r="D18" i="7"/>
  <c r="C17" i="7"/>
  <c r="D17" i="7"/>
  <c r="C16" i="7"/>
  <c r="D16" i="7"/>
  <c r="C15" i="7"/>
  <c r="D15" i="7"/>
  <c r="C14" i="7"/>
  <c r="D14" i="7"/>
  <c r="C13" i="7"/>
  <c r="D13" i="7"/>
  <c r="C12" i="7"/>
  <c r="D12" i="7"/>
  <c r="C11" i="7"/>
  <c r="D11" i="7"/>
  <c r="C10" i="7"/>
  <c r="D10" i="7"/>
  <c r="C9" i="7"/>
  <c r="D9" i="7"/>
  <c r="C8" i="7"/>
  <c r="D8" i="7"/>
  <c r="C7" i="7"/>
  <c r="D7" i="7"/>
  <c r="C6" i="7"/>
  <c r="D6" i="7"/>
  <c r="C5" i="7"/>
  <c r="D5" i="7"/>
  <c r="GX208" i="2"/>
  <c r="GX214" i="2" a="1"/>
  <c r="AP167" i="2"/>
  <c r="AP169" i="2"/>
  <c r="AP168" i="2"/>
  <c r="AP166" i="2"/>
  <c r="AP165" i="2"/>
  <c r="BN174" i="2"/>
  <c r="BN171" i="2"/>
  <c r="BN175" i="2"/>
  <c r="BN173" i="2"/>
  <c r="BN172" i="2"/>
  <c r="FV185" i="2"/>
  <c r="FV187" i="2"/>
  <c r="FV183" i="2"/>
  <c r="FV186" i="2"/>
  <c r="FV184" i="2"/>
  <c r="FX184" i="2"/>
  <c r="FX183" i="2"/>
  <c r="FX186" i="2"/>
  <c r="FX185" i="2"/>
  <c r="FX187" i="2"/>
  <c r="DW136" i="2"/>
  <c r="EE142" i="2"/>
  <c r="DI136" i="2"/>
  <c r="GK136" i="2"/>
  <c r="AO142" i="2"/>
  <c r="EG142" i="2"/>
  <c r="BM148" i="2"/>
  <c r="EO148" i="2"/>
  <c r="BE154" i="2"/>
  <c r="EW154" i="2"/>
  <c r="CS160" i="2"/>
  <c r="FU160" i="2"/>
  <c r="Y202" i="2"/>
  <c r="BU202" i="2"/>
  <c r="EG202" i="2"/>
  <c r="GS202" i="2"/>
  <c r="CU136" i="2"/>
  <c r="GM136" i="2"/>
  <c r="AK136" i="2"/>
  <c r="BQ136" i="2"/>
  <c r="CW136" i="2"/>
  <c r="EC136" i="2"/>
  <c r="FY136" i="2"/>
  <c r="AS142" i="2"/>
  <c r="BI142" i="2"/>
  <c r="CO142" i="2"/>
  <c r="EK142" i="2"/>
  <c r="GG142" i="2"/>
  <c r="BA148" i="2"/>
  <c r="CG148" i="2"/>
  <c r="EC148" i="2"/>
  <c r="FY148" i="2"/>
  <c r="AC154" i="2"/>
  <c r="AS154" i="2"/>
  <c r="BI154" i="2"/>
  <c r="BY154" i="2"/>
  <c r="DE154" i="2"/>
  <c r="DU154" i="2"/>
  <c r="EK154" i="2"/>
  <c r="FA154" i="2"/>
  <c r="FQ154" i="2"/>
  <c r="GG154" i="2"/>
  <c r="GW154" i="2"/>
  <c r="AK160" i="2"/>
  <c r="BA160" i="2"/>
  <c r="BQ160" i="2"/>
  <c r="CG160" i="2"/>
  <c r="CW160" i="2"/>
  <c r="DM160" i="2"/>
  <c r="EC160" i="2"/>
  <c r="ES160" i="2"/>
  <c r="FI160" i="2"/>
  <c r="FY160" i="2"/>
  <c r="GO160" i="2"/>
  <c r="AC202" i="2"/>
  <c r="AS202" i="2"/>
  <c r="AS196" i="2"/>
  <c r="BI202" i="2"/>
  <c r="BY202" i="2"/>
  <c r="CO202" i="2"/>
  <c r="DE202" i="2"/>
  <c r="DU202" i="2"/>
  <c r="EK202" i="2"/>
  <c r="FA202" i="2"/>
  <c r="FQ202" i="2"/>
  <c r="GG202" i="2"/>
  <c r="GW202" i="2"/>
  <c r="BA208" i="2"/>
  <c r="BA214" i="2" a="1"/>
  <c r="BQ208" i="2"/>
  <c r="BQ214" i="2" a="1"/>
  <c r="CG208" i="2"/>
  <c r="CG214" i="2" a="1"/>
  <c r="CW208" i="2"/>
  <c r="CW214" i="2" a="1"/>
  <c r="DM208" i="2"/>
  <c r="DM214" i="2" a="1"/>
  <c r="EC208" i="2"/>
  <c r="EC214" i="2" a="1"/>
  <c r="ES208" i="2"/>
  <c r="ES214" i="2" a="1"/>
  <c r="FI208" i="2"/>
  <c r="FI214" i="2" a="1"/>
  <c r="FY208" i="2"/>
  <c r="FY214" i="2" a="1"/>
  <c r="GO208" i="2"/>
  <c r="GO214" i="2" a="1"/>
  <c r="E70" i="8"/>
  <c r="DR167" i="2"/>
  <c r="DR168" i="2"/>
  <c r="DR165" i="2"/>
  <c r="DR169" i="2"/>
  <c r="DR166" i="2"/>
  <c r="GL175" i="2"/>
  <c r="GL172" i="2"/>
  <c r="GL174" i="2"/>
  <c r="GL173" i="2"/>
  <c r="GL171" i="2"/>
  <c r="DB148" i="2"/>
  <c r="DZ183" i="2"/>
  <c r="DZ184" i="2"/>
  <c r="DZ187" i="2"/>
  <c r="DZ186" i="2"/>
  <c r="DZ185" i="2"/>
  <c r="EL168" i="2"/>
  <c r="EL165" i="2"/>
  <c r="EL169" i="2"/>
  <c r="EL166" i="2"/>
  <c r="EL167" i="2"/>
  <c r="ED175" i="2"/>
  <c r="ED173" i="2"/>
  <c r="ED174" i="2"/>
  <c r="ED171" i="2"/>
  <c r="ED172" i="2"/>
  <c r="FB180" i="2"/>
  <c r="FB178" i="2"/>
  <c r="FB181" i="2"/>
  <c r="FB179" i="2"/>
  <c r="FB177" i="2"/>
  <c r="DN187" i="2"/>
  <c r="DN185" i="2"/>
  <c r="DN186" i="2"/>
  <c r="DN184" i="2"/>
  <c r="DN183" i="2"/>
  <c r="DH136" i="2"/>
  <c r="GJ136" i="2"/>
  <c r="CZ142" i="2"/>
  <c r="FL142" i="2"/>
  <c r="CR148" i="2"/>
  <c r="FD148" i="2"/>
  <c r="BT154" i="2"/>
  <c r="EF154" i="2"/>
  <c r="FL154" i="2"/>
  <c r="CB160" i="2"/>
  <c r="DX160" i="2"/>
  <c r="GJ160" i="2"/>
  <c r="CJ202" i="2"/>
  <c r="EV202" i="2"/>
  <c r="BL219" i="2"/>
  <c r="AW136" i="2"/>
  <c r="DY136" i="2"/>
  <c r="DA142" i="2"/>
  <c r="FM142" i="2"/>
  <c r="DI148" i="2"/>
  <c r="GK148" i="2"/>
  <c r="AO154" i="2"/>
  <c r="DQ154" i="2"/>
  <c r="GS154" i="2"/>
  <c r="CC160" i="2"/>
  <c r="FE160" i="2"/>
  <c r="CK202" i="2"/>
  <c r="EW202" i="2"/>
  <c r="AY136" i="2"/>
  <c r="DK136" i="2"/>
  <c r="FG136" i="2"/>
  <c r="AA142" i="2"/>
  <c r="BG142" i="2"/>
  <c r="DC142" i="2"/>
  <c r="EY142" i="2"/>
  <c r="GU142" i="2"/>
  <c r="AI148" i="2"/>
  <c r="CE148" i="2"/>
  <c r="EA148" i="2"/>
  <c r="FW148" i="2"/>
  <c r="DC154" i="2"/>
  <c r="BA136" i="2"/>
  <c r="CG136" i="2"/>
  <c r="DM136" i="2"/>
  <c r="ES136" i="2"/>
  <c r="FI136" i="2"/>
  <c r="GO136" i="2"/>
  <c r="AC142" i="2"/>
  <c r="BY142" i="2"/>
  <c r="DE142" i="2"/>
  <c r="DU142" i="2"/>
  <c r="FA142" i="2"/>
  <c r="FQ142" i="2"/>
  <c r="GW142" i="2"/>
  <c r="AK148" i="2"/>
  <c r="BQ148" i="2"/>
  <c r="CW148" i="2"/>
  <c r="DM148" i="2"/>
  <c r="ES148" i="2"/>
  <c r="FI148" i="2"/>
  <c r="GO148" i="2"/>
  <c r="CO154" i="2"/>
  <c r="AL136" i="2"/>
  <c r="BB136" i="2"/>
  <c r="BR136" i="2"/>
  <c r="CH136" i="2"/>
  <c r="CX136" i="2"/>
  <c r="DN136" i="2"/>
  <c r="ED136" i="2"/>
  <c r="ET136" i="2"/>
  <c r="FJ136" i="2"/>
  <c r="FZ136" i="2"/>
  <c r="GP136" i="2"/>
  <c r="AD142" i="2"/>
  <c r="AT142" i="2"/>
  <c r="BJ142" i="2"/>
  <c r="BZ142" i="2"/>
  <c r="CP142" i="2"/>
  <c r="DF142" i="2"/>
  <c r="DV142" i="2"/>
  <c r="EL142" i="2"/>
  <c r="FB142" i="2"/>
  <c r="FR142" i="2"/>
  <c r="GH142" i="2"/>
  <c r="GX142" i="2"/>
  <c r="AL148" i="2"/>
  <c r="BB148" i="2"/>
  <c r="BR148" i="2"/>
  <c r="CH148" i="2"/>
  <c r="CX148" i="2"/>
  <c r="DN148" i="2"/>
  <c r="ED148" i="2"/>
  <c r="ET148" i="2"/>
  <c r="FJ148" i="2"/>
  <c r="FZ148" i="2"/>
  <c r="GP148" i="2"/>
  <c r="AD154" i="2"/>
  <c r="AT154" i="2"/>
  <c r="BJ154" i="2"/>
  <c r="BZ154" i="2"/>
  <c r="CP154" i="2"/>
  <c r="DF154" i="2"/>
  <c r="DV154" i="2"/>
  <c r="EL154" i="2"/>
  <c r="FB154" i="2"/>
  <c r="FR154" i="2"/>
  <c r="GH154" i="2"/>
  <c r="GX154" i="2"/>
  <c r="AL160" i="2"/>
  <c r="BB160" i="2"/>
  <c r="BR160" i="2"/>
  <c r="CH160" i="2"/>
  <c r="CX160" i="2"/>
  <c r="DN160" i="2"/>
  <c r="ED160" i="2"/>
  <c r="ET160" i="2"/>
  <c r="FJ160" i="2"/>
  <c r="FZ160" i="2"/>
  <c r="GP160" i="2"/>
  <c r="AD202" i="2"/>
  <c r="AT202" i="2"/>
  <c r="AT196" i="2"/>
  <c r="BJ202" i="2"/>
  <c r="BZ202" i="2"/>
  <c r="CP202" i="2"/>
  <c r="DF202" i="2"/>
  <c r="DV202" i="2"/>
  <c r="EL202" i="2"/>
  <c r="FB202" i="2"/>
  <c r="FR202" i="2"/>
  <c r="GH202" i="2"/>
  <c r="GX202" i="2"/>
  <c r="AL208" i="2"/>
  <c r="AL214" i="2" a="1"/>
  <c r="BB208" i="2"/>
  <c r="BB214" i="2" a="1"/>
  <c r="BR208" i="2"/>
  <c r="BR214" i="2" a="1"/>
  <c r="CH208" i="2"/>
  <c r="CH214" i="2" a="1"/>
  <c r="CX208" i="2"/>
  <c r="CX214" i="2" a="1"/>
  <c r="DN208" i="2"/>
  <c r="DN214" i="2" a="1"/>
  <c r="ED208" i="2"/>
  <c r="ED214" i="2" a="1"/>
  <c r="ET208" i="2"/>
  <c r="ET214" i="2" a="1"/>
  <c r="FJ208" i="2"/>
  <c r="FJ214" i="2" a="1"/>
  <c r="FZ208" i="2"/>
  <c r="FZ214" i="2" a="1"/>
  <c r="GP208" i="2"/>
  <c r="GP214" i="2" a="1"/>
  <c r="G26" i="8"/>
  <c r="F70" i="8"/>
  <c r="G34" i="8"/>
  <c r="G42" i="8"/>
  <c r="G50" i="8"/>
  <c r="F88" i="8"/>
  <c r="G88" i="8"/>
  <c r="AB202" i="2"/>
  <c r="GV169" i="2"/>
  <c r="GV168" i="2"/>
  <c r="GV165" i="2"/>
  <c r="GV166" i="2"/>
  <c r="GV167" i="2"/>
  <c r="DL174" i="2"/>
  <c r="DL175" i="2"/>
  <c r="DL172" i="2"/>
  <c r="DL173" i="2"/>
  <c r="DL171" i="2"/>
  <c r="EZ179" i="2"/>
  <c r="EZ181" i="2"/>
  <c r="EZ180" i="2"/>
  <c r="EZ178" i="2"/>
  <c r="EZ177" i="2"/>
  <c r="AZ186" i="2"/>
  <c r="AZ187" i="2"/>
  <c r="AZ183" i="2"/>
  <c r="AZ184" i="2"/>
  <c r="AZ185" i="2"/>
  <c r="FH184" i="2"/>
  <c r="FH183" i="2"/>
  <c r="FH187" i="2"/>
  <c r="FH185" i="2"/>
  <c r="FH186" i="2"/>
  <c r="EZ191" i="2"/>
  <c r="EZ189" i="2"/>
  <c r="EZ190" i="2"/>
  <c r="EZ192" i="2"/>
  <c r="EZ193" i="2"/>
  <c r="DL202" i="2"/>
  <c r="BA154" i="2"/>
  <c r="AD165" i="2"/>
  <c r="AD169" i="2"/>
  <c r="AD168" i="2"/>
  <c r="AD167" i="2"/>
  <c r="AD166" i="2"/>
  <c r="GH167" i="2"/>
  <c r="GH169" i="2"/>
  <c r="GH166" i="2"/>
  <c r="GH168" i="2"/>
  <c r="GH165" i="2"/>
  <c r="DN171" i="2"/>
  <c r="DN174" i="2"/>
  <c r="DN173" i="2"/>
  <c r="DN172" i="2"/>
  <c r="DN175" i="2"/>
  <c r="AT179" i="2"/>
  <c r="AT178" i="2"/>
  <c r="AT180" i="2"/>
  <c r="AT177" i="2"/>
  <c r="AT181" i="2"/>
  <c r="CQ154" i="2"/>
  <c r="DG154" i="2"/>
  <c r="DW154" i="2"/>
  <c r="EM154" i="2"/>
  <c r="FC154" i="2"/>
  <c r="FS154" i="2"/>
  <c r="GI154" i="2"/>
  <c r="W160" i="2"/>
  <c r="AM160" i="2"/>
  <c r="BC160" i="2"/>
  <c r="BS160" i="2"/>
  <c r="CI160" i="2"/>
  <c r="CY160" i="2"/>
  <c r="DO160" i="2"/>
  <c r="EE160" i="2"/>
  <c r="EU160" i="2"/>
  <c r="FK160" i="2"/>
  <c r="GA160" i="2"/>
  <c r="GQ160" i="2"/>
  <c r="AE202" i="2"/>
  <c r="AU202" i="2"/>
  <c r="BK202" i="2"/>
  <c r="CA202" i="2"/>
  <c r="CQ202" i="2"/>
  <c r="DG202" i="2"/>
  <c r="DW202" i="2"/>
  <c r="EM202" i="2"/>
  <c r="FC202" i="2"/>
  <c r="FS202" i="2"/>
  <c r="GI202" i="2"/>
  <c r="AM219" i="2"/>
  <c r="EU208" i="2"/>
  <c r="EU214" i="2" a="1"/>
  <c r="FK208" i="2"/>
  <c r="FK214" i="2" a="1"/>
  <c r="GA208" i="2"/>
  <c r="GA214" i="2" a="1"/>
  <c r="GQ208" i="2"/>
  <c r="GQ214" i="2" a="1"/>
  <c r="E69" i="8"/>
  <c r="C8" i="8"/>
  <c r="GD166" i="2"/>
  <c r="GD167" i="2"/>
  <c r="GD168" i="2"/>
  <c r="GD165" i="2"/>
  <c r="GD169" i="2"/>
  <c r="CT171" i="2"/>
  <c r="CT172" i="2"/>
  <c r="CT175" i="2"/>
  <c r="CT173" i="2"/>
  <c r="CT174" i="2"/>
  <c r="AP177" i="2"/>
  <c r="AP179" i="2"/>
  <c r="AP181" i="2"/>
  <c r="AP180" i="2"/>
  <c r="AP178" i="2"/>
  <c r="DR177" i="2"/>
  <c r="DR178" i="2"/>
  <c r="DR181" i="2"/>
  <c r="DR180" i="2"/>
  <c r="DR179" i="2"/>
  <c r="CT185" i="2"/>
  <c r="CT183" i="2"/>
  <c r="CT186" i="2"/>
  <c r="CT187" i="2"/>
  <c r="CT184" i="2"/>
  <c r="Z193" i="2"/>
  <c r="Z189" i="2"/>
  <c r="Z192" i="2"/>
  <c r="Z190" i="2"/>
  <c r="Z191" i="2"/>
  <c r="BX166" i="2"/>
  <c r="BX168" i="2"/>
  <c r="BX169" i="2"/>
  <c r="BX167" i="2"/>
  <c r="BX165" i="2"/>
  <c r="EJ169" i="2"/>
  <c r="EJ166" i="2"/>
  <c r="EJ165" i="2"/>
  <c r="EJ167" i="2"/>
  <c r="EJ168" i="2"/>
  <c r="AZ175" i="2"/>
  <c r="AZ174" i="2"/>
  <c r="AZ172" i="2"/>
  <c r="AZ173" i="2"/>
  <c r="AZ171" i="2"/>
  <c r="EB171" i="2"/>
  <c r="EB175" i="2"/>
  <c r="EB173" i="2"/>
  <c r="EB172" i="2"/>
  <c r="EB174" i="2"/>
  <c r="DT177" i="2"/>
  <c r="DT181" i="2"/>
  <c r="DT178" i="2"/>
  <c r="DT179" i="2"/>
  <c r="DT180" i="2"/>
  <c r="CV183" i="2"/>
  <c r="CV184" i="2"/>
  <c r="CV185" i="2"/>
  <c r="CV186" i="2"/>
  <c r="CV187" i="2"/>
  <c r="GN183" i="2"/>
  <c r="GN186" i="2"/>
  <c r="GN184" i="2"/>
  <c r="GN187" i="2"/>
  <c r="GN185" i="2"/>
  <c r="DD193" i="2"/>
  <c r="DD192" i="2"/>
  <c r="DD191" i="2"/>
  <c r="DD190" i="2"/>
  <c r="DD189" i="2"/>
  <c r="CF209" i="2"/>
  <c r="CF211" i="2"/>
  <c r="CF210" i="2"/>
  <c r="CF212" i="2"/>
  <c r="CF213" i="2"/>
  <c r="E13" i="8"/>
  <c r="F13" i="8"/>
  <c r="F69" i="8"/>
  <c r="E18" i="8"/>
  <c r="F18" i="8"/>
  <c r="E14" i="8"/>
  <c r="F14" i="8"/>
  <c r="E20" i="8"/>
  <c r="F20" i="8"/>
  <c r="E17" i="8"/>
  <c r="F17" i="8"/>
  <c r="E19" i="8"/>
  <c r="F19" i="8"/>
  <c r="G19" i="8"/>
  <c r="E16" i="8"/>
  <c r="F16" i="8"/>
  <c r="E15" i="8"/>
  <c r="F15" i="8"/>
  <c r="E21" i="8"/>
  <c r="F21" i="8"/>
  <c r="E22" i="8"/>
  <c r="F22" i="8"/>
  <c r="E23" i="8"/>
  <c r="F23" i="8"/>
  <c r="E24" i="8"/>
  <c r="F24" i="8"/>
  <c r="E25" i="8"/>
  <c r="F25" i="8"/>
  <c r="E26" i="8"/>
  <c r="F26" i="8"/>
  <c r="E27" i="8"/>
  <c r="F27" i="8"/>
  <c r="E28" i="8"/>
  <c r="F28" i="8"/>
  <c r="E29" i="8"/>
  <c r="F29" i="8"/>
  <c r="E30" i="8"/>
  <c r="F30" i="8"/>
  <c r="E31" i="8"/>
  <c r="F31" i="8"/>
  <c r="E32" i="8"/>
  <c r="F32" i="8"/>
  <c r="E33" i="8"/>
  <c r="F33" i="8"/>
  <c r="E34" i="8"/>
  <c r="F34" i="8"/>
  <c r="E35" i="8"/>
  <c r="F35" i="8"/>
  <c r="E36" i="8"/>
  <c r="F36" i="8"/>
  <c r="E37" i="8"/>
  <c r="F37" i="8"/>
  <c r="E38" i="8"/>
  <c r="F38" i="8"/>
  <c r="E39" i="8"/>
  <c r="F39" i="8"/>
  <c r="E40" i="8"/>
  <c r="F40" i="8"/>
  <c r="E41" i="8"/>
  <c r="F41" i="8"/>
  <c r="E42" i="8"/>
  <c r="F42" i="8"/>
  <c r="E43" i="8"/>
  <c r="F43" i="8"/>
  <c r="E44" i="8"/>
  <c r="F44" i="8"/>
  <c r="E45" i="8"/>
  <c r="F45" i="8"/>
  <c r="E46" i="8"/>
  <c r="F46" i="8"/>
  <c r="E47" i="8"/>
  <c r="F47" i="8"/>
  <c r="E48" i="8"/>
  <c r="F48" i="8"/>
  <c r="E49" i="8"/>
  <c r="F49" i="8"/>
  <c r="E50" i="8"/>
  <c r="F50" i="8"/>
  <c r="E51" i="8"/>
  <c r="F51" i="8"/>
  <c r="E52" i="8"/>
  <c r="F52" i="8"/>
  <c r="E53" i="8"/>
  <c r="F53" i="8"/>
  <c r="C19" i="9"/>
  <c r="C7" i="8"/>
  <c r="C9" i="8"/>
  <c r="C10" i="8"/>
  <c r="C18" i="9"/>
  <c r="G27" i="8"/>
  <c r="G35" i="8"/>
  <c r="G43" i="8"/>
  <c r="G51" i="8"/>
  <c r="DR161" i="2"/>
  <c r="BV191" i="2"/>
  <c r="BV193" i="2"/>
  <c r="BV189" i="2"/>
  <c r="BV192" i="2"/>
  <c r="BV190" i="2"/>
  <c r="GD189" i="2"/>
  <c r="GD193" i="2"/>
  <c r="GD190" i="2"/>
  <c r="GD191" i="2"/>
  <c r="GD192" i="2"/>
  <c r="AH213" i="2"/>
  <c r="AH212" i="2"/>
  <c r="AH211" i="2"/>
  <c r="AH210" i="2"/>
  <c r="AH209" i="2"/>
  <c r="CT210" i="2"/>
  <c r="CT212" i="2"/>
  <c r="CT211" i="2"/>
  <c r="CT209" i="2"/>
  <c r="CT213" i="2"/>
  <c r="DS167" i="2"/>
  <c r="DS166" i="2"/>
  <c r="DS165" i="2"/>
  <c r="DS169" i="2"/>
  <c r="DS168" i="2"/>
  <c r="AN220" i="2"/>
  <c r="EI168" i="2"/>
  <c r="EI169" i="2"/>
  <c r="EI166" i="2"/>
  <c r="EI167" i="2"/>
  <c r="EI165" i="2"/>
  <c r="EU186" i="2"/>
  <c r="EU187" i="2"/>
  <c r="EU183" i="2"/>
  <c r="EU185" i="2"/>
  <c r="EU184" i="2"/>
  <c r="DB189" i="2"/>
  <c r="DB192" i="2"/>
  <c r="DB190" i="2"/>
  <c r="DB193" i="2"/>
  <c r="DB191" i="2"/>
  <c r="FN189" i="2"/>
  <c r="FN192" i="2"/>
  <c r="FN191" i="2"/>
  <c r="FN193" i="2"/>
  <c r="FN190" i="2"/>
  <c r="GT193" i="2"/>
  <c r="GT189" i="2"/>
  <c r="GT190" i="2"/>
  <c r="GT192" i="2"/>
  <c r="GT191" i="2"/>
  <c r="AX213" i="2"/>
  <c r="AX209" i="2"/>
  <c r="AX212" i="2"/>
  <c r="AX211" i="2"/>
  <c r="AX210" i="2"/>
  <c r="X167" i="2"/>
  <c r="X166" i="2"/>
  <c r="X165" i="2"/>
  <c r="X168" i="2"/>
  <c r="X169" i="2"/>
  <c r="AN167" i="2"/>
  <c r="AN169" i="2"/>
  <c r="GD161" i="2"/>
  <c r="GV161" i="2"/>
  <c r="DR190" i="2"/>
  <c r="DR191" i="2"/>
  <c r="DR189" i="2"/>
  <c r="DR192" i="2"/>
  <c r="DR193" i="2"/>
  <c r="EX190" i="2"/>
  <c r="EX189" i="2"/>
  <c r="EX191" i="2"/>
  <c r="EX193" i="2"/>
  <c r="EX192" i="2"/>
  <c r="GU191" i="2"/>
  <c r="GU189" i="2"/>
  <c r="GU190" i="2"/>
  <c r="GU192" i="2"/>
  <c r="GU193" i="2"/>
  <c r="CE213" i="2"/>
  <c r="CE209" i="2"/>
  <c r="CE212" i="2"/>
  <c r="CE210" i="2"/>
  <c r="GB161" i="2"/>
  <c r="CZ161" i="2"/>
  <c r="EP211" i="2"/>
  <c r="EP209" i="2"/>
  <c r="EP212" i="2"/>
  <c r="EP210" i="2"/>
  <c r="EP213" i="2"/>
  <c r="BY165" i="2"/>
  <c r="BY169" i="2"/>
  <c r="BY167" i="2"/>
  <c r="BY166" i="2"/>
  <c r="BY168" i="2"/>
  <c r="CM165" i="2"/>
  <c r="CM166" i="2"/>
  <c r="CM168" i="2"/>
  <c r="CM169" i="2"/>
  <c r="CM167" i="2"/>
  <c r="GE166" i="2"/>
  <c r="GE169" i="2"/>
  <c r="GE165" i="2"/>
  <c r="GE168" i="2"/>
  <c r="GE167" i="2"/>
  <c r="AA165" i="2"/>
  <c r="AA166" i="2"/>
  <c r="AA169" i="2"/>
  <c r="AA168" i="2"/>
  <c r="AA167" i="2"/>
  <c r="BG166" i="2"/>
  <c r="BG169" i="2"/>
  <c r="BG168" i="2"/>
  <c r="BG165" i="2"/>
  <c r="BG167" i="2"/>
  <c r="EY165" i="2"/>
  <c r="EY168" i="2"/>
  <c r="EY169" i="2"/>
  <c r="EY167" i="2"/>
  <c r="EY166" i="2"/>
  <c r="DO166" i="2"/>
  <c r="DO167" i="2"/>
  <c r="EE169" i="2"/>
  <c r="EE165" i="2"/>
  <c r="EE161" i="2"/>
  <c r="EE166" i="2"/>
  <c r="EE168" i="2"/>
  <c r="EE167" i="2"/>
  <c r="FK165" i="2"/>
  <c r="FK166" i="2"/>
  <c r="FK169" i="2"/>
  <c r="FK168" i="2"/>
  <c r="FK167" i="2"/>
  <c r="GA167" i="2"/>
  <c r="GA168" i="2"/>
  <c r="GA169" i="2"/>
  <c r="GA166" i="2"/>
  <c r="GA165" i="2"/>
  <c r="GQ168" i="2"/>
  <c r="GQ169" i="2"/>
  <c r="GQ166" i="2"/>
  <c r="GQ167" i="2"/>
  <c r="GQ165" i="2"/>
  <c r="AE172" i="2"/>
  <c r="AE173" i="2"/>
  <c r="AE175" i="2"/>
  <c r="AE174" i="2"/>
  <c r="AU173" i="2"/>
  <c r="AU171" i="2"/>
  <c r="AU172" i="2"/>
  <c r="AU175" i="2"/>
  <c r="AU174" i="2"/>
  <c r="BK173" i="2"/>
  <c r="BK171" i="2"/>
  <c r="BK172" i="2"/>
  <c r="BK174" i="2"/>
  <c r="BK175" i="2"/>
  <c r="CA171" i="2"/>
  <c r="CA175" i="2"/>
  <c r="CA173" i="2"/>
  <c r="CA172" i="2"/>
  <c r="CA174" i="2"/>
  <c r="CQ175" i="2"/>
  <c r="CQ171" i="2"/>
  <c r="CQ173" i="2"/>
  <c r="CQ174" i="2"/>
  <c r="CQ172" i="2"/>
  <c r="DG173" i="2"/>
  <c r="DG171" i="2"/>
  <c r="DG174" i="2"/>
  <c r="DG172" i="2"/>
  <c r="DG175" i="2"/>
  <c r="DW174" i="2"/>
  <c r="DW172" i="2"/>
  <c r="DW173" i="2"/>
  <c r="DW171" i="2"/>
  <c r="DW175" i="2"/>
  <c r="EM172" i="2"/>
  <c r="EM171" i="2"/>
  <c r="EM173" i="2"/>
  <c r="EM175" i="2"/>
  <c r="EM174" i="2"/>
  <c r="FC172" i="2"/>
  <c r="FC174" i="2"/>
  <c r="FC171" i="2"/>
  <c r="FC173" i="2"/>
  <c r="FC175" i="2"/>
  <c r="FS171" i="2"/>
  <c r="FS175" i="2"/>
  <c r="FS174" i="2"/>
  <c r="FS172" i="2"/>
  <c r="FS173" i="2"/>
  <c r="GI174" i="2"/>
  <c r="GI175" i="2"/>
  <c r="GI173" i="2"/>
  <c r="GI171" i="2"/>
  <c r="GI172" i="2"/>
  <c r="W178" i="2"/>
  <c r="W180" i="2"/>
  <c r="W177" i="2"/>
  <c r="W181" i="2"/>
  <c r="W179" i="2"/>
  <c r="BC179" i="2"/>
  <c r="BC180" i="2"/>
  <c r="BC181" i="2"/>
  <c r="BC177" i="2"/>
  <c r="BC178" i="2"/>
  <c r="BS177" i="2"/>
  <c r="BS179" i="2"/>
  <c r="BS181" i="2"/>
  <c r="BS178" i="2"/>
  <c r="BS180" i="2"/>
  <c r="CI180" i="2"/>
  <c r="CI179" i="2"/>
  <c r="CI181" i="2"/>
  <c r="CI178" i="2"/>
  <c r="CI177" i="2"/>
  <c r="CY177" i="2"/>
  <c r="CY178" i="2"/>
  <c r="CY180" i="2"/>
  <c r="CY181" i="2"/>
  <c r="DO181" i="2"/>
  <c r="DO179" i="2"/>
  <c r="DO177" i="2"/>
  <c r="DO180" i="2"/>
  <c r="DO178" i="2"/>
  <c r="EE180" i="2"/>
  <c r="EE181" i="2"/>
  <c r="EE178" i="2"/>
  <c r="EE177" i="2"/>
  <c r="EE179" i="2"/>
  <c r="EU181" i="2"/>
  <c r="EU177" i="2"/>
  <c r="EU179" i="2"/>
  <c r="EU178" i="2"/>
  <c r="EU180" i="2"/>
  <c r="FK178" i="2"/>
  <c r="FK181" i="2"/>
  <c r="FK180" i="2"/>
  <c r="FK179" i="2"/>
  <c r="FK177" i="2"/>
  <c r="GA180" i="2"/>
  <c r="GA179" i="2"/>
  <c r="GA178" i="2"/>
  <c r="GA181" i="2"/>
  <c r="GA177" i="2"/>
  <c r="GQ178" i="2"/>
  <c r="GQ180" i="2"/>
  <c r="GQ181" i="2"/>
  <c r="GQ177" i="2"/>
  <c r="GQ179" i="2"/>
  <c r="AE184" i="2"/>
  <c r="AE185" i="2"/>
  <c r="AE187" i="2"/>
  <c r="AE183" i="2"/>
  <c r="AE186" i="2"/>
  <c r="AU187" i="2"/>
  <c r="AU185" i="2"/>
  <c r="AU183" i="2"/>
  <c r="AU184" i="2"/>
  <c r="AU186" i="2"/>
  <c r="BK184" i="2"/>
  <c r="BK186" i="2"/>
  <c r="BK185" i="2"/>
  <c r="BK187" i="2"/>
  <c r="BK183" i="2"/>
  <c r="CA185" i="2"/>
  <c r="CA187" i="2"/>
  <c r="CA183" i="2"/>
  <c r="CA186" i="2"/>
  <c r="CA184" i="2"/>
  <c r="AN166" i="2"/>
  <c r="AN168" i="2"/>
  <c r="AN165" i="2"/>
  <c r="BD168" i="2"/>
  <c r="BD169" i="2"/>
  <c r="BD167" i="2"/>
  <c r="BD165" i="2"/>
  <c r="BD166" i="2"/>
  <c r="BT168" i="2"/>
  <c r="BT169" i="2"/>
  <c r="BT167" i="2"/>
  <c r="BT165" i="2"/>
  <c r="BT166" i="2"/>
  <c r="CJ169" i="2"/>
  <c r="CJ168" i="2"/>
  <c r="CJ165" i="2"/>
  <c r="CJ167" i="2"/>
  <c r="CJ166" i="2"/>
  <c r="Y165" i="2"/>
  <c r="Y169" i="2"/>
  <c r="Y168" i="2"/>
  <c r="Y166" i="2"/>
  <c r="Y167" i="2"/>
  <c r="BE166" i="2"/>
  <c r="BE168" i="2"/>
  <c r="BE165" i="2"/>
  <c r="BE167" i="2"/>
  <c r="BE169" i="2"/>
  <c r="CK169" i="2"/>
  <c r="CK168" i="2"/>
  <c r="CK167" i="2"/>
  <c r="CK166" i="2"/>
  <c r="CK165" i="2"/>
  <c r="DQ165" i="2"/>
  <c r="DQ168" i="2"/>
  <c r="DQ167" i="2"/>
  <c r="DQ169" i="2"/>
  <c r="DQ166" i="2"/>
  <c r="EW167" i="2"/>
  <c r="EW165" i="2"/>
  <c r="EW166" i="2"/>
  <c r="EW168" i="2"/>
  <c r="EW169" i="2"/>
  <c r="GC165" i="2"/>
  <c r="GC169" i="2"/>
  <c r="GC166" i="2"/>
  <c r="GC167" i="2"/>
  <c r="GC168" i="2"/>
  <c r="GS168" i="2"/>
  <c r="GS169" i="2"/>
  <c r="BM174" i="2"/>
  <c r="BM173" i="2"/>
  <c r="BM172" i="2"/>
  <c r="BM171" i="2"/>
  <c r="BM175" i="2"/>
  <c r="DI172" i="2"/>
  <c r="DI173" i="2"/>
  <c r="DI174" i="2"/>
  <c r="DI175" i="2"/>
  <c r="DI171" i="2"/>
  <c r="EO173" i="2"/>
  <c r="EO172" i="2"/>
  <c r="EO171" i="2"/>
  <c r="EO175" i="2"/>
  <c r="EO174" i="2"/>
  <c r="GK175" i="2"/>
  <c r="GK171" i="2"/>
  <c r="GK174" i="2"/>
  <c r="GK173" i="2"/>
  <c r="GK172" i="2"/>
  <c r="Y179" i="2"/>
  <c r="Y178" i="2"/>
  <c r="Y180" i="2"/>
  <c r="Y181" i="2"/>
  <c r="Y177" i="2"/>
  <c r="AO181" i="2"/>
  <c r="AO179" i="2"/>
  <c r="AO178" i="2"/>
  <c r="AO180" i="2"/>
  <c r="AO177" i="2"/>
  <c r="BE181" i="2"/>
  <c r="BE177" i="2"/>
  <c r="BE178" i="2"/>
  <c r="BE180" i="2"/>
  <c r="BE179" i="2"/>
  <c r="BU177" i="2"/>
  <c r="BU180" i="2"/>
  <c r="BU181" i="2"/>
  <c r="BU178" i="2"/>
  <c r="BU179" i="2"/>
  <c r="CK180" i="2"/>
  <c r="CK179" i="2"/>
  <c r="CK177" i="2"/>
  <c r="CK178" i="2"/>
  <c r="CK181" i="2"/>
  <c r="DA178" i="2"/>
  <c r="DA179" i="2"/>
  <c r="DA180" i="2"/>
  <c r="DA181" i="2"/>
  <c r="DA177" i="2"/>
  <c r="DQ180" i="2"/>
  <c r="DQ181" i="2"/>
  <c r="DQ177" i="2"/>
  <c r="DQ178" i="2"/>
  <c r="DQ179" i="2"/>
  <c r="EG177" i="2"/>
  <c r="EG179" i="2"/>
  <c r="EG180" i="2"/>
  <c r="EG178" i="2"/>
  <c r="EG181" i="2"/>
  <c r="EW179" i="2"/>
  <c r="EW181" i="2"/>
  <c r="EW178" i="2"/>
  <c r="EW177" i="2"/>
  <c r="EW180" i="2"/>
  <c r="FM181" i="2"/>
  <c r="FM177" i="2"/>
  <c r="FM180" i="2"/>
  <c r="FM179" i="2"/>
  <c r="FM178" i="2"/>
  <c r="GS177" i="2"/>
  <c r="GS178" i="2"/>
  <c r="GS180" i="2"/>
  <c r="GS179" i="2"/>
  <c r="GS181" i="2"/>
  <c r="AG184" i="2"/>
  <c r="AG186" i="2"/>
  <c r="AG183" i="2"/>
  <c r="AG187" i="2"/>
  <c r="AG185" i="2"/>
  <c r="AW183" i="2"/>
  <c r="AW186" i="2"/>
  <c r="AW187" i="2"/>
  <c r="AW184" i="2"/>
  <c r="AW185" i="2"/>
  <c r="CC183" i="2"/>
  <c r="CC184" i="2"/>
  <c r="CC186" i="2"/>
  <c r="CC187" i="2"/>
  <c r="CC185" i="2"/>
  <c r="CS183" i="2"/>
  <c r="CS186" i="2"/>
  <c r="CS185" i="2"/>
  <c r="CS184" i="2"/>
  <c r="CS187" i="2"/>
  <c r="DI186" i="2"/>
  <c r="DI185" i="2"/>
  <c r="DI183" i="2"/>
  <c r="DI187" i="2"/>
  <c r="DI184" i="2"/>
  <c r="DY187" i="2"/>
  <c r="DY183" i="2"/>
  <c r="DY184" i="2"/>
  <c r="DY186" i="2"/>
  <c r="DY185" i="2"/>
  <c r="EO185" i="2"/>
  <c r="EO184" i="2"/>
  <c r="EO187" i="2"/>
  <c r="EO186" i="2"/>
  <c r="EO183" i="2"/>
  <c r="FE186" i="2"/>
  <c r="FE187" i="2"/>
  <c r="FE183" i="2"/>
  <c r="FE184" i="2"/>
  <c r="FE185" i="2"/>
  <c r="FU185" i="2"/>
  <c r="FU186" i="2"/>
  <c r="FU187" i="2"/>
  <c r="FU184" i="2"/>
  <c r="FU183" i="2"/>
  <c r="GK187" i="2"/>
  <c r="GK184" i="2"/>
  <c r="GK183" i="2"/>
  <c r="GK185" i="2"/>
  <c r="GK186" i="2"/>
  <c r="Y192" i="2"/>
  <c r="Y191" i="2"/>
  <c r="Y189" i="2"/>
  <c r="Y190" i="2"/>
  <c r="Y193" i="2"/>
  <c r="AO193" i="2"/>
  <c r="AO192" i="2"/>
  <c r="AO191" i="2"/>
  <c r="AO189" i="2"/>
  <c r="AO190" i="2"/>
  <c r="BE191" i="2"/>
  <c r="BE193" i="2"/>
  <c r="BE192" i="2"/>
  <c r="BE189" i="2"/>
  <c r="BE190" i="2"/>
  <c r="CK189" i="2"/>
  <c r="CK190" i="2"/>
  <c r="CK191" i="2"/>
  <c r="CK192" i="2"/>
  <c r="CK193" i="2"/>
  <c r="DA191" i="2"/>
  <c r="DA193" i="2"/>
  <c r="DA189" i="2"/>
  <c r="DA192" i="2"/>
  <c r="DA190" i="2"/>
  <c r="DQ189" i="2"/>
  <c r="DQ191" i="2"/>
  <c r="DQ190" i="2"/>
  <c r="DQ192" i="2"/>
  <c r="DQ193" i="2"/>
  <c r="EW189" i="2"/>
  <c r="EW193" i="2"/>
  <c r="EW190" i="2"/>
  <c r="EW192" i="2"/>
  <c r="EW191" i="2"/>
  <c r="FM191" i="2"/>
  <c r="FM192" i="2"/>
  <c r="FM190" i="2"/>
  <c r="FM193" i="2"/>
  <c r="FM189" i="2"/>
  <c r="GC193" i="2"/>
  <c r="GC191" i="2"/>
  <c r="GC189" i="2"/>
  <c r="GC190" i="2"/>
  <c r="GC192" i="2"/>
  <c r="GS191" i="2"/>
  <c r="GS190" i="2"/>
  <c r="GS189" i="2"/>
  <c r="GS192" i="2"/>
  <c r="GS193" i="2"/>
  <c r="AG211" i="2"/>
  <c r="AG212" i="2"/>
  <c r="AG213" i="2"/>
  <c r="AG209" i="2"/>
  <c r="AG210" i="2"/>
  <c r="AW210" i="2"/>
  <c r="AW212" i="2"/>
  <c r="AW211" i="2"/>
  <c r="AW213" i="2"/>
  <c r="AW209" i="2"/>
  <c r="BM212" i="2"/>
  <c r="BM213" i="2"/>
  <c r="BM210" i="2"/>
  <c r="BM209" i="2"/>
  <c r="BM211" i="2"/>
  <c r="CC210" i="2"/>
  <c r="CC209" i="2"/>
  <c r="CC212" i="2"/>
  <c r="CC211" i="2"/>
  <c r="CC213" i="2"/>
  <c r="CS210" i="2"/>
  <c r="CS209" i="2"/>
  <c r="CS212" i="2"/>
  <c r="CS211" i="2"/>
  <c r="CS213" i="2"/>
  <c r="DI209" i="2"/>
  <c r="DI213" i="2"/>
  <c r="DI210" i="2"/>
  <c r="DI211" i="2"/>
  <c r="DI212" i="2"/>
  <c r="DY211" i="2"/>
  <c r="DY210" i="2"/>
  <c r="DY213" i="2"/>
  <c r="DY212" i="2"/>
  <c r="DY209" i="2"/>
  <c r="EO213" i="2"/>
  <c r="EO210" i="2"/>
  <c r="FE212" i="2"/>
  <c r="FE213" i="2"/>
  <c r="FE211" i="2"/>
  <c r="FE209" i="2"/>
  <c r="FE210" i="2"/>
  <c r="FU210" i="2"/>
  <c r="FU211" i="2"/>
  <c r="FU212" i="2"/>
  <c r="FU209" i="2"/>
  <c r="FU213" i="2"/>
  <c r="GK212" i="2"/>
  <c r="GK209" i="2"/>
  <c r="GK211" i="2"/>
  <c r="GK210" i="2"/>
  <c r="GK213" i="2"/>
  <c r="BU169" i="2"/>
  <c r="BU165" i="2"/>
  <c r="BU167" i="2"/>
  <c r="BU168" i="2"/>
  <c r="BU166" i="2"/>
  <c r="DA166" i="2"/>
  <c r="DA168" i="2"/>
  <c r="DA165" i="2"/>
  <c r="DA169" i="2"/>
  <c r="DA167" i="2"/>
  <c r="EG167" i="2"/>
  <c r="EG168" i="2"/>
  <c r="EG169" i="2"/>
  <c r="EG165" i="2"/>
  <c r="EG166" i="2"/>
  <c r="FM165" i="2"/>
  <c r="FM167" i="2"/>
  <c r="AG171" i="2"/>
  <c r="AG175" i="2"/>
  <c r="AG173" i="2"/>
  <c r="AG174" i="2"/>
  <c r="AG172" i="2"/>
  <c r="AW172" i="2"/>
  <c r="AW173" i="2"/>
  <c r="AW171" i="2"/>
  <c r="AW174" i="2"/>
  <c r="AW175" i="2"/>
  <c r="CC173" i="2"/>
  <c r="CC171" i="2"/>
  <c r="CC175" i="2"/>
  <c r="CC174" i="2"/>
  <c r="CC172" i="2"/>
  <c r="CS172" i="2"/>
  <c r="CS173" i="2"/>
  <c r="CS174" i="2"/>
  <c r="CS171" i="2"/>
  <c r="CS175" i="2"/>
  <c r="DY172" i="2"/>
  <c r="DY173" i="2"/>
  <c r="DY171" i="2"/>
  <c r="DY174" i="2"/>
  <c r="DY175" i="2"/>
  <c r="FU172" i="2"/>
  <c r="FU175" i="2"/>
  <c r="FU174" i="2"/>
  <c r="FU171" i="2"/>
  <c r="FU173" i="2"/>
  <c r="FV210" i="2"/>
  <c r="FV209" i="2"/>
  <c r="FV211" i="2"/>
  <c r="FV213" i="2"/>
  <c r="FV212" i="2"/>
  <c r="AI175" i="2"/>
  <c r="AI172" i="2"/>
  <c r="AI174" i="2"/>
  <c r="AI173" i="2"/>
  <c r="AI171" i="2"/>
  <c r="CU175" i="2"/>
  <c r="CU172" i="2"/>
  <c r="CU173" i="2"/>
  <c r="CU171" i="2"/>
  <c r="CU174" i="2"/>
  <c r="FW171" i="2"/>
  <c r="FW172" i="2"/>
  <c r="FW175" i="2"/>
  <c r="FW174" i="2"/>
  <c r="FW173" i="2"/>
  <c r="AA192" i="2"/>
  <c r="AA193" i="2"/>
  <c r="AA189" i="2"/>
  <c r="AA190" i="2"/>
  <c r="AA191" i="2"/>
  <c r="BG191" i="2"/>
  <c r="BG192" i="2"/>
  <c r="BG189" i="2"/>
  <c r="BG190" i="2"/>
  <c r="BG193" i="2"/>
  <c r="EI191" i="2"/>
  <c r="EI189" i="2"/>
  <c r="EI190" i="2"/>
  <c r="EI192" i="2"/>
  <c r="EI193" i="2"/>
  <c r="CE174" i="2"/>
  <c r="CE172" i="2"/>
  <c r="FG183" i="2"/>
  <c r="FG184" i="2"/>
  <c r="FG186" i="2"/>
  <c r="FG187" i="2"/>
  <c r="FG185" i="2"/>
  <c r="EA183" i="2"/>
  <c r="EA185" i="2"/>
  <c r="EA186" i="2"/>
  <c r="EA184" i="2"/>
  <c r="EA187" i="2"/>
  <c r="FW185" i="2"/>
  <c r="FW183" i="2"/>
  <c r="BW193" i="2"/>
  <c r="BW189" i="2"/>
  <c r="BW191" i="2"/>
  <c r="BW190" i="2"/>
  <c r="BW192" i="2"/>
  <c r="DC192" i="2"/>
  <c r="DC191" i="2"/>
  <c r="DC190" i="2"/>
  <c r="DC189" i="2"/>
  <c r="DC193" i="2"/>
  <c r="EY193" i="2"/>
  <c r="EY189" i="2"/>
  <c r="EY192" i="2"/>
  <c r="EY190" i="2"/>
  <c r="EY191" i="2"/>
  <c r="FO190" i="2"/>
  <c r="FO191" i="2"/>
  <c r="FO189" i="2"/>
  <c r="FO193" i="2"/>
  <c r="FO192" i="2"/>
  <c r="GE192" i="2"/>
  <c r="GE191" i="2"/>
  <c r="GE193" i="2"/>
  <c r="GE190" i="2"/>
  <c r="GE189" i="2"/>
  <c r="AI213" i="2"/>
  <c r="AI210" i="2"/>
  <c r="AI211" i="2"/>
  <c r="AI209" i="2"/>
  <c r="AI212" i="2"/>
  <c r="CU212" i="2"/>
  <c r="CU209" i="2"/>
  <c r="CU210" i="2"/>
  <c r="CU213" i="2"/>
  <c r="CU211" i="2"/>
  <c r="DK212" i="2"/>
  <c r="DK213" i="2"/>
  <c r="DK209" i="2"/>
  <c r="DK211" i="2"/>
  <c r="DK210" i="2"/>
  <c r="EQ210" i="2"/>
  <c r="EQ213" i="2"/>
  <c r="EQ212" i="2"/>
  <c r="EQ209" i="2"/>
  <c r="EQ211" i="2"/>
  <c r="FW211" i="2"/>
  <c r="FW210" i="2"/>
  <c r="FW212" i="2"/>
  <c r="FW213" i="2"/>
  <c r="FW209" i="2"/>
  <c r="GM211" i="2"/>
  <c r="GM212" i="2"/>
  <c r="GM209" i="2"/>
  <c r="GM213" i="2"/>
  <c r="GM210" i="2"/>
  <c r="FZ212" i="2"/>
  <c r="FZ211" i="2"/>
  <c r="FZ209" i="2"/>
  <c r="FZ213" i="2"/>
  <c r="FZ210" i="2"/>
  <c r="GP213" i="2"/>
  <c r="GP209" i="2"/>
  <c r="GP211" i="2"/>
  <c r="GP212" i="2"/>
  <c r="GP210" i="2"/>
  <c r="AO220" i="2"/>
  <c r="AQ220" i="2"/>
  <c r="AA161" i="2"/>
  <c r="FB161" i="2"/>
  <c r="GR161" i="2"/>
  <c r="EI161" i="2"/>
  <c r="GU161" i="2"/>
  <c r="AS161" i="2"/>
  <c r="BI161" i="2"/>
  <c r="DE161" i="2"/>
  <c r="GX161" i="2"/>
  <c r="CY161" i="2"/>
  <c r="DO161" i="2"/>
  <c r="GA161" i="2"/>
  <c r="CL189" i="2"/>
  <c r="CL190" i="2"/>
  <c r="CL192" i="2"/>
  <c r="CL193" i="2"/>
  <c r="CL191" i="2"/>
  <c r="EH189" i="2"/>
  <c r="EH192" i="2"/>
  <c r="EH191" i="2"/>
  <c r="EH190" i="2"/>
  <c r="EH193" i="2"/>
  <c r="BN209" i="2"/>
  <c r="BN213" i="2"/>
  <c r="BN210" i="2"/>
  <c r="BN211" i="2"/>
  <c r="BN212" i="2"/>
  <c r="DJ209" i="2"/>
  <c r="DJ212" i="2"/>
  <c r="DJ210" i="2"/>
  <c r="DJ211" i="2"/>
  <c r="DJ213" i="2"/>
  <c r="DZ209" i="2"/>
  <c r="DZ212" i="2"/>
  <c r="DZ213" i="2"/>
  <c r="DZ210" i="2"/>
  <c r="DZ211" i="2"/>
  <c r="FF212" i="2"/>
  <c r="FF209" i="2"/>
  <c r="AC169" i="2"/>
  <c r="AC165" i="2"/>
  <c r="AC168" i="2"/>
  <c r="AC166" i="2"/>
  <c r="AC167" i="2"/>
  <c r="AS166" i="2"/>
  <c r="AS165" i="2"/>
  <c r="AS169" i="2"/>
  <c r="AS167" i="2"/>
  <c r="AS168" i="2"/>
  <c r="BI165" i="2"/>
  <c r="BI168" i="2"/>
  <c r="BI167" i="2"/>
  <c r="BI169" i="2"/>
  <c r="BI166" i="2"/>
  <c r="AQ169" i="2"/>
  <c r="AQ166" i="2"/>
  <c r="AQ168" i="2"/>
  <c r="AQ165" i="2"/>
  <c r="AQ167" i="2"/>
  <c r="BW167" i="2"/>
  <c r="BW168" i="2"/>
  <c r="BW161" i="2"/>
  <c r="BW169" i="2"/>
  <c r="BW165" i="2"/>
  <c r="BW166" i="2"/>
  <c r="DC169" i="2"/>
  <c r="DC168" i="2"/>
  <c r="DC165" i="2"/>
  <c r="DC167" i="2"/>
  <c r="DC166" i="2"/>
  <c r="GU169" i="2"/>
  <c r="GU167" i="2"/>
  <c r="GU166" i="2"/>
  <c r="GU168" i="2"/>
  <c r="GU165" i="2"/>
  <c r="W165" i="2"/>
  <c r="W167" i="2"/>
  <c r="W168" i="2"/>
  <c r="W169" i="2"/>
  <c r="W166" i="2"/>
  <c r="AM166" i="2"/>
  <c r="AM167" i="2"/>
  <c r="AM168" i="2"/>
  <c r="AM165" i="2"/>
  <c r="AM169" i="2"/>
  <c r="BC169" i="2"/>
  <c r="BC167" i="2"/>
  <c r="BC166" i="2"/>
  <c r="BC168" i="2"/>
  <c r="BC165" i="2"/>
  <c r="BS165" i="2"/>
  <c r="BS168" i="2"/>
  <c r="BS169" i="2"/>
  <c r="BS166" i="2"/>
  <c r="BS167" i="2"/>
  <c r="CI169" i="2"/>
  <c r="CI165" i="2"/>
  <c r="CI167" i="2"/>
  <c r="CI168" i="2"/>
  <c r="CI166" i="2"/>
  <c r="CY167" i="2"/>
  <c r="CY166" i="2"/>
  <c r="CY165" i="2"/>
  <c r="CY169" i="2"/>
  <c r="CY168" i="2"/>
  <c r="DO168" i="2"/>
  <c r="DO165" i="2"/>
  <c r="DO169" i="2"/>
  <c r="CZ169" i="2"/>
  <c r="CZ166" i="2"/>
  <c r="CZ167" i="2"/>
  <c r="CZ165" i="2"/>
  <c r="CZ168" i="2"/>
  <c r="DP165" i="2"/>
  <c r="DP166" i="2"/>
  <c r="DP161" i="2"/>
  <c r="DP168" i="2"/>
  <c r="DP169" i="2"/>
  <c r="DP167" i="2"/>
  <c r="EF167" i="2"/>
  <c r="EF166" i="2"/>
  <c r="EF169" i="2"/>
  <c r="EF165" i="2"/>
  <c r="EF168" i="2"/>
  <c r="EF161" i="2"/>
  <c r="EV169" i="2"/>
  <c r="EV165" i="2"/>
  <c r="EV166" i="2"/>
  <c r="EV167" i="2"/>
  <c r="EV161" i="2"/>
  <c r="EV168" i="2"/>
  <c r="GB166" i="2"/>
  <c r="GB167" i="2"/>
  <c r="GB169" i="2"/>
  <c r="GB165" i="2"/>
  <c r="GB168" i="2"/>
  <c r="GR165" i="2"/>
  <c r="GR166" i="2"/>
  <c r="GR167" i="2"/>
  <c r="GR169" i="2"/>
  <c r="GR168" i="2"/>
  <c r="AF172" i="2"/>
  <c r="AF173" i="2"/>
  <c r="AF171" i="2"/>
  <c r="AF175" i="2"/>
  <c r="AF174" i="2"/>
  <c r="AV171" i="2"/>
  <c r="AV172" i="2"/>
  <c r="AV174" i="2"/>
  <c r="BL173" i="2"/>
  <c r="BL174" i="2"/>
  <c r="BL175" i="2"/>
  <c r="BL171" i="2"/>
  <c r="BL172" i="2"/>
  <c r="CB173" i="2"/>
  <c r="CB171" i="2"/>
  <c r="CB172" i="2"/>
  <c r="CB174" i="2"/>
  <c r="CB175" i="2"/>
  <c r="CR174" i="2"/>
  <c r="CR171" i="2"/>
  <c r="CR175" i="2"/>
  <c r="CR173" i="2"/>
  <c r="CR172" i="2"/>
  <c r="DH175" i="2"/>
  <c r="DH174" i="2"/>
  <c r="DH172" i="2"/>
  <c r="DH171" i="2"/>
  <c r="DH173" i="2"/>
  <c r="DX174" i="2"/>
  <c r="DX172" i="2"/>
  <c r="DX173" i="2"/>
  <c r="DX171" i="2"/>
  <c r="DX175" i="2"/>
  <c r="EN171" i="2"/>
  <c r="EN172" i="2"/>
  <c r="EN175" i="2"/>
  <c r="EN174" i="2"/>
  <c r="EN173" i="2"/>
  <c r="FD173" i="2"/>
  <c r="FD175" i="2"/>
  <c r="FD171" i="2"/>
  <c r="FD174" i="2"/>
  <c r="FD172" i="2"/>
  <c r="FT175" i="2"/>
  <c r="FT171" i="2"/>
  <c r="FT173" i="2"/>
  <c r="FT174" i="2"/>
  <c r="FT172" i="2"/>
  <c r="GJ174" i="2"/>
  <c r="GJ172" i="2"/>
  <c r="GJ175" i="2"/>
  <c r="GJ171" i="2"/>
  <c r="GJ173" i="2"/>
  <c r="X177" i="2"/>
  <c r="X179" i="2"/>
  <c r="X178" i="2"/>
  <c r="X180" i="2"/>
  <c r="X181" i="2"/>
  <c r="AN181" i="2"/>
  <c r="AN180" i="2"/>
  <c r="AN177" i="2"/>
  <c r="AN179" i="2"/>
  <c r="AN178" i="2"/>
  <c r="BT177" i="2"/>
  <c r="BT178" i="2"/>
  <c r="BT181" i="2"/>
  <c r="BT180" i="2"/>
  <c r="BT179" i="2"/>
  <c r="CJ179" i="2"/>
  <c r="CJ177" i="2"/>
  <c r="CJ180" i="2"/>
  <c r="CJ181" i="2"/>
  <c r="CJ178" i="2"/>
  <c r="CZ181" i="2"/>
  <c r="CZ180" i="2"/>
  <c r="CZ179" i="2"/>
  <c r="CZ178" i="2"/>
  <c r="CZ177" i="2"/>
  <c r="DP180" i="2"/>
  <c r="DP178" i="2"/>
  <c r="DP179" i="2"/>
  <c r="EF179" i="2"/>
  <c r="EF181" i="2"/>
  <c r="EF177" i="2"/>
  <c r="EF180" i="2"/>
  <c r="EF178" i="2"/>
  <c r="EV177" i="2"/>
  <c r="EV178" i="2"/>
  <c r="EV180" i="2"/>
  <c r="EV181" i="2"/>
  <c r="EV179" i="2"/>
  <c r="FL177" i="2"/>
  <c r="FL178" i="2"/>
  <c r="FL179" i="2"/>
  <c r="FL180" i="2"/>
  <c r="FL181" i="2"/>
  <c r="GB178" i="2"/>
  <c r="GB180" i="2"/>
  <c r="GB177" i="2"/>
  <c r="GB179" i="2"/>
  <c r="GB181" i="2"/>
  <c r="GR181" i="2"/>
  <c r="GR177" i="2"/>
  <c r="GR179" i="2"/>
  <c r="GR180" i="2"/>
  <c r="GR178" i="2"/>
  <c r="AF185" i="2"/>
  <c r="AF187" i="2"/>
  <c r="AF186" i="2"/>
  <c r="AF183" i="2"/>
  <c r="AF184" i="2"/>
  <c r="AV183" i="2"/>
  <c r="AV187" i="2"/>
  <c r="AV184" i="2"/>
  <c r="AV186" i="2"/>
  <c r="AV185" i="2"/>
  <c r="BL186" i="2"/>
  <c r="BL185" i="2"/>
  <c r="BL187" i="2"/>
  <c r="BL183" i="2"/>
  <c r="BL184" i="2"/>
  <c r="CB187" i="2"/>
  <c r="CB186" i="2"/>
  <c r="CB184" i="2"/>
  <c r="CB183" i="2"/>
  <c r="CB185" i="2"/>
  <c r="CR184" i="2"/>
  <c r="CR186" i="2"/>
  <c r="CR187" i="2"/>
  <c r="CR183" i="2"/>
  <c r="CR185" i="2"/>
  <c r="DH185" i="2"/>
  <c r="DH184" i="2"/>
  <c r="DH186" i="2"/>
  <c r="DH183" i="2"/>
  <c r="DH187" i="2"/>
  <c r="EN184" i="2"/>
  <c r="EN187" i="2"/>
  <c r="EN183" i="2"/>
  <c r="EN185" i="2"/>
  <c r="EN186" i="2"/>
  <c r="FD183" i="2"/>
  <c r="FD187" i="2"/>
  <c r="FD184" i="2"/>
  <c r="FD185" i="2"/>
  <c r="FD186" i="2"/>
  <c r="FT185" i="2"/>
  <c r="FT183" i="2"/>
  <c r="FT184" i="2"/>
  <c r="FT187" i="2"/>
  <c r="FT186" i="2"/>
  <c r="GJ187" i="2"/>
  <c r="GJ184" i="2"/>
  <c r="GJ183" i="2"/>
  <c r="X189" i="2"/>
  <c r="X193" i="2"/>
  <c r="X192" i="2"/>
  <c r="X190" i="2"/>
  <c r="X191" i="2"/>
  <c r="AN191" i="2"/>
  <c r="AN190" i="2"/>
  <c r="AN193" i="2"/>
  <c r="AN192" i="2"/>
  <c r="AN189" i="2"/>
  <c r="BD190" i="2"/>
  <c r="BD189" i="2"/>
  <c r="BD193" i="2"/>
  <c r="BD191" i="2"/>
  <c r="BD192" i="2"/>
  <c r="BT192" i="2"/>
  <c r="BT189" i="2"/>
  <c r="BT191" i="2"/>
  <c r="BT193" i="2"/>
  <c r="BT190" i="2"/>
  <c r="CJ193" i="2"/>
  <c r="CJ192" i="2"/>
  <c r="CJ189" i="2"/>
  <c r="CJ191" i="2"/>
  <c r="CJ190" i="2"/>
  <c r="CZ191" i="2"/>
  <c r="CZ189" i="2"/>
  <c r="CZ192" i="2"/>
  <c r="CZ193" i="2"/>
  <c r="CZ190" i="2"/>
  <c r="DP189" i="2"/>
  <c r="DP193" i="2"/>
  <c r="DP190" i="2"/>
  <c r="DP192" i="2"/>
  <c r="DP191" i="2"/>
  <c r="EF191" i="2"/>
  <c r="EF193" i="2"/>
  <c r="EF192" i="2"/>
  <c r="EF189" i="2"/>
  <c r="EF190" i="2"/>
  <c r="EV192" i="2"/>
  <c r="EV191" i="2"/>
  <c r="EV189" i="2"/>
  <c r="EV190" i="2"/>
  <c r="EV193" i="2"/>
  <c r="FL190" i="2"/>
  <c r="FL192" i="2"/>
  <c r="FL189" i="2"/>
  <c r="FL191" i="2"/>
  <c r="FL193" i="2"/>
  <c r="GB189" i="2"/>
  <c r="GB191" i="2"/>
  <c r="GB192" i="2"/>
  <c r="GB190" i="2"/>
  <c r="GB193" i="2"/>
  <c r="GR192" i="2"/>
  <c r="GR191" i="2"/>
  <c r="AF211" i="2"/>
  <c r="AF213" i="2"/>
  <c r="AF209" i="2"/>
  <c r="AF212" i="2"/>
  <c r="AF210" i="2"/>
  <c r="AV213" i="2"/>
  <c r="AV210" i="2"/>
  <c r="AV211" i="2"/>
  <c r="AV209" i="2"/>
  <c r="AV212" i="2"/>
  <c r="BL212" i="2"/>
  <c r="BL211" i="2"/>
  <c r="BL213" i="2"/>
  <c r="BL210" i="2"/>
  <c r="BL209" i="2"/>
  <c r="CB209" i="2"/>
  <c r="CB210" i="2"/>
  <c r="CB211" i="2"/>
  <c r="CR212" i="2"/>
  <c r="CR209" i="2"/>
  <c r="CR211" i="2"/>
  <c r="CR213" i="2"/>
  <c r="CR210" i="2"/>
  <c r="DH209" i="2"/>
  <c r="DH210" i="2"/>
  <c r="DH211" i="2"/>
  <c r="DH213" i="2"/>
  <c r="DH212" i="2"/>
  <c r="DX212" i="2"/>
  <c r="DX211" i="2"/>
  <c r="DX213" i="2"/>
  <c r="DX209" i="2"/>
  <c r="DX210" i="2"/>
  <c r="EN211" i="2"/>
  <c r="EN209" i="2"/>
  <c r="EN213" i="2"/>
  <c r="EN212" i="2"/>
  <c r="EN210" i="2"/>
  <c r="FD209" i="2"/>
  <c r="FD213" i="2"/>
  <c r="FD212" i="2"/>
  <c r="FD210" i="2"/>
  <c r="FD211" i="2"/>
  <c r="FT212" i="2"/>
  <c r="FT211" i="2"/>
  <c r="FT213" i="2"/>
  <c r="FT209" i="2"/>
  <c r="FT210" i="2"/>
  <c r="GJ211" i="2"/>
  <c r="GJ213" i="2"/>
  <c r="GJ209" i="2"/>
  <c r="GJ212" i="2"/>
  <c r="GJ210" i="2"/>
  <c r="GL210" i="2"/>
  <c r="GL213" i="2"/>
  <c r="GL211" i="2"/>
  <c r="GL209" i="2"/>
  <c r="GL212" i="2"/>
  <c r="EA175" i="2"/>
  <c r="EA172" i="2"/>
  <c r="EA171" i="2"/>
  <c r="EA174" i="2"/>
  <c r="EA173" i="2"/>
  <c r="AQ179" i="2"/>
  <c r="AQ178" i="2"/>
  <c r="AQ180" i="2"/>
  <c r="AQ181" i="2"/>
  <c r="AQ177" i="2"/>
  <c r="FO179" i="2"/>
  <c r="FO181" i="2"/>
  <c r="FO180" i="2"/>
  <c r="FO178" i="2"/>
  <c r="FO177" i="2"/>
  <c r="AY187" i="2"/>
  <c r="AY183" i="2"/>
  <c r="AY185" i="2"/>
  <c r="AY186" i="2"/>
  <c r="AY184" i="2"/>
  <c r="CE185" i="2"/>
  <c r="CE183" i="2"/>
  <c r="CE187" i="2"/>
  <c r="CE186" i="2"/>
  <c r="CE184" i="2"/>
  <c r="DK186" i="2"/>
  <c r="DK183" i="2"/>
  <c r="EQ185" i="2"/>
  <c r="EQ183" i="2"/>
  <c r="EQ187" i="2"/>
  <c r="EQ184" i="2"/>
  <c r="EQ186" i="2"/>
  <c r="GM183" i="2"/>
  <c r="GM184" i="2"/>
  <c r="GM187" i="2"/>
  <c r="CM189" i="2"/>
  <c r="CM192" i="2"/>
  <c r="CM193" i="2"/>
  <c r="CM191" i="2"/>
  <c r="CM190" i="2"/>
  <c r="AY174" i="2"/>
  <c r="AY172" i="2"/>
  <c r="AY171" i="2"/>
  <c r="AY173" i="2"/>
  <c r="AY175" i="2"/>
  <c r="EQ172" i="2"/>
  <c r="EQ173" i="2"/>
  <c r="EQ174" i="2"/>
  <c r="EQ171" i="2"/>
  <c r="EQ175" i="2"/>
  <c r="GM172" i="2"/>
  <c r="GM171" i="2"/>
  <c r="GM174" i="2"/>
  <c r="GM173" i="2"/>
  <c r="GM175" i="2"/>
  <c r="DS178" i="2"/>
  <c r="DS180" i="2"/>
  <c r="DS177" i="2"/>
  <c r="DS181" i="2"/>
  <c r="DS179" i="2"/>
  <c r="GE181" i="2"/>
  <c r="GE178" i="2"/>
  <c r="GE179" i="2"/>
  <c r="GE180" i="2"/>
  <c r="GE177" i="2"/>
  <c r="CO166" i="2"/>
  <c r="CO167" i="2"/>
  <c r="CO169" i="2"/>
  <c r="CO165" i="2"/>
  <c r="CO168" i="2"/>
  <c r="DE167" i="2"/>
  <c r="DE165" i="2"/>
  <c r="DE169" i="2"/>
  <c r="DE168" i="2"/>
  <c r="DE166" i="2"/>
  <c r="DU169" i="2"/>
  <c r="DU168" i="2"/>
  <c r="DU167" i="2"/>
  <c r="DU165" i="2"/>
  <c r="DU166" i="2"/>
  <c r="EK167" i="2"/>
  <c r="EK165" i="2"/>
  <c r="EK168" i="2"/>
  <c r="FA167" i="2"/>
  <c r="FA169" i="2"/>
  <c r="FA165" i="2"/>
  <c r="FA168" i="2"/>
  <c r="FA166" i="2"/>
  <c r="FQ167" i="2"/>
  <c r="FQ165" i="2"/>
  <c r="FQ169" i="2"/>
  <c r="FQ166" i="2"/>
  <c r="FQ168" i="2"/>
  <c r="GG165" i="2"/>
  <c r="GG168" i="2"/>
  <c r="GG166" i="2"/>
  <c r="GG167" i="2"/>
  <c r="GG169" i="2"/>
  <c r="GW167" i="2"/>
  <c r="GW166" i="2"/>
  <c r="GW165" i="2"/>
  <c r="GW169" i="2"/>
  <c r="GW168" i="2"/>
  <c r="AK174" i="2"/>
  <c r="AK175" i="2"/>
  <c r="AK173" i="2"/>
  <c r="AK171" i="2"/>
  <c r="AK172" i="2"/>
  <c r="BQ173" i="2"/>
  <c r="BQ171" i="2"/>
  <c r="BQ174" i="2"/>
  <c r="BQ175" i="2"/>
  <c r="BQ172" i="2"/>
  <c r="CG172" i="2"/>
  <c r="CG174" i="2"/>
  <c r="CG171" i="2"/>
  <c r="CG175" i="2"/>
  <c r="CG173" i="2"/>
  <c r="DM174" i="2"/>
  <c r="DM173" i="2"/>
  <c r="DM171" i="2"/>
  <c r="DM175" i="2"/>
  <c r="DM172" i="2"/>
  <c r="EC173" i="2"/>
  <c r="EC171" i="2"/>
  <c r="EC172" i="2"/>
  <c r="EC175" i="2"/>
  <c r="EC174" i="2"/>
  <c r="ES175" i="2"/>
  <c r="ES172" i="2"/>
  <c r="ES173" i="2"/>
  <c r="ES174" i="2"/>
  <c r="ES171" i="2"/>
  <c r="FI173" i="2"/>
  <c r="FI174" i="2"/>
  <c r="FI175" i="2"/>
  <c r="FI172" i="2"/>
  <c r="FI171" i="2"/>
  <c r="FY173" i="2"/>
  <c r="FY172" i="2"/>
  <c r="FY174" i="2"/>
  <c r="FY175" i="2"/>
  <c r="FY171" i="2"/>
  <c r="GO173" i="2"/>
  <c r="GO171" i="2"/>
  <c r="GO175" i="2"/>
  <c r="GO174" i="2"/>
  <c r="GO172" i="2"/>
  <c r="AC178" i="2"/>
  <c r="AC177" i="2"/>
  <c r="AC179" i="2"/>
  <c r="AC180" i="2"/>
  <c r="AC181" i="2"/>
  <c r="AS177" i="2"/>
  <c r="AS178" i="2"/>
  <c r="AS180" i="2"/>
  <c r="AS179" i="2"/>
  <c r="AS181" i="2"/>
  <c r="BI179" i="2"/>
  <c r="BI181" i="2"/>
  <c r="BI178" i="2"/>
  <c r="BI177" i="2"/>
  <c r="BI180" i="2"/>
  <c r="BY178" i="2"/>
  <c r="BY181" i="2"/>
  <c r="BY180" i="2"/>
  <c r="BY179" i="2"/>
  <c r="BY177" i="2"/>
  <c r="CO180" i="2"/>
  <c r="CO181" i="2"/>
  <c r="CO177" i="2"/>
  <c r="CO179" i="2"/>
  <c r="CO178" i="2"/>
  <c r="DE178" i="2"/>
  <c r="DE181" i="2"/>
  <c r="DE180" i="2"/>
  <c r="DE177" i="2"/>
  <c r="DE179" i="2"/>
  <c r="EK178" i="2"/>
  <c r="EK177" i="2"/>
  <c r="EK179" i="2"/>
  <c r="EK180" i="2"/>
  <c r="EK181" i="2"/>
  <c r="FA179" i="2"/>
  <c r="FA177" i="2"/>
  <c r="FA178" i="2"/>
  <c r="FA181" i="2"/>
  <c r="FA180" i="2"/>
  <c r="GG180" i="2"/>
  <c r="GG181" i="2"/>
  <c r="GG178" i="2"/>
  <c r="GG179" i="2"/>
  <c r="GG177" i="2"/>
  <c r="GW177" i="2"/>
  <c r="GW178" i="2"/>
  <c r="GW179" i="2"/>
  <c r="GW180" i="2"/>
  <c r="GW181" i="2"/>
  <c r="AK186" i="2"/>
  <c r="AK185" i="2"/>
  <c r="AK187" i="2"/>
  <c r="AK183" i="2"/>
  <c r="AK184" i="2"/>
  <c r="BQ183" i="2"/>
  <c r="BQ186" i="2"/>
  <c r="BQ184" i="2"/>
  <c r="BQ185" i="2"/>
  <c r="BQ187" i="2"/>
  <c r="CG187" i="2"/>
  <c r="CG184" i="2"/>
  <c r="CG185" i="2"/>
  <c r="CG183" i="2"/>
  <c r="CG186" i="2"/>
  <c r="CW183" i="2"/>
  <c r="CW187" i="2"/>
  <c r="CW185" i="2"/>
  <c r="CW186" i="2"/>
  <c r="CW184" i="2"/>
  <c r="DM187" i="2"/>
  <c r="DM185" i="2"/>
  <c r="EC187" i="2"/>
  <c r="EC184" i="2"/>
  <c r="EC186" i="2"/>
  <c r="EC183" i="2"/>
  <c r="EC185" i="2"/>
  <c r="ES185" i="2"/>
  <c r="ES183" i="2"/>
  <c r="ES184" i="2"/>
  <c r="ES186" i="2"/>
  <c r="ES187" i="2"/>
  <c r="FI186" i="2"/>
  <c r="FI185" i="2"/>
  <c r="FI184" i="2"/>
  <c r="FI187" i="2"/>
  <c r="FI183" i="2"/>
  <c r="FY186" i="2"/>
  <c r="FY184" i="2"/>
  <c r="FY183" i="2"/>
  <c r="FY185" i="2"/>
  <c r="FY187" i="2"/>
  <c r="GO185" i="2"/>
  <c r="GO186" i="2"/>
  <c r="GO183" i="2"/>
  <c r="GO184" i="2"/>
  <c r="GO187" i="2"/>
  <c r="AS190" i="2"/>
  <c r="AS191" i="2"/>
  <c r="AS193" i="2"/>
  <c r="AS189" i="2"/>
  <c r="AS192" i="2"/>
  <c r="BI189" i="2"/>
  <c r="BI193" i="2"/>
  <c r="BI191" i="2"/>
  <c r="BI192" i="2"/>
  <c r="BI190" i="2"/>
  <c r="CO190" i="2"/>
  <c r="CO192" i="2"/>
  <c r="CO189" i="2"/>
  <c r="CO193" i="2"/>
  <c r="CO191" i="2"/>
  <c r="DE190" i="2"/>
  <c r="DE189" i="2"/>
  <c r="DE192" i="2"/>
  <c r="DE191" i="2"/>
  <c r="DE193" i="2"/>
  <c r="DU192" i="2"/>
  <c r="DU191" i="2"/>
  <c r="DU190" i="2"/>
  <c r="DU193" i="2"/>
  <c r="DU189" i="2"/>
  <c r="EK191" i="2"/>
  <c r="EK190" i="2"/>
  <c r="EK189" i="2"/>
  <c r="EK193" i="2"/>
  <c r="EK192" i="2"/>
  <c r="FA189" i="2"/>
  <c r="FA190" i="2"/>
  <c r="FA193" i="2"/>
  <c r="FA192" i="2"/>
  <c r="FA191" i="2"/>
  <c r="FQ189" i="2"/>
  <c r="FQ192" i="2"/>
  <c r="FQ190" i="2"/>
  <c r="FQ193" i="2"/>
  <c r="FQ191" i="2"/>
  <c r="GG190" i="2"/>
  <c r="GG191" i="2"/>
  <c r="GW189" i="2"/>
  <c r="GW191" i="2"/>
  <c r="GW193" i="2"/>
  <c r="GW190" i="2"/>
  <c r="GW192" i="2"/>
  <c r="AK213" i="2"/>
  <c r="AK210" i="2"/>
  <c r="AK212" i="2"/>
  <c r="AK209" i="2"/>
  <c r="AK211" i="2"/>
  <c r="BA212" i="2"/>
  <c r="BA209" i="2"/>
  <c r="BA213" i="2"/>
  <c r="BA211" i="2"/>
  <c r="BA210" i="2"/>
  <c r="BQ213" i="2"/>
  <c r="BQ212" i="2"/>
  <c r="BQ210" i="2"/>
  <c r="BQ211" i="2"/>
  <c r="BQ209" i="2"/>
  <c r="CG213" i="2"/>
  <c r="CG212" i="2"/>
  <c r="CG210" i="2"/>
  <c r="CG209" i="2"/>
  <c r="CG211" i="2"/>
  <c r="DM211" i="2"/>
  <c r="DM213" i="2"/>
  <c r="DM210" i="2"/>
  <c r="DM212" i="2"/>
  <c r="DM209" i="2"/>
  <c r="EC210" i="2"/>
  <c r="EC211" i="2"/>
  <c r="EC209" i="2"/>
  <c r="EC212" i="2"/>
  <c r="EC213" i="2"/>
  <c r="FI210" i="2"/>
  <c r="FI212" i="2"/>
  <c r="FI211" i="2"/>
  <c r="FI213" i="2"/>
  <c r="FI209" i="2"/>
  <c r="FY209" i="2"/>
  <c r="FY213" i="2"/>
  <c r="FY210" i="2"/>
  <c r="FY211" i="2"/>
  <c r="FY212" i="2"/>
  <c r="GO209" i="2"/>
  <c r="GO211" i="2"/>
  <c r="GO212" i="2"/>
  <c r="GO210" i="2"/>
  <c r="GO213" i="2"/>
  <c r="BO175" i="2"/>
  <c r="BO174" i="2"/>
  <c r="BO173" i="2"/>
  <c r="BO172" i="2"/>
  <c r="BO171" i="2"/>
  <c r="DK174" i="2"/>
  <c r="DK171" i="2"/>
  <c r="DK175" i="2"/>
  <c r="DK172" i="2"/>
  <c r="DK173" i="2"/>
  <c r="FG175" i="2"/>
  <c r="FG171" i="2"/>
  <c r="FG174" i="2"/>
  <c r="FG173" i="2"/>
  <c r="FG172" i="2"/>
  <c r="AA177" i="2"/>
  <c r="AA180" i="2"/>
  <c r="AA181" i="2"/>
  <c r="AA178" i="2"/>
  <c r="AA179" i="2"/>
  <c r="BW179" i="2"/>
  <c r="BW178" i="2"/>
  <c r="BW177" i="2"/>
  <c r="BW181" i="2"/>
  <c r="BW180" i="2"/>
  <c r="EY177" i="2"/>
  <c r="EY180" i="2"/>
  <c r="EY178" i="2"/>
  <c r="EY181" i="2"/>
  <c r="EY179" i="2"/>
  <c r="GU177" i="2"/>
  <c r="GU178" i="2"/>
  <c r="GU179" i="2"/>
  <c r="GU181" i="2"/>
  <c r="GU180" i="2"/>
  <c r="AI184" i="2"/>
  <c r="AI186" i="2"/>
  <c r="AI183" i="2"/>
  <c r="AI185" i="2"/>
  <c r="AI187" i="2"/>
  <c r="BO185" i="2"/>
  <c r="BO183" i="2"/>
  <c r="BO186" i="2"/>
  <c r="BO184" i="2"/>
  <c r="BO187" i="2"/>
  <c r="CU184" i="2"/>
  <c r="CU183" i="2"/>
  <c r="CU185" i="2"/>
  <c r="CU187" i="2"/>
  <c r="CU186" i="2"/>
  <c r="G74" i="8"/>
  <c r="CE211" i="2"/>
  <c r="AY212" i="2"/>
  <c r="DU180" i="2"/>
  <c r="FF210" i="2"/>
  <c r="CE175" i="2"/>
  <c r="EO209" i="2"/>
  <c r="GS165" i="2"/>
  <c r="GR190" i="2"/>
  <c r="DU181" i="2"/>
  <c r="FF213" i="2"/>
  <c r="CE171" i="2"/>
  <c r="EO211" i="2"/>
  <c r="GS167" i="2"/>
  <c r="DU179" i="2"/>
  <c r="FF211" i="2"/>
  <c r="EO212" i="2"/>
  <c r="GR193" i="2"/>
  <c r="DC161" i="2"/>
  <c r="DU177" i="2"/>
  <c r="FG213" i="2"/>
  <c r="FG209" i="2"/>
  <c r="FL161" i="2"/>
  <c r="BA174" i="2"/>
  <c r="FG210" i="2"/>
  <c r="GC178" i="2"/>
  <c r="FL167" i="2"/>
  <c r="EU161" i="2"/>
  <c r="AC189" i="2"/>
  <c r="BA172" i="2"/>
  <c r="FG212" i="2"/>
  <c r="GC179" i="2"/>
  <c r="BD177" i="2"/>
  <c r="FL168" i="2"/>
  <c r="AC190" i="2"/>
  <c r="BA171" i="2"/>
  <c r="AQ192" i="2"/>
  <c r="GC177" i="2"/>
  <c r="BD180" i="2"/>
  <c r="FL165" i="2"/>
  <c r="EU165" i="2"/>
  <c r="AC191" i="2"/>
  <c r="BA175" i="2"/>
  <c r="AQ190" i="2"/>
  <c r="GC181" i="2"/>
  <c r="BD181" i="2"/>
  <c r="FL169" i="2"/>
  <c r="FO165" i="2"/>
  <c r="EU169" i="2"/>
  <c r="AC193" i="2"/>
  <c r="AQ189" i="2"/>
  <c r="DX183" i="2"/>
  <c r="BD179" i="2"/>
  <c r="DC178" i="2"/>
  <c r="FO166" i="2"/>
  <c r="CI161" i="2"/>
  <c r="AM179" i="2"/>
  <c r="EU166" i="2"/>
  <c r="CW209" i="2"/>
  <c r="AQ193" i="2"/>
  <c r="BU191" i="2"/>
  <c r="EA211" i="2"/>
  <c r="DX184" i="2"/>
  <c r="DC180" i="2"/>
  <c r="FO169" i="2"/>
  <c r="AM181" i="2"/>
  <c r="EU168" i="2"/>
  <c r="CW211" i="2"/>
  <c r="BU189" i="2"/>
  <c r="AO165" i="2"/>
  <c r="GM186" i="2"/>
  <c r="DX187" i="2"/>
  <c r="DC181" i="2"/>
  <c r="FO168" i="2"/>
  <c r="AM177" i="2"/>
  <c r="CW213" i="2"/>
  <c r="BU192" i="2"/>
  <c r="AO167" i="2"/>
  <c r="GR189" i="2"/>
  <c r="DC177" i="2"/>
  <c r="AM161" i="2"/>
  <c r="AM178" i="2"/>
  <c r="CW212" i="2"/>
  <c r="CE173" i="2"/>
  <c r="BU190" i="2"/>
  <c r="AO168" i="2"/>
  <c r="DX186" i="2"/>
  <c r="GS166" i="2"/>
  <c r="DB161" i="2"/>
  <c r="GH161" i="2"/>
  <c r="AD161" i="2"/>
  <c r="Z161" i="2"/>
  <c r="GG161" i="2"/>
  <c r="EJ161" i="2"/>
  <c r="GF161" i="2"/>
  <c r="BC161" i="2"/>
  <c r="GT161" i="2"/>
  <c r="W161" i="2"/>
  <c r="AY210" i="2"/>
  <c r="GM185" i="2"/>
  <c r="AY213" i="2"/>
  <c r="DV161" i="2"/>
  <c r="AY209" i="2"/>
  <c r="BX161" i="2"/>
  <c r="FO161" i="2"/>
  <c r="EX161" i="2"/>
  <c r="BS161" i="2"/>
  <c r="BY161" i="2"/>
  <c r="BG161" i="2"/>
  <c r="AC161" i="2"/>
  <c r="CB213" i="2"/>
  <c r="GJ186" i="2"/>
  <c r="DP177" i="2"/>
  <c r="AV173" i="2"/>
  <c r="CY179" i="2"/>
  <c r="AE171" i="2"/>
  <c r="DF161" i="2"/>
  <c r="FN161" i="2"/>
  <c r="DK184" i="2"/>
  <c r="FW187" i="2"/>
  <c r="DM184" i="2"/>
  <c r="FM168" i="2"/>
  <c r="EK169" i="2"/>
  <c r="DM183" i="2"/>
  <c r="EG191" i="2"/>
  <c r="BM187" i="2"/>
  <c r="FM169" i="2"/>
  <c r="BG178" i="2"/>
  <c r="BO213" i="2"/>
  <c r="EK166" i="2"/>
  <c r="DM186" i="2"/>
  <c r="EG189" i="2"/>
  <c r="BM184" i="2"/>
  <c r="AR220" i="2"/>
  <c r="DS191" i="2"/>
  <c r="BO212" i="2"/>
  <c r="FQ178" i="2"/>
  <c r="EG193" i="2"/>
  <c r="BM186" i="2"/>
  <c r="BG180" i="2"/>
  <c r="BO210" i="2"/>
  <c r="FQ181" i="2"/>
  <c r="EG192" i="2"/>
  <c r="BM183" i="2"/>
  <c r="DS193" i="2"/>
  <c r="DS190" i="2"/>
  <c r="BY191" i="2"/>
  <c r="BG177" i="2"/>
  <c r="CK161" i="2"/>
  <c r="BV161" i="2"/>
  <c r="BO211" i="2"/>
  <c r="GG192" i="2"/>
  <c r="FQ179" i="2"/>
  <c r="BG181" i="2"/>
  <c r="DS189" i="2"/>
  <c r="E77" i="8"/>
  <c r="BY192" i="2"/>
  <c r="GG189" i="2"/>
  <c r="FQ177" i="2"/>
  <c r="FE173" i="2"/>
  <c r="BY190" i="2"/>
  <c r="GG193" i="2"/>
  <c r="FE172" i="2"/>
  <c r="AO169" i="2"/>
  <c r="EA210" i="2"/>
  <c r="AP220" i="2"/>
  <c r="BY189" i="2"/>
  <c r="BE161" i="2"/>
  <c r="CW172" i="2"/>
  <c r="FE175" i="2"/>
  <c r="CW173" i="2"/>
  <c r="FE174" i="2"/>
  <c r="FP161" i="2"/>
  <c r="CJ161" i="2"/>
  <c r="ES213" i="2"/>
  <c r="CW174" i="2"/>
  <c r="EK161" i="2"/>
  <c r="GJ185" i="2"/>
  <c r="DP181" i="2"/>
  <c r="AV175" i="2"/>
  <c r="FR161" i="2"/>
  <c r="DU161" i="2"/>
  <c r="EY161" i="2"/>
  <c r="FM161" i="2"/>
  <c r="BD161" i="2"/>
  <c r="FW186" i="2"/>
  <c r="ES209" i="2"/>
  <c r="CW171" i="2"/>
  <c r="CB212" i="2"/>
  <c r="DA161" i="2"/>
  <c r="DK187" i="2"/>
  <c r="FW184" i="2"/>
  <c r="ES210" i="2"/>
  <c r="DK185" i="2"/>
  <c r="ES211" i="2"/>
  <c r="FM166" i="2"/>
  <c r="EG161" i="2"/>
  <c r="FI169" i="2"/>
  <c r="FI161" i="2"/>
  <c r="FI167" i="2"/>
  <c r="FI165" i="2"/>
  <c r="FI168" i="2"/>
  <c r="FI166" i="2"/>
  <c r="AE211" i="2"/>
  <c r="AE210" i="2"/>
  <c r="AE209" i="2"/>
  <c r="AE212" i="2"/>
  <c r="AE213" i="2"/>
  <c r="EM185" i="2"/>
  <c r="EM184" i="2"/>
  <c r="EM187" i="2"/>
  <c r="EM186" i="2"/>
  <c r="EM183" i="2"/>
  <c r="CP213" i="2"/>
  <c r="CP209" i="2"/>
  <c r="CP211" i="2"/>
  <c r="CP212" i="2"/>
  <c r="CP210" i="2"/>
  <c r="AL191" i="2"/>
  <c r="AL190" i="2"/>
  <c r="AL193" i="2"/>
  <c r="AL189" i="2"/>
  <c r="AL192" i="2"/>
  <c r="ET181" i="2"/>
  <c r="ET178" i="2"/>
  <c r="ET179" i="2"/>
  <c r="ET180" i="2"/>
  <c r="ET177" i="2"/>
  <c r="BZ173" i="2"/>
  <c r="BZ172" i="2"/>
  <c r="BZ175" i="2"/>
  <c r="BZ171" i="2"/>
  <c r="BZ174" i="2"/>
  <c r="GO181" i="2"/>
  <c r="GO179" i="2"/>
  <c r="GO180" i="2"/>
  <c r="GO177" i="2"/>
  <c r="GO178" i="2"/>
  <c r="ES166" i="2"/>
  <c r="ES167" i="2"/>
  <c r="ES165" i="2"/>
  <c r="ES169" i="2"/>
  <c r="ES168" i="2"/>
  <c r="ES161" i="2"/>
  <c r="AY169" i="2"/>
  <c r="AY168" i="2"/>
  <c r="AY167" i="2"/>
  <c r="AY166" i="2"/>
  <c r="AY165" i="2"/>
  <c r="AY161" i="2"/>
  <c r="CJ210" i="2"/>
  <c r="CJ212" i="2"/>
  <c r="CJ209" i="2"/>
  <c r="CJ213" i="2"/>
  <c r="CJ211" i="2"/>
  <c r="FI190" i="2"/>
  <c r="FI193" i="2"/>
  <c r="FI192" i="2"/>
  <c r="FI189" i="2"/>
  <c r="FI191" i="2"/>
  <c r="BY184" i="2"/>
  <c r="BY185" i="2"/>
  <c r="BY187" i="2"/>
  <c r="BY186" i="2"/>
  <c r="BY183" i="2"/>
  <c r="BQ166" i="2"/>
  <c r="BQ168" i="2"/>
  <c r="BQ161" i="2"/>
  <c r="BQ167" i="2"/>
  <c r="BQ165" i="2"/>
  <c r="BQ169" i="2"/>
  <c r="GK168" i="2"/>
  <c r="GK167" i="2"/>
  <c r="GK169" i="2"/>
  <c r="GK166" i="2"/>
  <c r="GK161" i="2"/>
  <c r="GK165" i="2"/>
  <c r="FH190" i="2"/>
  <c r="FH192" i="2"/>
  <c r="FH191" i="2"/>
  <c r="FH189" i="2"/>
  <c r="FH193" i="2"/>
  <c r="AB187" i="2"/>
  <c r="AB183" i="2"/>
  <c r="AB186" i="2"/>
  <c r="AB184" i="2"/>
  <c r="AB185" i="2"/>
  <c r="DD172" i="2"/>
  <c r="DD171" i="2"/>
  <c r="DD174" i="2"/>
  <c r="DD173" i="2"/>
  <c r="DD175" i="2"/>
  <c r="CM210" i="2"/>
  <c r="CM212" i="2"/>
  <c r="CM209" i="2"/>
  <c r="CM213" i="2"/>
  <c r="CM211" i="2"/>
  <c r="FG177" i="2"/>
  <c r="FG179" i="2"/>
  <c r="FG178" i="2"/>
  <c r="FG181" i="2"/>
  <c r="FG180" i="2"/>
  <c r="GK191" i="2"/>
  <c r="GK193" i="2"/>
  <c r="GK189" i="2"/>
  <c r="GK192" i="2"/>
  <c r="GK190" i="2"/>
  <c r="BT212" i="2"/>
  <c r="BT211" i="2"/>
  <c r="BT210" i="2"/>
  <c r="BT213" i="2"/>
  <c r="BT209" i="2"/>
  <c r="CU193" i="2"/>
  <c r="CU192" i="2"/>
  <c r="CU190" i="2"/>
  <c r="CU191" i="2"/>
  <c r="CU189" i="2"/>
  <c r="DA209" i="2"/>
  <c r="DA211" i="2"/>
  <c r="DA210" i="2"/>
  <c r="DA213" i="2"/>
  <c r="DA212" i="2"/>
  <c r="Z212" i="2"/>
  <c r="Z210" i="2"/>
  <c r="Z213" i="2"/>
  <c r="Z209" i="2"/>
  <c r="Z211" i="2"/>
  <c r="EH187" i="2"/>
  <c r="EH183" i="2"/>
  <c r="EH184" i="2"/>
  <c r="EH185" i="2"/>
  <c r="EH186" i="2"/>
  <c r="BN178" i="2"/>
  <c r="BN177" i="2"/>
  <c r="BN180" i="2"/>
  <c r="BN179" i="2"/>
  <c r="BN181" i="2"/>
  <c r="FV168" i="2"/>
  <c r="FV167" i="2"/>
  <c r="FV165" i="2"/>
  <c r="FV166" i="2"/>
  <c r="FV169" i="2"/>
  <c r="FV161" i="2"/>
  <c r="FU179" i="2"/>
  <c r="FU178" i="2"/>
  <c r="FU180" i="2"/>
  <c r="FU181" i="2"/>
  <c r="FU177" i="2"/>
  <c r="EF173" i="2"/>
  <c r="EF171" i="2"/>
  <c r="EF174" i="2"/>
  <c r="EF172" i="2"/>
  <c r="EF175" i="2"/>
  <c r="FT190" i="2"/>
  <c r="FT193" i="2"/>
  <c r="FT189" i="2"/>
  <c r="FT192" i="2"/>
  <c r="FT191" i="2"/>
  <c r="AM171" i="2"/>
  <c r="AM175" i="2"/>
  <c r="AM173" i="2"/>
  <c r="AM174" i="2"/>
  <c r="AM172" i="2"/>
  <c r="EV174" i="2"/>
  <c r="EV171" i="2"/>
  <c r="EV172" i="2"/>
  <c r="EV175" i="2"/>
  <c r="EV173" i="2"/>
  <c r="W175" i="2"/>
  <c r="W172" i="2"/>
  <c r="W173" i="2"/>
  <c r="W174" i="2"/>
  <c r="W171" i="2"/>
  <c r="AE165" i="2"/>
  <c r="AE168" i="2"/>
  <c r="AE167" i="2"/>
  <c r="AE161" i="2"/>
  <c r="AE166" i="2"/>
  <c r="AE169" i="2"/>
  <c r="BZ210" i="2"/>
  <c r="BZ211" i="2"/>
  <c r="BZ209" i="2"/>
  <c r="BZ213" i="2"/>
  <c r="BZ212" i="2"/>
  <c r="GX184" i="2"/>
  <c r="GX187" i="2"/>
  <c r="GX185" i="2"/>
  <c r="GX186" i="2"/>
  <c r="GX183" i="2"/>
  <c r="ED178" i="2"/>
  <c r="ED180" i="2"/>
  <c r="ED181" i="2"/>
  <c r="ED177" i="2"/>
  <c r="ED179" i="2"/>
  <c r="BJ172" i="2"/>
  <c r="BJ173" i="2"/>
  <c r="BJ175" i="2"/>
  <c r="BJ171" i="2"/>
  <c r="BJ174" i="2"/>
  <c r="FI180" i="2"/>
  <c r="FI181" i="2"/>
  <c r="FI177" i="2"/>
  <c r="FI179" i="2"/>
  <c r="FI178" i="2"/>
  <c r="DM169" i="2"/>
  <c r="DM167" i="2"/>
  <c r="DM166" i="2"/>
  <c r="DM165" i="2"/>
  <c r="DM168" i="2"/>
  <c r="DM161" i="2"/>
  <c r="EW212" i="2"/>
  <c r="EW210" i="2"/>
  <c r="EW213" i="2"/>
  <c r="EW209" i="2"/>
  <c r="EW211" i="2"/>
  <c r="GJ190" i="2"/>
  <c r="GJ192" i="2"/>
  <c r="GJ193" i="2"/>
  <c r="GJ191" i="2"/>
  <c r="GJ189" i="2"/>
  <c r="GW213" i="2"/>
  <c r="GW210" i="2"/>
  <c r="GW211" i="2"/>
  <c r="GW209" i="2"/>
  <c r="GW212" i="2"/>
  <c r="ES190" i="2"/>
  <c r="ES192" i="2"/>
  <c r="ES191" i="2"/>
  <c r="ES193" i="2"/>
  <c r="ES189" i="2"/>
  <c r="BI187" i="2"/>
  <c r="BI184" i="2"/>
  <c r="BI183" i="2"/>
  <c r="BI186" i="2"/>
  <c r="BI185" i="2"/>
  <c r="AK169" i="2"/>
  <c r="AK168" i="2"/>
  <c r="AK167" i="2"/>
  <c r="AK165" i="2"/>
  <c r="AK166" i="2"/>
  <c r="AK161" i="2"/>
  <c r="DI166" i="2"/>
  <c r="DI165" i="2"/>
  <c r="DI169" i="2"/>
  <c r="DI167" i="2"/>
  <c r="DI168" i="2"/>
  <c r="DI161" i="2"/>
  <c r="ER189" i="2"/>
  <c r="ER190" i="2"/>
  <c r="ER191" i="2"/>
  <c r="ER193" i="2"/>
  <c r="ER192" i="2"/>
  <c r="GN180" i="2"/>
  <c r="GN179" i="2"/>
  <c r="GN178" i="2"/>
  <c r="GN177" i="2"/>
  <c r="GN181" i="2"/>
  <c r="CN172" i="2"/>
  <c r="CN173" i="2"/>
  <c r="CN175" i="2"/>
  <c r="CN171" i="2"/>
  <c r="CN174" i="2"/>
  <c r="BW211" i="2"/>
  <c r="BW212" i="2"/>
  <c r="BW210" i="2"/>
  <c r="BW209" i="2"/>
  <c r="BW213" i="2"/>
  <c r="EQ181" i="2"/>
  <c r="EQ178" i="2"/>
  <c r="EQ177" i="2"/>
  <c r="EQ179" i="2"/>
  <c r="EQ180" i="2"/>
  <c r="DI190" i="2"/>
  <c r="DI191" i="2"/>
  <c r="DI193" i="2"/>
  <c r="DI192" i="2"/>
  <c r="DI189" i="2"/>
  <c r="AN213" i="2"/>
  <c r="AN212" i="2"/>
  <c r="AN210" i="2"/>
  <c r="AN209" i="2"/>
  <c r="AN211" i="2"/>
  <c r="BO189" i="2"/>
  <c r="BO192" i="2"/>
  <c r="BO193" i="2"/>
  <c r="BO191" i="2"/>
  <c r="BO190" i="2"/>
  <c r="DY190" i="2"/>
  <c r="DY191" i="2"/>
  <c r="DY193" i="2"/>
  <c r="DY189" i="2"/>
  <c r="DY192" i="2"/>
  <c r="GL189" i="2"/>
  <c r="GL193" i="2"/>
  <c r="GL190" i="2"/>
  <c r="GL191" i="2"/>
  <c r="GL192" i="2"/>
  <c r="DR183" i="2"/>
  <c r="DR187" i="2"/>
  <c r="DR184" i="2"/>
  <c r="DR185" i="2"/>
  <c r="DR186" i="2"/>
  <c r="AX177" i="2"/>
  <c r="AX181" i="2"/>
  <c r="AX179" i="2"/>
  <c r="AX178" i="2"/>
  <c r="AX180" i="2"/>
  <c r="FF169" i="2"/>
  <c r="FF166" i="2"/>
  <c r="FF165" i="2"/>
  <c r="FF161" i="2"/>
  <c r="FF168" i="2"/>
  <c r="FF167" i="2"/>
  <c r="CC180" i="2"/>
  <c r="CC181" i="2"/>
  <c r="CC179" i="2"/>
  <c r="CC178" i="2"/>
  <c r="CC177" i="2"/>
  <c r="AN175" i="2"/>
  <c r="AN171" i="2"/>
  <c r="AN172" i="2"/>
  <c r="AN173" i="2"/>
  <c r="AN174" i="2"/>
  <c r="GI179" i="2"/>
  <c r="GI178" i="2"/>
  <c r="GI181" i="2"/>
  <c r="GI180" i="2"/>
  <c r="GI177" i="2"/>
  <c r="DH190" i="2"/>
  <c r="DH189" i="2"/>
  <c r="DH193" i="2"/>
  <c r="DH191" i="2"/>
  <c r="DH192" i="2"/>
  <c r="FC166" i="2"/>
  <c r="FC169" i="2"/>
  <c r="FC168" i="2"/>
  <c r="FC161" i="2"/>
  <c r="FC167" i="2"/>
  <c r="FC165" i="2"/>
  <c r="BT175" i="2"/>
  <c r="BT174" i="2"/>
  <c r="BT171" i="2"/>
  <c r="BT172" i="2"/>
  <c r="BT173" i="2"/>
  <c r="EM169" i="2"/>
  <c r="EM165" i="2"/>
  <c r="EM161" i="2"/>
  <c r="EM166" i="2"/>
  <c r="EM168" i="2"/>
  <c r="EM167" i="2"/>
  <c r="C17" i="9"/>
  <c r="FJ179" i="2"/>
  <c r="FJ181" i="2"/>
  <c r="FJ178" i="2"/>
  <c r="FJ177" i="2"/>
  <c r="FJ180" i="2"/>
  <c r="GQ193" i="2"/>
  <c r="GQ190" i="2"/>
  <c r="GQ192" i="2"/>
  <c r="GQ189" i="2"/>
  <c r="GQ191" i="2"/>
  <c r="GA192" i="2"/>
  <c r="GA191" i="2"/>
  <c r="GA190" i="2"/>
  <c r="GA193" i="2"/>
  <c r="GA189" i="2"/>
  <c r="DG185" i="2"/>
  <c r="DG184" i="2"/>
  <c r="DG186" i="2"/>
  <c r="DG187" i="2"/>
  <c r="DG183" i="2"/>
  <c r="BJ209" i="2"/>
  <c r="BJ211" i="2"/>
  <c r="BJ212" i="2"/>
  <c r="BJ213" i="2"/>
  <c r="BJ210" i="2"/>
  <c r="GH184" i="2"/>
  <c r="GH183" i="2"/>
  <c r="GH187" i="2"/>
  <c r="GH186" i="2"/>
  <c r="GH185" i="2"/>
  <c r="DN179" i="2"/>
  <c r="DN177" i="2"/>
  <c r="DN181" i="2"/>
  <c r="DN178" i="2"/>
  <c r="DN180" i="2"/>
  <c r="AT172" i="2"/>
  <c r="AT171" i="2"/>
  <c r="AT174" i="2"/>
  <c r="AT173" i="2"/>
  <c r="AT175" i="2"/>
  <c r="ES178" i="2"/>
  <c r="ES181" i="2"/>
  <c r="ES177" i="2"/>
  <c r="ES180" i="2"/>
  <c r="ES179" i="2"/>
  <c r="CG166" i="2"/>
  <c r="CG169" i="2"/>
  <c r="CG168" i="2"/>
  <c r="CG165" i="2"/>
  <c r="CG167" i="2"/>
  <c r="CG161" i="2"/>
  <c r="CK212" i="2"/>
  <c r="CK213" i="2"/>
  <c r="CK210" i="2"/>
  <c r="CK211" i="2"/>
  <c r="CK209" i="2"/>
  <c r="DX192" i="2"/>
  <c r="DX189" i="2"/>
  <c r="DX191" i="2"/>
  <c r="DX193" i="2"/>
  <c r="DX190" i="2"/>
  <c r="GG211" i="2"/>
  <c r="GG213" i="2"/>
  <c r="GG209" i="2"/>
  <c r="GG212" i="2"/>
  <c r="GG210" i="2"/>
  <c r="EC193" i="2"/>
  <c r="EC190" i="2"/>
  <c r="EC189" i="2"/>
  <c r="EC191" i="2"/>
  <c r="EC192" i="2"/>
  <c r="AS186" i="2"/>
  <c r="AS187" i="2"/>
  <c r="AS185" i="2"/>
  <c r="AS184" i="2"/>
  <c r="AS183" i="2"/>
  <c r="GM167" i="2"/>
  <c r="GM169" i="2"/>
  <c r="GM166" i="2"/>
  <c r="GM161" i="2"/>
  <c r="GM165" i="2"/>
  <c r="GM168" i="2"/>
  <c r="EE173" i="2"/>
  <c r="EE172" i="2"/>
  <c r="EE174" i="2"/>
  <c r="EE171" i="2"/>
  <c r="EE175" i="2"/>
  <c r="GV212" i="2"/>
  <c r="GV211" i="2"/>
  <c r="GV209" i="2"/>
  <c r="GV210" i="2"/>
  <c r="GV213" i="2"/>
  <c r="EB190" i="2"/>
  <c r="EB191" i="2"/>
  <c r="EB193" i="2"/>
  <c r="EB192" i="2"/>
  <c r="EB189" i="2"/>
  <c r="FX178" i="2"/>
  <c r="FX181" i="2"/>
  <c r="FX177" i="2"/>
  <c r="FX179" i="2"/>
  <c r="FX180" i="2"/>
  <c r="BX175" i="2"/>
  <c r="BX173" i="2"/>
  <c r="BX172" i="2"/>
  <c r="BX174" i="2"/>
  <c r="BX171" i="2"/>
  <c r="CU177" i="2"/>
  <c r="CU179" i="2"/>
  <c r="CU178" i="2"/>
  <c r="CU180" i="2"/>
  <c r="CU181" i="2"/>
  <c r="AG189" i="2"/>
  <c r="AG193" i="2"/>
  <c r="AG191" i="2"/>
  <c r="AG192" i="2"/>
  <c r="AG190" i="2"/>
  <c r="FD189" i="2"/>
  <c r="FD190" i="2"/>
  <c r="FD193" i="2"/>
  <c r="FD191" i="2"/>
  <c r="FD192" i="2"/>
  <c r="AI189" i="2"/>
  <c r="AI192" i="2"/>
  <c r="AI190" i="2"/>
  <c r="AI191" i="2"/>
  <c r="AI193" i="2"/>
  <c r="AW189" i="2"/>
  <c r="AW192" i="2"/>
  <c r="AW193" i="2"/>
  <c r="AW190" i="2"/>
  <c r="AW191" i="2"/>
  <c r="FV189" i="2"/>
  <c r="FV192" i="2"/>
  <c r="FV193" i="2"/>
  <c r="FV191" i="2"/>
  <c r="FV190" i="2"/>
  <c r="DB186" i="2"/>
  <c r="DB184" i="2"/>
  <c r="DB187" i="2"/>
  <c r="DB183" i="2"/>
  <c r="DB185" i="2"/>
  <c r="AH180" i="2"/>
  <c r="AH177" i="2"/>
  <c r="AH178" i="2"/>
  <c r="AH179" i="2"/>
  <c r="AH181" i="2"/>
  <c r="EP166" i="2"/>
  <c r="EP168" i="2"/>
  <c r="EP161" i="2"/>
  <c r="EP169" i="2"/>
  <c r="EP165" i="2"/>
  <c r="EP167" i="2"/>
  <c r="GC172" i="2"/>
  <c r="GC171" i="2"/>
  <c r="GC173" i="2"/>
  <c r="GC174" i="2"/>
  <c r="GC175" i="2"/>
  <c r="FT167" i="2"/>
  <c r="FT169" i="2"/>
  <c r="FT168" i="2"/>
  <c r="FT165" i="2"/>
  <c r="FT166" i="2"/>
  <c r="FT161" i="2"/>
  <c r="DG179" i="2"/>
  <c r="DG178" i="2"/>
  <c r="DG181" i="2"/>
  <c r="DG177" i="2"/>
  <c r="DG180" i="2"/>
  <c r="BL191" i="2"/>
  <c r="BL193" i="2"/>
  <c r="BL189" i="2"/>
  <c r="BL192" i="2"/>
  <c r="BL190" i="2"/>
  <c r="CQ167" i="2"/>
  <c r="CQ169" i="2"/>
  <c r="CQ166" i="2"/>
  <c r="CQ161" i="2"/>
  <c r="CQ168" i="2"/>
  <c r="CQ165" i="2"/>
  <c r="FD165" i="2"/>
  <c r="FD161" i="2"/>
  <c r="FD168" i="2"/>
  <c r="FD166" i="2"/>
  <c r="FD167" i="2"/>
  <c r="FD169" i="2"/>
  <c r="CA166" i="2"/>
  <c r="CA168" i="2"/>
  <c r="CA165" i="2"/>
  <c r="CA161" i="2"/>
  <c r="CA169" i="2"/>
  <c r="CA167" i="2"/>
  <c r="GC161" i="2"/>
  <c r="DF210" i="2"/>
  <c r="DF212" i="2"/>
  <c r="DF209" i="2"/>
  <c r="DF211" i="2"/>
  <c r="DF213" i="2"/>
  <c r="FY193" i="2"/>
  <c r="FY190" i="2"/>
  <c r="FY192" i="2"/>
  <c r="FY189" i="2"/>
  <c r="FY191" i="2"/>
  <c r="FR183" i="2"/>
  <c r="FR184" i="2"/>
  <c r="FR186" i="2"/>
  <c r="FR187" i="2"/>
  <c r="FR185" i="2"/>
  <c r="CX179" i="2"/>
  <c r="CX181" i="2"/>
  <c r="CX177" i="2"/>
  <c r="CX178" i="2"/>
  <c r="CX180" i="2"/>
  <c r="AD173" i="2"/>
  <c r="AD172" i="2"/>
  <c r="AD175" i="2"/>
  <c r="AD174" i="2"/>
  <c r="AD171" i="2"/>
  <c r="DM179" i="2"/>
  <c r="DM181" i="2"/>
  <c r="DM180" i="2"/>
  <c r="DM178" i="2"/>
  <c r="DM177" i="2"/>
  <c r="BA161" i="2"/>
  <c r="BA166" i="2"/>
  <c r="BA167" i="2"/>
  <c r="BA168" i="2"/>
  <c r="BA169" i="2"/>
  <c r="BA165" i="2"/>
  <c r="FE190" i="2"/>
  <c r="FE192" i="2"/>
  <c r="FE193" i="2"/>
  <c r="FE191" i="2"/>
  <c r="FE189" i="2"/>
  <c r="CB190" i="2"/>
  <c r="CB189" i="2"/>
  <c r="CB191" i="2"/>
  <c r="CB192" i="2"/>
  <c r="CB193" i="2"/>
  <c r="FQ211" i="2"/>
  <c r="FQ212" i="2"/>
  <c r="FQ213" i="2"/>
  <c r="FQ209" i="2"/>
  <c r="FQ210" i="2"/>
  <c r="DM189" i="2"/>
  <c r="DM191" i="2"/>
  <c r="DM193" i="2"/>
  <c r="DM190" i="2"/>
  <c r="DM192" i="2"/>
  <c r="AC183" i="2"/>
  <c r="AC185" i="2"/>
  <c r="AC187" i="2"/>
  <c r="AC186" i="2"/>
  <c r="AC184" i="2"/>
  <c r="CU166" i="2"/>
  <c r="CU168" i="2"/>
  <c r="CU165" i="2"/>
  <c r="CU169" i="2"/>
  <c r="CU167" i="2"/>
  <c r="CU161" i="2"/>
  <c r="DW169" i="2"/>
  <c r="DW168" i="2"/>
  <c r="DW166" i="2"/>
  <c r="DW167" i="2"/>
  <c r="DW161" i="2"/>
  <c r="DW165" i="2"/>
  <c r="GF212" i="2"/>
  <c r="GF210" i="2"/>
  <c r="GF213" i="2"/>
  <c r="GF209" i="2"/>
  <c r="GF211" i="2"/>
  <c r="DL190" i="2"/>
  <c r="DL193" i="2"/>
  <c r="DL191" i="2"/>
  <c r="DL189" i="2"/>
  <c r="DL192" i="2"/>
  <c r="FH179" i="2"/>
  <c r="FH180" i="2"/>
  <c r="FH177" i="2"/>
  <c r="FH181" i="2"/>
  <c r="FH178" i="2"/>
  <c r="GN169" i="2"/>
  <c r="GN165" i="2"/>
  <c r="GN168" i="2"/>
  <c r="GN166" i="2"/>
  <c r="GN167" i="2"/>
  <c r="GN161" i="2"/>
  <c r="AQ211" i="2"/>
  <c r="AQ212" i="2"/>
  <c r="AQ210" i="2"/>
  <c r="AQ213" i="2"/>
  <c r="AQ209" i="2"/>
  <c r="AY181" i="2"/>
  <c r="AY178" i="2"/>
  <c r="AY180" i="2"/>
  <c r="AY177" i="2"/>
  <c r="AY179" i="2"/>
  <c r="EG186" i="2"/>
  <c r="EG183" i="2"/>
  <c r="EG187" i="2"/>
  <c r="EG184" i="2"/>
  <c r="EG185" i="2"/>
  <c r="CR193" i="2"/>
  <c r="CR192" i="2"/>
  <c r="CR191" i="2"/>
  <c r="CR189" i="2"/>
  <c r="CR190" i="2"/>
  <c r="GU186" i="2"/>
  <c r="GU187" i="2"/>
  <c r="GU183" i="2"/>
  <c r="GU185" i="2"/>
  <c r="GU184" i="2"/>
  <c r="FM184" i="2"/>
  <c r="FM183" i="2"/>
  <c r="FM185" i="2"/>
  <c r="FM187" i="2"/>
  <c r="FM186" i="2"/>
  <c r="FF189" i="2"/>
  <c r="FF190" i="2"/>
  <c r="FF191" i="2"/>
  <c r="FF193" i="2"/>
  <c r="FF192" i="2"/>
  <c r="CL186" i="2"/>
  <c r="CL185" i="2"/>
  <c r="CL184" i="2"/>
  <c r="CL183" i="2"/>
  <c r="CL187" i="2"/>
  <c r="GT173" i="2"/>
  <c r="GT175" i="2"/>
  <c r="GT172" i="2"/>
  <c r="GT174" i="2"/>
  <c r="GT171" i="2"/>
  <c r="DZ169" i="2"/>
  <c r="DZ166" i="2"/>
  <c r="DZ168" i="2"/>
  <c r="DZ167" i="2"/>
  <c r="DZ165" i="2"/>
  <c r="DZ161" i="2"/>
  <c r="BU174" i="2"/>
  <c r="BU172" i="2"/>
  <c r="BU171" i="2"/>
  <c r="BU173" i="2"/>
  <c r="BU175" i="2"/>
  <c r="BL166" i="2"/>
  <c r="BL167" i="2"/>
  <c r="BL165" i="2"/>
  <c r="BL169" i="2"/>
  <c r="BL168" i="2"/>
  <c r="BL161" i="2"/>
  <c r="GQ171" i="2"/>
  <c r="GQ174" i="2"/>
  <c r="GQ175" i="2"/>
  <c r="GQ172" i="2"/>
  <c r="GQ173" i="2"/>
  <c r="GR186" i="2"/>
  <c r="GR187" i="2"/>
  <c r="GR185" i="2"/>
  <c r="GR183" i="2"/>
  <c r="GR184" i="2"/>
  <c r="CB166" i="2"/>
  <c r="CB165" i="2"/>
  <c r="CB168" i="2"/>
  <c r="CB167" i="2"/>
  <c r="CB169" i="2"/>
  <c r="CB161" i="2"/>
  <c r="EU189" i="2"/>
  <c r="EU192" i="2"/>
  <c r="EU191" i="2"/>
  <c r="EU193" i="2"/>
  <c r="EU190" i="2"/>
  <c r="AT211" i="2"/>
  <c r="AT209" i="2"/>
  <c r="AT213" i="2"/>
  <c r="AT210" i="2"/>
  <c r="AT212" i="2"/>
  <c r="FB184" i="2"/>
  <c r="FB185" i="2"/>
  <c r="FB186" i="2"/>
  <c r="FB183" i="2"/>
  <c r="FB187" i="2"/>
  <c r="CH178" i="2"/>
  <c r="CH177" i="2"/>
  <c r="CH179" i="2"/>
  <c r="CH181" i="2"/>
  <c r="CH180" i="2"/>
  <c r="GP168" i="2"/>
  <c r="GP165" i="2"/>
  <c r="GP167" i="2"/>
  <c r="GP161" i="2"/>
  <c r="GP169" i="2"/>
  <c r="GP166" i="2"/>
  <c r="CW179" i="2"/>
  <c r="CW180" i="2"/>
  <c r="CW177" i="2"/>
  <c r="CW178" i="2"/>
  <c r="CW181" i="2"/>
  <c r="DC184" i="2"/>
  <c r="DC185" i="2"/>
  <c r="DC183" i="2"/>
  <c r="DC187" i="2"/>
  <c r="DC186" i="2"/>
  <c r="CC192" i="2"/>
  <c r="CC189" i="2"/>
  <c r="CC193" i="2"/>
  <c r="CC190" i="2"/>
  <c r="CC191" i="2"/>
  <c r="FL184" i="2"/>
  <c r="FL186" i="2"/>
  <c r="FL183" i="2"/>
  <c r="FL185" i="2"/>
  <c r="FL187" i="2"/>
  <c r="FA210" i="2"/>
  <c r="FA212" i="2"/>
  <c r="FA213" i="2"/>
  <c r="FA209" i="2"/>
  <c r="FA211" i="2"/>
  <c r="CW193" i="2"/>
  <c r="CW190" i="2"/>
  <c r="CW192" i="2"/>
  <c r="CW191" i="2"/>
  <c r="CW189" i="2"/>
  <c r="FY180" i="2"/>
  <c r="FY177" i="2"/>
  <c r="FY179" i="2"/>
  <c r="FY181" i="2"/>
  <c r="FY178" i="2"/>
  <c r="GS209" i="2"/>
  <c r="GS212" i="2"/>
  <c r="GS211" i="2"/>
  <c r="GS213" i="2"/>
  <c r="GS210" i="2"/>
  <c r="H71" i="8"/>
  <c r="G71" i="8"/>
  <c r="FP209" i="2"/>
  <c r="FP213" i="2"/>
  <c r="FP210" i="2"/>
  <c r="FP211" i="2"/>
  <c r="FP212" i="2"/>
  <c r="CV189" i="2"/>
  <c r="CV193" i="2"/>
  <c r="CV192" i="2"/>
  <c r="CV191" i="2"/>
  <c r="CV190" i="2"/>
  <c r="ER181" i="2"/>
  <c r="ER179" i="2"/>
  <c r="ER180" i="2"/>
  <c r="ER177" i="2"/>
  <c r="ER178" i="2"/>
  <c r="FX167" i="2"/>
  <c r="FX168" i="2"/>
  <c r="FX165" i="2"/>
  <c r="FX169" i="2"/>
  <c r="FX161" i="2"/>
  <c r="FX166" i="2"/>
  <c r="AA210" i="2"/>
  <c r="AA211" i="2"/>
  <c r="AA213" i="2"/>
  <c r="AA209" i="2"/>
  <c r="AA212" i="2"/>
  <c r="GE172" i="2"/>
  <c r="GE175" i="2"/>
  <c r="GE171" i="2"/>
  <c r="GE173" i="2"/>
  <c r="GE174" i="2"/>
  <c r="BU184" i="2"/>
  <c r="BU185" i="2"/>
  <c r="BU183" i="2"/>
  <c r="BU186" i="2"/>
  <c r="BU187" i="2"/>
  <c r="AF190" i="2"/>
  <c r="AF192" i="2"/>
  <c r="AF189" i="2"/>
  <c r="AF191" i="2"/>
  <c r="AF193" i="2"/>
  <c r="FO183" i="2"/>
  <c r="FO186" i="2"/>
  <c r="FO187" i="2"/>
  <c r="FO184" i="2"/>
  <c r="FO185" i="2"/>
  <c r="DA183" i="2"/>
  <c r="DA185" i="2"/>
  <c r="DA184" i="2"/>
  <c r="DA186" i="2"/>
  <c r="DA187" i="2"/>
  <c r="GT212" i="2"/>
  <c r="GT211" i="2"/>
  <c r="GT209" i="2"/>
  <c r="GT213" i="2"/>
  <c r="GT210" i="2"/>
  <c r="EP192" i="2"/>
  <c r="EP189" i="2"/>
  <c r="EP193" i="2"/>
  <c r="EP190" i="2"/>
  <c r="EP191" i="2"/>
  <c r="BV186" i="2"/>
  <c r="BV184" i="2"/>
  <c r="BV185" i="2"/>
  <c r="BV187" i="2"/>
  <c r="BV183" i="2"/>
  <c r="GD173" i="2"/>
  <c r="GD175" i="2"/>
  <c r="GD172" i="2"/>
  <c r="GD174" i="2"/>
  <c r="GD171" i="2"/>
  <c r="DJ165" i="2"/>
  <c r="DJ167" i="2"/>
  <c r="DJ169" i="2"/>
  <c r="DJ161" i="2"/>
  <c r="DJ166" i="2"/>
  <c r="DJ168" i="2"/>
  <c r="FU168" i="2"/>
  <c r="FU166" i="2"/>
  <c r="FU169" i="2"/>
  <c r="FU165" i="2"/>
  <c r="FU167" i="2"/>
  <c r="FU161" i="2"/>
  <c r="DO171" i="2"/>
  <c r="DO175" i="2"/>
  <c r="DO174" i="2"/>
  <c r="DO173" i="2"/>
  <c r="DO172" i="2"/>
  <c r="DP184" i="2"/>
  <c r="DP185" i="2"/>
  <c r="DP183" i="2"/>
  <c r="DP186" i="2"/>
  <c r="DP187" i="2"/>
  <c r="CN161" i="2"/>
  <c r="EI178" i="2"/>
  <c r="EI179" i="2"/>
  <c r="EI180" i="2"/>
  <c r="EI177" i="2"/>
  <c r="EI181" i="2"/>
  <c r="G69" i="8"/>
  <c r="H69" i="8"/>
  <c r="F77" i="8"/>
  <c r="BB190" i="2"/>
  <c r="BB192" i="2"/>
  <c r="BB193" i="2"/>
  <c r="BB189" i="2"/>
  <c r="BB191" i="2"/>
  <c r="EV210" i="2"/>
  <c r="EV209" i="2"/>
  <c r="EV212" i="2"/>
  <c r="EV213" i="2"/>
  <c r="EV211" i="2"/>
  <c r="CQ184" i="2"/>
  <c r="CQ185" i="2"/>
  <c r="CQ183" i="2"/>
  <c r="CQ187" i="2"/>
  <c r="CQ186" i="2"/>
  <c r="EE192" i="2"/>
  <c r="EE189" i="2"/>
  <c r="EE190" i="2"/>
  <c r="EE193" i="2"/>
  <c r="EE191" i="2"/>
  <c r="AD211" i="2"/>
  <c r="AD210" i="2"/>
  <c r="AD209" i="2"/>
  <c r="AD212" i="2"/>
  <c r="AD213" i="2"/>
  <c r="EL187" i="2"/>
  <c r="EL183" i="2"/>
  <c r="EL185" i="2"/>
  <c r="EL184" i="2"/>
  <c r="EL186" i="2"/>
  <c r="BR177" i="2"/>
  <c r="BR180" i="2"/>
  <c r="BR179" i="2"/>
  <c r="BR181" i="2"/>
  <c r="BR178" i="2"/>
  <c r="FZ166" i="2"/>
  <c r="FZ169" i="2"/>
  <c r="FZ168" i="2"/>
  <c r="FZ167" i="2"/>
  <c r="FZ165" i="2"/>
  <c r="FZ161" i="2"/>
  <c r="BQ178" i="2"/>
  <c r="BQ180" i="2"/>
  <c r="BQ179" i="2"/>
  <c r="BQ177" i="2"/>
  <c r="BQ181" i="2"/>
  <c r="FW178" i="2"/>
  <c r="FW179" i="2"/>
  <c r="FW181" i="2"/>
  <c r="FW180" i="2"/>
  <c r="FW177" i="2"/>
  <c r="GS187" i="2"/>
  <c r="GS185" i="2"/>
  <c r="GS184" i="2"/>
  <c r="GS183" i="2"/>
  <c r="GS186" i="2"/>
  <c r="EF183" i="2"/>
  <c r="EF184" i="2"/>
  <c r="EF187" i="2"/>
  <c r="EF185" i="2"/>
  <c r="EF186" i="2"/>
  <c r="EK210" i="2"/>
  <c r="EK213" i="2"/>
  <c r="EK212" i="2"/>
  <c r="EK211" i="2"/>
  <c r="EK209" i="2"/>
  <c r="CG192" i="2"/>
  <c r="CG190" i="2"/>
  <c r="CG189" i="2"/>
  <c r="CG193" i="2"/>
  <c r="CG191" i="2"/>
  <c r="EC180" i="2"/>
  <c r="EC181" i="2"/>
  <c r="EC179" i="2"/>
  <c r="EC178" i="2"/>
  <c r="EC177" i="2"/>
  <c r="EG210" i="2"/>
  <c r="EG213" i="2"/>
  <c r="EG212" i="2"/>
  <c r="EG209" i="2"/>
  <c r="EG211" i="2"/>
  <c r="EZ213" i="2"/>
  <c r="EZ211" i="2"/>
  <c r="EZ212" i="2"/>
  <c r="EZ209" i="2"/>
  <c r="EZ210" i="2"/>
  <c r="CF191" i="2"/>
  <c r="CF192" i="2"/>
  <c r="CF190" i="2"/>
  <c r="CF189" i="2"/>
  <c r="CF193" i="2"/>
  <c r="EB179" i="2"/>
  <c r="EB180" i="2"/>
  <c r="EB178" i="2"/>
  <c r="EB177" i="2"/>
  <c r="EB181" i="2"/>
  <c r="FH165" i="2"/>
  <c r="FH168" i="2"/>
  <c r="FH169" i="2"/>
  <c r="FH167" i="2"/>
  <c r="FH166" i="2"/>
  <c r="FH161" i="2"/>
  <c r="FW192" i="2"/>
  <c r="FW189" i="2"/>
  <c r="FW190" i="2"/>
  <c r="FW191" i="2"/>
  <c r="FW193" i="2"/>
  <c r="EI174" i="2"/>
  <c r="EI171" i="2"/>
  <c r="EI173" i="2"/>
  <c r="EI172" i="2"/>
  <c r="EI175" i="2"/>
  <c r="DY177" i="2"/>
  <c r="DY179" i="2"/>
  <c r="DY181" i="2"/>
  <c r="DY178" i="2"/>
  <c r="DY180" i="2"/>
  <c r="EV186" i="2"/>
  <c r="EV183" i="2"/>
  <c r="EV185" i="2"/>
  <c r="EV187" i="2"/>
  <c r="EV184" i="2"/>
  <c r="EI186" i="2"/>
  <c r="EI183" i="2"/>
  <c r="EI187" i="2"/>
  <c r="EI185" i="2"/>
  <c r="EI184" i="2"/>
  <c r="Y184" i="2"/>
  <c r="Y183" i="2"/>
  <c r="Y187" i="2"/>
  <c r="Y186" i="2"/>
  <c r="Y185" i="2"/>
  <c r="H72" i="8"/>
  <c r="G72" i="8"/>
  <c r="GD209" i="2"/>
  <c r="GD210" i="2"/>
  <c r="GD212" i="2"/>
  <c r="GD211" i="2"/>
  <c r="GD213" i="2"/>
  <c r="DZ189" i="2"/>
  <c r="DZ192" i="2"/>
  <c r="DZ193" i="2"/>
  <c r="DZ191" i="2"/>
  <c r="DZ190" i="2"/>
  <c r="BF185" i="2"/>
  <c r="BF184" i="2"/>
  <c r="BF187" i="2"/>
  <c r="BF183" i="2"/>
  <c r="BF186" i="2"/>
  <c r="FN173" i="2"/>
  <c r="FN175" i="2"/>
  <c r="FN171" i="2"/>
  <c r="FN172" i="2"/>
  <c r="FN174" i="2"/>
  <c r="CT167" i="2"/>
  <c r="CT168" i="2"/>
  <c r="CT166" i="2"/>
  <c r="CT165" i="2"/>
  <c r="CT169" i="2"/>
  <c r="CT161" i="2"/>
  <c r="BM167" i="2"/>
  <c r="BM169" i="2"/>
  <c r="BM166" i="2"/>
  <c r="BM165" i="2"/>
  <c r="BM168" i="2"/>
  <c r="BM161" i="2"/>
  <c r="DG167" i="2"/>
  <c r="DG165" i="2"/>
  <c r="DG169" i="2"/>
  <c r="DG161" i="2"/>
  <c r="DG168" i="2"/>
  <c r="DG166" i="2"/>
  <c r="DX179" i="2"/>
  <c r="DX177" i="2"/>
  <c r="DX181" i="2"/>
  <c r="DX178" i="2"/>
  <c r="DX180" i="2"/>
  <c r="FZ183" i="2"/>
  <c r="FZ184" i="2"/>
  <c r="FZ187" i="2"/>
  <c r="FZ186" i="2"/>
  <c r="FZ185" i="2"/>
  <c r="F89" i="8"/>
  <c r="G89" i="8"/>
  <c r="AO175" i="2"/>
  <c r="AO171" i="2"/>
  <c r="AO174" i="2"/>
  <c r="AO172" i="2"/>
  <c r="AO173" i="2"/>
  <c r="DW183" i="2"/>
  <c r="DW187" i="2"/>
  <c r="DW185" i="2"/>
  <c r="DW186" i="2"/>
  <c r="DW184" i="2"/>
  <c r="FK193" i="2"/>
  <c r="FK192" i="2"/>
  <c r="FK190" i="2"/>
  <c r="FK191" i="2"/>
  <c r="FK189" i="2"/>
  <c r="GI209" i="2"/>
  <c r="GI210" i="2"/>
  <c r="GI212" i="2"/>
  <c r="GI211" i="2"/>
  <c r="GI213" i="2"/>
  <c r="DO189" i="2"/>
  <c r="DO191" i="2"/>
  <c r="DO193" i="2"/>
  <c r="DO190" i="2"/>
  <c r="DO192" i="2"/>
  <c r="AZ160" i="2"/>
  <c r="AB210" i="2"/>
  <c r="AB211" i="2"/>
  <c r="AB209" i="2"/>
  <c r="AB213" i="2"/>
  <c r="AB212" i="2"/>
  <c r="GP191" i="2"/>
  <c r="GP189" i="2"/>
  <c r="GP192" i="2"/>
  <c r="GP193" i="2"/>
  <c r="GP190" i="2"/>
  <c r="DV187" i="2"/>
  <c r="DV184" i="2"/>
  <c r="DV185" i="2"/>
  <c r="DV186" i="2"/>
  <c r="DV183" i="2"/>
  <c r="BB180" i="2"/>
  <c r="BB177" i="2"/>
  <c r="BB179" i="2"/>
  <c r="BB181" i="2"/>
  <c r="BB178" i="2"/>
  <c r="FJ167" i="2"/>
  <c r="FJ169" i="2"/>
  <c r="FJ165" i="2"/>
  <c r="FJ168" i="2"/>
  <c r="FJ166" i="2"/>
  <c r="FJ161" i="2"/>
  <c r="AK181" i="2"/>
  <c r="AK177" i="2"/>
  <c r="AK178" i="2"/>
  <c r="AK180" i="2"/>
  <c r="AK179" i="2"/>
  <c r="EA178" i="2"/>
  <c r="EA177" i="2"/>
  <c r="EA179" i="2"/>
  <c r="EA180" i="2"/>
  <c r="EA181" i="2"/>
  <c r="DQ187" i="2"/>
  <c r="DQ184" i="2"/>
  <c r="DQ183" i="2"/>
  <c r="DQ185" i="2"/>
  <c r="DQ186" i="2"/>
  <c r="BT185" i="2"/>
  <c r="BT186" i="2"/>
  <c r="BT184" i="2"/>
  <c r="BT187" i="2"/>
  <c r="BT183" i="2"/>
  <c r="DU210" i="2"/>
  <c r="DU213" i="2"/>
  <c r="DU212" i="2"/>
  <c r="DU209" i="2"/>
  <c r="DU211" i="2"/>
  <c r="BQ190" i="2"/>
  <c r="BQ193" i="2"/>
  <c r="BQ192" i="2"/>
  <c r="BQ189" i="2"/>
  <c r="BQ191" i="2"/>
  <c r="CG178" i="2"/>
  <c r="CG180" i="2"/>
  <c r="CG177" i="2"/>
  <c r="CG179" i="2"/>
  <c r="CG181" i="2"/>
  <c r="BU209" i="2"/>
  <c r="BU212" i="2"/>
  <c r="BU213" i="2"/>
  <c r="BU210" i="2"/>
  <c r="BU211" i="2"/>
  <c r="EJ211" i="2"/>
  <c r="EJ210" i="2"/>
  <c r="EJ212" i="2"/>
  <c r="EJ213" i="2"/>
  <c r="EJ209" i="2"/>
  <c r="BP190" i="2"/>
  <c r="BP192" i="2"/>
  <c r="BP193" i="2"/>
  <c r="BP191" i="2"/>
  <c r="BP189" i="2"/>
  <c r="DL179" i="2"/>
  <c r="DL181" i="2"/>
  <c r="DL180" i="2"/>
  <c r="DL177" i="2"/>
  <c r="DL178" i="2"/>
  <c r="ER169" i="2"/>
  <c r="ER168" i="2"/>
  <c r="ER165" i="2"/>
  <c r="ER166" i="2"/>
  <c r="ER161" i="2"/>
  <c r="ER167" i="2"/>
  <c r="EQ189" i="2"/>
  <c r="EQ193" i="2"/>
  <c r="EQ191" i="2"/>
  <c r="EQ190" i="2"/>
  <c r="EQ192" i="2"/>
  <c r="DS173" i="2"/>
  <c r="DS172" i="2"/>
  <c r="DS171" i="2"/>
  <c r="DS175" i="2"/>
  <c r="DS174" i="2"/>
  <c r="CS179" i="2"/>
  <c r="CS177" i="2"/>
  <c r="CS181" i="2"/>
  <c r="CS178" i="2"/>
  <c r="CS180" i="2"/>
  <c r="CZ185" i="2"/>
  <c r="CZ183" i="2"/>
  <c r="CZ184" i="2"/>
  <c r="CZ187" i="2"/>
  <c r="CZ186" i="2"/>
  <c r="BW186" i="2"/>
  <c r="BW183" i="2"/>
  <c r="BW184" i="2"/>
  <c r="BW185" i="2"/>
  <c r="BW187" i="2"/>
  <c r="FE178" i="2"/>
  <c r="FE179" i="2"/>
  <c r="FE181" i="2"/>
  <c r="FE177" i="2"/>
  <c r="FE180" i="2"/>
  <c r="FN213" i="2"/>
  <c r="FN209" i="2"/>
  <c r="FN211" i="2"/>
  <c r="FN212" i="2"/>
  <c r="FN210" i="2"/>
  <c r="DJ191" i="2"/>
  <c r="DJ190" i="2"/>
  <c r="DJ192" i="2"/>
  <c r="DJ193" i="2"/>
  <c r="DJ189" i="2"/>
  <c r="AP187" i="2"/>
  <c r="AP185" i="2"/>
  <c r="AP184" i="2"/>
  <c r="AP183" i="2"/>
  <c r="AP186" i="2"/>
  <c r="EX175" i="2"/>
  <c r="EX174" i="2"/>
  <c r="EX172" i="2"/>
  <c r="EX171" i="2"/>
  <c r="EX173" i="2"/>
  <c r="CD169" i="2"/>
  <c r="CD167" i="2"/>
  <c r="CD168" i="2"/>
  <c r="CD165" i="2"/>
  <c r="CD166" i="2"/>
  <c r="CD161" i="2"/>
  <c r="FL211" i="2"/>
  <c r="FL213" i="2"/>
  <c r="FL212" i="2"/>
  <c r="FL209" i="2"/>
  <c r="FL210" i="2"/>
  <c r="AU169" i="2"/>
  <c r="AU167" i="2"/>
  <c r="AU165" i="2"/>
  <c r="AU166" i="2"/>
  <c r="AU168" i="2"/>
  <c r="AU161" i="2"/>
  <c r="BJ193" i="2"/>
  <c r="BJ191" i="2"/>
  <c r="BJ189" i="2"/>
  <c r="BJ190" i="2"/>
  <c r="BJ192" i="2"/>
  <c r="BL178" i="2"/>
  <c r="BL179" i="2"/>
  <c r="BL181" i="2"/>
  <c r="BL180" i="2"/>
  <c r="BL177" i="2"/>
  <c r="FR177" i="2"/>
  <c r="FR181" i="2"/>
  <c r="FR178" i="2"/>
  <c r="FR180" i="2"/>
  <c r="FR179" i="2"/>
  <c r="AN161" i="2"/>
  <c r="FS212" i="2"/>
  <c r="FS211" i="2"/>
  <c r="FS209" i="2"/>
  <c r="FS210" i="2"/>
  <c r="FS213" i="2"/>
  <c r="CY192" i="2"/>
  <c r="CY191" i="2"/>
  <c r="CY189" i="2"/>
  <c r="CY193" i="2"/>
  <c r="CY190" i="2"/>
  <c r="FZ192" i="2"/>
  <c r="FZ193" i="2"/>
  <c r="FZ189" i="2"/>
  <c r="FZ191" i="2"/>
  <c r="FZ190" i="2"/>
  <c r="DF184" i="2"/>
  <c r="DF183" i="2"/>
  <c r="DF187" i="2"/>
  <c r="DF186" i="2"/>
  <c r="DF185" i="2"/>
  <c r="AL178" i="2"/>
  <c r="AL181" i="2"/>
  <c r="AL180" i="2"/>
  <c r="AL177" i="2"/>
  <c r="AL179" i="2"/>
  <c r="ET168" i="2"/>
  <c r="ET165" i="2"/>
  <c r="ET166" i="2"/>
  <c r="ET167" i="2"/>
  <c r="ET169" i="2"/>
  <c r="ET161" i="2"/>
  <c r="GW172" i="2"/>
  <c r="GW174" i="2"/>
  <c r="GW171" i="2"/>
  <c r="GW175" i="2"/>
  <c r="GW173" i="2"/>
  <c r="CE180" i="2"/>
  <c r="CE177" i="2"/>
  <c r="CE179" i="2"/>
  <c r="CE181" i="2"/>
  <c r="CE178" i="2"/>
  <c r="AO187" i="2"/>
  <c r="AO186" i="2"/>
  <c r="AO183" i="2"/>
  <c r="AO185" i="2"/>
  <c r="AO184" i="2"/>
  <c r="FD181" i="2"/>
  <c r="FD179" i="2"/>
  <c r="FD178" i="2"/>
  <c r="FD177" i="2"/>
  <c r="FD180" i="2"/>
  <c r="DE210" i="2"/>
  <c r="DE212" i="2"/>
  <c r="DE213" i="2"/>
  <c r="DE211" i="2"/>
  <c r="DE209" i="2"/>
  <c r="BA190" i="2"/>
  <c r="BA191" i="2"/>
  <c r="BA189" i="2"/>
  <c r="BA192" i="2"/>
  <c r="BA193" i="2"/>
  <c r="BA177" i="2"/>
  <c r="BA180" i="2"/>
  <c r="BA179" i="2"/>
  <c r="BA178" i="2"/>
  <c r="BA181" i="2"/>
  <c r="Y213" i="2"/>
  <c r="Y209" i="2"/>
  <c r="Y210" i="2"/>
  <c r="Y212" i="2"/>
  <c r="Y211" i="2"/>
  <c r="DT210" i="2"/>
  <c r="DT212" i="2"/>
  <c r="DT213" i="2"/>
  <c r="DT209" i="2"/>
  <c r="DT211" i="2"/>
  <c r="GV187" i="2"/>
  <c r="GV183" i="2"/>
  <c r="GV186" i="2"/>
  <c r="GV185" i="2"/>
  <c r="GV184" i="2"/>
  <c r="CV180" i="2"/>
  <c r="CV179" i="2"/>
  <c r="CV181" i="2"/>
  <c r="CV177" i="2"/>
  <c r="CV178" i="2"/>
  <c r="EB167" i="2"/>
  <c r="EB169" i="2"/>
  <c r="EB168" i="2"/>
  <c r="EB165" i="2"/>
  <c r="EB161" i="2"/>
  <c r="EB166" i="2"/>
  <c r="DK190" i="2"/>
  <c r="DK192" i="2"/>
  <c r="DK193" i="2"/>
  <c r="DK191" i="2"/>
  <c r="DK189" i="2"/>
  <c r="CM174" i="2"/>
  <c r="CM172" i="2"/>
  <c r="CM175" i="2"/>
  <c r="CM173" i="2"/>
  <c r="CM171" i="2"/>
  <c r="AG177" i="2"/>
  <c r="AG180" i="2"/>
  <c r="AG178" i="2"/>
  <c r="AG179" i="2"/>
  <c r="AG181" i="2"/>
  <c r="BD183" i="2"/>
  <c r="BD186" i="2"/>
  <c r="BD184" i="2"/>
  <c r="BD187" i="2"/>
  <c r="BD185" i="2"/>
  <c r="AQ185" i="2"/>
  <c r="AQ184" i="2"/>
  <c r="AQ187" i="2"/>
  <c r="AQ186" i="2"/>
  <c r="AQ183" i="2"/>
  <c r="AW177" i="2"/>
  <c r="AW180" i="2"/>
  <c r="AW178" i="2"/>
  <c r="AW181" i="2"/>
  <c r="AW179" i="2"/>
  <c r="EX210" i="2"/>
  <c r="EX212" i="2"/>
  <c r="EX213" i="2"/>
  <c r="EX209" i="2"/>
  <c r="EX211" i="2"/>
  <c r="CT189" i="2"/>
  <c r="CT190" i="2"/>
  <c r="CT191" i="2"/>
  <c r="CT192" i="2"/>
  <c r="CT193" i="2"/>
  <c r="Z183" i="2"/>
  <c r="Z185" i="2"/>
  <c r="Z187" i="2"/>
  <c r="Z186" i="2"/>
  <c r="Z184" i="2"/>
  <c r="EH175" i="2"/>
  <c r="EH172" i="2"/>
  <c r="EH173" i="2"/>
  <c r="EH174" i="2"/>
  <c r="EH171" i="2"/>
  <c r="BN166" i="2"/>
  <c r="BN168" i="2"/>
  <c r="BN167" i="2"/>
  <c r="BN169" i="2"/>
  <c r="BN165" i="2"/>
  <c r="BN161" i="2"/>
  <c r="CZ211" i="2"/>
  <c r="CZ210" i="2"/>
  <c r="CZ212" i="2"/>
  <c r="CZ209" i="2"/>
  <c r="CZ213" i="2"/>
  <c r="GR173" i="2"/>
  <c r="GR175" i="2"/>
  <c r="GR171" i="2"/>
  <c r="GR172" i="2"/>
  <c r="GR174" i="2"/>
  <c r="FC185" i="2"/>
  <c r="FC186" i="2"/>
  <c r="FC183" i="2"/>
  <c r="FC187" i="2"/>
  <c r="FC184" i="2"/>
  <c r="DE187" i="2"/>
  <c r="DE184" i="2"/>
  <c r="DE186" i="2"/>
  <c r="DE185" i="2"/>
  <c r="DE183" i="2"/>
  <c r="DL213" i="2"/>
  <c r="DL212" i="2"/>
  <c r="DL209" i="2"/>
  <c r="DL210" i="2"/>
  <c r="DL211" i="2"/>
  <c r="FJ193" i="2"/>
  <c r="FJ189" i="2"/>
  <c r="FJ192" i="2"/>
  <c r="FJ191" i="2"/>
  <c r="FJ190" i="2"/>
  <c r="CP186" i="2"/>
  <c r="CP183" i="2"/>
  <c r="CP185" i="2"/>
  <c r="CP184" i="2"/>
  <c r="CP187" i="2"/>
  <c r="GX171" i="2"/>
  <c r="GX173" i="2"/>
  <c r="GX174" i="2"/>
  <c r="GX175" i="2"/>
  <c r="GX172" i="2"/>
  <c r="ED167" i="2"/>
  <c r="ED169" i="2"/>
  <c r="ED166" i="2"/>
  <c r="ED168" i="2"/>
  <c r="ED165" i="2"/>
  <c r="ED161" i="2"/>
  <c r="FQ172" i="2"/>
  <c r="FQ173" i="2"/>
  <c r="FQ174" i="2"/>
  <c r="FQ171" i="2"/>
  <c r="FQ175" i="2"/>
  <c r="AI177" i="2"/>
  <c r="AI178" i="2"/>
  <c r="AI179" i="2"/>
  <c r="AI181" i="2"/>
  <c r="AI180" i="2"/>
  <c r="GK179" i="2"/>
  <c r="GK177" i="2"/>
  <c r="GK181" i="2"/>
  <c r="GK178" i="2"/>
  <c r="GK180" i="2"/>
  <c r="CR178" i="2"/>
  <c r="CR180" i="2"/>
  <c r="CR177" i="2"/>
  <c r="CR181" i="2"/>
  <c r="CR179" i="2"/>
  <c r="CO213" i="2"/>
  <c r="CO209" i="2"/>
  <c r="CO211" i="2"/>
  <c r="CO212" i="2"/>
  <c r="CO210" i="2"/>
  <c r="AK192" i="2"/>
  <c r="AK189" i="2"/>
  <c r="AK191" i="2"/>
  <c r="AK193" i="2"/>
  <c r="AK190" i="2"/>
  <c r="GG175" i="2"/>
  <c r="GG171" i="2"/>
  <c r="GG172" i="2"/>
  <c r="GG174" i="2"/>
  <c r="GG173" i="2"/>
  <c r="FU193" i="2"/>
  <c r="FU191" i="2"/>
  <c r="FU192" i="2"/>
  <c r="FU190" i="2"/>
  <c r="FU189" i="2"/>
  <c r="DD210" i="2"/>
  <c r="DD213" i="2"/>
  <c r="DD211" i="2"/>
  <c r="DD212" i="2"/>
  <c r="DD209" i="2"/>
  <c r="GF185" i="2"/>
  <c r="GF183" i="2"/>
  <c r="GF184" i="2"/>
  <c r="GF186" i="2"/>
  <c r="GF187" i="2"/>
  <c r="CF177" i="2"/>
  <c r="CF179" i="2"/>
  <c r="CF181" i="2"/>
  <c r="CF180" i="2"/>
  <c r="CF178" i="2"/>
  <c r="DL165" i="2"/>
  <c r="DL169" i="2"/>
  <c r="DL168" i="2"/>
  <c r="DL167" i="2"/>
  <c r="DL161" i="2"/>
  <c r="DL166" i="2"/>
  <c r="CE193" i="2"/>
  <c r="CE192" i="2"/>
  <c r="CE190" i="2"/>
  <c r="CE189" i="2"/>
  <c r="CE191" i="2"/>
  <c r="AQ172" i="2"/>
  <c r="AQ174" i="2"/>
  <c r="AQ175" i="2"/>
  <c r="AQ171" i="2"/>
  <c r="AQ173" i="2"/>
  <c r="GS173" i="2"/>
  <c r="GS171" i="2"/>
  <c r="GS174" i="2"/>
  <c r="GS175" i="2"/>
  <c r="GS172" i="2"/>
  <c r="X187" i="2"/>
  <c r="X185" i="2"/>
  <c r="X184" i="2"/>
  <c r="X183" i="2"/>
  <c r="X186" i="2"/>
  <c r="GM179" i="2"/>
  <c r="GM180" i="2"/>
  <c r="GM178" i="2"/>
  <c r="GM181" i="2"/>
  <c r="GM177" i="2"/>
  <c r="EW171" i="2"/>
  <c r="EW174" i="2"/>
  <c r="EW173" i="2"/>
  <c r="EW172" i="2"/>
  <c r="EW175" i="2"/>
  <c r="EH212" i="2"/>
  <c r="EH213" i="2"/>
  <c r="EH211" i="2"/>
  <c r="EH210" i="2"/>
  <c r="EH209" i="2"/>
  <c r="CD189" i="2"/>
  <c r="CD191" i="2"/>
  <c r="CD192" i="2"/>
  <c r="CD193" i="2"/>
  <c r="CD190" i="2"/>
  <c r="GL181" i="2"/>
  <c r="GL179" i="2"/>
  <c r="GL178" i="2"/>
  <c r="GL177" i="2"/>
  <c r="GL180" i="2"/>
  <c r="DR173" i="2"/>
  <c r="DR172" i="2"/>
  <c r="DR171" i="2"/>
  <c r="DR175" i="2"/>
  <c r="DR174" i="2"/>
  <c r="AX168" i="2"/>
  <c r="AX169" i="2"/>
  <c r="AX161" i="2"/>
  <c r="AX166" i="2"/>
  <c r="AX165" i="2"/>
  <c r="AX167" i="2"/>
  <c r="X213" i="2"/>
  <c r="X212" i="2"/>
  <c r="X210" i="2"/>
  <c r="X211" i="2"/>
  <c r="X209" i="2"/>
  <c r="GE161" i="2"/>
  <c r="CJ174" i="2"/>
  <c r="CJ173" i="2"/>
  <c r="CJ172" i="2"/>
  <c r="CJ171" i="2"/>
  <c r="CJ175" i="2"/>
  <c r="BZ161" i="2"/>
  <c r="H73" i="8"/>
  <c r="G73" i="8"/>
  <c r="EH161" i="2"/>
  <c r="AO161" i="2"/>
  <c r="AU209" i="2"/>
  <c r="AU211" i="2"/>
  <c r="AU212" i="2"/>
  <c r="AU213" i="2"/>
  <c r="AU210" i="2"/>
  <c r="CP172" i="2"/>
  <c r="CP175" i="2"/>
  <c r="CP173" i="2"/>
  <c r="CP174" i="2"/>
  <c r="CP171" i="2"/>
  <c r="DK169" i="2"/>
  <c r="DK165" i="2"/>
  <c r="DK161" i="2"/>
  <c r="DK166" i="2"/>
  <c r="DK167" i="2"/>
  <c r="DK168" i="2"/>
  <c r="FC209" i="2"/>
  <c r="FC212" i="2"/>
  <c r="FC213" i="2"/>
  <c r="FC210" i="2"/>
  <c r="FC211" i="2"/>
  <c r="CI189" i="2"/>
  <c r="CI191" i="2"/>
  <c r="CI193" i="2"/>
  <c r="CI190" i="2"/>
  <c r="CI192" i="2"/>
  <c r="EM209" i="2"/>
  <c r="EM212" i="2"/>
  <c r="EM210" i="2"/>
  <c r="EM213" i="2"/>
  <c r="EM211" i="2"/>
  <c r="BS189" i="2"/>
  <c r="BS191" i="2"/>
  <c r="BS190" i="2"/>
  <c r="BS193" i="2"/>
  <c r="BS192" i="2"/>
  <c r="FK161" i="2"/>
  <c r="GX213" i="2"/>
  <c r="GX211" i="2"/>
  <c r="GX210" i="2"/>
  <c r="GX209" i="2"/>
  <c r="GX212" i="2"/>
  <c r="ET193" i="2"/>
  <c r="ET190" i="2"/>
  <c r="ET192" i="2"/>
  <c r="ET191" i="2"/>
  <c r="ET189" i="2"/>
  <c r="BZ185" i="2"/>
  <c r="BZ186" i="2"/>
  <c r="BZ184" i="2"/>
  <c r="BZ183" i="2"/>
  <c r="BZ187" i="2"/>
  <c r="GH171" i="2"/>
  <c r="GH173" i="2"/>
  <c r="GH175" i="2"/>
  <c r="GH174" i="2"/>
  <c r="GH172" i="2"/>
  <c r="DN166" i="2"/>
  <c r="DN169" i="2"/>
  <c r="DN165" i="2"/>
  <c r="DN167" i="2"/>
  <c r="DN168" i="2"/>
  <c r="DN161" i="2"/>
  <c r="FA172" i="2"/>
  <c r="FA171" i="2"/>
  <c r="FA174" i="2"/>
  <c r="FA173" i="2"/>
  <c r="FA175" i="2"/>
  <c r="GU171" i="2"/>
  <c r="GU173" i="2"/>
  <c r="GU174" i="2"/>
  <c r="GU175" i="2"/>
  <c r="GU172" i="2"/>
  <c r="DI178" i="2"/>
  <c r="DI177" i="2"/>
  <c r="DI180" i="2"/>
  <c r="DI179" i="2"/>
  <c r="DI181" i="2"/>
  <c r="FL173" i="2"/>
  <c r="FL175" i="2"/>
  <c r="FL174" i="2"/>
  <c r="FL172" i="2"/>
  <c r="FL171" i="2"/>
  <c r="BY213" i="2"/>
  <c r="BY210" i="2"/>
  <c r="BY209" i="2"/>
  <c r="BY212" i="2"/>
  <c r="BY211" i="2"/>
  <c r="GW187" i="2"/>
  <c r="GW184" i="2"/>
  <c r="GW183" i="2"/>
  <c r="GW185" i="2"/>
  <c r="GW186" i="2"/>
  <c r="EK175" i="2"/>
  <c r="EK172" i="2"/>
  <c r="EK174" i="2"/>
  <c r="EK173" i="2"/>
  <c r="EK171" i="2"/>
  <c r="CS191" i="2"/>
  <c r="CS189" i="2"/>
  <c r="CS192" i="2"/>
  <c r="CS190" i="2"/>
  <c r="CS193" i="2"/>
  <c r="CN212" i="2"/>
  <c r="CN210" i="2"/>
  <c r="CN213" i="2"/>
  <c r="CN211" i="2"/>
  <c r="CN209" i="2"/>
  <c r="FP187" i="2"/>
  <c r="FP186" i="2"/>
  <c r="FP184" i="2"/>
  <c r="FP185" i="2"/>
  <c r="FP183" i="2"/>
  <c r="BP179" i="2"/>
  <c r="BP180" i="2"/>
  <c r="BP177" i="2"/>
  <c r="BP178" i="2"/>
  <c r="BP181" i="2"/>
  <c r="CV167" i="2"/>
  <c r="CV165" i="2"/>
  <c r="CV168" i="2"/>
  <c r="CV169" i="2"/>
  <c r="CV166" i="2"/>
  <c r="CV161" i="2"/>
  <c r="AY193" i="2"/>
  <c r="AY191" i="2"/>
  <c r="AY192" i="2"/>
  <c r="AY189" i="2"/>
  <c r="AY190" i="2"/>
  <c r="FW167" i="2"/>
  <c r="FW165" i="2"/>
  <c r="FW166" i="2"/>
  <c r="FW161" i="2"/>
  <c r="FW168" i="2"/>
  <c r="FW169" i="2"/>
  <c r="DQ173" i="2"/>
  <c r="DQ171" i="2"/>
  <c r="DQ175" i="2"/>
  <c r="DQ172" i="2"/>
  <c r="DQ174" i="2"/>
  <c r="EN180" i="2"/>
  <c r="EN177" i="2"/>
  <c r="EN179" i="2"/>
  <c r="EN178" i="2"/>
  <c r="EN181" i="2"/>
  <c r="GU213" i="2"/>
  <c r="GU209" i="2"/>
  <c r="GU212" i="2"/>
  <c r="GU211" i="2"/>
  <c r="GU210" i="2"/>
  <c r="DK178" i="2"/>
  <c r="DK177" i="2"/>
  <c r="DK179" i="2"/>
  <c r="DK180" i="2"/>
  <c r="DK181" i="2"/>
  <c r="CK174" i="2"/>
  <c r="CK172" i="2"/>
  <c r="CK175" i="2"/>
  <c r="CK173" i="2"/>
  <c r="CK171" i="2"/>
  <c r="DR209" i="2"/>
  <c r="DR210" i="2"/>
  <c r="DR213" i="2"/>
  <c r="DR212" i="2"/>
  <c r="DR211" i="2"/>
  <c r="BN193" i="2"/>
  <c r="BN190" i="2"/>
  <c r="BN191" i="2"/>
  <c r="BN192" i="2"/>
  <c r="BN189" i="2"/>
  <c r="FV181" i="2"/>
  <c r="FV180" i="2"/>
  <c r="FV177" i="2"/>
  <c r="FV179" i="2"/>
  <c r="FV178" i="2"/>
  <c r="DB175" i="2"/>
  <c r="DB171" i="2"/>
  <c r="DB172" i="2"/>
  <c r="DB173" i="2"/>
  <c r="DB174" i="2"/>
  <c r="AH167" i="2"/>
  <c r="AH165" i="2"/>
  <c r="AH161" i="2"/>
  <c r="AH166" i="2"/>
  <c r="AH169" i="2"/>
  <c r="AH168" i="2"/>
  <c r="EN190" i="2"/>
  <c r="EN192" i="2"/>
  <c r="EN193" i="2"/>
  <c r="EN189" i="2"/>
  <c r="EN191" i="2"/>
  <c r="X175" i="2"/>
  <c r="X172" i="2"/>
  <c r="X174" i="2"/>
  <c r="X173" i="2"/>
  <c r="X171" i="2"/>
  <c r="DD161" i="2"/>
  <c r="AQ161" i="2"/>
  <c r="CM178" i="2"/>
  <c r="CM179" i="2"/>
  <c r="CM181" i="2"/>
  <c r="CM180" i="2"/>
  <c r="CM177" i="2"/>
  <c r="CO184" i="2"/>
  <c r="CO186" i="2"/>
  <c r="CO187" i="2"/>
  <c r="CO183" i="2"/>
  <c r="CO185" i="2"/>
  <c r="CW166" i="2"/>
  <c r="CW169" i="2"/>
  <c r="CW168" i="2"/>
  <c r="CW165" i="2"/>
  <c r="CW167" i="2"/>
  <c r="CW161" i="2"/>
  <c r="DW210" i="2"/>
  <c r="DW213" i="2"/>
  <c r="DW211" i="2"/>
  <c r="DW212" i="2"/>
  <c r="DW209" i="2"/>
  <c r="BC193" i="2"/>
  <c r="BC191" i="2"/>
  <c r="BC190" i="2"/>
  <c r="BC192" i="2"/>
  <c r="BC189" i="2"/>
  <c r="GH211" i="2"/>
  <c r="GH212" i="2"/>
  <c r="GH213" i="2"/>
  <c r="GH209" i="2"/>
  <c r="GH210" i="2"/>
  <c r="ED190" i="2"/>
  <c r="ED192" i="2"/>
  <c r="ED193" i="2"/>
  <c r="ED189" i="2"/>
  <c r="ED191" i="2"/>
  <c r="BJ185" i="2"/>
  <c r="BJ184" i="2"/>
  <c r="BJ183" i="2"/>
  <c r="BJ187" i="2"/>
  <c r="BJ186" i="2"/>
  <c r="FR173" i="2"/>
  <c r="FR174" i="2"/>
  <c r="FR172" i="2"/>
  <c r="FR171" i="2"/>
  <c r="FR175" i="2"/>
  <c r="CX169" i="2"/>
  <c r="CX166" i="2"/>
  <c r="CX167" i="2"/>
  <c r="CX165" i="2"/>
  <c r="CX168" i="2"/>
  <c r="CX161" i="2"/>
  <c r="DU171" i="2"/>
  <c r="DU172" i="2"/>
  <c r="DU173" i="2"/>
  <c r="DU174" i="2"/>
  <c r="DU175" i="2"/>
  <c r="EY171" i="2"/>
  <c r="EY173" i="2"/>
  <c r="EY175" i="2"/>
  <c r="EY172" i="2"/>
  <c r="EY174" i="2"/>
  <c r="FM172" i="2"/>
  <c r="FM175" i="2"/>
  <c r="FM174" i="2"/>
  <c r="FM173" i="2"/>
  <c r="FM171" i="2"/>
  <c r="CZ171" i="2"/>
  <c r="CZ174" i="2"/>
  <c r="CZ175" i="2"/>
  <c r="CZ172" i="2"/>
  <c r="CZ173" i="2"/>
  <c r="DB180" i="2"/>
  <c r="DB179" i="2"/>
  <c r="DB177" i="2"/>
  <c r="DB181" i="2"/>
  <c r="DB178" i="2"/>
  <c r="BI209" i="2"/>
  <c r="BI212" i="2"/>
  <c r="BI210" i="2"/>
  <c r="BI211" i="2"/>
  <c r="BI213" i="2"/>
  <c r="GG186" i="2"/>
  <c r="GG184" i="2"/>
  <c r="GG187" i="2"/>
  <c r="GG183" i="2"/>
  <c r="GG185" i="2"/>
  <c r="CO172" i="2"/>
  <c r="CO173" i="2"/>
  <c r="CO174" i="2"/>
  <c r="CO171" i="2"/>
  <c r="CO175" i="2"/>
  <c r="EW185" i="2"/>
  <c r="EW183" i="2"/>
  <c r="EW187" i="2"/>
  <c r="EW186" i="2"/>
  <c r="EW184" i="2"/>
  <c r="BX213" i="2"/>
  <c r="BX210" i="2"/>
  <c r="BX211" i="2"/>
  <c r="BX212" i="2"/>
  <c r="BX209" i="2"/>
  <c r="EZ185" i="2"/>
  <c r="EZ183" i="2"/>
  <c r="EZ184" i="2"/>
  <c r="EZ186" i="2"/>
  <c r="EZ187" i="2"/>
  <c r="GV175" i="2"/>
  <c r="GV174" i="2"/>
  <c r="GV173" i="2"/>
  <c r="GV171" i="2"/>
  <c r="GV172" i="2"/>
  <c r="CF165" i="2"/>
  <c r="CF166" i="2"/>
  <c r="CF161" i="2"/>
  <c r="CF168" i="2"/>
  <c r="CF169" i="2"/>
  <c r="CF167" i="2"/>
  <c r="GE186" i="2"/>
  <c r="GE185" i="2"/>
  <c r="GE187" i="2"/>
  <c r="GE183" i="2"/>
  <c r="GE184" i="2"/>
  <c r="EA167" i="2"/>
  <c r="EA168" i="2"/>
  <c r="EA166" i="2"/>
  <c r="EA169" i="2"/>
  <c r="EA165" i="2"/>
  <c r="EA161" i="2"/>
  <c r="BE174" i="2"/>
  <c r="BE171" i="2"/>
  <c r="BE172" i="2"/>
  <c r="BE175" i="2"/>
  <c r="BE173" i="2"/>
  <c r="AV179" i="2"/>
  <c r="AV177" i="2"/>
  <c r="AV178" i="2"/>
  <c r="AV181" i="2"/>
  <c r="AV180" i="2"/>
  <c r="EI210" i="2"/>
  <c r="EI213" i="2"/>
  <c r="EI211" i="2"/>
  <c r="EI212" i="2"/>
  <c r="EI209" i="2"/>
  <c r="BO180" i="2"/>
  <c r="BO177" i="2"/>
  <c r="BO181" i="2"/>
  <c r="BO178" i="2"/>
  <c r="BO179" i="2"/>
  <c r="Y171" i="2"/>
  <c r="Y175" i="2"/>
  <c r="Y172" i="2"/>
  <c r="Y173" i="2"/>
  <c r="Y174" i="2"/>
  <c r="DB212" i="2"/>
  <c r="DB210" i="2"/>
  <c r="DB213" i="2"/>
  <c r="DB209" i="2"/>
  <c r="DB211" i="2"/>
  <c r="AX189" i="2"/>
  <c r="AX191" i="2"/>
  <c r="AX190" i="2"/>
  <c r="AX192" i="2"/>
  <c r="AX193" i="2"/>
  <c r="FF181" i="2"/>
  <c r="FF177" i="2"/>
  <c r="FF180" i="2"/>
  <c r="FF179" i="2"/>
  <c r="FF178" i="2"/>
  <c r="CL174" i="2"/>
  <c r="CL173" i="2"/>
  <c r="CL175" i="2"/>
  <c r="CL171" i="2"/>
  <c r="CL172" i="2"/>
  <c r="FM210" i="2"/>
  <c r="FM212" i="2"/>
  <c r="FM209" i="2"/>
  <c r="FM213" i="2"/>
  <c r="FM211" i="2"/>
  <c r="AV191" i="2"/>
  <c r="AV193" i="2"/>
  <c r="AV189" i="2"/>
  <c r="AV192" i="2"/>
  <c r="AV190" i="2"/>
  <c r="EN169" i="2"/>
  <c r="EN167" i="2"/>
  <c r="EN165" i="2"/>
  <c r="EN168" i="2"/>
  <c r="EN166" i="2"/>
  <c r="EN161" i="2"/>
  <c r="FC178" i="2"/>
  <c r="FC177" i="2"/>
  <c r="FC180" i="2"/>
  <c r="FC179" i="2"/>
  <c r="FC181" i="2"/>
  <c r="BT161" i="2"/>
  <c r="DG210" i="2"/>
  <c r="DG209" i="2"/>
  <c r="DG212" i="2"/>
  <c r="DG213" i="2"/>
  <c r="DG211" i="2"/>
  <c r="FR209" i="2"/>
  <c r="FR211" i="2"/>
  <c r="FR210" i="2"/>
  <c r="FR212" i="2"/>
  <c r="FR213" i="2"/>
  <c r="DN189" i="2"/>
  <c r="DN190" i="2"/>
  <c r="DN192" i="2"/>
  <c r="DN193" i="2"/>
  <c r="DN191" i="2"/>
  <c r="AT185" i="2"/>
  <c r="AT186" i="2"/>
  <c r="AT184" i="2"/>
  <c r="AT187" i="2"/>
  <c r="AT183" i="2"/>
  <c r="FB175" i="2"/>
  <c r="FB174" i="2"/>
  <c r="FB173" i="2"/>
  <c r="FB172" i="2"/>
  <c r="FB171" i="2"/>
  <c r="CH165" i="2"/>
  <c r="CH167" i="2"/>
  <c r="CH166" i="2"/>
  <c r="CH168" i="2"/>
  <c r="CH169" i="2"/>
  <c r="CH161" i="2"/>
  <c r="DE174" i="2"/>
  <c r="DE175" i="2"/>
  <c r="DE171" i="2"/>
  <c r="DE173" i="2"/>
  <c r="DE172" i="2"/>
  <c r="DC174" i="2"/>
  <c r="DC171" i="2"/>
  <c r="DC175" i="2"/>
  <c r="DC173" i="2"/>
  <c r="DC172" i="2"/>
  <c r="DA175" i="2"/>
  <c r="DA174" i="2"/>
  <c r="DA171" i="2"/>
  <c r="DA173" i="2"/>
  <c r="DA172" i="2"/>
  <c r="GJ165" i="2"/>
  <c r="GJ169" i="2"/>
  <c r="GJ167" i="2"/>
  <c r="GJ166" i="2"/>
  <c r="GJ168" i="2"/>
  <c r="GJ161" i="2"/>
  <c r="FQ185" i="2"/>
  <c r="FQ186" i="2"/>
  <c r="FQ183" i="2"/>
  <c r="FQ187" i="2"/>
  <c r="FQ184" i="2"/>
  <c r="BI175" i="2"/>
  <c r="BI172" i="2"/>
  <c r="BI173" i="2"/>
  <c r="BI174" i="2"/>
  <c r="BI171" i="2"/>
  <c r="BE187" i="2"/>
  <c r="BE186" i="2"/>
  <c r="BE184" i="2"/>
  <c r="BE183" i="2"/>
  <c r="BE185" i="2"/>
  <c r="BH213" i="2"/>
  <c r="BH209" i="2"/>
  <c r="BH212" i="2"/>
  <c r="BH211" i="2"/>
  <c r="BH210" i="2"/>
  <c r="EJ184" i="2"/>
  <c r="EJ183" i="2"/>
  <c r="EJ186" i="2"/>
  <c r="EJ187" i="2"/>
  <c r="EJ185" i="2"/>
  <c r="GF173" i="2"/>
  <c r="GF172" i="2"/>
  <c r="GF171" i="2"/>
  <c r="GF175" i="2"/>
  <c r="GF174" i="2"/>
  <c r="BP168" i="2"/>
  <c r="BP169" i="2"/>
  <c r="BP166" i="2"/>
  <c r="BP165" i="2"/>
  <c r="BP161" i="2"/>
  <c r="BP167" i="2"/>
  <c r="EY187" i="2"/>
  <c r="EY185" i="2"/>
  <c r="EY183" i="2"/>
  <c r="EY186" i="2"/>
  <c r="EY184" i="2"/>
  <c r="BO167" i="2"/>
  <c r="BO169" i="2"/>
  <c r="BO168" i="2"/>
  <c r="BO166" i="2"/>
  <c r="BO165" i="2"/>
  <c r="BO161" i="2"/>
  <c r="EO166" i="2"/>
  <c r="EO169" i="2"/>
  <c r="EO168" i="2"/>
  <c r="EO165" i="2"/>
  <c r="EO167" i="2"/>
  <c r="EO161" i="2"/>
  <c r="GB171" i="2"/>
  <c r="GB172" i="2"/>
  <c r="GB175" i="2"/>
  <c r="GB173" i="2"/>
  <c r="GB174" i="2"/>
  <c r="DC212" i="2"/>
  <c r="DC209" i="2"/>
  <c r="DC210" i="2"/>
  <c r="DC213" i="2"/>
  <c r="DC211" i="2"/>
  <c r="FO175" i="2"/>
  <c r="FO172" i="2"/>
  <c r="FO171" i="2"/>
  <c r="FO174" i="2"/>
  <c r="FO173" i="2"/>
  <c r="FE169" i="2"/>
  <c r="FE166" i="2"/>
  <c r="FE167" i="2"/>
  <c r="FE165" i="2"/>
  <c r="FE168" i="2"/>
  <c r="FE161" i="2"/>
  <c r="CL209" i="2"/>
  <c r="CL213" i="2"/>
  <c r="CL210" i="2"/>
  <c r="CL211" i="2"/>
  <c r="CL212" i="2"/>
  <c r="AH193" i="2"/>
  <c r="AH189" i="2"/>
  <c r="AH192" i="2"/>
  <c r="AH190" i="2"/>
  <c r="AH191" i="2"/>
  <c r="EP180" i="2"/>
  <c r="EP178" i="2"/>
  <c r="EP179" i="2"/>
  <c r="EP181" i="2"/>
  <c r="EP177" i="2"/>
  <c r="BV172" i="2"/>
  <c r="BV175" i="2"/>
  <c r="BV173" i="2"/>
  <c r="BV174" i="2"/>
  <c r="BV171" i="2"/>
  <c r="BE213" i="2"/>
  <c r="BE209" i="2"/>
  <c r="BE211" i="2"/>
  <c r="BE212" i="2"/>
  <c r="BE210" i="2"/>
  <c r="GB185" i="2"/>
  <c r="GB187" i="2"/>
  <c r="GB184" i="2"/>
  <c r="GB186" i="2"/>
  <c r="GB183" i="2"/>
  <c r="CR161" i="2"/>
  <c r="CR167" i="2"/>
  <c r="CR169" i="2"/>
  <c r="CR168" i="2"/>
  <c r="CR165" i="2"/>
  <c r="CR166" i="2"/>
  <c r="FS177" i="2"/>
  <c r="FS178" i="2"/>
  <c r="FS179" i="2"/>
  <c r="FS181" i="2"/>
  <c r="FS180" i="2"/>
  <c r="EM178" i="2"/>
  <c r="EM177" i="2"/>
  <c r="EM181" i="2"/>
  <c r="EM179" i="2"/>
  <c r="EM180" i="2"/>
  <c r="CD211" i="2"/>
  <c r="CD210" i="2"/>
  <c r="CD213" i="2"/>
  <c r="CD212" i="2"/>
  <c r="CD209" i="2"/>
  <c r="CA180" i="2"/>
  <c r="CA178" i="2"/>
  <c r="CA181" i="2"/>
  <c r="CA177" i="2"/>
  <c r="CA179" i="2"/>
  <c r="GD179" i="2"/>
  <c r="GD178" i="2"/>
  <c r="GD177" i="2"/>
  <c r="GD181" i="2"/>
  <c r="GD180" i="2"/>
  <c r="BJ161" i="2"/>
  <c r="DS161" i="2"/>
  <c r="AM192" i="2"/>
  <c r="AM191" i="2"/>
  <c r="AM193" i="2"/>
  <c r="AM189" i="2"/>
  <c r="AM190" i="2"/>
  <c r="GQ161" i="2"/>
  <c r="CQ210" i="2"/>
  <c r="CQ211" i="2"/>
  <c r="CQ209" i="2"/>
  <c r="CQ212" i="2"/>
  <c r="CQ213" i="2"/>
  <c r="W192" i="2"/>
  <c r="W191" i="2"/>
  <c r="W189" i="2"/>
  <c r="W190" i="2"/>
  <c r="W193" i="2"/>
  <c r="H70" i="8"/>
  <c r="G70" i="8"/>
  <c r="FB213" i="2"/>
  <c r="FB211" i="2"/>
  <c r="FB210" i="2"/>
  <c r="FB209" i="2"/>
  <c r="FB212" i="2"/>
  <c r="CX192" i="2"/>
  <c r="CX190" i="2"/>
  <c r="CX189" i="2"/>
  <c r="CX191" i="2"/>
  <c r="CX193" i="2"/>
  <c r="AD184" i="2"/>
  <c r="AD185" i="2"/>
  <c r="AD186" i="2"/>
  <c r="AD183" i="2"/>
  <c r="AD187" i="2"/>
  <c r="EL173" i="2"/>
  <c r="EL174" i="2"/>
  <c r="EL172" i="2"/>
  <c r="EL175" i="2"/>
  <c r="EL171" i="2"/>
  <c r="BR169" i="2"/>
  <c r="BR168" i="2"/>
  <c r="BR167" i="2"/>
  <c r="BR166" i="2"/>
  <c r="BR165" i="2"/>
  <c r="BR161" i="2"/>
  <c r="BY174" i="2"/>
  <c r="BY173" i="2"/>
  <c r="BY172" i="2"/>
  <c r="BY175" i="2"/>
  <c r="BY171" i="2"/>
  <c r="BG171" i="2"/>
  <c r="BG174" i="2"/>
  <c r="BG172" i="2"/>
  <c r="BG173" i="2"/>
  <c r="BG175" i="2"/>
  <c r="DY169" i="2"/>
  <c r="DY165" i="2"/>
  <c r="DY166" i="2"/>
  <c r="DY168" i="2"/>
  <c r="DY167" i="2"/>
  <c r="DY161" i="2"/>
  <c r="DH161" i="2"/>
  <c r="DH168" i="2"/>
  <c r="DH166" i="2"/>
  <c r="DH165" i="2"/>
  <c r="DH169" i="2"/>
  <c r="DH167" i="2"/>
  <c r="AS211" i="2"/>
  <c r="AS212" i="2"/>
  <c r="AS213" i="2"/>
  <c r="AS209" i="2"/>
  <c r="AS210" i="2"/>
  <c r="FA184" i="2"/>
  <c r="FA186" i="2"/>
  <c r="FA185" i="2"/>
  <c r="FA187" i="2"/>
  <c r="FA183" i="2"/>
  <c r="AS175" i="2"/>
  <c r="AS171" i="2"/>
  <c r="AS174" i="2"/>
  <c r="AS173" i="2"/>
  <c r="AS172" i="2"/>
  <c r="EO179" i="2"/>
  <c r="EO178" i="2"/>
  <c r="EO181" i="2"/>
  <c r="EO177" i="2"/>
  <c r="EO180" i="2"/>
  <c r="DT186" i="2"/>
  <c r="DT185" i="2"/>
  <c r="DT187" i="2"/>
  <c r="DT183" i="2"/>
  <c r="DT184" i="2"/>
  <c r="FP174" i="2"/>
  <c r="FP173" i="2"/>
  <c r="FP171" i="2"/>
  <c r="FP172" i="2"/>
  <c r="FP175" i="2"/>
  <c r="GE210" i="2"/>
  <c r="GE213" i="2"/>
  <c r="GE212" i="2"/>
  <c r="GE211" i="2"/>
  <c r="GE209" i="2"/>
  <c r="DS184" i="2"/>
  <c r="DS185" i="2"/>
  <c r="DS183" i="2"/>
  <c r="DS187" i="2"/>
  <c r="DS186" i="2"/>
  <c r="GC210" i="2"/>
  <c r="GC209" i="2"/>
  <c r="GC211" i="2"/>
  <c r="GC212" i="2"/>
  <c r="GC213" i="2"/>
  <c r="CS167" i="2"/>
  <c r="CS168" i="2"/>
  <c r="CS169" i="2"/>
  <c r="CS165" i="2"/>
  <c r="CS161" i="2"/>
  <c r="CS166" i="2"/>
  <c r="DP171" i="2"/>
  <c r="DP172" i="2"/>
  <c r="DP175" i="2"/>
  <c r="DP174" i="2"/>
  <c r="DP173" i="2"/>
  <c r="BG212" i="2"/>
  <c r="BG211" i="2"/>
  <c r="BG213" i="2"/>
  <c r="BG209" i="2"/>
  <c r="BG210" i="2"/>
  <c r="BW175" i="2"/>
  <c r="BW172" i="2"/>
  <c r="BW173" i="2"/>
  <c r="BW174" i="2"/>
  <c r="BW171" i="2"/>
  <c r="CC165" i="2"/>
  <c r="CC168" i="2"/>
  <c r="CC167" i="2"/>
  <c r="CC169" i="2"/>
  <c r="CC166" i="2"/>
  <c r="CC161" i="2"/>
  <c r="GW161" i="2"/>
  <c r="BV211" i="2"/>
  <c r="BV210" i="2"/>
  <c r="BV213" i="2"/>
  <c r="BV212" i="2"/>
  <c r="BV209" i="2"/>
  <c r="GT187" i="2"/>
  <c r="GT186" i="2"/>
  <c r="GT185" i="2"/>
  <c r="GT184" i="2"/>
  <c r="GT183" i="2"/>
  <c r="DZ177" i="2"/>
  <c r="DZ178" i="2"/>
  <c r="DZ180" i="2"/>
  <c r="DZ179" i="2"/>
  <c r="DZ181" i="2"/>
  <c r="BF175" i="2"/>
  <c r="BF173" i="2"/>
  <c r="BF172" i="2"/>
  <c r="BF174" i="2"/>
  <c r="BF171" i="2"/>
  <c r="EO192" i="2"/>
  <c r="EO191" i="2"/>
  <c r="EO193" i="2"/>
  <c r="EO190" i="2"/>
  <c r="EO189" i="2"/>
  <c r="CJ186" i="2"/>
  <c r="CJ185" i="2"/>
  <c r="CJ183" i="2"/>
  <c r="CJ184" i="2"/>
  <c r="CJ187" i="2"/>
  <c r="AF169" i="2"/>
  <c r="AF165" i="2"/>
  <c r="AF161" i="2"/>
  <c r="AF168" i="2"/>
  <c r="AF166" i="2"/>
  <c r="AF167" i="2"/>
  <c r="DW178" i="2"/>
  <c r="DW181" i="2"/>
  <c r="DW177" i="2"/>
  <c r="DW180" i="2"/>
  <c r="DW179" i="2"/>
  <c r="ET174" i="2"/>
  <c r="ET175" i="2"/>
  <c r="ET173" i="2"/>
  <c r="ET171" i="2"/>
  <c r="ET172" i="2"/>
  <c r="CQ181" i="2"/>
  <c r="CQ179" i="2"/>
  <c r="CQ178" i="2"/>
  <c r="CQ180" i="2"/>
  <c r="CQ177" i="2"/>
  <c r="AE178" i="2"/>
  <c r="AE179" i="2"/>
  <c r="AE181" i="2"/>
  <c r="AE180" i="2"/>
  <c r="AE177" i="2"/>
  <c r="GS161" i="2"/>
  <c r="X161" i="2"/>
  <c r="CA212" i="2"/>
  <c r="CA210" i="2"/>
  <c r="CA211" i="2"/>
  <c r="CA209" i="2"/>
  <c r="CA213" i="2"/>
  <c r="GI183" i="2"/>
  <c r="GI186" i="2"/>
  <c r="GI187" i="2"/>
  <c r="GI184" i="2"/>
  <c r="GI185" i="2"/>
  <c r="BA186" i="2"/>
  <c r="BA183" i="2"/>
  <c r="BA184" i="2"/>
  <c r="BA187" i="2"/>
  <c r="BA185" i="2"/>
  <c r="EL212" i="2"/>
  <c r="EL211" i="2"/>
  <c r="EL209" i="2"/>
  <c r="EL213" i="2"/>
  <c r="EL210" i="2"/>
  <c r="CH190" i="2"/>
  <c r="CH191" i="2"/>
  <c r="CH189" i="2"/>
  <c r="CH193" i="2"/>
  <c r="CH192" i="2"/>
  <c r="GP177" i="2"/>
  <c r="GP181" i="2"/>
  <c r="GP178" i="2"/>
  <c r="GP179" i="2"/>
  <c r="GP180" i="2"/>
  <c r="DV173" i="2"/>
  <c r="DV174" i="2"/>
  <c r="DV172" i="2"/>
  <c r="DV171" i="2"/>
  <c r="DV175" i="2"/>
  <c r="BB169" i="2"/>
  <c r="BB168" i="2"/>
  <c r="BB165" i="2"/>
  <c r="BB166" i="2"/>
  <c r="BB167" i="2"/>
  <c r="BB161" i="2"/>
  <c r="AC174" i="2"/>
  <c r="AC172" i="2"/>
  <c r="AC175" i="2"/>
  <c r="AC173" i="2"/>
  <c r="AC171" i="2"/>
  <c r="AA171" i="2"/>
  <c r="AA175" i="2"/>
  <c r="AA173" i="2"/>
  <c r="AA172" i="2"/>
  <c r="AA174" i="2"/>
  <c r="AW165" i="2"/>
  <c r="AW168" i="2"/>
  <c r="AW167" i="2"/>
  <c r="AW169" i="2"/>
  <c r="AW166" i="2"/>
  <c r="AW161" i="2"/>
  <c r="AC209" i="2"/>
  <c r="AC210" i="2"/>
  <c r="AC211" i="2"/>
  <c r="AC212" i="2"/>
  <c r="AC213" i="2"/>
  <c r="EK183" i="2"/>
  <c r="EK184" i="2"/>
  <c r="EK185" i="2"/>
  <c r="EK187" i="2"/>
  <c r="EK186" i="2"/>
  <c r="FY168" i="2"/>
  <c r="FY169" i="2"/>
  <c r="FY167" i="2"/>
  <c r="FY165" i="2"/>
  <c r="FY166" i="2"/>
  <c r="FY161" i="2"/>
  <c r="BM178" i="2"/>
  <c r="BM179" i="2"/>
  <c r="BM180" i="2"/>
  <c r="BM181" i="2"/>
  <c r="BM177" i="2"/>
  <c r="AR213" i="2"/>
  <c r="AR212" i="2"/>
  <c r="AR209" i="2"/>
  <c r="AR211" i="2"/>
  <c r="AR210" i="2"/>
  <c r="DD185" i="2"/>
  <c r="DD184" i="2"/>
  <c r="DD186" i="2"/>
  <c r="DD183" i="2"/>
  <c r="DD187" i="2"/>
  <c r="EZ172" i="2"/>
  <c r="EZ173" i="2"/>
  <c r="EZ174" i="2"/>
  <c r="EZ171" i="2"/>
  <c r="EZ175" i="2"/>
  <c r="FO212" i="2"/>
  <c r="FO209" i="2"/>
  <c r="FO211" i="2"/>
  <c r="FO210" i="2"/>
  <c r="FO213" i="2"/>
  <c r="CM187" i="2"/>
  <c r="CM184" i="2"/>
  <c r="CM186" i="2"/>
  <c r="CM185" i="2"/>
  <c r="CM183" i="2"/>
  <c r="DQ211" i="2"/>
  <c r="DQ210" i="2"/>
  <c r="DQ209" i="2"/>
  <c r="DQ213" i="2"/>
  <c r="DQ212" i="2"/>
  <c r="AG161" i="2"/>
  <c r="AG167" i="2"/>
  <c r="AG165" i="2"/>
  <c r="AG166" i="2"/>
  <c r="AG169" i="2"/>
  <c r="AG168" i="2"/>
  <c r="BD171" i="2"/>
  <c r="BD172" i="2"/>
  <c r="BD174" i="2"/>
  <c r="BD173" i="2"/>
  <c r="BD175" i="2"/>
  <c r="GM190" i="2"/>
  <c r="GM193" i="2"/>
  <c r="GM191" i="2"/>
  <c r="GM189" i="2"/>
  <c r="GM192" i="2"/>
  <c r="EQ166" i="2"/>
  <c r="EQ165" i="2"/>
  <c r="EQ169" i="2"/>
  <c r="EQ161" i="2"/>
  <c r="EQ168" i="2"/>
  <c r="EQ167" i="2"/>
  <c r="BC175" i="2"/>
  <c r="BC174" i="2"/>
  <c r="BC171" i="2"/>
  <c r="BC172" i="2"/>
  <c r="BC173" i="2"/>
  <c r="CP161" i="2"/>
  <c r="BF210" i="2"/>
  <c r="BF213" i="2"/>
  <c r="BF209" i="2"/>
  <c r="BF212" i="2"/>
  <c r="BF211" i="2"/>
  <c r="GD183" i="2"/>
  <c r="GD186" i="2"/>
  <c r="GD184" i="2"/>
  <c r="GD187" i="2"/>
  <c r="GD185" i="2"/>
  <c r="DJ178" i="2"/>
  <c r="DJ179" i="2"/>
  <c r="DJ180" i="2"/>
  <c r="DJ181" i="2"/>
  <c r="DJ177" i="2"/>
  <c r="AP174" i="2"/>
  <c r="AP173" i="2"/>
  <c r="AP171" i="2"/>
  <c r="AP175" i="2"/>
  <c r="AP172" i="2"/>
  <c r="BM190" i="2"/>
  <c r="BM193" i="2"/>
  <c r="BM192" i="2"/>
  <c r="BM189" i="2"/>
  <c r="BM191" i="2"/>
  <c r="AN184" i="2"/>
  <c r="AN187" i="2"/>
  <c r="AN186" i="2"/>
  <c r="AN185" i="2"/>
  <c r="AN183" i="2"/>
  <c r="GB211" i="2"/>
  <c r="GB212" i="2"/>
  <c r="GB210" i="2"/>
  <c r="GB209" i="2"/>
  <c r="GB213" i="2"/>
  <c r="AU177" i="2"/>
  <c r="AU181" i="2"/>
  <c r="AU178" i="2"/>
  <c r="AU179" i="2"/>
  <c r="AU180" i="2"/>
  <c r="FT180" i="2"/>
  <c r="FT177" i="2"/>
  <c r="FT179" i="2"/>
  <c r="FT181" i="2"/>
  <c r="FT178" i="2"/>
  <c r="BK181" i="2"/>
  <c r="BK177" i="2"/>
  <c r="BK179" i="2"/>
  <c r="BK178" i="2"/>
  <c r="BK180" i="2"/>
  <c r="CO161" i="2"/>
  <c r="EU171" i="2"/>
  <c r="EU175" i="2"/>
  <c r="EU174" i="2"/>
  <c r="EU173" i="2"/>
  <c r="EU172" i="2"/>
  <c r="DQ161" i="2"/>
  <c r="BK211" i="2"/>
  <c r="BK213" i="2"/>
  <c r="BK210" i="2"/>
  <c r="BK212" i="2"/>
  <c r="BK209" i="2"/>
  <c r="FS183" i="2"/>
  <c r="FS186" i="2"/>
  <c r="FS184" i="2"/>
  <c r="FS185" i="2"/>
  <c r="FS187" i="2"/>
  <c r="DV211" i="2"/>
  <c r="DV212" i="2"/>
  <c r="DV209" i="2"/>
  <c r="DV213" i="2"/>
  <c r="DV210" i="2"/>
  <c r="BR192" i="2"/>
  <c r="BR189" i="2"/>
  <c r="BR191" i="2"/>
  <c r="BR190" i="2"/>
  <c r="BR193" i="2"/>
  <c r="FZ179" i="2"/>
  <c r="FZ178" i="2"/>
  <c r="FZ180" i="2"/>
  <c r="FZ181" i="2"/>
  <c r="FZ177" i="2"/>
  <c r="DF173" i="2"/>
  <c r="DF172" i="2"/>
  <c r="DF174" i="2"/>
  <c r="DF175" i="2"/>
  <c r="DF171" i="2"/>
  <c r="AL166" i="2"/>
  <c r="AL165" i="2"/>
  <c r="AL169" i="2"/>
  <c r="AL168" i="2"/>
  <c r="AL167" i="2"/>
  <c r="AL161" i="2"/>
  <c r="GO169" i="2"/>
  <c r="GO167" i="2"/>
  <c r="GO161" i="2"/>
  <c r="GO166" i="2"/>
  <c r="GO165" i="2"/>
  <c r="GO168" i="2"/>
  <c r="FG169" i="2"/>
  <c r="FG168" i="2"/>
  <c r="FG167" i="2"/>
  <c r="FG165" i="2"/>
  <c r="FG166" i="2"/>
  <c r="FG161" i="2"/>
  <c r="EL161" i="2"/>
  <c r="GO190" i="2"/>
  <c r="GO193" i="2"/>
  <c r="GO191" i="2"/>
  <c r="GO189" i="2"/>
  <c r="GO192" i="2"/>
  <c r="DU187" i="2"/>
  <c r="DU184" i="2"/>
  <c r="DU183" i="2"/>
  <c r="DU185" i="2"/>
  <c r="DU186" i="2"/>
  <c r="EC168" i="2"/>
  <c r="EC166" i="2"/>
  <c r="EC161" i="2"/>
  <c r="EC167" i="2"/>
  <c r="EC165" i="2"/>
  <c r="EC169" i="2"/>
  <c r="EG173" i="2"/>
  <c r="EG172" i="2"/>
  <c r="EG175" i="2"/>
  <c r="EG171" i="2"/>
  <c r="EG174" i="2"/>
  <c r="FQ161" i="2"/>
  <c r="GN189" i="2"/>
  <c r="GN191" i="2"/>
  <c r="GN190" i="2"/>
  <c r="GN193" i="2"/>
  <c r="GN192" i="2"/>
  <c r="CN183" i="2"/>
  <c r="CN185" i="2"/>
  <c r="CN187" i="2"/>
  <c r="CN186" i="2"/>
  <c r="CN184" i="2"/>
  <c r="EJ175" i="2"/>
  <c r="EJ173" i="2"/>
  <c r="EJ174" i="2"/>
  <c r="EJ172" i="2"/>
  <c r="EJ171" i="2"/>
  <c r="EY213" i="2"/>
  <c r="EY210" i="2"/>
  <c r="EY209" i="2"/>
  <c r="EY211" i="2"/>
  <c r="EY212" i="2"/>
  <c r="BG187" i="2"/>
  <c r="BG183" i="2"/>
  <c r="BG186" i="2"/>
  <c r="BG184" i="2"/>
  <c r="BG185" i="2"/>
  <c r="GR213" i="2"/>
  <c r="GR211" i="2"/>
  <c r="GR209" i="2"/>
  <c r="GR212" i="2"/>
  <c r="GR210" i="2"/>
  <c r="DX165" i="2"/>
  <c r="DX169" i="2"/>
  <c r="DX168" i="2"/>
  <c r="DX167" i="2"/>
  <c r="DX166" i="2"/>
  <c r="DX161" i="2"/>
  <c r="FG190" i="2"/>
  <c r="FG192" i="2"/>
  <c r="FG193" i="2"/>
  <c r="FG191" i="2"/>
  <c r="FG189" i="2"/>
  <c r="CE165" i="2"/>
  <c r="CE169" i="2"/>
  <c r="CE166" i="2"/>
  <c r="CE161" i="2"/>
  <c r="CE167" i="2"/>
  <c r="CE168" i="2"/>
  <c r="FS167" i="2"/>
  <c r="FS169" i="2"/>
  <c r="FS161" i="2"/>
  <c r="FS166" i="2"/>
  <c r="FS168" i="2"/>
  <c r="FS165" i="2"/>
  <c r="AP210" i="2"/>
  <c r="AP212" i="2"/>
  <c r="AP213" i="2"/>
  <c r="AP209" i="2"/>
  <c r="AP211" i="2"/>
  <c r="FN187" i="2"/>
  <c r="FN185" i="2"/>
  <c r="FN184" i="2"/>
  <c r="FN186" i="2"/>
  <c r="FN183" i="2"/>
  <c r="CT181" i="2"/>
  <c r="CT179" i="2"/>
  <c r="CT177" i="2"/>
  <c r="CT180" i="2"/>
  <c r="CT178" i="2"/>
  <c r="Z174" i="2"/>
  <c r="Z171" i="2"/>
  <c r="Z173" i="2"/>
  <c r="Z172" i="2"/>
  <c r="Z175" i="2"/>
  <c r="GC184" i="2"/>
  <c r="GC185" i="2"/>
  <c r="GC186" i="2"/>
  <c r="GC187" i="2"/>
  <c r="GC183" i="2"/>
  <c r="GJ178" i="2"/>
  <c r="GJ179" i="2"/>
  <c r="GJ177" i="2"/>
  <c r="GJ181" i="2"/>
  <c r="GJ180" i="2"/>
  <c r="DP212" i="2"/>
  <c r="DP210" i="2"/>
  <c r="DP209" i="2"/>
  <c r="DP213" i="2"/>
  <c r="DP211" i="2"/>
  <c r="FK175" i="2"/>
  <c r="FK172" i="2"/>
  <c r="FK173" i="2"/>
  <c r="FK174" i="2"/>
  <c r="FK171" i="2"/>
  <c r="CB181" i="2"/>
  <c r="CB178" i="2"/>
  <c r="CB179" i="2"/>
  <c r="CB180" i="2"/>
  <c r="CB177" i="2"/>
  <c r="GA174" i="2"/>
  <c r="GA172" i="2"/>
  <c r="GA173" i="2"/>
  <c r="GA171" i="2"/>
  <c r="GA175" i="2"/>
  <c r="BS171" i="2"/>
  <c r="BS172" i="2"/>
  <c r="BS175" i="2"/>
  <c r="BS174" i="2"/>
  <c r="BS173" i="2"/>
  <c r="CL161" i="2"/>
  <c r="EW161" i="2"/>
  <c r="Y161" i="2"/>
  <c r="FX191" i="2"/>
  <c r="FX189" i="2"/>
  <c r="FX192" i="2"/>
  <c r="FX193" i="2"/>
  <c r="FX190" i="2"/>
  <c r="BX184" i="2"/>
  <c r="BX183" i="2"/>
  <c r="BX186" i="2"/>
  <c r="BX185" i="2"/>
  <c r="BX187" i="2"/>
  <c r="DT173" i="2"/>
  <c r="DT172" i="2"/>
  <c r="DT174" i="2"/>
  <c r="DT175" i="2"/>
  <c r="DT171" i="2"/>
  <c r="DS212" i="2"/>
  <c r="DS209" i="2"/>
  <c r="DS211" i="2"/>
  <c r="DS213" i="2"/>
  <c r="DS210" i="2"/>
  <c r="AA184" i="2"/>
  <c r="AA183" i="2"/>
  <c r="AA186" i="2"/>
  <c r="AA187" i="2"/>
  <c r="AA185" i="2"/>
  <c r="AO212" i="2"/>
  <c r="AO211" i="2"/>
  <c r="AO210" i="2"/>
  <c r="AO213" i="2"/>
  <c r="AO209" i="2"/>
  <c r="EF211" i="2"/>
  <c r="EF209" i="2"/>
  <c r="EF212" i="2"/>
  <c r="EF213" i="2"/>
  <c r="EF210" i="2"/>
  <c r="AV168" i="2"/>
  <c r="AV169" i="2"/>
  <c r="AV165" i="2"/>
  <c r="AV161" i="2"/>
  <c r="AV167" i="2"/>
  <c r="AV166" i="2"/>
  <c r="EA192" i="2"/>
  <c r="EA193" i="2"/>
  <c r="EA190" i="2"/>
  <c r="EA189" i="2"/>
  <c r="EA191" i="2"/>
  <c r="AI165" i="2"/>
  <c r="AI169" i="2"/>
  <c r="AI167" i="2"/>
  <c r="AI166" i="2"/>
  <c r="AI168" i="2"/>
  <c r="AI161" i="2"/>
  <c r="BK167" i="2"/>
  <c r="BK166" i="2"/>
  <c r="BK161" i="2"/>
  <c r="BK165" i="2"/>
  <c r="BK168" i="2"/>
  <c r="BK169" i="2"/>
  <c r="EX184" i="2"/>
  <c r="EX187" i="2"/>
  <c r="EX186" i="2"/>
  <c r="EX185" i="2"/>
  <c r="EX183" i="2"/>
  <c r="CD181" i="2"/>
  <c r="CD180" i="2"/>
  <c r="CD177" i="2"/>
  <c r="CD179" i="2"/>
  <c r="CD178" i="2"/>
  <c r="GL165" i="2"/>
  <c r="GL167" i="2"/>
  <c r="GL168" i="2"/>
  <c r="GL166" i="2"/>
  <c r="GL169" i="2"/>
  <c r="GL161" i="2"/>
  <c r="CK184" i="2"/>
  <c r="CK185" i="2"/>
  <c r="CK186" i="2"/>
  <c r="CK183" i="2"/>
  <c r="CK187" i="2"/>
  <c r="DH177" i="2"/>
  <c r="DH180" i="2"/>
  <c r="DH179" i="2"/>
  <c r="DH181" i="2"/>
  <c r="DH178" i="2"/>
  <c r="AT161" i="2"/>
  <c r="BD213" i="2"/>
  <c r="BD211" i="2"/>
  <c r="BD212" i="2"/>
  <c r="BD209" i="2"/>
  <c r="BD210" i="2"/>
  <c r="CY175" i="2"/>
  <c r="CY173" i="2"/>
  <c r="CY171" i="2"/>
  <c r="CY174" i="2"/>
  <c r="CY172" i="2"/>
  <c r="AF180" i="2"/>
  <c r="AF179" i="2"/>
  <c r="AF181" i="2"/>
  <c r="AF178" i="2"/>
  <c r="AF177" i="2"/>
  <c r="CI171" i="2"/>
  <c r="CI172" i="2"/>
  <c r="CI175" i="2"/>
  <c r="CI174" i="2"/>
  <c r="CI173" i="2"/>
  <c r="EZ161" i="2"/>
  <c r="GI165" i="2"/>
  <c r="GI168" i="2"/>
  <c r="GI167" i="2"/>
  <c r="GI169" i="2"/>
  <c r="GI166" i="2"/>
  <c r="GI161" i="2"/>
  <c r="FA161" i="2"/>
  <c r="DT161" i="2"/>
  <c r="CM161" i="2"/>
  <c r="BU161" i="2"/>
  <c r="AJ160" i="2"/>
  <c r="AZ190" i="2"/>
  <c r="AZ193" i="2"/>
  <c r="AZ191" i="2"/>
  <c r="AZ189" i="2"/>
  <c r="AZ192" i="2"/>
  <c r="H77" i="8"/>
  <c r="G77" i="8"/>
  <c r="BH154" i="2"/>
  <c r="AJ193" i="2"/>
  <c r="AJ189" i="2"/>
  <c r="AJ190" i="2"/>
  <c r="AJ192" i="2"/>
  <c r="AJ191" i="2"/>
  <c r="AR154" i="2"/>
  <c r="BH184" i="2"/>
  <c r="BH186" i="2"/>
  <c r="BH183" i="2"/>
  <c r="BH187" i="2"/>
  <c r="BH185" i="2"/>
  <c r="AZ148" i="2"/>
  <c r="AR183" i="2"/>
  <c r="AR186" i="2"/>
  <c r="AR187" i="2"/>
  <c r="AR185" i="2"/>
  <c r="AR184" i="2"/>
  <c r="AJ148" i="2"/>
  <c r="AZ180" i="2"/>
  <c r="AZ178" i="2"/>
  <c r="AZ179" i="2"/>
  <c r="AZ177" i="2"/>
  <c r="AZ181" i="2"/>
  <c r="BH142" i="2"/>
  <c r="AJ179" i="2"/>
  <c r="AJ177" i="2"/>
  <c r="AJ178" i="2"/>
  <c r="AJ180" i="2"/>
  <c r="AJ181" i="2"/>
  <c r="AR142" i="2"/>
  <c r="BH173" i="2"/>
  <c r="BH172" i="2"/>
  <c r="BH175" i="2"/>
  <c r="BH171" i="2"/>
  <c r="BH174" i="2"/>
  <c r="BH161" i="2"/>
  <c r="AB142" i="2"/>
  <c r="AR174" i="2"/>
  <c r="AR171" i="2"/>
  <c r="AR175" i="2"/>
  <c r="AR173" i="2"/>
  <c r="AR172" i="2"/>
  <c r="AR161" i="2"/>
  <c r="AZ136" i="2"/>
  <c r="AB173" i="2"/>
  <c r="AB175" i="2"/>
  <c r="AB171" i="2"/>
  <c r="AB174" i="2"/>
  <c r="AB172" i="2"/>
  <c r="AB161" i="2"/>
  <c r="AJ136" i="2"/>
  <c r="AZ168" i="2"/>
  <c r="AZ166" i="2"/>
  <c r="AZ169" i="2"/>
  <c r="AZ165" i="2"/>
  <c r="AZ167" i="2"/>
  <c r="AZ161" i="2"/>
  <c r="AJ165" i="2"/>
  <c r="AJ167" i="2"/>
  <c r="AJ169" i="2"/>
  <c r="AJ166" i="2"/>
  <c r="AJ168" i="2"/>
  <c r="AJ161" i="2"/>
  <c r="B188" i="7"/>
  <c r="A188" i="7"/>
  <c r="B187" i="7"/>
  <c r="A187" i="7"/>
  <c r="B186" i="7"/>
  <c r="A186" i="7"/>
  <c r="B185" i="7"/>
  <c r="A185" i="7"/>
  <c r="B184" i="7"/>
  <c r="A184" i="7"/>
  <c r="B183" i="7"/>
  <c r="A183" i="7"/>
  <c r="B182" i="7"/>
  <c r="A182" i="7"/>
  <c r="B181" i="7"/>
  <c r="A181" i="7"/>
  <c r="B180" i="7"/>
  <c r="A180" i="7"/>
  <c r="B179" i="7"/>
  <c r="A179" i="7"/>
  <c r="B178" i="7"/>
  <c r="A178" i="7"/>
  <c r="B177" i="7"/>
  <c r="A177" i="7"/>
  <c r="B176" i="7"/>
  <c r="A176" i="7"/>
  <c r="B175" i="7"/>
  <c r="A175" i="7"/>
  <c r="B174" i="7"/>
  <c r="A174" i="7"/>
  <c r="B173" i="7"/>
  <c r="A173" i="7"/>
  <c r="B172" i="7"/>
  <c r="A172" i="7"/>
  <c r="B171" i="7"/>
  <c r="A171" i="7"/>
  <c r="B170" i="7"/>
  <c r="A170" i="7"/>
  <c r="B169" i="7"/>
  <c r="A169" i="7"/>
  <c r="B168" i="7"/>
  <c r="A168" i="7"/>
  <c r="B167" i="7"/>
  <c r="A167" i="7"/>
  <c r="B166" i="7"/>
  <c r="A166" i="7"/>
  <c r="B165" i="7"/>
  <c r="A165" i="7"/>
  <c r="B164" i="7"/>
  <c r="A164" i="7"/>
  <c r="B163" i="7"/>
  <c r="A163" i="7"/>
  <c r="B162" i="7"/>
  <c r="A162" i="7"/>
  <c r="B161" i="7"/>
  <c r="A161" i="7"/>
  <c r="B160" i="7"/>
  <c r="A160" i="7"/>
  <c r="B159" i="7"/>
  <c r="A159" i="7"/>
  <c r="B158" i="7"/>
  <c r="A158" i="7"/>
  <c r="B157" i="7"/>
  <c r="A157" i="7"/>
  <c r="B156" i="7"/>
  <c r="A156" i="7"/>
  <c r="B155" i="7"/>
  <c r="A155" i="7"/>
  <c r="B154" i="7"/>
  <c r="A154" i="7"/>
  <c r="B153" i="7"/>
  <c r="A153" i="7"/>
  <c r="B152" i="7"/>
  <c r="A152" i="7"/>
  <c r="B151" i="7"/>
  <c r="A151" i="7"/>
  <c r="B150" i="7"/>
  <c r="A150" i="7"/>
  <c r="B149" i="7"/>
  <c r="A149" i="7"/>
  <c r="B148" i="7"/>
  <c r="A148" i="7"/>
  <c r="B147" i="7"/>
  <c r="A147" i="7"/>
  <c r="B146" i="7"/>
  <c r="A146" i="7"/>
  <c r="B145" i="7"/>
  <c r="A145" i="7"/>
  <c r="B144" i="7"/>
  <c r="A144" i="7"/>
  <c r="B143" i="7"/>
  <c r="A143" i="7"/>
  <c r="B142" i="7"/>
  <c r="A142" i="7"/>
  <c r="B141" i="7"/>
  <c r="A141" i="7"/>
  <c r="B140" i="7"/>
  <c r="A140" i="7"/>
  <c r="B139" i="7"/>
  <c r="A139" i="7"/>
  <c r="B138" i="7"/>
  <c r="A138" i="7"/>
  <c r="B137" i="7"/>
  <c r="A137" i="7"/>
  <c r="B136" i="7"/>
  <c r="A136" i="7"/>
  <c r="B135" i="7"/>
  <c r="A135" i="7"/>
  <c r="B134" i="7"/>
  <c r="A134" i="7"/>
  <c r="B133" i="7"/>
  <c r="A133" i="7"/>
  <c r="B132" i="7"/>
  <c r="A132" i="7"/>
  <c r="B131" i="7"/>
  <c r="A131" i="7"/>
  <c r="B130" i="7"/>
  <c r="A130" i="7"/>
  <c r="B129" i="7"/>
  <c r="A129" i="7"/>
  <c r="B128" i="7"/>
  <c r="A128" i="7"/>
  <c r="B127" i="7"/>
  <c r="A127" i="7"/>
  <c r="B126" i="7"/>
  <c r="A126" i="7"/>
  <c r="B125" i="7"/>
  <c r="A125" i="7"/>
  <c r="B124" i="7"/>
  <c r="A124" i="7"/>
  <c r="B123" i="7"/>
  <c r="A123" i="7"/>
  <c r="B122" i="7"/>
  <c r="A122" i="7"/>
  <c r="B121" i="7"/>
  <c r="A121" i="7"/>
  <c r="B120" i="7"/>
  <c r="A120" i="7"/>
  <c r="B119" i="7"/>
  <c r="A119" i="7"/>
  <c r="B118" i="7"/>
  <c r="A118" i="7"/>
  <c r="B117" i="7"/>
  <c r="A117" i="7"/>
  <c r="B116" i="7"/>
  <c r="A116" i="7"/>
  <c r="B115" i="7"/>
  <c r="A115" i="7"/>
  <c r="B114" i="7"/>
  <c r="A114" i="7"/>
  <c r="B113" i="7"/>
  <c r="A113" i="7"/>
  <c r="B112" i="7"/>
  <c r="A112" i="7"/>
  <c r="B111" i="7"/>
  <c r="A111" i="7"/>
  <c r="B110" i="7"/>
  <c r="A110" i="7"/>
  <c r="B109" i="7"/>
  <c r="A109" i="7"/>
  <c r="B108" i="7"/>
  <c r="A108" i="7"/>
  <c r="B107" i="7"/>
  <c r="A107" i="7"/>
  <c r="B106" i="7"/>
  <c r="A106" i="7"/>
  <c r="B105" i="7"/>
  <c r="A105" i="7"/>
  <c r="B104" i="7"/>
  <c r="A104" i="7"/>
  <c r="B103" i="7"/>
  <c r="A103" i="7"/>
  <c r="B102" i="7"/>
  <c r="A102" i="7"/>
  <c r="B101" i="7"/>
  <c r="A101" i="7"/>
  <c r="B100" i="7"/>
  <c r="A100" i="7"/>
  <c r="B99" i="7"/>
  <c r="A99" i="7"/>
  <c r="B98" i="7"/>
  <c r="A98" i="7"/>
  <c r="B97" i="7"/>
  <c r="A97" i="7"/>
  <c r="B96" i="7"/>
  <c r="A96" i="7"/>
  <c r="B95" i="7"/>
  <c r="A95" i="7"/>
  <c r="B94" i="7"/>
  <c r="A94" i="7"/>
  <c r="B93" i="7"/>
  <c r="A93" i="7"/>
  <c r="B92" i="7"/>
  <c r="A92" i="7"/>
  <c r="B91" i="7"/>
  <c r="A91" i="7"/>
  <c r="B90" i="7"/>
  <c r="A90" i="7"/>
  <c r="B89" i="7"/>
  <c r="A89" i="7"/>
  <c r="B88" i="7"/>
  <c r="A88" i="7"/>
  <c r="B87" i="7"/>
  <c r="A87" i="7"/>
  <c r="B86" i="7"/>
  <c r="A86" i="7"/>
  <c r="B85" i="7"/>
  <c r="A85" i="7"/>
  <c r="B84" i="7"/>
  <c r="A84" i="7"/>
  <c r="B83" i="7"/>
  <c r="A83" i="7"/>
  <c r="B82" i="7"/>
  <c r="A82" i="7"/>
  <c r="B81" i="7"/>
  <c r="A81" i="7"/>
  <c r="B80" i="7"/>
  <c r="A80" i="7"/>
  <c r="B79" i="7"/>
  <c r="A79" i="7"/>
  <c r="B78" i="7"/>
  <c r="A78" i="7"/>
  <c r="B77" i="7"/>
  <c r="A77" i="7"/>
  <c r="B76" i="7"/>
  <c r="A76" i="7"/>
  <c r="B75" i="7"/>
  <c r="A75" i="7"/>
  <c r="B74" i="7"/>
  <c r="A74" i="7"/>
  <c r="B73" i="7"/>
  <c r="A73" i="7"/>
  <c r="B72" i="7"/>
  <c r="A72" i="7"/>
  <c r="B71" i="7"/>
  <c r="A71" i="7"/>
  <c r="B70" i="7"/>
  <c r="A70" i="7"/>
  <c r="B69" i="7"/>
  <c r="A69" i="7"/>
  <c r="B68" i="7"/>
  <c r="A68" i="7"/>
  <c r="B67" i="7"/>
  <c r="A67" i="7"/>
  <c r="B66" i="7"/>
  <c r="A66" i="7"/>
  <c r="B65" i="7"/>
  <c r="A65" i="7"/>
  <c r="B64" i="7"/>
  <c r="A64" i="7"/>
  <c r="B63" i="7"/>
  <c r="A63" i="7"/>
  <c r="B62" i="7"/>
  <c r="A62" i="7"/>
  <c r="B61" i="7"/>
  <c r="A61" i="7"/>
  <c r="B60" i="7"/>
  <c r="A60" i="7"/>
  <c r="B59" i="7"/>
  <c r="A59" i="7"/>
  <c r="B58" i="7"/>
  <c r="A58" i="7"/>
  <c r="B57" i="7"/>
  <c r="A57" i="7"/>
  <c r="B56" i="7"/>
  <c r="A56" i="7"/>
  <c r="B55" i="7"/>
  <c r="A55" i="7"/>
  <c r="B54" i="7"/>
  <c r="A54" i="7"/>
  <c r="B53" i="7"/>
  <c r="A53" i="7"/>
  <c r="B52" i="7"/>
  <c r="A52" i="7"/>
  <c r="B51" i="7"/>
  <c r="A51" i="7"/>
  <c r="B50" i="7"/>
  <c r="A50" i="7"/>
  <c r="B49" i="7"/>
  <c r="A49" i="7"/>
  <c r="B48" i="7"/>
  <c r="A48" i="7"/>
  <c r="B47" i="7"/>
  <c r="A47" i="7"/>
  <c r="B46" i="7"/>
  <c r="A46" i="7"/>
  <c r="B45" i="7"/>
  <c r="A45" i="7"/>
  <c r="B44" i="7"/>
  <c r="A44" i="7"/>
  <c r="B43" i="7"/>
  <c r="A43" i="7"/>
  <c r="B42" i="7"/>
  <c r="A42" i="7"/>
  <c r="B41" i="7"/>
  <c r="A41" i="7"/>
  <c r="B40" i="7"/>
  <c r="A40" i="7"/>
  <c r="B39" i="7"/>
  <c r="A39" i="7"/>
  <c r="B38" i="7"/>
  <c r="A38" i="7"/>
  <c r="B37" i="7"/>
  <c r="A37" i="7"/>
  <c r="B36" i="7"/>
  <c r="A36" i="7"/>
  <c r="B35" i="7"/>
  <c r="A35" i="7"/>
  <c r="B34" i="7"/>
  <c r="A34" i="7"/>
  <c r="B33" i="7"/>
  <c r="A33" i="7"/>
  <c r="B32" i="7"/>
  <c r="A32" i="7"/>
  <c r="B31" i="7"/>
  <c r="A31" i="7"/>
  <c r="B30" i="7"/>
  <c r="A30" i="7"/>
  <c r="B29" i="7"/>
  <c r="A29" i="7"/>
  <c r="B28" i="7"/>
  <c r="A28" i="7"/>
  <c r="B27" i="7"/>
  <c r="A27" i="7"/>
  <c r="B26" i="7"/>
  <c r="A26" i="7"/>
  <c r="B25" i="7"/>
  <c r="A25" i="7"/>
  <c r="B24" i="7"/>
  <c r="A24" i="7"/>
  <c r="B23" i="7"/>
  <c r="A23" i="7"/>
  <c r="B22" i="7"/>
  <c r="A22" i="7"/>
  <c r="B21" i="7"/>
  <c r="A21" i="7"/>
  <c r="B20" i="7"/>
  <c r="A20" i="7"/>
  <c r="B19" i="7"/>
  <c r="A19" i="7"/>
  <c r="B18" i="7"/>
  <c r="A18" i="7"/>
  <c r="B17" i="7"/>
  <c r="A17" i="7"/>
  <c r="B16" i="7"/>
  <c r="A16" i="7"/>
  <c r="B15" i="7"/>
  <c r="A15" i="7"/>
  <c r="B14" i="7"/>
  <c r="A14" i="7"/>
  <c r="B13" i="7"/>
  <c r="A13" i="7"/>
  <c r="B12" i="7"/>
  <c r="A12" i="7"/>
  <c r="B11" i="7"/>
  <c r="A11" i="7"/>
  <c r="B10" i="7"/>
  <c r="A10" i="7"/>
  <c r="B9" i="7"/>
  <c r="A9" i="7"/>
  <c r="B8" i="7"/>
  <c r="A8" i="7"/>
  <c r="B7" i="7"/>
  <c r="A7" i="7"/>
  <c r="B6" i="7"/>
  <c r="A6" i="7"/>
  <c r="B5" i="7"/>
  <c r="A5" i="7"/>
  <c r="E88" i="8"/>
  <c r="D88" i="8"/>
  <c r="E87" i="8"/>
  <c r="D87" i="8"/>
  <c r="E86" i="8"/>
  <c r="D86" i="8"/>
  <c r="E85" i="8"/>
  <c r="D85" i="8"/>
  <c r="E84" i="8"/>
  <c r="D84" i="8"/>
  <c r="E83" i="8"/>
  <c r="D83" i="8"/>
  <c r="E82" i="8"/>
  <c r="D82" i="8"/>
  <c r="D61" i="8"/>
  <c r="C61" i="8"/>
  <c r="D60" i="8"/>
  <c r="C60" i="8"/>
  <c r="D59" i="8"/>
  <c r="C59" i="8"/>
  <c r="D58" i="8"/>
  <c r="C58" i="8"/>
  <c r="D57" i="8"/>
  <c r="C57" i="8"/>
  <c r="D56" i="8"/>
  <c r="C56" i="8"/>
  <c r="D55" i="8"/>
  <c r="C55" i="8"/>
  <c r="D54" i="8"/>
  <c r="C54" i="8"/>
  <c r="D53" i="8"/>
  <c r="C53" i="8"/>
  <c r="D52" i="8"/>
  <c r="C52" i="8"/>
  <c r="D51" i="8"/>
  <c r="C51" i="8"/>
  <c r="D50" i="8"/>
  <c r="C50" i="8"/>
  <c r="D49" i="8"/>
  <c r="C49" i="8"/>
  <c r="D48" i="8"/>
  <c r="C48" i="8"/>
  <c r="D47" i="8"/>
  <c r="C47" i="8"/>
  <c r="D46" i="8"/>
  <c r="C46" i="8"/>
  <c r="D45" i="8"/>
  <c r="C45" i="8"/>
  <c r="D44" i="8"/>
  <c r="C44" i="8"/>
  <c r="D43" i="8"/>
  <c r="C43" i="8"/>
  <c r="D42" i="8"/>
  <c r="C42" i="8"/>
  <c r="D41" i="8"/>
  <c r="C41" i="8"/>
  <c r="D40" i="8"/>
  <c r="C40" i="8"/>
  <c r="D39" i="8"/>
  <c r="C39" i="8"/>
  <c r="D38" i="8"/>
  <c r="C38" i="8"/>
  <c r="D37" i="8"/>
  <c r="C37" i="8"/>
  <c r="D36" i="8"/>
  <c r="C36" i="8"/>
  <c r="D35" i="8"/>
  <c r="C35" i="8"/>
  <c r="D34" i="8"/>
  <c r="C34" i="8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GX216" i="2"/>
  <c r="GW216" i="2"/>
  <c r="GV216" i="2"/>
  <c r="GU216" i="2"/>
  <c r="GT216" i="2"/>
  <c r="GS216" i="2"/>
  <c r="GR216" i="2"/>
  <c r="GQ216" i="2"/>
  <c r="GP216" i="2"/>
  <c r="GO216" i="2"/>
  <c r="GN216" i="2"/>
  <c r="GM216" i="2"/>
  <c r="GL216" i="2"/>
  <c r="GK216" i="2"/>
  <c r="GJ216" i="2"/>
  <c r="GI216" i="2"/>
  <c r="GH216" i="2"/>
  <c r="GG216" i="2"/>
  <c r="GF216" i="2"/>
  <c r="GE216" i="2"/>
  <c r="GD216" i="2"/>
  <c r="GC216" i="2"/>
  <c r="GB216" i="2"/>
  <c r="GA216" i="2"/>
  <c r="FZ216" i="2"/>
  <c r="FY216" i="2"/>
  <c r="FX216" i="2"/>
  <c r="FW216" i="2"/>
  <c r="FV216" i="2"/>
  <c r="FU216" i="2"/>
  <c r="FT216" i="2"/>
  <c r="FS216" i="2"/>
  <c r="FR216" i="2"/>
  <c r="FQ216" i="2"/>
  <c r="FP216" i="2"/>
  <c r="FO216" i="2"/>
  <c r="FN216" i="2"/>
  <c r="FM216" i="2"/>
  <c r="FL216" i="2"/>
  <c r="FK216" i="2"/>
  <c r="FJ216" i="2"/>
  <c r="FI216" i="2"/>
  <c r="FH216" i="2"/>
  <c r="FG216" i="2"/>
  <c r="FF216" i="2"/>
  <c r="FE216" i="2"/>
  <c r="FD216" i="2"/>
  <c r="FC216" i="2"/>
  <c r="FB216" i="2"/>
  <c r="FA216" i="2"/>
  <c r="EZ216" i="2"/>
  <c r="EY216" i="2"/>
  <c r="EX216" i="2"/>
  <c r="EW216" i="2"/>
  <c r="EV216" i="2"/>
  <c r="EU216" i="2"/>
  <c r="ET216" i="2"/>
  <c r="ES216" i="2"/>
  <c r="ER216" i="2"/>
  <c r="EQ216" i="2"/>
  <c r="EP216" i="2"/>
  <c r="EO216" i="2"/>
  <c r="EN216" i="2"/>
  <c r="EM216" i="2"/>
  <c r="EL216" i="2"/>
  <c r="EK216" i="2"/>
  <c r="EJ216" i="2"/>
  <c r="EI216" i="2"/>
  <c r="EH216" i="2"/>
  <c r="EG216" i="2"/>
  <c r="EF216" i="2"/>
  <c r="EE216" i="2"/>
  <c r="ED216" i="2"/>
  <c r="EC216" i="2"/>
  <c r="EB216" i="2"/>
  <c r="EA216" i="2"/>
  <c r="DZ216" i="2"/>
  <c r="DY216" i="2"/>
  <c r="DX216" i="2"/>
  <c r="DW216" i="2"/>
  <c r="DV216" i="2"/>
  <c r="DU216" i="2"/>
  <c r="DT216" i="2"/>
  <c r="DS216" i="2"/>
  <c r="DR216" i="2"/>
  <c r="DQ216" i="2"/>
  <c r="DP216" i="2"/>
  <c r="DO216" i="2"/>
  <c r="DN216" i="2"/>
  <c r="DM216" i="2"/>
  <c r="DL216" i="2"/>
  <c r="DK216" i="2"/>
  <c r="DJ216" i="2"/>
  <c r="DI216" i="2"/>
  <c r="DH216" i="2"/>
  <c r="DG216" i="2"/>
  <c r="DF216" i="2"/>
  <c r="DE216" i="2"/>
  <c r="DD216" i="2"/>
  <c r="DC216" i="2"/>
  <c r="DB216" i="2"/>
  <c r="DA216" i="2"/>
  <c r="CZ216" i="2"/>
  <c r="CY216" i="2"/>
  <c r="CX216" i="2"/>
  <c r="CW216" i="2"/>
  <c r="CV216" i="2"/>
  <c r="CU216" i="2"/>
  <c r="CT216" i="2"/>
  <c r="CS216" i="2"/>
  <c r="CR216" i="2"/>
  <c r="CQ216" i="2"/>
  <c r="CP216" i="2"/>
  <c r="CO216" i="2"/>
  <c r="CN216" i="2"/>
  <c r="CM216" i="2"/>
  <c r="CL216" i="2"/>
  <c r="CK216" i="2"/>
  <c r="CJ216" i="2"/>
  <c r="CI216" i="2"/>
  <c r="CH216" i="2"/>
  <c r="CG216" i="2"/>
  <c r="CF216" i="2"/>
  <c r="CE216" i="2"/>
  <c r="CD216" i="2"/>
  <c r="CC216" i="2"/>
  <c r="CB216" i="2"/>
  <c r="CA216" i="2"/>
  <c r="BZ216" i="2"/>
  <c r="BY216" i="2"/>
  <c r="BX216" i="2"/>
  <c r="BW216" i="2"/>
  <c r="BV216" i="2"/>
  <c r="BU216" i="2"/>
  <c r="BT216" i="2"/>
  <c r="BS216" i="2"/>
  <c r="BR216" i="2"/>
  <c r="BQ216" i="2"/>
  <c r="BP216" i="2"/>
  <c r="BO216" i="2"/>
  <c r="BN216" i="2"/>
  <c r="BM216" i="2"/>
  <c r="BL216" i="2"/>
  <c r="BK216" i="2"/>
  <c r="BJ216" i="2"/>
  <c r="BI216" i="2"/>
  <c r="BH216" i="2"/>
  <c r="BG216" i="2"/>
  <c r="BF216" i="2"/>
  <c r="BE216" i="2"/>
  <c r="BD216" i="2"/>
  <c r="BC216" i="2"/>
  <c r="BB216" i="2"/>
  <c r="BA216" i="2"/>
  <c r="AZ216" i="2"/>
  <c r="AY216" i="2"/>
  <c r="AX216" i="2"/>
  <c r="AW216" i="2"/>
  <c r="AV216" i="2"/>
  <c r="AU216" i="2"/>
  <c r="AT216" i="2"/>
  <c r="AS216" i="2"/>
  <c r="AR216" i="2"/>
  <c r="AQ216" i="2"/>
  <c r="AP216" i="2"/>
  <c r="AO216" i="2"/>
  <c r="AN216" i="2"/>
  <c r="AM216" i="2"/>
  <c r="AL216" i="2"/>
  <c r="AK216" i="2"/>
  <c r="AJ216" i="2"/>
  <c r="AI216" i="2"/>
  <c r="AH216" i="2"/>
  <c r="AG216" i="2"/>
  <c r="AF216" i="2"/>
  <c r="AE216" i="2"/>
  <c r="AD216" i="2"/>
  <c r="AC216" i="2"/>
  <c r="AB216" i="2"/>
  <c r="AA216" i="2"/>
  <c r="Z216" i="2"/>
  <c r="Y216" i="2"/>
  <c r="X216" i="2"/>
  <c r="W216" i="2"/>
  <c r="GX215" i="2"/>
  <c r="GW215" i="2"/>
  <c r="GV215" i="2"/>
  <c r="GU215" i="2"/>
  <c r="GT215" i="2"/>
  <c r="GS215" i="2"/>
  <c r="GR215" i="2"/>
  <c r="GQ215" i="2"/>
  <c r="GP215" i="2"/>
  <c r="GO215" i="2"/>
  <c r="GN215" i="2"/>
  <c r="GM215" i="2"/>
  <c r="GL215" i="2"/>
  <c r="GK215" i="2"/>
  <c r="GJ215" i="2"/>
  <c r="GI215" i="2"/>
  <c r="GH215" i="2"/>
  <c r="GG215" i="2"/>
  <c r="GF215" i="2"/>
  <c r="GE215" i="2"/>
  <c r="GD215" i="2"/>
  <c r="GC215" i="2"/>
  <c r="GB215" i="2"/>
  <c r="GA215" i="2"/>
  <c r="FZ215" i="2"/>
  <c r="FY215" i="2"/>
  <c r="FX215" i="2"/>
  <c r="FW215" i="2"/>
  <c r="FV215" i="2"/>
  <c r="FU215" i="2"/>
  <c r="FT215" i="2"/>
  <c r="FS215" i="2"/>
  <c r="FR215" i="2"/>
  <c r="FQ215" i="2"/>
  <c r="FP215" i="2"/>
  <c r="FO215" i="2"/>
  <c r="FN215" i="2"/>
  <c r="FM215" i="2"/>
  <c r="FL215" i="2"/>
  <c r="FK215" i="2"/>
  <c r="FJ215" i="2"/>
  <c r="FI215" i="2"/>
  <c r="FH215" i="2"/>
  <c r="FG215" i="2"/>
  <c r="FF215" i="2"/>
  <c r="FE215" i="2"/>
  <c r="FD215" i="2"/>
  <c r="FC215" i="2"/>
  <c r="FB215" i="2"/>
  <c r="FA215" i="2"/>
  <c r="EZ215" i="2"/>
  <c r="EY215" i="2"/>
  <c r="EX215" i="2"/>
  <c r="EW215" i="2"/>
  <c r="EV215" i="2"/>
  <c r="EU215" i="2"/>
  <c r="ET215" i="2"/>
  <c r="ES215" i="2"/>
  <c r="ER215" i="2"/>
  <c r="EQ215" i="2"/>
  <c r="EP215" i="2"/>
  <c r="EO215" i="2"/>
  <c r="EN215" i="2"/>
  <c r="EM215" i="2"/>
  <c r="EL215" i="2"/>
  <c r="EK215" i="2"/>
  <c r="EJ215" i="2"/>
  <c r="EI215" i="2"/>
  <c r="EH215" i="2"/>
  <c r="EG215" i="2"/>
  <c r="EF215" i="2"/>
  <c r="EE215" i="2"/>
  <c r="ED215" i="2"/>
  <c r="EC215" i="2"/>
  <c r="EB215" i="2"/>
  <c r="EA215" i="2"/>
  <c r="DZ215" i="2"/>
  <c r="DY215" i="2"/>
  <c r="DX215" i="2"/>
  <c r="DW215" i="2"/>
  <c r="DV215" i="2"/>
  <c r="DU215" i="2"/>
  <c r="DT215" i="2"/>
  <c r="DS215" i="2"/>
  <c r="DR215" i="2"/>
  <c r="DQ215" i="2"/>
  <c r="DP215" i="2"/>
  <c r="DO215" i="2"/>
  <c r="DN215" i="2"/>
  <c r="DM215" i="2"/>
  <c r="DL215" i="2"/>
  <c r="DK215" i="2"/>
  <c r="DJ215" i="2"/>
  <c r="DI215" i="2"/>
  <c r="DH215" i="2"/>
  <c r="DG215" i="2"/>
  <c r="DF215" i="2"/>
  <c r="DE215" i="2"/>
  <c r="DD215" i="2"/>
  <c r="DC215" i="2"/>
  <c r="DB215" i="2"/>
  <c r="DA215" i="2"/>
  <c r="CZ215" i="2"/>
  <c r="CY215" i="2"/>
  <c r="CX215" i="2"/>
  <c r="CW215" i="2"/>
  <c r="CV215" i="2"/>
  <c r="CU215" i="2"/>
  <c r="CT215" i="2"/>
  <c r="CS215" i="2"/>
  <c r="CR215" i="2"/>
  <c r="CQ215" i="2"/>
  <c r="CP215" i="2"/>
  <c r="CO215" i="2"/>
  <c r="CN215" i="2"/>
  <c r="CM215" i="2"/>
  <c r="CL215" i="2"/>
  <c r="CK215" i="2"/>
  <c r="CJ215" i="2"/>
  <c r="CI215" i="2"/>
  <c r="CH215" i="2"/>
  <c r="CG215" i="2"/>
  <c r="CF215" i="2"/>
  <c r="CE215" i="2"/>
  <c r="CD215" i="2"/>
  <c r="CC215" i="2"/>
  <c r="CB215" i="2"/>
  <c r="CA215" i="2"/>
  <c r="BZ215" i="2"/>
  <c r="BY215" i="2"/>
  <c r="BX215" i="2"/>
  <c r="BW215" i="2"/>
  <c r="BV215" i="2"/>
  <c r="BU215" i="2"/>
  <c r="BT215" i="2"/>
  <c r="BS215" i="2"/>
  <c r="BR215" i="2"/>
  <c r="BQ215" i="2"/>
  <c r="BP215" i="2"/>
  <c r="BO215" i="2"/>
  <c r="BN215" i="2"/>
  <c r="BM215" i="2"/>
  <c r="BL215" i="2"/>
  <c r="BK215" i="2"/>
  <c r="BJ215" i="2"/>
  <c r="BI215" i="2"/>
  <c r="BH215" i="2"/>
  <c r="BG215" i="2"/>
  <c r="BF215" i="2"/>
  <c r="BE215" i="2"/>
  <c r="BD215" i="2"/>
  <c r="BC215" i="2"/>
  <c r="BB215" i="2"/>
  <c r="BA215" i="2"/>
  <c r="AZ215" i="2"/>
  <c r="AY215" i="2"/>
  <c r="AX215" i="2"/>
  <c r="AW215" i="2"/>
  <c r="AV215" i="2"/>
  <c r="AU215" i="2"/>
  <c r="AT215" i="2"/>
  <c r="AS215" i="2"/>
  <c r="AR215" i="2"/>
  <c r="AQ215" i="2"/>
  <c r="AP215" i="2"/>
  <c r="AO215" i="2"/>
  <c r="AN215" i="2"/>
  <c r="AM215" i="2"/>
  <c r="AL215" i="2"/>
  <c r="AK215" i="2"/>
  <c r="AJ215" i="2"/>
  <c r="AI215" i="2"/>
  <c r="AH215" i="2"/>
  <c r="AG215" i="2"/>
  <c r="AF215" i="2"/>
  <c r="AE215" i="2"/>
  <c r="AD215" i="2"/>
  <c r="AC215" i="2"/>
  <c r="AB215" i="2"/>
  <c r="AA215" i="2"/>
  <c r="Z215" i="2"/>
  <c r="Y215" i="2"/>
  <c r="X215" i="2"/>
  <c r="W215" i="2"/>
  <c r="GX214" i="2"/>
  <c r="GW214" i="2"/>
  <c r="GV214" i="2"/>
  <c r="GU214" i="2"/>
  <c r="GT214" i="2"/>
  <c r="GS214" i="2"/>
  <c r="GR214" i="2"/>
  <c r="GQ214" i="2"/>
  <c r="GP214" i="2"/>
  <c r="GO214" i="2"/>
  <c r="GN214" i="2"/>
  <c r="GM214" i="2"/>
  <c r="GL214" i="2"/>
  <c r="GK214" i="2"/>
  <c r="GJ214" i="2"/>
  <c r="GI214" i="2"/>
  <c r="GH214" i="2"/>
  <c r="GG214" i="2"/>
  <c r="GF214" i="2"/>
  <c r="GE214" i="2"/>
  <c r="GD214" i="2"/>
  <c r="GC214" i="2"/>
  <c r="GB214" i="2"/>
  <c r="GA214" i="2"/>
  <c r="FZ214" i="2"/>
  <c r="FY214" i="2"/>
  <c r="FX214" i="2"/>
  <c r="FW214" i="2"/>
  <c r="FV214" i="2"/>
  <c r="FU214" i="2"/>
  <c r="FT214" i="2"/>
  <c r="FS214" i="2"/>
  <c r="FR214" i="2"/>
  <c r="FQ214" i="2"/>
  <c r="FP214" i="2"/>
  <c r="FO214" i="2"/>
  <c r="FN214" i="2"/>
  <c r="FM214" i="2"/>
  <c r="FL214" i="2"/>
  <c r="FK214" i="2"/>
  <c r="FJ214" i="2"/>
  <c r="FI214" i="2"/>
  <c r="FH214" i="2"/>
  <c r="FG214" i="2"/>
  <c r="FF214" i="2"/>
  <c r="FE214" i="2"/>
  <c r="FD214" i="2"/>
  <c r="FC214" i="2"/>
  <c r="FB214" i="2"/>
  <c r="FA214" i="2"/>
  <c r="EZ214" i="2"/>
  <c r="EY214" i="2"/>
  <c r="EX214" i="2"/>
  <c r="EW214" i="2"/>
  <c r="EV214" i="2"/>
  <c r="EU214" i="2"/>
  <c r="ET214" i="2"/>
  <c r="ES214" i="2"/>
  <c r="ER214" i="2"/>
  <c r="EQ214" i="2"/>
  <c r="EP214" i="2"/>
  <c r="EO214" i="2"/>
  <c r="EN214" i="2"/>
  <c r="EM214" i="2"/>
  <c r="EL214" i="2"/>
  <c r="EK214" i="2"/>
  <c r="EJ214" i="2"/>
  <c r="EI214" i="2"/>
  <c r="EH214" i="2"/>
  <c r="EG214" i="2"/>
  <c r="EF214" i="2"/>
  <c r="EE214" i="2"/>
  <c r="ED214" i="2"/>
  <c r="EC214" i="2"/>
  <c r="EB214" i="2"/>
  <c r="EA214" i="2"/>
  <c r="DZ214" i="2"/>
  <c r="DY214" i="2"/>
  <c r="DX214" i="2"/>
  <c r="DW214" i="2"/>
  <c r="DV214" i="2"/>
  <c r="DU214" i="2"/>
  <c r="DT214" i="2"/>
  <c r="DS214" i="2"/>
  <c r="DR214" i="2"/>
  <c r="DQ214" i="2"/>
  <c r="DP214" i="2"/>
  <c r="DO214" i="2"/>
  <c r="DN214" i="2"/>
  <c r="DM214" i="2"/>
  <c r="DL214" i="2"/>
  <c r="DK214" i="2"/>
  <c r="DJ214" i="2"/>
  <c r="DI214" i="2"/>
  <c r="DH214" i="2"/>
  <c r="DG214" i="2"/>
  <c r="DF214" i="2"/>
  <c r="DE214" i="2"/>
  <c r="DD214" i="2"/>
  <c r="DC214" i="2"/>
  <c r="DB214" i="2"/>
  <c r="DA214" i="2"/>
  <c r="CZ214" i="2"/>
  <c r="CY214" i="2"/>
  <c r="CX214" i="2"/>
  <c r="CW214" i="2"/>
  <c r="CV214" i="2"/>
  <c r="CU214" i="2"/>
  <c r="CT214" i="2"/>
  <c r="CS214" i="2"/>
  <c r="CR214" i="2"/>
  <c r="CQ214" i="2"/>
  <c r="CP214" i="2"/>
  <c r="CO214" i="2"/>
  <c r="CN214" i="2"/>
  <c r="CM214" i="2"/>
  <c r="CL214" i="2"/>
  <c r="CK214" i="2"/>
  <c r="CJ214" i="2"/>
  <c r="CI214" i="2"/>
  <c r="CH214" i="2"/>
  <c r="CG214" i="2"/>
  <c r="CF214" i="2"/>
  <c r="CE214" i="2"/>
  <c r="CD214" i="2"/>
  <c r="CC214" i="2"/>
  <c r="CB214" i="2"/>
  <c r="CA214" i="2"/>
  <c r="BZ214" i="2"/>
  <c r="BY214" i="2"/>
  <c r="BX214" i="2"/>
  <c r="BW214" i="2"/>
  <c r="BV214" i="2"/>
  <c r="BU214" i="2"/>
  <c r="BT214" i="2"/>
  <c r="BS214" i="2"/>
  <c r="BR214" i="2"/>
  <c r="BQ214" i="2"/>
  <c r="BP214" i="2"/>
  <c r="BO214" i="2"/>
  <c r="BN214" i="2"/>
  <c r="BM214" i="2"/>
  <c r="BL214" i="2"/>
  <c r="BK214" i="2"/>
  <c r="BJ214" i="2"/>
  <c r="BI214" i="2"/>
  <c r="BH214" i="2"/>
  <c r="BG214" i="2"/>
  <c r="BF214" i="2"/>
  <c r="BE214" i="2"/>
  <c r="BD214" i="2"/>
  <c r="BC214" i="2"/>
  <c r="BB214" i="2"/>
  <c r="BA214" i="2"/>
  <c r="AZ214" i="2"/>
  <c r="AY214" i="2"/>
  <c r="AX214" i="2"/>
  <c r="AW214" i="2"/>
  <c r="AV214" i="2"/>
  <c r="AU214" i="2"/>
  <c r="AT214" i="2"/>
  <c r="AS214" i="2"/>
  <c r="AR214" i="2"/>
  <c r="AQ214" i="2"/>
  <c r="AP214" i="2"/>
  <c r="AO214" i="2"/>
  <c r="AN214" i="2"/>
  <c r="AM214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W214" i="2"/>
  <c r="GX207" i="2"/>
  <c r="GW207" i="2"/>
  <c r="GV207" i="2"/>
  <c r="GU207" i="2"/>
  <c r="GT207" i="2"/>
  <c r="GS207" i="2"/>
  <c r="GR207" i="2"/>
  <c r="GQ207" i="2"/>
  <c r="GP207" i="2"/>
  <c r="GO207" i="2"/>
  <c r="GN207" i="2"/>
  <c r="GM207" i="2"/>
  <c r="GL207" i="2"/>
  <c r="GK207" i="2"/>
  <c r="GJ207" i="2"/>
  <c r="GI207" i="2"/>
  <c r="GH207" i="2"/>
  <c r="GG207" i="2"/>
  <c r="GF207" i="2"/>
  <c r="GE207" i="2"/>
  <c r="GD207" i="2"/>
  <c r="GC207" i="2"/>
  <c r="GB207" i="2"/>
  <c r="GA207" i="2"/>
  <c r="FZ207" i="2"/>
  <c r="FY207" i="2"/>
  <c r="FX207" i="2"/>
  <c r="FW207" i="2"/>
  <c r="FV207" i="2"/>
  <c r="FU207" i="2"/>
  <c r="FT207" i="2"/>
  <c r="FS207" i="2"/>
  <c r="FR207" i="2"/>
  <c r="FQ207" i="2"/>
  <c r="FP207" i="2"/>
  <c r="FO207" i="2"/>
  <c r="FN207" i="2"/>
  <c r="FM207" i="2"/>
  <c r="FL207" i="2"/>
  <c r="FK207" i="2"/>
  <c r="FJ207" i="2"/>
  <c r="FI207" i="2"/>
  <c r="FH207" i="2"/>
  <c r="FG207" i="2"/>
  <c r="FF207" i="2"/>
  <c r="FE207" i="2"/>
  <c r="FD207" i="2"/>
  <c r="FC207" i="2"/>
  <c r="FB207" i="2"/>
  <c r="FA207" i="2"/>
  <c r="EZ207" i="2"/>
  <c r="EY207" i="2"/>
  <c r="EX207" i="2"/>
  <c r="EW207" i="2"/>
  <c r="EV207" i="2"/>
  <c r="EU207" i="2"/>
  <c r="ET207" i="2"/>
  <c r="ES207" i="2"/>
  <c r="ER207" i="2"/>
  <c r="EQ207" i="2"/>
  <c r="EP207" i="2"/>
  <c r="EO207" i="2"/>
  <c r="EN207" i="2"/>
  <c r="EM207" i="2"/>
  <c r="EL207" i="2"/>
  <c r="EK207" i="2"/>
  <c r="EJ207" i="2"/>
  <c r="EI207" i="2"/>
  <c r="EH207" i="2"/>
  <c r="EG207" i="2"/>
  <c r="EF207" i="2"/>
  <c r="EE207" i="2"/>
  <c r="ED207" i="2"/>
  <c r="EC207" i="2"/>
  <c r="EB207" i="2"/>
  <c r="EA207" i="2"/>
  <c r="DZ207" i="2"/>
  <c r="DY207" i="2"/>
  <c r="DX207" i="2"/>
  <c r="DW207" i="2"/>
  <c r="DV207" i="2"/>
  <c r="DU207" i="2"/>
  <c r="DT207" i="2"/>
  <c r="DS207" i="2"/>
  <c r="DR207" i="2"/>
  <c r="DQ207" i="2"/>
  <c r="DP207" i="2"/>
  <c r="DO207" i="2"/>
  <c r="DN207" i="2"/>
  <c r="DM207" i="2"/>
  <c r="DL207" i="2"/>
  <c r="DK207" i="2"/>
  <c r="DJ207" i="2"/>
  <c r="DI207" i="2"/>
  <c r="DH207" i="2"/>
  <c r="DG207" i="2"/>
  <c r="DF207" i="2"/>
  <c r="DE207" i="2"/>
  <c r="DD207" i="2"/>
  <c r="DC207" i="2"/>
  <c r="DB207" i="2"/>
  <c r="DA207" i="2"/>
  <c r="CZ207" i="2"/>
  <c r="CY207" i="2"/>
  <c r="CX207" i="2"/>
  <c r="CW207" i="2"/>
  <c r="CV207" i="2"/>
  <c r="CU207" i="2"/>
  <c r="CT207" i="2"/>
  <c r="CS207" i="2"/>
  <c r="CR207" i="2"/>
  <c r="CQ207" i="2"/>
  <c r="CP207" i="2"/>
  <c r="CO207" i="2"/>
  <c r="CN207" i="2"/>
  <c r="CM207" i="2"/>
  <c r="CL207" i="2"/>
  <c r="CK207" i="2"/>
  <c r="CJ207" i="2"/>
  <c r="CI207" i="2"/>
  <c r="CH207" i="2"/>
  <c r="CG207" i="2"/>
  <c r="CF207" i="2"/>
  <c r="CE207" i="2"/>
  <c r="CD207" i="2"/>
  <c r="CC207" i="2"/>
  <c r="CB207" i="2"/>
  <c r="CA207" i="2"/>
  <c r="BZ207" i="2"/>
  <c r="BY207" i="2"/>
  <c r="BX207" i="2"/>
  <c r="BW207" i="2"/>
  <c r="BV207" i="2"/>
  <c r="BU207" i="2"/>
  <c r="BT207" i="2"/>
  <c r="BS207" i="2"/>
  <c r="BR207" i="2"/>
  <c r="BQ207" i="2"/>
  <c r="BP207" i="2"/>
  <c r="BO207" i="2"/>
  <c r="BN207" i="2"/>
  <c r="BM207" i="2"/>
  <c r="BL207" i="2"/>
  <c r="BK207" i="2"/>
  <c r="BJ207" i="2"/>
  <c r="BI207" i="2"/>
  <c r="BH207" i="2"/>
  <c r="BG207" i="2"/>
  <c r="BF207" i="2"/>
  <c r="BE207" i="2"/>
  <c r="BD207" i="2"/>
  <c r="BC207" i="2"/>
  <c r="BB207" i="2"/>
  <c r="BA207" i="2"/>
  <c r="AZ207" i="2"/>
  <c r="AY207" i="2"/>
  <c r="AX207" i="2"/>
  <c r="AW207" i="2"/>
  <c r="AV207" i="2"/>
  <c r="AU207" i="2"/>
  <c r="AT207" i="2"/>
  <c r="AS207" i="2"/>
  <c r="AR207" i="2"/>
  <c r="AQ207" i="2"/>
  <c r="AP207" i="2"/>
  <c r="AO207" i="2"/>
  <c r="AN207" i="2"/>
  <c r="AM207" i="2"/>
  <c r="AL207" i="2"/>
  <c r="AK207" i="2"/>
  <c r="AJ207" i="2"/>
  <c r="AI207" i="2"/>
  <c r="AH207" i="2"/>
  <c r="AG207" i="2"/>
  <c r="AF207" i="2"/>
  <c r="AE207" i="2"/>
  <c r="AD207" i="2"/>
  <c r="AC207" i="2"/>
  <c r="AB207" i="2"/>
  <c r="AA207" i="2"/>
  <c r="Z207" i="2"/>
  <c r="Y207" i="2"/>
  <c r="X207" i="2"/>
  <c r="W207" i="2"/>
  <c r="GX206" i="2"/>
  <c r="GW206" i="2"/>
  <c r="GV206" i="2"/>
  <c r="GU206" i="2"/>
  <c r="GT206" i="2"/>
  <c r="GS206" i="2"/>
  <c r="GR206" i="2"/>
  <c r="GQ206" i="2"/>
  <c r="GP206" i="2"/>
  <c r="GO206" i="2"/>
  <c r="GN206" i="2"/>
  <c r="GM206" i="2"/>
  <c r="GL206" i="2"/>
  <c r="GK206" i="2"/>
  <c r="GJ206" i="2"/>
  <c r="GI206" i="2"/>
  <c r="GH206" i="2"/>
  <c r="GG206" i="2"/>
  <c r="GF206" i="2"/>
  <c r="GE206" i="2"/>
  <c r="GD206" i="2"/>
  <c r="GC206" i="2"/>
  <c r="GB206" i="2"/>
  <c r="GA206" i="2"/>
  <c r="FZ206" i="2"/>
  <c r="FY206" i="2"/>
  <c r="FX206" i="2"/>
  <c r="FW206" i="2"/>
  <c r="FV206" i="2"/>
  <c r="FU206" i="2"/>
  <c r="FT206" i="2"/>
  <c r="FS206" i="2"/>
  <c r="FR206" i="2"/>
  <c r="FQ206" i="2"/>
  <c r="FP206" i="2"/>
  <c r="FO206" i="2"/>
  <c r="FN206" i="2"/>
  <c r="FM206" i="2"/>
  <c r="FL206" i="2"/>
  <c r="FK206" i="2"/>
  <c r="FJ206" i="2"/>
  <c r="FI206" i="2"/>
  <c r="FH206" i="2"/>
  <c r="FG206" i="2"/>
  <c r="FF206" i="2"/>
  <c r="FE206" i="2"/>
  <c r="FD206" i="2"/>
  <c r="FC206" i="2"/>
  <c r="FB206" i="2"/>
  <c r="FA206" i="2"/>
  <c r="EZ206" i="2"/>
  <c r="EY206" i="2"/>
  <c r="EX206" i="2"/>
  <c r="EW206" i="2"/>
  <c r="EV206" i="2"/>
  <c r="EU206" i="2"/>
  <c r="ET206" i="2"/>
  <c r="ES206" i="2"/>
  <c r="ER206" i="2"/>
  <c r="EQ206" i="2"/>
  <c r="EP206" i="2"/>
  <c r="EO206" i="2"/>
  <c r="EN206" i="2"/>
  <c r="EM206" i="2"/>
  <c r="EL206" i="2"/>
  <c r="EK206" i="2"/>
  <c r="EJ206" i="2"/>
  <c r="EI206" i="2"/>
  <c r="EH206" i="2"/>
  <c r="EG206" i="2"/>
  <c r="EF206" i="2"/>
  <c r="EE206" i="2"/>
  <c r="ED206" i="2"/>
  <c r="EC206" i="2"/>
  <c r="EB206" i="2"/>
  <c r="EA206" i="2"/>
  <c r="DZ206" i="2"/>
  <c r="DY206" i="2"/>
  <c r="DX206" i="2"/>
  <c r="DW206" i="2"/>
  <c r="DV206" i="2"/>
  <c r="DU206" i="2"/>
  <c r="DT206" i="2"/>
  <c r="DS206" i="2"/>
  <c r="DR206" i="2"/>
  <c r="DQ206" i="2"/>
  <c r="DP206" i="2"/>
  <c r="DO206" i="2"/>
  <c r="DN206" i="2"/>
  <c r="DM206" i="2"/>
  <c r="DL206" i="2"/>
  <c r="DK206" i="2"/>
  <c r="DJ206" i="2"/>
  <c r="DI206" i="2"/>
  <c r="DH206" i="2"/>
  <c r="DG206" i="2"/>
  <c r="DF206" i="2"/>
  <c r="DE206" i="2"/>
  <c r="DD206" i="2"/>
  <c r="DC206" i="2"/>
  <c r="DB206" i="2"/>
  <c r="DA206" i="2"/>
  <c r="CZ206" i="2"/>
  <c r="CY206" i="2"/>
  <c r="CX206" i="2"/>
  <c r="CW206" i="2"/>
  <c r="CV206" i="2"/>
  <c r="CU206" i="2"/>
  <c r="CT206" i="2"/>
  <c r="CS206" i="2"/>
  <c r="CR206" i="2"/>
  <c r="CQ206" i="2"/>
  <c r="CP206" i="2"/>
  <c r="CO206" i="2"/>
  <c r="CN206" i="2"/>
  <c r="CM206" i="2"/>
  <c r="CL206" i="2"/>
  <c r="CK206" i="2"/>
  <c r="CJ206" i="2"/>
  <c r="CI206" i="2"/>
  <c r="CH206" i="2"/>
  <c r="CG206" i="2"/>
  <c r="CF206" i="2"/>
  <c r="CE206" i="2"/>
  <c r="CD206" i="2"/>
  <c r="CC206" i="2"/>
  <c r="CB206" i="2"/>
  <c r="CA206" i="2"/>
  <c r="BZ206" i="2"/>
  <c r="BY206" i="2"/>
  <c r="BX206" i="2"/>
  <c r="BW206" i="2"/>
  <c r="BV206" i="2"/>
  <c r="BU206" i="2"/>
  <c r="BT206" i="2"/>
  <c r="BS206" i="2"/>
  <c r="BR206" i="2"/>
  <c r="BQ206" i="2"/>
  <c r="BP206" i="2"/>
  <c r="BO206" i="2"/>
  <c r="BN206" i="2"/>
  <c r="BM206" i="2"/>
  <c r="BL206" i="2"/>
  <c r="BK206" i="2"/>
  <c r="BJ206" i="2"/>
  <c r="BI206" i="2"/>
  <c r="BH206" i="2"/>
  <c r="BG206" i="2"/>
  <c r="BF206" i="2"/>
  <c r="BE206" i="2"/>
  <c r="BD206" i="2"/>
  <c r="BC206" i="2"/>
  <c r="BB206" i="2"/>
  <c r="BA206" i="2"/>
  <c r="AZ206" i="2"/>
  <c r="AY206" i="2"/>
  <c r="AX206" i="2"/>
  <c r="AW206" i="2"/>
  <c r="AV206" i="2"/>
  <c r="AU206" i="2"/>
  <c r="AT206" i="2"/>
  <c r="AS206" i="2"/>
  <c r="AR206" i="2"/>
  <c r="AQ206" i="2"/>
  <c r="AP206" i="2"/>
  <c r="AO206" i="2"/>
  <c r="AN206" i="2"/>
  <c r="AM206" i="2"/>
  <c r="AL206" i="2"/>
  <c r="AK206" i="2"/>
  <c r="AJ206" i="2"/>
  <c r="AI206" i="2"/>
  <c r="AH206" i="2"/>
  <c r="AG206" i="2"/>
  <c r="AF206" i="2"/>
  <c r="AE206" i="2"/>
  <c r="AD206" i="2"/>
  <c r="AC206" i="2"/>
  <c r="AB206" i="2"/>
  <c r="AA206" i="2"/>
  <c r="Z206" i="2"/>
  <c r="Y206" i="2"/>
  <c r="X206" i="2"/>
  <c r="W206" i="2"/>
  <c r="GX205" i="2"/>
  <c r="GW205" i="2"/>
  <c r="GV205" i="2"/>
  <c r="GU205" i="2"/>
  <c r="GT205" i="2"/>
  <c r="GS205" i="2"/>
  <c r="GR205" i="2"/>
  <c r="GQ205" i="2"/>
  <c r="GP205" i="2"/>
  <c r="GO205" i="2"/>
  <c r="GN205" i="2"/>
  <c r="GM205" i="2"/>
  <c r="GL205" i="2"/>
  <c r="GK205" i="2"/>
  <c r="GJ205" i="2"/>
  <c r="GI205" i="2"/>
  <c r="GH205" i="2"/>
  <c r="GG205" i="2"/>
  <c r="GF205" i="2"/>
  <c r="GE205" i="2"/>
  <c r="GD205" i="2"/>
  <c r="GC205" i="2"/>
  <c r="GB205" i="2"/>
  <c r="GA205" i="2"/>
  <c r="FZ205" i="2"/>
  <c r="FY205" i="2"/>
  <c r="FX205" i="2"/>
  <c r="FW205" i="2"/>
  <c r="FV205" i="2"/>
  <c r="FU205" i="2"/>
  <c r="FT205" i="2"/>
  <c r="FS205" i="2"/>
  <c r="FR205" i="2"/>
  <c r="FQ205" i="2"/>
  <c r="FP205" i="2"/>
  <c r="FO205" i="2"/>
  <c r="FN205" i="2"/>
  <c r="FM205" i="2"/>
  <c r="FL205" i="2"/>
  <c r="FK205" i="2"/>
  <c r="FJ205" i="2"/>
  <c r="FI205" i="2"/>
  <c r="FH205" i="2"/>
  <c r="FG205" i="2"/>
  <c r="FF205" i="2"/>
  <c r="FE205" i="2"/>
  <c r="FD205" i="2"/>
  <c r="FC205" i="2"/>
  <c r="FB205" i="2"/>
  <c r="FA205" i="2"/>
  <c r="EZ205" i="2"/>
  <c r="EY205" i="2"/>
  <c r="EX205" i="2"/>
  <c r="EW205" i="2"/>
  <c r="EV205" i="2"/>
  <c r="EU205" i="2"/>
  <c r="ET205" i="2"/>
  <c r="ES205" i="2"/>
  <c r="ER205" i="2"/>
  <c r="EQ205" i="2"/>
  <c r="EP205" i="2"/>
  <c r="EO205" i="2"/>
  <c r="EN205" i="2"/>
  <c r="EM205" i="2"/>
  <c r="EL205" i="2"/>
  <c r="EK205" i="2"/>
  <c r="EJ205" i="2"/>
  <c r="EI205" i="2"/>
  <c r="EH205" i="2"/>
  <c r="EG205" i="2"/>
  <c r="EF205" i="2"/>
  <c r="EE205" i="2"/>
  <c r="ED205" i="2"/>
  <c r="EC205" i="2"/>
  <c r="EB205" i="2"/>
  <c r="EA205" i="2"/>
  <c r="DZ205" i="2"/>
  <c r="DY205" i="2"/>
  <c r="DX205" i="2"/>
  <c r="DW205" i="2"/>
  <c r="DV205" i="2"/>
  <c r="DU205" i="2"/>
  <c r="DT205" i="2"/>
  <c r="DS205" i="2"/>
  <c r="DR205" i="2"/>
  <c r="DQ205" i="2"/>
  <c r="DP205" i="2"/>
  <c r="DO205" i="2"/>
  <c r="DN205" i="2"/>
  <c r="DM205" i="2"/>
  <c r="DL205" i="2"/>
  <c r="DK205" i="2"/>
  <c r="DJ205" i="2"/>
  <c r="DI205" i="2"/>
  <c r="DH205" i="2"/>
  <c r="DG205" i="2"/>
  <c r="DF205" i="2"/>
  <c r="DE205" i="2"/>
  <c r="DD205" i="2"/>
  <c r="DC205" i="2"/>
  <c r="DB205" i="2"/>
  <c r="DA205" i="2"/>
  <c r="CZ205" i="2"/>
  <c r="CY205" i="2"/>
  <c r="CX205" i="2"/>
  <c r="CW205" i="2"/>
  <c r="CV205" i="2"/>
  <c r="CU205" i="2"/>
  <c r="CT205" i="2"/>
  <c r="CS205" i="2"/>
  <c r="CR205" i="2"/>
  <c r="CQ205" i="2"/>
  <c r="CP205" i="2"/>
  <c r="CO205" i="2"/>
  <c r="CN205" i="2"/>
  <c r="CM205" i="2"/>
  <c r="CL205" i="2"/>
  <c r="CK205" i="2"/>
  <c r="CJ205" i="2"/>
  <c r="CI205" i="2"/>
  <c r="CH205" i="2"/>
  <c r="CG205" i="2"/>
  <c r="CF205" i="2"/>
  <c r="CE205" i="2"/>
  <c r="CD205" i="2"/>
  <c r="CC205" i="2"/>
  <c r="CB205" i="2"/>
  <c r="CA205" i="2"/>
  <c r="BZ205" i="2"/>
  <c r="BY205" i="2"/>
  <c r="BX205" i="2"/>
  <c r="BW205" i="2"/>
  <c r="BV205" i="2"/>
  <c r="BU205" i="2"/>
  <c r="BT205" i="2"/>
  <c r="BS205" i="2"/>
  <c r="BR205" i="2"/>
  <c r="BQ205" i="2"/>
  <c r="BP205" i="2"/>
  <c r="BO205" i="2"/>
  <c r="BN205" i="2"/>
  <c r="BM205" i="2"/>
  <c r="BL205" i="2"/>
  <c r="BK205" i="2"/>
  <c r="BJ205" i="2"/>
  <c r="BI205" i="2"/>
  <c r="BH205" i="2"/>
  <c r="BG205" i="2"/>
  <c r="BF205" i="2"/>
  <c r="BE205" i="2"/>
  <c r="BD205" i="2"/>
  <c r="BC205" i="2"/>
  <c r="BB205" i="2"/>
  <c r="BA205" i="2"/>
  <c r="AZ205" i="2"/>
  <c r="AY205" i="2"/>
  <c r="AX205" i="2"/>
  <c r="AW205" i="2"/>
  <c r="AV205" i="2"/>
  <c r="AU205" i="2"/>
  <c r="AT205" i="2"/>
  <c r="AS205" i="2"/>
  <c r="AR205" i="2"/>
  <c r="AQ205" i="2"/>
  <c r="AP205" i="2"/>
  <c r="AO205" i="2"/>
  <c r="AN205" i="2"/>
  <c r="AM205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W205" i="2"/>
  <c r="GX204" i="2"/>
  <c r="GW204" i="2"/>
  <c r="GV204" i="2"/>
  <c r="GU204" i="2"/>
  <c r="GT204" i="2"/>
  <c r="GS204" i="2"/>
  <c r="GR204" i="2"/>
  <c r="GQ204" i="2"/>
  <c r="GP204" i="2"/>
  <c r="GO204" i="2"/>
  <c r="GN204" i="2"/>
  <c r="GM204" i="2"/>
  <c r="GL204" i="2"/>
  <c r="GK204" i="2"/>
  <c r="GJ204" i="2"/>
  <c r="GI204" i="2"/>
  <c r="GH204" i="2"/>
  <c r="GG204" i="2"/>
  <c r="GF204" i="2"/>
  <c r="GE204" i="2"/>
  <c r="GD204" i="2"/>
  <c r="GC204" i="2"/>
  <c r="GB204" i="2"/>
  <c r="GA204" i="2"/>
  <c r="FZ204" i="2"/>
  <c r="FY204" i="2"/>
  <c r="FX204" i="2"/>
  <c r="FW204" i="2"/>
  <c r="FV204" i="2"/>
  <c r="FU204" i="2"/>
  <c r="FT204" i="2"/>
  <c r="FS204" i="2"/>
  <c r="FR204" i="2"/>
  <c r="FQ204" i="2"/>
  <c r="FP204" i="2"/>
  <c r="FO204" i="2"/>
  <c r="FN204" i="2"/>
  <c r="FM204" i="2"/>
  <c r="FL204" i="2"/>
  <c r="FK204" i="2"/>
  <c r="FJ204" i="2"/>
  <c r="FI204" i="2"/>
  <c r="FH204" i="2"/>
  <c r="FG204" i="2"/>
  <c r="FF204" i="2"/>
  <c r="FE204" i="2"/>
  <c r="FD204" i="2"/>
  <c r="FC204" i="2"/>
  <c r="FB204" i="2"/>
  <c r="FA204" i="2"/>
  <c r="EZ204" i="2"/>
  <c r="EY204" i="2"/>
  <c r="EX204" i="2"/>
  <c r="EW204" i="2"/>
  <c r="EV204" i="2"/>
  <c r="EU204" i="2"/>
  <c r="ET204" i="2"/>
  <c r="ES204" i="2"/>
  <c r="ER204" i="2"/>
  <c r="EQ204" i="2"/>
  <c r="EP204" i="2"/>
  <c r="EO204" i="2"/>
  <c r="EN204" i="2"/>
  <c r="EM204" i="2"/>
  <c r="EL204" i="2"/>
  <c r="EK204" i="2"/>
  <c r="EJ204" i="2"/>
  <c r="EI204" i="2"/>
  <c r="EH204" i="2"/>
  <c r="EG204" i="2"/>
  <c r="EF204" i="2"/>
  <c r="EE204" i="2"/>
  <c r="ED204" i="2"/>
  <c r="EC204" i="2"/>
  <c r="EB204" i="2"/>
  <c r="EA204" i="2"/>
  <c r="DZ204" i="2"/>
  <c r="DY204" i="2"/>
  <c r="DX204" i="2"/>
  <c r="DW204" i="2"/>
  <c r="DV204" i="2"/>
  <c r="DU204" i="2"/>
  <c r="DT204" i="2"/>
  <c r="DS204" i="2"/>
  <c r="DR204" i="2"/>
  <c r="DQ204" i="2"/>
  <c r="DP204" i="2"/>
  <c r="DO204" i="2"/>
  <c r="DN204" i="2"/>
  <c r="DM204" i="2"/>
  <c r="DL204" i="2"/>
  <c r="DK204" i="2"/>
  <c r="DJ204" i="2"/>
  <c r="DI204" i="2"/>
  <c r="DH204" i="2"/>
  <c r="DG204" i="2"/>
  <c r="DF204" i="2"/>
  <c r="DE204" i="2"/>
  <c r="DD204" i="2"/>
  <c r="DC204" i="2"/>
  <c r="DB204" i="2"/>
  <c r="DA204" i="2"/>
  <c r="CZ204" i="2"/>
  <c r="CY204" i="2"/>
  <c r="CX204" i="2"/>
  <c r="CW204" i="2"/>
  <c r="CV204" i="2"/>
  <c r="CU204" i="2"/>
  <c r="CT204" i="2"/>
  <c r="CS204" i="2"/>
  <c r="CR204" i="2"/>
  <c r="CQ204" i="2"/>
  <c r="CP204" i="2"/>
  <c r="CO204" i="2"/>
  <c r="CN204" i="2"/>
  <c r="CM204" i="2"/>
  <c r="CL204" i="2"/>
  <c r="CK204" i="2"/>
  <c r="CJ204" i="2"/>
  <c r="CI204" i="2"/>
  <c r="CH204" i="2"/>
  <c r="CG204" i="2"/>
  <c r="CF204" i="2"/>
  <c r="CE204" i="2"/>
  <c r="CD204" i="2"/>
  <c r="CC204" i="2"/>
  <c r="CB204" i="2"/>
  <c r="CA204" i="2"/>
  <c r="BZ204" i="2"/>
  <c r="BY204" i="2"/>
  <c r="BX204" i="2"/>
  <c r="BW204" i="2"/>
  <c r="BV204" i="2"/>
  <c r="BU204" i="2"/>
  <c r="BT204" i="2"/>
  <c r="BS204" i="2"/>
  <c r="BR204" i="2"/>
  <c r="BQ204" i="2"/>
  <c r="BP204" i="2"/>
  <c r="BO204" i="2"/>
  <c r="BN204" i="2"/>
  <c r="BM204" i="2"/>
  <c r="BL204" i="2"/>
  <c r="BK204" i="2"/>
  <c r="BJ204" i="2"/>
  <c r="BI204" i="2"/>
  <c r="BH204" i="2"/>
  <c r="BG204" i="2"/>
  <c r="BF204" i="2"/>
  <c r="BE204" i="2"/>
  <c r="BD204" i="2"/>
  <c r="BC204" i="2"/>
  <c r="BB204" i="2"/>
  <c r="BA204" i="2"/>
  <c r="AZ204" i="2"/>
  <c r="AY204" i="2"/>
  <c r="AX204" i="2"/>
  <c r="AW204" i="2"/>
  <c r="AV204" i="2"/>
  <c r="AU204" i="2"/>
  <c r="AT204" i="2"/>
  <c r="AS204" i="2"/>
  <c r="AR204" i="2"/>
  <c r="AQ204" i="2"/>
  <c r="AP204" i="2"/>
  <c r="AO204" i="2"/>
  <c r="AN204" i="2"/>
  <c r="AM204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X204" i="2"/>
  <c r="W204" i="2"/>
  <c r="GX203" i="2"/>
  <c r="GW203" i="2"/>
  <c r="GV203" i="2"/>
  <c r="GU203" i="2"/>
  <c r="GT203" i="2"/>
  <c r="GS203" i="2"/>
  <c r="GR203" i="2"/>
  <c r="GQ203" i="2"/>
  <c r="GP203" i="2"/>
  <c r="GO203" i="2"/>
  <c r="GN203" i="2"/>
  <c r="GM203" i="2"/>
  <c r="GL203" i="2"/>
  <c r="GK203" i="2"/>
  <c r="GJ203" i="2"/>
  <c r="GI203" i="2"/>
  <c r="GH203" i="2"/>
  <c r="GG203" i="2"/>
  <c r="GF203" i="2"/>
  <c r="GE203" i="2"/>
  <c r="GD203" i="2"/>
  <c r="GC203" i="2"/>
  <c r="GB203" i="2"/>
  <c r="GA203" i="2"/>
  <c r="FZ203" i="2"/>
  <c r="FY203" i="2"/>
  <c r="FX203" i="2"/>
  <c r="FW203" i="2"/>
  <c r="FV203" i="2"/>
  <c r="FU203" i="2"/>
  <c r="FT203" i="2"/>
  <c r="FS203" i="2"/>
  <c r="FR203" i="2"/>
  <c r="FQ203" i="2"/>
  <c r="FP203" i="2"/>
  <c r="FO203" i="2"/>
  <c r="FN203" i="2"/>
  <c r="FM203" i="2"/>
  <c r="FL203" i="2"/>
  <c r="FK203" i="2"/>
  <c r="FJ203" i="2"/>
  <c r="FI203" i="2"/>
  <c r="FH203" i="2"/>
  <c r="FG203" i="2"/>
  <c r="FF203" i="2"/>
  <c r="FE203" i="2"/>
  <c r="FD203" i="2"/>
  <c r="FC203" i="2"/>
  <c r="FB203" i="2"/>
  <c r="FA203" i="2"/>
  <c r="EZ203" i="2"/>
  <c r="EY203" i="2"/>
  <c r="EX203" i="2"/>
  <c r="EW203" i="2"/>
  <c r="EV203" i="2"/>
  <c r="EU203" i="2"/>
  <c r="ET203" i="2"/>
  <c r="ES203" i="2"/>
  <c r="ER203" i="2"/>
  <c r="EQ203" i="2"/>
  <c r="EP203" i="2"/>
  <c r="EO203" i="2"/>
  <c r="EN203" i="2"/>
  <c r="EM203" i="2"/>
  <c r="EL203" i="2"/>
  <c r="EK203" i="2"/>
  <c r="EJ203" i="2"/>
  <c r="EI203" i="2"/>
  <c r="EH203" i="2"/>
  <c r="EG203" i="2"/>
  <c r="EF203" i="2"/>
  <c r="EE203" i="2"/>
  <c r="ED203" i="2"/>
  <c r="EC203" i="2"/>
  <c r="EB203" i="2"/>
  <c r="EA203" i="2"/>
  <c r="DZ203" i="2"/>
  <c r="DY203" i="2"/>
  <c r="DX203" i="2"/>
  <c r="DW203" i="2"/>
  <c r="DV203" i="2"/>
  <c r="DU203" i="2"/>
  <c r="DT203" i="2"/>
  <c r="DS203" i="2"/>
  <c r="DR203" i="2"/>
  <c r="DQ203" i="2"/>
  <c r="DP203" i="2"/>
  <c r="DO203" i="2"/>
  <c r="DN203" i="2"/>
  <c r="DM203" i="2"/>
  <c r="DL203" i="2"/>
  <c r="DK203" i="2"/>
  <c r="DJ203" i="2"/>
  <c r="DI203" i="2"/>
  <c r="DH203" i="2"/>
  <c r="DG203" i="2"/>
  <c r="DF203" i="2"/>
  <c r="DE203" i="2"/>
  <c r="DD203" i="2"/>
  <c r="DC203" i="2"/>
  <c r="DB203" i="2"/>
  <c r="DA203" i="2"/>
  <c r="CZ203" i="2"/>
  <c r="CY203" i="2"/>
  <c r="CX203" i="2"/>
  <c r="CW203" i="2"/>
  <c r="CV203" i="2"/>
  <c r="CU203" i="2"/>
  <c r="CT203" i="2"/>
  <c r="CS203" i="2"/>
  <c r="CR203" i="2"/>
  <c r="CQ203" i="2"/>
  <c r="CP203" i="2"/>
  <c r="CO203" i="2"/>
  <c r="CN203" i="2"/>
  <c r="CM203" i="2"/>
  <c r="CL203" i="2"/>
  <c r="CK203" i="2"/>
  <c r="CJ203" i="2"/>
  <c r="CI203" i="2"/>
  <c r="CH203" i="2"/>
  <c r="CG203" i="2"/>
  <c r="CF203" i="2"/>
  <c r="CE203" i="2"/>
  <c r="CD203" i="2"/>
  <c r="CC203" i="2"/>
  <c r="CB203" i="2"/>
  <c r="CA203" i="2"/>
  <c r="BZ203" i="2"/>
  <c r="BY203" i="2"/>
  <c r="BX203" i="2"/>
  <c r="BW203" i="2"/>
  <c r="BV203" i="2"/>
  <c r="BU203" i="2"/>
  <c r="BT203" i="2"/>
  <c r="BS203" i="2"/>
  <c r="BR203" i="2"/>
  <c r="BQ203" i="2"/>
  <c r="BP203" i="2"/>
  <c r="BO203" i="2"/>
  <c r="BN203" i="2"/>
  <c r="BM203" i="2"/>
  <c r="BL203" i="2"/>
  <c r="BK203" i="2"/>
  <c r="BJ203" i="2"/>
  <c r="BI203" i="2"/>
  <c r="BH203" i="2"/>
  <c r="BG203" i="2"/>
  <c r="BF203" i="2"/>
  <c r="BE203" i="2"/>
  <c r="BD203" i="2"/>
  <c r="BC203" i="2"/>
  <c r="BB203" i="2"/>
  <c r="BA203" i="2"/>
  <c r="AZ203" i="2"/>
  <c r="AY203" i="2"/>
  <c r="AX203" i="2"/>
  <c r="AW203" i="2"/>
  <c r="AV203" i="2"/>
  <c r="AU203" i="2"/>
  <c r="AT203" i="2"/>
  <c r="AS203" i="2"/>
  <c r="AR203" i="2"/>
  <c r="AQ203" i="2"/>
  <c r="AP203" i="2"/>
  <c r="AO203" i="2"/>
  <c r="AN203" i="2"/>
  <c r="AM203" i="2"/>
  <c r="AL203" i="2"/>
  <c r="AK203" i="2"/>
  <c r="AJ203" i="2"/>
  <c r="AI203" i="2"/>
  <c r="AH203" i="2"/>
  <c r="AG203" i="2"/>
  <c r="AF203" i="2"/>
  <c r="AE203" i="2"/>
  <c r="AD203" i="2"/>
  <c r="AC203" i="2"/>
  <c r="AB203" i="2"/>
  <c r="AA203" i="2"/>
  <c r="Z203" i="2"/>
  <c r="Y203" i="2"/>
  <c r="X203" i="2"/>
  <c r="W203" i="2"/>
  <c r="GX201" i="2"/>
  <c r="GW201" i="2"/>
  <c r="GV201" i="2"/>
  <c r="GU201" i="2"/>
  <c r="GT201" i="2"/>
  <c r="GS201" i="2"/>
  <c r="GR201" i="2"/>
  <c r="GQ201" i="2"/>
  <c r="GP201" i="2"/>
  <c r="GO201" i="2"/>
  <c r="GN201" i="2"/>
  <c r="GM201" i="2"/>
  <c r="GL201" i="2"/>
  <c r="GK201" i="2"/>
  <c r="GJ201" i="2"/>
  <c r="GI201" i="2"/>
  <c r="GH201" i="2"/>
  <c r="GG201" i="2"/>
  <c r="GF201" i="2"/>
  <c r="GE201" i="2"/>
  <c r="GD201" i="2"/>
  <c r="GC201" i="2"/>
  <c r="GB201" i="2"/>
  <c r="GA201" i="2"/>
  <c r="FZ201" i="2"/>
  <c r="FY201" i="2"/>
  <c r="FX201" i="2"/>
  <c r="FW201" i="2"/>
  <c r="FV201" i="2"/>
  <c r="FU201" i="2"/>
  <c r="FT201" i="2"/>
  <c r="FS201" i="2"/>
  <c r="FR201" i="2"/>
  <c r="FQ201" i="2"/>
  <c r="FP201" i="2"/>
  <c r="FO201" i="2"/>
  <c r="FN201" i="2"/>
  <c r="FM201" i="2"/>
  <c r="FL201" i="2"/>
  <c r="FK201" i="2"/>
  <c r="FJ201" i="2"/>
  <c r="FI201" i="2"/>
  <c r="FH201" i="2"/>
  <c r="FG201" i="2"/>
  <c r="FF201" i="2"/>
  <c r="FE201" i="2"/>
  <c r="FD201" i="2"/>
  <c r="FC201" i="2"/>
  <c r="FB201" i="2"/>
  <c r="FA201" i="2"/>
  <c r="EZ201" i="2"/>
  <c r="EY201" i="2"/>
  <c r="EX201" i="2"/>
  <c r="EW201" i="2"/>
  <c r="EV201" i="2"/>
  <c r="EU201" i="2"/>
  <c r="ET201" i="2"/>
  <c r="ES201" i="2"/>
  <c r="ER201" i="2"/>
  <c r="EQ201" i="2"/>
  <c r="EP201" i="2"/>
  <c r="EO201" i="2"/>
  <c r="EN201" i="2"/>
  <c r="EM201" i="2"/>
  <c r="EL201" i="2"/>
  <c r="EK201" i="2"/>
  <c r="EJ201" i="2"/>
  <c r="EI201" i="2"/>
  <c r="EH201" i="2"/>
  <c r="EG201" i="2"/>
  <c r="EF201" i="2"/>
  <c r="EE201" i="2"/>
  <c r="ED201" i="2"/>
  <c r="EC201" i="2"/>
  <c r="EB201" i="2"/>
  <c r="EA201" i="2"/>
  <c r="DZ201" i="2"/>
  <c r="DY201" i="2"/>
  <c r="DX201" i="2"/>
  <c r="DW201" i="2"/>
  <c r="DV201" i="2"/>
  <c r="DU201" i="2"/>
  <c r="DT201" i="2"/>
  <c r="DS201" i="2"/>
  <c r="DR201" i="2"/>
  <c r="DQ201" i="2"/>
  <c r="DP201" i="2"/>
  <c r="DO201" i="2"/>
  <c r="DN201" i="2"/>
  <c r="DM201" i="2"/>
  <c r="DL201" i="2"/>
  <c r="DK201" i="2"/>
  <c r="DJ201" i="2"/>
  <c r="DI201" i="2"/>
  <c r="DH201" i="2"/>
  <c r="DG201" i="2"/>
  <c r="DF201" i="2"/>
  <c r="DE201" i="2"/>
  <c r="DD201" i="2"/>
  <c r="DC201" i="2"/>
  <c r="DB201" i="2"/>
  <c r="DA201" i="2"/>
  <c r="CZ201" i="2"/>
  <c r="CY201" i="2"/>
  <c r="CX201" i="2"/>
  <c r="CW201" i="2"/>
  <c r="CV201" i="2"/>
  <c r="CU201" i="2"/>
  <c r="CT201" i="2"/>
  <c r="CS201" i="2"/>
  <c r="CR201" i="2"/>
  <c r="CQ201" i="2"/>
  <c r="CP201" i="2"/>
  <c r="CO201" i="2"/>
  <c r="CN201" i="2"/>
  <c r="CM201" i="2"/>
  <c r="CL201" i="2"/>
  <c r="CK201" i="2"/>
  <c r="CJ201" i="2"/>
  <c r="CI201" i="2"/>
  <c r="CH201" i="2"/>
  <c r="CG201" i="2"/>
  <c r="CF201" i="2"/>
  <c r="CE201" i="2"/>
  <c r="CD201" i="2"/>
  <c r="CC201" i="2"/>
  <c r="CB201" i="2"/>
  <c r="CA201" i="2"/>
  <c r="BZ201" i="2"/>
  <c r="BY201" i="2"/>
  <c r="BX201" i="2"/>
  <c r="BW201" i="2"/>
  <c r="BV201" i="2"/>
  <c r="BU201" i="2"/>
  <c r="BT201" i="2"/>
  <c r="BS201" i="2"/>
  <c r="BR201" i="2"/>
  <c r="BQ201" i="2"/>
  <c r="BP201" i="2"/>
  <c r="BO201" i="2"/>
  <c r="BN201" i="2"/>
  <c r="BM201" i="2"/>
  <c r="BL201" i="2"/>
  <c r="BK201" i="2"/>
  <c r="BJ201" i="2"/>
  <c r="BI201" i="2"/>
  <c r="BH201" i="2"/>
  <c r="BG201" i="2"/>
  <c r="BF201" i="2"/>
  <c r="BE201" i="2"/>
  <c r="BD201" i="2"/>
  <c r="BC201" i="2"/>
  <c r="BB201" i="2"/>
  <c r="BA201" i="2"/>
  <c r="AZ201" i="2"/>
  <c r="AY201" i="2"/>
  <c r="AX201" i="2"/>
  <c r="AW201" i="2"/>
  <c r="AV201" i="2"/>
  <c r="AU201" i="2"/>
  <c r="AT201" i="2"/>
  <c r="AS201" i="2"/>
  <c r="AR201" i="2"/>
  <c r="AQ201" i="2"/>
  <c r="AP201" i="2"/>
  <c r="AO201" i="2"/>
  <c r="AN201" i="2"/>
  <c r="AM201" i="2"/>
  <c r="AL201" i="2"/>
  <c r="AK201" i="2"/>
  <c r="AJ201" i="2"/>
  <c r="AI201" i="2"/>
  <c r="AH201" i="2"/>
  <c r="AG201" i="2"/>
  <c r="AF201" i="2"/>
  <c r="AE201" i="2"/>
  <c r="AD201" i="2"/>
  <c r="AC201" i="2"/>
  <c r="AB201" i="2"/>
  <c r="AA201" i="2"/>
  <c r="Z201" i="2"/>
  <c r="Y201" i="2"/>
  <c r="X201" i="2"/>
  <c r="W201" i="2"/>
  <c r="GX200" i="2"/>
  <c r="GW200" i="2"/>
  <c r="GV200" i="2"/>
  <c r="GU200" i="2"/>
  <c r="GT200" i="2"/>
  <c r="GS200" i="2"/>
  <c r="GR200" i="2"/>
  <c r="GQ200" i="2"/>
  <c r="GP200" i="2"/>
  <c r="GO200" i="2"/>
  <c r="GN200" i="2"/>
  <c r="GM200" i="2"/>
  <c r="GL200" i="2"/>
  <c r="GK200" i="2"/>
  <c r="GJ200" i="2"/>
  <c r="GI200" i="2"/>
  <c r="GH200" i="2"/>
  <c r="GG200" i="2"/>
  <c r="GF200" i="2"/>
  <c r="GE200" i="2"/>
  <c r="GD200" i="2"/>
  <c r="GC200" i="2"/>
  <c r="GB200" i="2"/>
  <c r="GA200" i="2"/>
  <c r="FZ200" i="2"/>
  <c r="FY200" i="2"/>
  <c r="FX200" i="2"/>
  <c r="FW200" i="2"/>
  <c r="FV200" i="2"/>
  <c r="FU200" i="2"/>
  <c r="FT200" i="2"/>
  <c r="FS200" i="2"/>
  <c r="FR200" i="2"/>
  <c r="FQ200" i="2"/>
  <c r="FP200" i="2"/>
  <c r="FO200" i="2"/>
  <c r="FN200" i="2"/>
  <c r="FM200" i="2"/>
  <c r="FL200" i="2"/>
  <c r="FK200" i="2"/>
  <c r="FJ200" i="2"/>
  <c r="FI200" i="2"/>
  <c r="FH200" i="2"/>
  <c r="FG200" i="2"/>
  <c r="FF200" i="2"/>
  <c r="FE200" i="2"/>
  <c r="FD200" i="2"/>
  <c r="FC200" i="2"/>
  <c r="FB200" i="2"/>
  <c r="FA200" i="2"/>
  <c r="EZ200" i="2"/>
  <c r="EY200" i="2"/>
  <c r="EX200" i="2"/>
  <c r="EW200" i="2"/>
  <c r="EV200" i="2"/>
  <c r="EU200" i="2"/>
  <c r="ET200" i="2"/>
  <c r="ES200" i="2"/>
  <c r="ER200" i="2"/>
  <c r="EQ200" i="2"/>
  <c r="EP200" i="2"/>
  <c r="EO200" i="2"/>
  <c r="EN200" i="2"/>
  <c r="EM200" i="2"/>
  <c r="EL200" i="2"/>
  <c r="EK200" i="2"/>
  <c r="EJ200" i="2"/>
  <c r="EI200" i="2"/>
  <c r="EH200" i="2"/>
  <c r="EG200" i="2"/>
  <c r="EF200" i="2"/>
  <c r="EE200" i="2"/>
  <c r="ED200" i="2"/>
  <c r="EC200" i="2"/>
  <c r="EB200" i="2"/>
  <c r="EA200" i="2"/>
  <c r="DZ200" i="2"/>
  <c r="DY200" i="2"/>
  <c r="DX200" i="2"/>
  <c r="DW200" i="2"/>
  <c r="DV200" i="2"/>
  <c r="DU200" i="2"/>
  <c r="DT200" i="2"/>
  <c r="DS200" i="2"/>
  <c r="DR200" i="2"/>
  <c r="DQ200" i="2"/>
  <c r="DP200" i="2"/>
  <c r="DO200" i="2"/>
  <c r="DN200" i="2"/>
  <c r="DM200" i="2"/>
  <c r="DL200" i="2"/>
  <c r="DK200" i="2"/>
  <c r="DJ200" i="2"/>
  <c r="DI200" i="2"/>
  <c r="DH200" i="2"/>
  <c r="DG200" i="2"/>
  <c r="DF200" i="2"/>
  <c r="DE200" i="2"/>
  <c r="DD200" i="2"/>
  <c r="DC200" i="2"/>
  <c r="DB200" i="2"/>
  <c r="DA200" i="2"/>
  <c r="CZ200" i="2"/>
  <c r="CY200" i="2"/>
  <c r="CX200" i="2"/>
  <c r="CW200" i="2"/>
  <c r="CV200" i="2"/>
  <c r="CU200" i="2"/>
  <c r="CT200" i="2"/>
  <c r="CS200" i="2"/>
  <c r="CR200" i="2"/>
  <c r="CQ200" i="2"/>
  <c r="CP200" i="2"/>
  <c r="CO200" i="2"/>
  <c r="CN200" i="2"/>
  <c r="CM200" i="2"/>
  <c r="CL200" i="2"/>
  <c r="CK200" i="2"/>
  <c r="CJ200" i="2"/>
  <c r="CI200" i="2"/>
  <c r="CH200" i="2"/>
  <c r="CG200" i="2"/>
  <c r="CF200" i="2"/>
  <c r="CE200" i="2"/>
  <c r="CD200" i="2"/>
  <c r="CC200" i="2"/>
  <c r="CB200" i="2"/>
  <c r="CA200" i="2"/>
  <c r="BZ200" i="2"/>
  <c r="BY200" i="2"/>
  <c r="BX200" i="2"/>
  <c r="BW200" i="2"/>
  <c r="BV200" i="2"/>
  <c r="BU200" i="2"/>
  <c r="BT200" i="2"/>
  <c r="BS200" i="2"/>
  <c r="BR200" i="2"/>
  <c r="BQ200" i="2"/>
  <c r="BP200" i="2"/>
  <c r="BO200" i="2"/>
  <c r="BN200" i="2"/>
  <c r="BM200" i="2"/>
  <c r="BL200" i="2"/>
  <c r="BK200" i="2"/>
  <c r="BJ200" i="2"/>
  <c r="BI200" i="2"/>
  <c r="BH200" i="2"/>
  <c r="BG200" i="2"/>
  <c r="BF200" i="2"/>
  <c r="BE200" i="2"/>
  <c r="BD200" i="2"/>
  <c r="BC200" i="2"/>
  <c r="BB200" i="2"/>
  <c r="BA200" i="2"/>
  <c r="AZ200" i="2"/>
  <c r="AY200" i="2"/>
  <c r="AX200" i="2"/>
  <c r="AW200" i="2"/>
  <c r="AV200" i="2"/>
  <c r="AU200" i="2"/>
  <c r="AT200" i="2"/>
  <c r="AS200" i="2"/>
  <c r="AR200" i="2"/>
  <c r="AQ200" i="2"/>
  <c r="AP200" i="2"/>
  <c r="AO200" i="2"/>
  <c r="AN200" i="2"/>
  <c r="AM200" i="2"/>
  <c r="AL200" i="2"/>
  <c r="AK200" i="2"/>
  <c r="AJ200" i="2"/>
  <c r="AI200" i="2"/>
  <c r="AH200" i="2"/>
  <c r="AG200" i="2"/>
  <c r="AF200" i="2"/>
  <c r="AE200" i="2"/>
  <c r="AD200" i="2"/>
  <c r="AC200" i="2"/>
  <c r="AB200" i="2"/>
  <c r="AA200" i="2"/>
  <c r="Z200" i="2"/>
  <c r="Y200" i="2"/>
  <c r="X200" i="2"/>
  <c r="W200" i="2"/>
  <c r="GX199" i="2"/>
  <c r="GW199" i="2"/>
  <c r="GV199" i="2"/>
  <c r="GU199" i="2"/>
  <c r="GT199" i="2"/>
  <c r="GS199" i="2"/>
  <c r="GR199" i="2"/>
  <c r="GQ199" i="2"/>
  <c r="GP199" i="2"/>
  <c r="GO199" i="2"/>
  <c r="GN199" i="2"/>
  <c r="GM199" i="2"/>
  <c r="GL199" i="2"/>
  <c r="GK199" i="2"/>
  <c r="GJ199" i="2"/>
  <c r="GI199" i="2"/>
  <c r="GH199" i="2"/>
  <c r="GG199" i="2"/>
  <c r="GF199" i="2"/>
  <c r="GE199" i="2"/>
  <c r="GD199" i="2"/>
  <c r="GC199" i="2"/>
  <c r="GB199" i="2"/>
  <c r="GA199" i="2"/>
  <c r="FZ199" i="2"/>
  <c r="FY199" i="2"/>
  <c r="FX199" i="2"/>
  <c r="FW199" i="2"/>
  <c r="FV199" i="2"/>
  <c r="FU199" i="2"/>
  <c r="FT199" i="2"/>
  <c r="FS199" i="2"/>
  <c r="FR199" i="2"/>
  <c r="FQ199" i="2"/>
  <c r="FP199" i="2"/>
  <c r="FO199" i="2"/>
  <c r="FN199" i="2"/>
  <c r="FM199" i="2"/>
  <c r="FL199" i="2"/>
  <c r="FK199" i="2"/>
  <c r="FJ199" i="2"/>
  <c r="FI199" i="2"/>
  <c r="FH199" i="2"/>
  <c r="FG199" i="2"/>
  <c r="FF199" i="2"/>
  <c r="FE199" i="2"/>
  <c r="FD199" i="2"/>
  <c r="FC199" i="2"/>
  <c r="FB199" i="2"/>
  <c r="FA199" i="2"/>
  <c r="EZ199" i="2"/>
  <c r="EY199" i="2"/>
  <c r="EX199" i="2"/>
  <c r="EW199" i="2"/>
  <c r="EV199" i="2"/>
  <c r="EU199" i="2"/>
  <c r="ET199" i="2"/>
  <c r="ES199" i="2"/>
  <c r="ER199" i="2"/>
  <c r="EQ199" i="2"/>
  <c r="EP199" i="2"/>
  <c r="EO199" i="2"/>
  <c r="EN199" i="2"/>
  <c r="EM199" i="2"/>
  <c r="EL199" i="2"/>
  <c r="EK199" i="2"/>
  <c r="EJ199" i="2"/>
  <c r="EI199" i="2"/>
  <c r="EH199" i="2"/>
  <c r="EG199" i="2"/>
  <c r="EF199" i="2"/>
  <c r="EE199" i="2"/>
  <c r="ED199" i="2"/>
  <c r="EC199" i="2"/>
  <c r="EB199" i="2"/>
  <c r="EA199" i="2"/>
  <c r="DZ199" i="2"/>
  <c r="DY199" i="2"/>
  <c r="DX199" i="2"/>
  <c r="DW199" i="2"/>
  <c r="DV199" i="2"/>
  <c r="DU199" i="2"/>
  <c r="DT199" i="2"/>
  <c r="DS199" i="2"/>
  <c r="DR199" i="2"/>
  <c r="DQ199" i="2"/>
  <c r="DP199" i="2"/>
  <c r="DO199" i="2"/>
  <c r="DN199" i="2"/>
  <c r="DM199" i="2"/>
  <c r="DL199" i="2"/>
  <c r="DK199" i="2"/>
  <c r="DJ199" i="2"/>
  <c r="DI199" i="2"/>
  <c r="DH199" i="2"/>
  <c r="DG199" i="2"/>
  <c r="DF199" i="2"/>
  <c r="DE199" i="2"/>
  <c r="DD199" i="2"/>
  <c r="DC199" i="2"/>
  <c r="DB199" i="2"/>
  <c r="DA199" i="2"/>
  <c r="CZ199" i="2"/>
  <c r="CY199" i="2"/>
  <c r="CX199" i="2"/>
  <c r="CW199" i="2"/>
  <c r="CV199" i="2"/>
  <c r="CU199" i="2"/>
  <c r="CT199" i="2"/>
  <c r="CS199" i="2"/>
  <c r="CR199" i="2"/>
  <c r="CQ199" i="2"/>
  <c r="CP199" i="2"/>
  <c r="CO199" i="2"/>
  <c r="CN199" i="2"/>
  <c r="CM199" i="2"/>
  <c r="CL199" i="2"/>
  <c r="CK199" i="2"/>
  <c r="CJ199" i="2"/>
  <c r="CI199" i="2"/>
  <c r="CH199" i="2"/>
  <c r="CG199" i="2"/>
  <c r="CF199" i="2"/>
  <c r="CE199" i="2"/>
  <c r="CD199" i="2"/>
  <c r="CC199" i="2"/>
  <c r="CB199" i="2"/>
  <c r="CA199" i="2"/>
  <c r="BZ199" i="2"/>
  <c r="BY199" i="2"/>
  <c r="BX199" i="2"/>
  <c r="BW199" i="2"/>
  <c r="BV199" i="2"/>
  <c r="BU199" i="2"/>
  <c r="BT199" i="2"/>
  <c r="BS199" i="2"/>
  <c r="BR199" i="2"/>
  <c r="BQ199" i="2"/>
  <c r="BP199" i="2"/>
  <c r="BO199" i="2"/>
  <c r="BN199" i="2"/>
  <c r="BM199" i="2"/>
  <c r="BL199" i="2"/>
  <c r="BK199" i="2"/>
  <c r="BJ199" i="2"/>
  <c r="BI199" i="2"/>
  <c r="BH199" i="2"/>
  <c r="BG199" i="2"/>
  <c r="BF199" i="2"/>
  <c r="BE199" i="2"/>
  <c r="BD199" i="2"/>
  <c r="BC199" i="2"/>
  <c r="BB199" i="2"/>
  <c r="BA199" i="2"/>
  <c r="AZ199" i="2"/>
  <c r="AY199" i="2"/>
  <c r="AX199" i="2"/>
  <c r="AW199" i="2"/>
  <c r="AV199" i="2"/>
  <c r="AU199" i="2"/>
  <c r="AT199" i="2"/>
  <c r="AS199" i="2"/>
  <c r="AR199" i="2"/>
  <c r="AQ199" i="2"/>
  <c r="AP199" i="2"/>
  <c r="AO199" i="2"/>
  <c r="AN199" i="2"/>
  <c r="AM199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X199" i="2"/>
  <c r="W199" i="2"/>
  <c r="GX198" i="2"/>
  <c r="GW198" i="2"/>
  <c r="GV198" i="2"/>
  <c r="GU198" i="2"/>
  <c r="GT198" i="2"/>
  <c r="GS198" i="2"/>
  <c r="GR198" i="2"/>
  <c r="GQ198" i="2"/>
  <c r="GP198" i="2"/>
  <c r="GO198" i="2"/>
  <c r="GN198" i="2"/>
  <c r="GM198" i="2"/>
  <c r="GL198" i="2"/>
  <c r="GK198" i="2"/>
  <c r="GJ198" i="2"/>
  <c r="GI198" i="2"/>
  <c r="GH198" i="2"/>
  <c r="GG198" i="2"/>
  <c r="GF198" i="2"/>
  <c r="GE198" i="2"/>
  <c r="GD198" i="2"/>
  <c r="GC198" i="2"/>
  <c r="GB198" i="2"/>
  <c r="GA198" i="2"/>
  <c r="FZ198" i="2"/>
  <c r="FY198" i="2"/>
  <c r="FX198" i="2"/>
  <c r="FW198" i="2"/>
  <c r="FV198" i="2"/>
  <c r="FU198" i="2"/>
  <c r="FT198" i="2"/>
  <c r="FS198" i="2"/>
  <c r="FR198" i="2"/>
  <c r="FQ198" i="2"/>
  <c r="FP198" i="2"/>
  <c r="FO198" i="2"/>
  <c r="FN198" i="2"/>
  <c r="FM198" i="2"/>
  <c r="FL198" i="2"/>
  <c r="FK198" i="2"/>
  <c r="FJ198" i="2"/>
  <c r="FI198" i="2"/>
  <c r="FH198" i="2"/>
  <c r="FG198" i="2"/>
  <c r="FF198" i="2"/>
  <c r="FE198" i="2"/>
  <c r="FD198" i="2"/>
  <c r="FC198" i="2"/>
  <c r="FB198" i="2"/>
  <c r="FA198" i="2"/>
  <c r="EZ198" i="2"/>
  <c r="EY198" i="2"/>
  <c r="EX198" i="2"/>
  <c r="EW198" i="2"/>
  <c r="EV198" i="2"/>
  <c r="EU198" i="2"/>
  <c r="ET198" i="2"/>
  <c r="ES198" i="2"/>
  <c r="ER198" i="2"/>
  <c r="EQ198" i="2"/>
  <c r="EP198" i="2"/>
  <c r="EO198" i="2"/>
  <c r="EN198" i="2"/>
  <c r="EM198" i="2"/>
  <c r="EL198" i="2"/>
  <c r="EK198" i="2"/>
  <c r="EJ198" i="2"/>
  <c r="EI198" i="2"/>
  <c r="EH198" i="2"/>
  <c r="EG198" i="2"/>
  <c r="EF198" i="2"/>
  <c r="EE198" i="2"/>
  <c r="ED198" i="2"/>
  <c r="EC198" i="2"/>
  <c r="EB198" i="2"/>
  <c r="EA198" i="2"/>
  <c r="DZ198" i="2"/>
  <c r="DY198" i="2"/>
  <c r="DX198" i="2"/>
  <c r="DW198" i="2"/>
  <c r="DV198" i="2"/>
  <c r="DU198" i="2"/>
  <c r="DT198" i="2"/>
  <c r="DS198" i="2"/>
  <c r="DR198" i="2"/>
  <c r="DQ198" i="2"/>
  <c r="DP198" i="2"/>
  <c r="DO198" i="2"/>
  <c r="DN198" i="2"/>
  <c r="DM198" i="2"/>
  <c r="DL198" i="2"/>
  <c r="DK198" i="2"/>
  <c r="DJ198" i="2"/>
  <c r="DI198" i="2"/>
  <c r="DH198" i="2"/>
  <c r="DG198" i="2"/>
  <c r="DF198" i="2"/>
  <c r="DE198" i="2"/>
  <c r="DD198" i="2"/>
  <c r="DC198" i="2"/>
  <c r="DB198" i="2"/>
  <c r="DA198" i="2"/>
  <c r="CZ198" i="2"/>
  <c r="CY198" i="2"/>
  <c r="CX198" i="2"/>
  <c r="CW198" i="2"/>
  <c r="CV198" i="2"/>
  <c r="CU198" i="2"/>
  <c r="CT198" i="2"/>
  <c r="CS198" i="2"/>
  <c r="CR198" i="2"/>
  <c r="CQ198" i="2"/>
  <c r="CP198" i="2"/>
  <c r="CO198" i="2"/>
  <c r="CN198" i="2"/>
  <c r="CM198" i="2"/>
  <c r="CL198" i="2"/>
  <c r="CK198" i="2"/>
  <c r="CJ198" i="2"/>
  <c r="CI198" i="2"/>
  <c r="CH198" i="2"/>
  <c r="CG198" i="2"/>
  <c r="CF198" i="2"/>
  <c r="CE198" i="2"/>
  <c r="CD198" i="2"/>
  <c r="CC198" i="2"/>
  <c r="CB198" i="2"/>
  <c r="CA198" i="2"/>
  <c r="BZ198" i="2"/>
  <c r="BY198" i="2"/>
  <c r="BX198" i="2"/>
  <c r="BW198" i="2"/>
  <c r="BV198" i="2"/>
  <c r="BU198" i="2"/>
  <c r="BT198" i="2"/>
  <c r="BS198" i="2"/>
  <c r="BR198" i="2"/>
  <c r="BQ198" i="2"/>
  <c r="BP198" i="2"/>
  <c r="BO198" i="2"/>
  <c r="BN198" i="2"/>
  <c r="BM198" i="2"/>
  <c r="BL198" i="2"/>
  <c r="BK198" i="2"/>
  <c r="BJ198" i="2"/>
  <c r="BI198" i="2"/>
  <c r="BH198" i="2"/>
  <c r="BG198" i="2"/>
  <c r="BF198" i="2"/>
  <c r="BE198" i="2"/>
  <c r="BD198" i="2"/>
  <c r="BC198" i="2"/>
  <c r="BB198" i="2"/>
  <c r="BA198" i="2"/>
  <c r="AZ198" i="2"/>
  <c r="AY198" i="2"/>
  <c r="AX198" i="2"/>
  <c r="AW198" i="2"/>
  <c r="AV198" i="2"/>
  <c r="AU198" i="2"/>
  <c r="AT198" i="2"/>
  <c r="AS198" i="2"/>
  <c r="AR198" i="2"/>
  <c r="AQ198" i="2"/>
  <c r="AP198" i="2"/>
  <c r="AO198" i="2"/>
  <c r="AN198" i="2"/>
  <c r="AM198" i="2"/>
  <c r="AL198" i="2"/>
  <c r="AK198" i="2"/>
  <c r="AJ198" i="2"/>
  <c r="AI198" i="2"/>
  <c r="AH198" i="2"/>
  <c r="AG198" i="2"/>
  <c r="AF198" i="2"/>
  <c r="AE198" i="2"/>
  <c r="AD198" i="2"/>
  <c r="AC198" i="2"/>
  <c r="AB198" i="2"/>
  <c r="AA198" i="2"/>
  <c r="Z198" i="2"/>
  <c r="Y198" i="2"/>
  <c r="X198" i="2"/>
  <c r="W198" i="2"/>
  <c r="GX197" i="2"/>
  <c r="GW197" i="2"/>
  <c r="GV197" i="2"/>
  <c r="GU197" i="2"/>
  <c r="GT197" i="2"/>
  <c r="GS197" i="2"/>
  <c r="GR197" i="2"/>
  <c r="GQ197" i="2"/>
  <c r="GP197" i="2"/>
  <c r="GO197" i="2"/>
  <c r="GN197" i="2"/>
  <c r="GM197" i="2"/>
  <c r="GL197" i="2"/>
  <c r="GK197" i="2"/>
  <c r="GJ197" i="2"/>
  <c r="GI197" i="2"/>
  <c r="GH197" i="2"/>
  <c r="GG197" i="2"/>
  <c r="GF197" i="2"/>
  <c r="GE197" i="2"/>
  <c r="GD197" i="2"/>
  <c r="GC197" i="2"/>
  <c r="GB197" i="2"/>
  <c r="GA197" i="2"/>
  <c r="FZ197" i="2"/>
  <c r="FY197" i="2"/>
  <c r="FX197" i="2"/>
  <c r="FW197" i="2"/>
  <c r="FV197" i="2"/>
  <c r="FU197" i="2"/>
  <c r="FT197" i="2"/>
  <c r="FS197" i="2"/>
  <c r="FR197" i="2"/>
  <c r="FQ197" i="2"/>
  <c r="FP197" i="2"/>
  <c r="FO197" i="2"/>
  <c r="FN197" i="2"/>
  <c r="FM197" i="2"/>
  <c r="FL197" i="2"/>
  <c r="FK197" i="2"/>
  <c r="FJ197" i="2"/>
  <c r="FI197" i="2"/>
  <c r="FH197" i="2"/>
  <c r="FG197" i="2"/>
  <c r="FF197" i="2"/>
  <c r="FE197" i="2"/>
  <c r="FD197" i="2"/>
  <c r="FC197" i="2"/>
  <c r="FB197" i="2"/>
  <c r="FA197" i="2"/>
  <c r="EZ197" i="2"/>
  <c r="EY197" i="2"/>
  <c r="EX197" i="2"/>
  <c r="EW197" i="2"/>
  <c r="EV197" i="2"/>
  <c r="EU197" i="2"/>
  <c r="ET197" i="2"/>
  <c r="ES197" i="2"/>
  <c r="ER197" i="2"/>
  <c r="EQ197" i="2"/>
  <c r="EP197" i="2"/>
  <c r="EO197" i="2"/>
  <c r="EN197" i="2"/>
  <c r="EM197" i="2"/>
  <c r="EL197" i="2"/>
  <c r="EK197" i="2"/>
  <c r="EJ197" i="2"/>
  <c r="EI197" i="2"/>
  <c r="EH197" i="2"/>
  <c r="EG197" i="2"/>
  <c r="EF197" i="2"/>
  <c r="EE197" i="2"/>
  <c r="ED197" i="2"/>
  <c r="EC197" i="2"/>
  <c r="EB197" i="2"/>
  <c r="EA197" i="2"/>
  <c r="DZ197" i="2"/>
  <c r="DY197" i="2"/>
  <c r="DX197" i="2"/>
  <c r="DW197" i="2"/>
  <c r="DV197" i="2"/>
  <c r="DU197" i="2"/>
  <c r="DT197" i="2"/>
  <c r="DS197" i="2"/>
  <c r="DR197" i="2"/>
  <c r="DQ197" i="2"/>
  <c r="DP197" i="2"/>
  <c r="DO197" i="2"/>
  <c r="DN197" i="2"/>
  <c r="DM197" i="2"/>
  <c r="DL197" i="2"/>
  <c r="DK197" i="2"/>
  <c r="DJ197" i="2"/>
  <c r="DI197" i="2"/>
  <c r="DH197" i="2"/>
  <c r="DG197" i="2"/>
  <c r="DF197" i="2"/>
  <c r="DE197" i="2"/>
  <c r="DD197" i="2"/>
  <c r="DC197" i="2"/>
  <c r="DB197" i="2"/>
  <c r="DA197" i="2"/>
  <c r="CZ197" i="2"/>
  <c r="CY197" i="2"/>
  <c r="CX197" i="2"/>
  <c r="CW197" i="2"/>
  <c r="CV197" i="2"/>
  <c r="CU197" i="2"/>
  <c r="CT197" i="2"/>
  <c r="CS197" i="2"/>
  <c r="CR197" i="2"/>
  <c r="CQ197" i="2"/>
  <c r="CP197" i="2"/>
  <c r="CO197" i="2"/>
  <c r="CN197" i="2"/>
  <c r="CM197" i="2"/>
  <c r="CL197" i="2"/>
  <c r="CK197" i="2"/>
  <c r="CJ197" i="2"/>
  <c r="CI197" i="2"/>
  <c r="CH197" i="2"/>
  <c r="CG197" i="2"/>
  <c r="CF197" i="2"/>
  <c r="CE197" i="2"/>
  <c r="CD197" i="2"/>
  <c r="CC197" i="2"/>
  <c r="CB197" i="2"/>
  <c r="CA197" i="2"/>
  <c r="BZ197" i="2"/>
  <c r="BY197" i="2"/>
  <c r="BX197" i="2"/>
  <c r="BW197" i="2"/>
  <c r="BV197" i="2"/>
  <c r="BU197" i="2"/>
  <c r="BT197" i="2"/>
  <c r="BS197" i="2"/>
  <c r="BR197" i="2"/>
  <c r="BQ197" i="2"/>
  <c r="BP197" i="2"/>
  <c r="BO197" i="2"/>
  <c r="BN197" i="2"/>
  <c r="BM197" i="2"/>
  <c r="BL197" i="2"/>
  <c r="BK197" i="2"/>
  <c r="BJ197" i="2"/>
  <c r="BI197" i="2"/>
  <c r="BH197" i="2"/>
  <c r="BG197" i="2"/>
  <c r="BF197" i="2"/>
  <c r="BE197" i="2"/>
  <c r="BD197" i="2"/>
  <c r="BC197" i="2"/>
  <c r="BB197" i="2"/>
  <c r="BA197" i="2"/>
  <c r="AZ197" i="2"/>
  <c r="AY197" i="2"/>
  <c r="AX197" i="2"/>
  <c r="AW197" i="2"/>
  <c r="AV197" i="2"/>
  <c r="AU197" i="2"/>
  <c r="AT197" i="2"/>
  <c r="AS197" i="2"/>
  <c r="AR197" i="2"/>
  <c r="AQ197" i="2"/>
  <c r="AP197" i="2"/>
  <c r="AO197" i="2"/>
  <c r="AN197" i="2"/>
  <c r="AM197" i="2"/>
  <c r="AL197" i="2"/>
  <c r="AK197" i="2"/>
  <c r="AJ197" i="2"/>
  <c r="AI197" i="2"/>
  <c r="AH197" i="2"/>
  <c r="AG197" i="2"/>
  <c r="AF197" i="2"/>
  <c r="AE197" i="2"/>
  <c r="AD197" i="2"/>
  <c r="AC197" i="2"/>
  <c r="AB197" i="2"/>
  <c r="AA197" i="2"/>
  <c r="Z197" i="2"/>
  <c r="Y197" i="2"/>
  <c r="X197" i="2"/>
  <c r="W197" i="2"/>
  <c r="GX159" i="2"/>
  <c r="GW159" i="2"/>
  <c r="GV159" i="2"/>
  <c r="GU159" i="2"/>
  <c r="GT159" i="2"/>
  <c r="GS159" i="2"/>
  <c r="GR159" i="2"/>
  <c r="GQ159" i="2"/>
  <c r="GP159" i="2"/>
  <c r="GO159" i="2"/>
  <c r="GN159" i="2"/>
  <c r="GM159" i="2"/>
  <c r="GL159" i="2"/>
  <c r="GK159" i="2"/>
  <c r="GJ159" i="2"/>
  <c r="GI159" i="2"/>
  <c r="GH159" i="2"/>
  <c r="GG159" i="2"/>
  <c r="GF159" i="2"/>
  <c r="GE159" i="2"/>
  <c r="GD159" i="2"/>
  <c r="GC159" i="2"/>
  <c r="GB159" i="2"/>
  <c r="GA159" i="2"/>
  <c r="FZ159" i="2"/>
  <c r="FY159" i="2"/>
  <c r="FX159" i="2"/>
  <c r="FW159" i="2"/>
  <c r="FV159" i="2"/>
  <c r="FU159" i="2"/>
  <c r="FT159" i="2"/>
  <c r="FS159" i="2"/>
  <c r="FR159" i="2"/>
  <c r="FQ159" i="2"/>
  <c r="FP159" i="2"/>
  <c r="FO159" i="2"/>
  <c r="FN159" i="2"/>
  <c r="FM159" i="2"/>
  <c r="FL159" i="2"/>
  <c r="FK159" i="2"/>
  <c r="FJ159" i="2"/>
  <c r="FI159" i="2"/>
  <c r="FH159" i="2"/>
  <c r="FG159" i="2"/>
  <c r="FF159" i="2"/>
  <c r="FE159" i="2"/>
  <c r="FD159" i="2"/>
  <c r="FC159" i="2"/>
  <c r="FB159" i="2"/>
  <c r="FA159" i="2"/>
  <c r="EZ159" i="2"/>
  <c r="EY159" i="2"/>
  <c r="EX159" i="2"/>
  <c r="EW159" i="2"/>
  <c r="EV159" i="2"/>
  <c r="EU159" i="2"/>
  <c r="ET159" i="2"/>
  <c r="ES159" i="2"/>
  <c r="ER159" i="2"/>
  <c r="EQ159" i="2"/>
  <c r="EP159" i="2"/>
  <c r="EO159" i="2"/>
  <c r="EN159" i="2"/>
  <c r="EM159" i="2"/>
  <c r="EL159" i="2"/>
  <c r="EK159" i="2"/>
  <c r="EJ159" i="2"/>
  <c r="EI159" i="2"/>
  <c r="EH159" i="2"/>
  <c r="EG159" i="2"/>
  <c r="EF159" i="2"/>
  <c r="EE159" i="2"/>
  <c r="ED159" i="2"/>
  <c r="EC159" i="2"/>
  <c r="EB159" i="2"/>
  <c r="EA159" i="2"/>
  <c r="DZ159" i="2"/>
  <c r="DY159" i="2"/>
  <c r="DX159" i="2"/>
  <c r="DW159" i="2"/>
  <c r="DV159" i="2"/>
  <c r="DU159" i="2"/>
  <c r="DT159" i="2"/>
  <c r="DS159" i="2"/>
  <c r="DR159" i="2"/>
  <c r="DQ159" i="2"/>
  <c r="DP159" i="2"/>
  <c r="DO159" i="2"/>
  <c r="DN159" i="2"/>
  <c r="DM159" i="2"/>
  <c r="DL159" i="2"/>
  <c r="DK159" i="2"/>
  <c r="DJ159" i="2"/>
  <c r="DI159" i="2"/>
  <c r="DH159" i="2"/>
  <c r="DG159" i="2"/>
  <c r="DF159" i="2"/>
  <c r="DE159" i="2"/>
  <c r="DD159" i="2"/>
  <c r="DC159" i="2"/>
  <c r="DB159" i="2"/>
  <c r="DA159" i="2"/>
  <c r="CZ159" i="2"/>
  <c r="CY159" i="2"/>
  <c r="CX159" i="2"/>
  <c r="CW159" i="2"/>
  <c r="CV159" i="2"/>
  <c r="CU159" i="2"/>
  <c r="CT159" i="2"/>
  <c r="CS159" i="2"/>
  <c r="CR159" i="2"/>
  <c r="CQ159" i="2"/>
  <c r="CP159" i="2"/>
  <c r="CO159" i="2"/>
  <c r="CN159" i="2"/>
  <c r="CM159" i="2"/>
  <c r="CL159" i="2"/>
  <c r="CK159" i="2"/>
  <c r="CJ159" i="2"/>
  <c r="CI159" i="2"/>
  <c r="CH159" i="2"/>
  <c r="CG159" i="2"/>
  <c r="CF159" i="2"/>
  <c r="CE159" i="2"/>
  <c r="CD159" i="2"/>
  <c r="CC159" i="2"/>
  <c r="CB159" i="2"/>
  <c r="CA159" i="2"/>
  <c r="BZ159" i="2"/>
  <c r="BY159" i="2"/>
  <c r="BX159" i="2"/>
  <c r="BW159" i="2"/>
  <c r="BV159" i="2"/>
  <c r="BU159" i="2"/>
  <c r="BT159" i="2"/>
  <c r="BS159" i="2"/>
  <c r="BR159" i="2"/>
  <c r="BQ159" i="2"/>
  <c r="BP159" i="2"/>
  <c r="BO159" i="2"/>
  <c r="BN159" i="2"/>
  <c r="BM159" i="2"/>
  <c r="BL159" i="2"/>
  <c r="BK159" i="2"/>
  <c r="BJ159" i="2"/>
  <c r="BI159" i="2"/>
  <c r="BH159" i="2"/>
  <c r="BG159" i="2"/>
  <c r="BF159" i="2"/>
  <c r="BE159" i="2"/>
  <c r="BD159" i="2"/>
  <c r="BC159" i="2"/>
  <c r="BB159" i="2"/>
  <c r="BA159" i="2"/>
  <c r="AZ159" i="2"/>
  <c r="AY159" i="2"/>
  <c r="AX159" i="2"/>
  <c r="AW159" i="2"/>
  <c r="AV159" i="2"/>
  <c r="AU159" i="2"/>
  <c r="AT159" i="2"/>
  <c r="AS159" i="2"/>
  <c r="AR159" i="2"/>
  <c r="AQ159" i="2"/>
  <c r="AP159" i="2"/>
  <c r="AO159" i="2"/>
  <c r="AN159" i="2"/>
  <c r="AM159" i="2"/>
  <c r="AL159" i="2"/>
  <c r="AK159" i="2"/>
  <c r="AJ159" i="2"/>
  <c r="AI159" i="2"/>
  <c r="AH159" i="2"/>
  <c r="AG159" i="2"/>
  <c r="AF159" i="2"/>
  <c r="AE159" i="2"/>
  <c r="AD159" i="2"/>
  <c r="AC159" i="2"/>
  <c r="AB159" i="2"/>
  <c r="AA159" i="2"/>
  <c r="Z159" i="2"/>
  <c r="Y159" i="2"/>
  <c r="X159" i="2"/>
  <c r="W159" i="2"/>
  <c r="GX158" i="2"/>
  <c r="GW158" i="2"/>
  <c r="GV158" i="2"/>
  <c r="GU158" i="2"/>
  <c r="GT158" i="2"/>
  <c r="GS158" i="2"/>
  <c r="GR158" i="2"/>
  <c r="GQ158" i="2"/>
  <c r="GP158" i="2"/>
  <c r="GO158" i="2"/>
  <c r="GN158" i="2"/>
  <c r="GM158" i="2"/>
  <c r="GL158" i="2"/>
  <c r="GK158" i="2"/>
  <c r="GJ158" i="2"/>
  <c r="GI158" i="2"/>
  <c r="GH158" i="2"/>
  <c r="GG158" i="2"/>
  <c r="GF158" i="2"/>
  <c r="GE158" i="2"/>
  <c r="GD158" i="2"/>
  <c r="GC158" i="2"/>
  <c r="GB158" i="2"/>
  <c r="GA158" i="2"/>
  <c r="FZ158" i="2"/>
  <c r="FY158" i="2"/>
  <c r="FX158" i="2"/>
  <c r="FW158" i="2"/>
  <c r="FV158" i="2"/>
  <c r="FU158" i="2"/>
  <c r="FT158" i="2"/>
  <c r="FS158" i="2"/>
  <c r="FR158" i="2"/>
  <c r="FQ158" i="2"/>
  <c r="FP158" i="2"/>
  <c r="FO158" i="2"/>
  <c r="FN158" i="2"/>
  <c r="FM158" i="2"/>
  <c r="FL158" i="2"/>
  <c r="FK158" i="2"/>
  <c r="FJ158" i="2"/>
  <c r="FI158" i="2"/>
  <c r="FH158" i="2"/>
  <c r="FG158" i="2"/>
  <c r="FF158" i="2"/>
  <c r="FE158" i="2"/>
  <c r="FD158" i="2"/>
  <c r="FC158" i="2"/>
  <c r="FB158" i="2"/>
  <c r="FA158" i="2"/>
  <c r="EZ158" i="2"/>
  <c r="EY158" i="2"/>
  <c r="EX158" i="2"/>
  <c r="EW158" i="2"/>
  <c r="EV158" i="2"/>
  <c r="EU158" i="2"/>
  <c r="ET158" i="2"/>
  <c r="ES158" i="2"/>
  <c r="ER158" i="2"/>
  <c r="EQ158" i="2"/>
  <c r="EP158" i="2"/>
  <c r="EO158" i="2"/>
  <c r="EN158" i="2"/>
  <c r="EM158" i="2"/>
  <c r="EL158" i="2"/>
  <c r="EK158" i="2"/>
  <c r="EJ158" i="2"/>
  <c r="EI158" i="2"/>
  <c r="EH158" i="2"/>
  <c r="EG158" i="2"/>
  <c r="EF158" i="2"/>
  <c r="EE158" i="2"/>
  <c r="ED158" i="2"/>
  <c r="EC158" i="2"/>
  <c r="EB158" i="2"/>
  <c r="EA158" i="2"/>
  <c r="DZ158" i="2"/>
  <c r="DY158" i="2"/>
  <c r="DX158" i="2"/>
  <c r="DW158" i="2"/>
  <c r="DV158" i="2"/>
  <c r="DU158" i="2"/>
  <c r="DT158" i="2"/>
  <c r="DS158" i="2"/>
  <c r="DR158" i="2"/>
  <c r="DQ158" i="2"/>
  <c r="DP158" i="2"/>
  <c r="DO158" i="2"/>
  <c r="DN158" i="2"/>
  <c r="DM158" i="2"/>
  <c r="DL158" i="2"/>
  <c r="DK158" i="2"/>
  <c r="DJ158" i="2"/>
  <c r="DI158" i="2"/>
  <c r="DH158" i="2"/>
  <c r="DG158" i="2"/>
  <c r="DF158" i="2"/>
  <c r="DE158" i="2"/>
  <c r="DD158" i="2"/>
  <c r="DC158" i="2"/>
  <c r="DB158" i="2"/>
  <c r="DA158" i="2"/>
  <c r="CZ158" i="2"/>
  <c r="CY158" i="2"/>
  <c r="CX158" i="2"/>
  <c r="CW158" i="2"/>
  <c r="CV158" i="2"/>
  <c r="CU158" i="2"/>
  <c r="CT158" i="2"/>
  <c r="CS158" i="2"/>
  <c r="CR158" i="2"/>
  <c r="CQ158" i="2"/>
  <c r="CP158" i="2"/>
  <c r="CO158" i="2"/>
  <c r="CN158" i="2"/>
  <c r="CM158" i="2"/>
  <c r="CL158" i="2"/>
  <c r="CK158" i="2"/>
  <c r="CJ158" i="2"/>
  <c r="CI158" i="2"/>
  <c r="CH158" i="2"/>
  <c r="CG158" i="2"/>
  <c r="CF158" i="2"/>
  <c r="CE158" i="2"/>
  <c r="CD158" i="2"/>
  <c r="CC158" i="2"/>
  <c r="CB158" i="2"/>
  <c r="CA158" i="2"/>
  <c r="BZ158" i="2"/>
  <c r="BY158" i="2"/>
  <c r="BX158" i="2"/>
  <c r="BW158" i="2"/>
  <c r="BV158" i="2"/>
  <c r="BU158" i="2"/>
  <c r="BT158" i="2"/>
  <c r="BS158" i="2"/>
  <c r="BR158" i="2"/>
  <c r="BQ158" i="2"/>
  <c r="BP158" i="2"/>
  <c r="BO158" i="2"/>
  <c r="BN158" i="2"/>
  <c r="BM158" i="2"/>
  <c r="BL158" i="2"/>
  <c r="BK158" i="2"/>
  <c r="BJ158" i="2"/>
  <c r="BI158" i="2"/>
  <c r="BH158" i="2"/>
  <c r="BG158" i="2"/>
  <c r="BF158" i="2"/>
  <c r="BE158" i="2"/>
  <c r="BD158" i="2"/>
  <c r="BC158" i="2"/>
  <c r="BB158" i="2"/>
  <c r="BA158" i="2"/>
  <c r="AZ158" i="2"/>
  <c r="AY158" i="2"/>
  <c r="AX158" i="2"/>
  <c r="AW158" i="2"/>
  <c r="AV158" i="2"/>
  <c r="AU158" i="2"/>
  <c r="AT158" i="2"/>
  <c r="AS158" i="2"/>
  <c r="AR158" i="2"/>
  <c r="AQ158" i="2"/>
  <c r="AP158" i="2"/>
  <c r="AO158" i="2"/>
  <c r="AN158" i="2"/>
  <c r="AM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Y158" i="2"/>
  <c r="X158" i="2"/>
  <c r="W158" i="2"/>
  <c r="GX157" i="2"/>
  <c r="GW157" i="2"/>
  <c r="GV157" i="2"/>
  <c r="GU157" i="2"/>
  <c r="GT157" i="2"/>
  <c r="GS157" i="2"/>
  <c r="GR157" i="2"/>
  <c r="GQ157" i="2"/>
  <c r="GP157" i="2"/>
  <c r="GO157" i="2"/>
  <c r="GN157" i="2"/>
  <c r="GM157" i="2"/>
  <c r="GL157" i="2"/>
  <c r="GK157" i="2"/>
  <c r="GJ157" i="2"/>
  <c r="GI157" i="2"/>
  <c r="GH157" i="2"/>
  <c r="GG157" i="2"/>
  <c r="GF157" i="2"/>
  <c r="GE157" i="2"/>
  <c r="GD157" i="2"/>
  <c r="GC157" i="2"/>
  <c r="GB157" i="2"/>
  <c r="GA157" i="2"/>
  <c r="FZ157" i="2"/>
  <c r="FY157" i="2"/>
  <c r="FX157" i="2"/>
  <c r="FW157" i="2"/>
  <c r="FV157" i="2"/>
  <c r="FU157" i="2"/>
  <c r="FT157" i="2"/>
  <c r="FS157" i="2"/>
  <c r="FR157" i="2"/>
  <c r="FQ157" i="2"/>
  <c r="FP157" i="2"/>
  <c r="FO157" i="2"/>
  <c r="FN157" i="2"/>
  <c r="FM157" i="2"/>
  <c r="FL157" i="2"/>
  <c r="FK157" i="2"/>
  <c r="FJ157" i="2"/>
  <c r="FI157" i="2"/>
  <c r="FH157" i="2"/>
  <c r="FG157" i="2"/>
  <c r="FF157" i="2"/>
  <c r="FE157" i="2"/>
  <c r="FD157" i="2"/>
  <c r="FC157" i="2"/>
  <c r="FB157" i="2"/>
  <c r="FA157" i="2"/>
  <c r="EZ157" i="2"/>
  <c r="EY157" i="2"/>
  <c r="EX157" i="2"/>
  <c r="EW157" i="2"/>
  <c r="EV157" i="2"/>
  <c r="EU157" i="2"/>
  <c r="ET157" i="2"/>
  <c r="ES157" i="2"/>
  <c r="ER157" i="2"/>
  <c r="EQ157" i="2"/>
  <c r="EP157" i="2"/>
  <c r="EO157" i="2"/>
  <c r="EN157" i="2"/>
  <c r="EM157" i="2"/>
  <c r="EL157" i="2"/>
  <c r="EK157" i="2"/>
  <c r="EJ157" i="2"/>
  <c r="EI157" i="2"/>
  <c r="EH157" i="2"/>
  <c r="EG157" i="2"/>
  <c r="EF157" i="2"/>
  <c r="EE157" i="2"/>
  <c r="ED157" i="2"/>
  <c r="EC157" i="2"/>
  <c r="EB157" i="2"/>
  <c r="EA157" i="2"/>
  <c r="DZ157" i="2"/>
  <c r="DY157" i="2"/>
  <c r="DX157" i="2"/>
  <c r="DW157" i="2"/>
  <c r="DV157" i="2"/>
  <c r="DU157" i="2"/>
  <c r="DT157" i="2"/>
  <c r="DS157" i="2"/>
  <c r="DR157" i="2"/>
  <c r="DQ157" i="2"/>
  <c r="DP157" i="2"/>
  <c r="DO157" i="2"/>
  <c r="DN157" i="2"/>
  <c r="DM157" i="2"/>
  <c r="DL157" i="2"/>
  <c r="DK157" i="2"/>
  <c r="DJ157" i="2"/>
  <c r="DI157" i="2"/>
  <c r="DH157" i="2"/>
  <c r="DG157" i="2"/>
  <c r="DF157" i="2"/>
  <c r="DE157" i="2"/>
  <c r="DD157" i="2"/>
  <c r="DC157" i="2"/>
  <c r="DB157" i="2"/>
  <c r="DA157" i="2"/>
  <c r="CZ157" i="2"/>
  <c r="CY157" i="2"/>
  <c r="CX157" i="2"/>
  <c r="CW157" i="2"/>
  <c r="CV157" i="2"/>
  <c r="CU157" i="2"/>
  <c r="CT157" i="2"/>
  <c r="CS157" i="2"/>
  <c r="CR157" i="2"/>
  <c r="CQ157" i="2"/>
  <c r="CP157" i="2"/>
  <c r="CO157" i="2"/>
  <c r="CN157" i="2"/>
  <c r="CM157" i="2"/>
  <c r="CL157" i="2"/>
  <c r="CK157" i="2"/>
  <c r="CJ157" i="2"/>
  <c r="CI157" i="2"/>
  <c r="CH157" i="2"/>
  <c r="CG157" i="2"/>
  <c r="CF157" i="2"/>
  <c r="CE157" i="2"/>
  <c r="CD157" i="2"/>
  <c r="CC157" i="2"/>
  <c r="CB157" i="2"/>
  <c r="CA157" i="2"/>
  <c r="BZ157" i="2"/>
  <c r="BY157" i="2"/>
  <c r="BX157" i="2"/>
  <c r="BW157" i="2"/>
  <c r="BV157" i="2"/>
  <c r="BU157" i="2"/>
  <c r="BT157" i="2"/>
  <c r="BS157" i="2"/>
  <c r="BR157" i="2"/>
  <c r="BQ157" i="2"/>
  <c r="BP157" i="2"/>
  <c r="BO157" i="2"/>
  <c r="BN157" i="2"/>
  <c r="BM157" i="2"/>
  <c r="BL157" i="2"/>
  <c r="BK157" i="2"/>
  <c r="BJ157" i="2"/>
  <c r="BI157" i="2"/>
  <c r="BH157" i="2"/>
  <c r="BG157" i="2"/>
  <c r="BF157" i="2"/>
  <c r="BE157" i="2"/>
  <c r="BD157" i="2"/>
  <c r="BC157" i="2"/>
  <c r="BB157" i="2"/>
  <c r="BA157" i="2"/>
  <c r="AZ157" i="2"/>
  <c r="AY157" i="2"/>
  <c r="AX157" i="2"/>
  <c r="AW157" i="2"/>
  <c r="AV157" i="2"/>
  <c r="AU157" i="2"/>
  <c r="AT157" i="2"/>
  <c r="AS157" i="2"/>
  <c r="AR157" i="2"/>
  <c r="AQ157" i="2"/>
  <c r="AP157" i="2"/>
  <c r="AO157" i="2"/>
  <c r="AN157" i="2"/>
  <c r="AM157" i="2"/>
  <c r="AL157" i="2"/>
  <c r="AK157" i="2"/>
  <c r="AJ157" i="2"/>
  <c r="AI157" i="2"/>
  <c r="AH157" i="2"/>
  <c r="AG157" i="2"/>
  <c r="AF157" i="2"/>
  <c r="AE157" i="2"/>
  <c r="AD157" i="2"/>
  <c r="AC157" i="2"/>
  <c r="AB157" i="2"/>
  <c r="AA157" i="2"/>
  <c r="Z157" i="2"/>
  <c r="Y157" i="2"/>
  <c r="X157" i="2"/>
  <c r="W157" i="2"/>
  <c r="GX156" i="2"/>
  <c r="GW156" i="2"/>
  <c r="GV156" i="2"/>
  <c r="GU156" i="2"/>
  <c r="GT156" i="2"/>
  <c r="GS156" i="2"/>
  <c r="GR156" i="2"/>
  <c r="GQ156" i="2"/>
  <c r="GP156" i="2"/>
  <c r="GO156" i="2"/>
  <c r="GN156" i="2"/>
  <c r="GM156" i="2"/>
  <c r="GL156" i="2"/>
  <c r="GK156" i="2"/>
  <c r="GJ156" i="2"/>
  <c r="GI156" i="2"/>
  <c r="GH156" i="2"/>
  <c r="GG156" i="2"/>
  <c r="GF156" i="2"/>
  <c r="GE156" i="2"/>
  <c r="GD156" i="2"/>
  <c r="GC156" i="2"/>
  <c r="GB156" i="2"/>
  <c r="GA156" i="2"/>
  <c r="FZ156" i="2"/>
  <c r="FY156" i="2"/>
  <c r="FX156" i="2"/>
  <c r="FW156" i="2"/>
  <c r="FV156" i="2"/>
  <c r="FU156" i="2"/>
  <c r="FT156" i="2"/>
  <c r="FS156" i="2"/>
  <c r="FR156" i="2"/>
  <c r="FQ156" i="2"/>
  <c r="FP156" i="2"/>
  <c r="FO156" i="2"/>
  <c r="FN156" i="2"/>
  <c r="FM156" i="2"/>
  <c r="FL156" i="2"/>
  <c r="FK156" i="2"/>
  <c r="FJ156" i="2"/>
  <c r="FI156" i="2"/>
  <c r="FH156" i="2"/>
  <c r="FG156" i="2"/>
  <c r="FF156" i="2"/>
  <c r="FE156" i="2"/>
  <c r="FD156" i="2"/>
  <c r="FC156" i="2"/>
  <c r="FB156" i="2"/>
  <c r="FA156" i="2"/>
  <c r="EZ156" i="2"/>
  <c r="EY156" i="2"/>
  <c r="EX156" i="2"/>
  <c r="EW156" i="2"/>
  <c r="EV156" i="2"/>
  <c r="EU156" i="2"/>
  <c r="ET156" i="2"/>
  <c r="ES156" i="2"/>
  <c r="ER156" i="2"/>
  <c r="EQ156" i="2"/>
  <c r="EP156" i="2"/>
  <c r="EO156" i="2"/>
  <c r="EN156" i="2"/>
  <c r="EM156" i="2"/>
  <c r="EL156" i="2"/>
  <c r="EK156" i="2"/>
  <c r="EJ156" i="2"/>
  <c r="EI156" i="2"/>
  <c r="EH156" i="2"/>
  <c r="EG156" i="2"/>
  <c r="EF156" i="2"/>
  <c r="EE156" i="2"/>
  <c r="ED156" i="2"/>
  <c r="EC156" i="2"/>
  <c r="EB156" i="2"/>
  <c r="EA156" i="2"/>
  <c r="DZ156" i="2"/>
  <c r="DY156" i="2"/>
  <c r="DX156" i="2"/>
  <c r="DW156" i="2"/>
  <c r="DV156" i="2"/>
  <c r="DU156" i="2"/>
  <c r="DT156" i="2"/>
  <c r="DS156" i="2"/>
  <c r="DR156" i="2"/>
  <c r="DQ156" i="2"/>
  <c r="DP156" i="2"/>
  <c r="DO156" i="2"/>
  <c r="DN156" i="2"/>
  <c r="DM156" i="2"/>
  <c r="DL156" i="2"/>
  <c r="DK156" i="2"/>
  <c r="DJ156" i="2"/>
  <c r="DI156" i="2"/>
  <c r="DH156" i="2"/>
  <c r="DG156" i="2"/>
  <c r="DF156" i="2"/>
  <c r="DE156" i="2"/>
  <c r="DD156" i="2"/>
  <c r="DC156" i="2"/>
  <c r="DB156" i="2"/>
  <c r="DA156" i="2"/>
  <c r="CZ156" i="2"/>
  <c r="CY156" i="2"/>
  <c r="CX156" i="2"/>
  <c r="CW156" i="2"/>
  <c r="CV156" i="2"/>
  <c r="CU156" i="2"/>
  <c r="CT156" i="2"/>
  <c r="CS156" i="2"/>
  <c r="CR156" i="2"/>
  <c r="CQ156" i="2"/>
  <c r="CP156" i="2"/>
  <c r="CO156" i="2"/>
  <c r="CN156" i="2"/>
  <c r="CM156" i="2"/>
  <c r="CL156" i="2"/>
  <c r="CK156" i="2"/>
  <c r="CJ156" i="2"/>
  <c r="CI156" i="2"/>
  <c r="CH156" i="2"/>
  <c r="CG156" i="2"/>
  <c r="CF156" i="2"/>
  <c r="CE156" i="2"/>
  <c r="CD156" i="2"/>
  <c r="CC156" i="2"/>
  <c r="CB156" i="2"/>
  <c r="CA156" i="2"/>
  <c r="BZ156" i="2"/>
  <c r="BY156" i="2"/>
  <c r="BX156" i="2"/>
  <c r="BW156" i="2"/>
  <c r="BV156" i="2"/>
  <c r="BU156" i="2"/>
  <c r="BT156" i="2"/>
  <c r="BS156" i="2"/>
  <c r="BR156" i="2"/>
  <c r="BQ156" i="2"/>
  <c r="BP156" i="2"/>
  <c r="BO156" i="2"/>
  <c r="BN156" i="2"/>
  <c r="BM156" i="2"/>
  <c r="BL156" i="2"/>
  <c r="BK156" i="2"/>
  <c r="BJ156" i="2"/>
  <c r="BI156" i="2"/>
  <c r="BH156" i="2"/>
  <c r="BG156" i="2"/>
  <c r="BF156" i="2"/>
  <c r="BE156" i="2"/>
  <c r="BD156" i="2"/>
  <c r="BC156" i="2"/>
  <c r="BB156" i="2"/>
  <c r="BA156" i="2"/>
  <c r="AZ156" i="2"/>
  <c r="AY156" i="2"/>
  <c r="AX156" i="2"/>
  <c r="AW156" i="2"/>
  <c r="AV156" i="2"/>
  <c r="AU156" i="2"/>
  <c r="AT156" i="2"/>
  <c r="AS156" i="2"/>
  <c r="AR156" i="2"/>
  <c r="AQ156" i="2"/>
  <c r="AP156" i="2"/>
  <c r="AO156" i="2"/>
  <c r="AN156" i="2"/>
  <c r="AM156" i="2"/>
  <c r="AL156" i="2"/>
  <c r="AK156" i="2"/>
  <c r="AJ156" i="2"/>
  <c r="AI156" i="2"/>
  <c r="AH156" i="2"/>
  <c r="AG156" i="2"/>
  <c r="AF156" i="2"/>
  <c r="AE156" i="2"/>
  <c r="AD156" i="2"/>
  <c r="AC156" i="2"/>
  <c r="AB156" i="2"/>
  <c r="AA156" i="2"/>
  <c r="Z156" i="2"/>
  <c r="Y156" i="2"/>
  <c r="X156" i="2"/>
  <c r="W156" i="2"/>
  <c r="GX155" i="2"/>
  <c r="GW155" i="2"/>
  <c r="GV155" i="2"/>
  <c r="GU155" i="2"/>
  <c r="GT155" i="2"/>
  <c r="GS155" i="2"/>
  <c r="GR155" i="2"/>
  <c r="GQ155" i="2"/>
  <c r="GP155" i="2"/>
  <c r="GO155" i="2"/>
  <c r="GN155" i="2"/>
  <c r="GM155" i="2"/>
  <c r="GL155" i="2"/>
  <c r="GK155" i="2"/>
  <c r="GJ155" i="2"/>
  <c r="GI155" i="2"/>
  <c r="GH155" i="2"/>
  <c r="GG155" i="2"/>
  <c r="GF155" i="2"/>
  <c r="GE155" i="2"/>
  <c r="GD155" i="2"/>
  <c r="GC155" i="2"/>
  <c r="GB155" i="2"/>
  <c r="GA155" i="2"/>
  <c r="FZ155" i="2"/>
  <c r="FY155" i="2"/>
  <c r="FX155" i="2"/>
  <c r="FW155" i="2"/>
  <c r="FV155" i="2"/>
  <c r="FU155" i="2"/>
  <c r="FT155" i="2"/>
  <c r="FS155" i="2"/>
  <c r="FR155" i="2"/>
  <c r="FQ155" i="2"/>
  <c r="FP155" i="2"/>
  <c r="FO155" i="2"/>
  <c r="FN155" i="2"/>
  <c r="FM155" i="2"/>
  <c r="FL155" i="2"/>
  <c r="FK155" i="2"/>
  <c r="FJ155" i="2"/>
  <c r="FI155" i="2"/>
  <c r="FH155" i="2"/>
  <c r="FG155" i="2"/>
  <c r="FF155" i="2"/>
  <c r="FE155" i="2"/>
  <c r="FD155" i="2"/>
  <c r="FC155" i="2"/>
  <c r="FB155" i="2"/>
  <c r="FA155" i="2"/>
  <c r="EZ155" i="2"/>
  <c r="EY155" i="2"/>
  <c r="EX155" i="2"/>
  <c r="EW155" i="2"/>
  <c r="EV155" i="2"/>
  <c r="EU155" i="2"/>
  <c r="ET155" i="2"/>
  <c r="ES155" i="2"/>
  <c r="ER155" i="2"/>
  <c r="EQ155" i="2"/>
  <c r="EP155" i="2"/>
  <c r="EO155" i="2"/>
  <c r="EN155" i="2"/>
  <c r="EM155" i="2"/>
  <c r="EL155" i="2"/>
  <c r="EK155" i="2"/>
  <c r="EJ155" i="2"/>
  <c r="EI155" i="2"/>
  <c r="EH155" i="2"/>
  <c r="EG155" i="2"/>
  <c r="EF155" i="2"/>
  <c r="EE155" i="2"/>
  <c r="ED155" i="2"/>
  <c r="EC155" i="2"/>
  <c r="EB155" i="2"/>
  <c r="EA155" i="2"/>
  <c r="DZ155" i="2"/>
  <c r="DY155" i="2"/>
  <c r="DX155" i="2"/>
  <c r="DW155" i="2"/>
  <c r="DV155" i="2"/>
  <c r="DU155" i="2"/>
  <c r="DT155" i="2"/>
  <c r="DS155" i="2"/>
  <c r="DR155" i="2"/>
  <c r="DQ155" i="2"/>
  <c r="DP155" i="2"/>
  <c r="DO155" i="2"/>
  <c r="DN155" i="2"/>
  <c r="DM155" i="2"/>
  <c r="DL155" i="2"/>
  <c r="DK155" i="2"/>
  <c r="DJ155" i="2"/>
  <c r="DI155" i="2"/>
  <c r="DH155" i="2"/>
  <c r="DG155" i="2"/>
  <c r="DF155" i="2"/>
  <c r="DE155" i="2"/>
  <c r="DD155" i="2"/>
  <c r="DC155" i="2"/>
  <c r="DB155" i="2"/>
  <c r="DA155" i="2"/>
  <c r="CZ155" i="2"/>
  <c r="CY155" i="2"/>
  <c r="CX155" i="2"/>
  <c r="CW155" i="2"/>
  <c r="CV155" i="2"/>
  <c r="CU155" i="2"/>
  <c r="CT155" i="2"/>
  <c r="CS155" i="2"/>
  <c r="CR155" i="2"/>
  <c r="CQ155" i="2"/>
  <c r="CP155" i="2"/>
  <c r="CO155" i="2"/>
  <c r="CN155" i="2"/>
  <c r="CM155" i="2"/>
  <c r="CL155" i="2"/>
  <c r="CK155" i="2"/>
  <c r="CJ155" i="2"/>
  <c r="CI155" i="2"/>
  <c r="CH155" i="2"/>
  <c r="CG155" i="2"/>
  <c r="CF155" i="2"/>
  <c r="CE155" i="2"/>
  <c r="CD155" i="2"/>
  <c r="CC155" i="2"/>
  <c r="CB155" i="2"/>
  <c r="CA155" i="2"/>
  <c r="BZ155" i="2"/>
  <c r="BY155" i="2"/>
  <c r="BX155" i="2"/>
  <c r="BW155" i="2"/>
  <c r="BV155" i="2"/>
  <c r="BU155" i="2"/>
  <c r="BT155" i="2"/>
  <c r="BS155" i="2"/>
  <c r="BR155" i="2"/>
  <c r="BQ155" i="2"/>
  <c r="BP155" i="2"/>
  <c r="BO155" i="2"/>
  <c r="BN155" i="2"/>
  <c r="BM155" i="2"/>
  <c r="BL155" i="2"/>
  <c r="BK155" i="2"/>
  <c r="BJ155" i="2"/>
  <c r="BI155" i="2"/>
  <c r="BH155" i="2"/>
  <c r="BG155" i="2"/>
  <c r="BF155" i="2"/>
  <c r="BE155" i="2"/>
  <c r="BD155" i="2"/>
  <c r="BC155" i="2"/>
  <c r="BB155" i="2"/>
  <c r="BA155" i="2"/>
  <c r="AZ155" i="2"/>
  <c r="AY155" i="2"/>
  <c r="AX155" i="2"/>
  <c r="AW155" i="2"/>
  <c r="AV155" i="2"/>
  <c r="AU155" i="2"/>
  <c r="AT155" i="2"/>
  <c r="AS155" i="2"/>
  <c r="AR155" i="2"/>
  <c r="AQ155" i="2"/>
  <c r="AP155" i="2"/>
  <c r="AO155" i="2"/>
  <c r="AN155" i="2"/>
  <c r="AM155" i="2"/>
  <c r="AL155" i="2"/>
  <c r="AK155" i="2"/>
  <c r="AJ155" i="2"/>
  <c r="AI155" i="2"/>
  <c r="AH155" i="2"/>
  <c r="AG155" i="2"/>
  <c r="AF155" i="2"/>
  <c r="AE155" i="2"/>
  <c r="AD155" i="2"/>
  <c r="AC155" i="2"/>
  <c r="AB155" i="2"/>
  <c r="AA155" i="2"/>
  <c r="Z155" i="2"/>
  <c r="Y155" i="2"/>
  <c r="X155" i="2"/>
  <c r="W155" i="2"/>
  <c r="GX153" i="2"/>
  <c r="GW153" i="2"/>
  <c r="GV153" i="2"/>
  <c r="GU153" i="2"/>
  <c r="GT153" i="2"/>
  <c r="GS153" i="2"/>
  <c r="GR153" i="2"/>
  <c r="GQ153" i="2"/>
  <c r="GP153" i="2"/>
  <c r="GO153" i="2"/>
  <c r="GN153" i="2"/>
  <c r="GM153" i="2"/>
  <c r="GL153" i="2"/>
  <c r="GK153" i="2"/>
  <c r="GJ153" i="2"/>
  <c r="GI153" i="2"/>
  <c r="GH153" i="2"/>
  <c r="GG153" i="2"/>
  <c r="GF153" i="2"/>
  <c r="GE153" i="2"/>
  <c r="GD153" i="2"/>
  <c r="GC153" i="2"/>
  <c r="GB153" i="2"/>
  <c r="GA153" i="2"/>
  <c r="FZ153" i="2"/>
  <c r="FY153" i="2"/>
  <c r="FX153" i="2"/>
  <c r="FW153" i="2"/>
  <c r="FV153" i="2"/>
  <c r="FU153" i="2"/>
  <c r="FT153" i="2"/>
  <c r="FS153" i="2"/>
  <c r="FR153" i="2"/>
  <c r="FQ153" i="2"/>
  <c r="FP153" i="2"/>
  <c r="FO153" i="2"/>
  <c r="FN153" i="2"/>
  <c r="FM153" i="2"/>
  <c r="FL153" i="2"/>
  <c r="FK153" i="2"/>
  <c r="FJ153" i="2"/>
  <c r="FI153" i="2"/>
  <c r="FH153" i="2"/>
  <c r="FG153" i="2"/>
  <c r="FF153" i="2"/>
  <c r="FE153" i="2"/>
  <c r="FD153" i="2"/>
  <c r="FC153" i="2"/>
  <c r="FB153" i="2"/>
  <c r="FA153" i="2"/>
  <c r="EZ153" i="2"/>
  <c r="EY153" i="2"/>
  <c r="EX153" i="2"/>
  <c r="EW153" i="2"/>
  <c r="EV153" i="2"/>
  <c r="EU153" i="2"/>
  <c r="ET153" i="2"/>
  <c r="ES153" i="2"/>
  <c r="ER153" i="2"/>
  <c r="EQ153" i="2"/>
  <c r="EP153" i="2"/>
  <c r="EO153" i="2"/>
  <c r="EN153" i="2"/>
  <c r="EM153" i="2"/>
  <c r="EL153" i="2"/>
  <c r="EK153" i="2"/>
  <c r="EJ153" i="2"/>
  <c r="EI153" i="2"/>
  <c r="EH153" i="2"/>
  <c r="EG153" i="2"/>
  <c r="EF153" i="2"/>
  <c r="EE153" i="2"/>
  <c r="ED153" i="2"/>
  <c r="EC153" i="2"/>
  <c r="EB153" i="2"/>
  <c r="EA153" i="2"/>
  <c r="DZ153" i="2"/>
  <c r="DY153" i="2"/>
  <c r="DX153" i="2"/>
  <c r="DW153" i="2"/>
  <c r="DV153" i="2"/>
  <c r="DU153" i="2"/>
  <c r="DT153" i="2"/>
  <c r="DS153" i="2"/>
  <c r="DR153" i="2"/>
  <c r="DQ153" i="2"/>
  <c r="DP153" i="2"/>
  <c r="DO153" i="2"/>
  <c r="DN153" i="2"/>
  <c r="DM153" i="2"/>
  <c r="DL153" i="2"/>
  <c r="DK153" i="2"/>
  <c r="DJ153" i="2"/>
  <c r="DI153" i="2"/>
  <c r="DH153" i="2"/>
  <c r="DG153" i="2"/>
  <c r="DF153" i="2"/>
  <c r="DE153" i="2"/>
  <c r="DD153" i="2"/>
  <c r="DC153" i="2"/>
  <c r="DB153" i="2"/>
  <c r="DA153" i="2"/>
  <c r="CZ153" i="2"/>
  <c r="CY153" i="2"/>
  <c r="CX153" i="2"/>
  <c r="CW153" i="2"/>
  <c r="CV153" i="2"/>
  <c r="CU153" i="2"/>
  <c r="CT153" i="2"/>
  <c r="CS153" i="2"/>
  <c r="CR153" i="2"/>
  <c r="CQ153" i="2"/>
  <c r="CP153" i="2"/>
  <c r="CO153" i="2"/>
  <c r="CN153" i="2"/>
  <c r="CM153" i="2"/>
  <c r="CL153" i="2"/>
  <c r="CK153" i="2"/>
  <c r="CJ153" i="2"/>
  <c r="CI153" i="2"/>
  <c r="CH153" i="2"/>
  <c r="CG153" i="2"/>
  <c r="CF153" i="2"/>
  <c r="CE153" i="2"/>
  <c r="CD153" i="2"/>
  <c r="CC153" i="2"/>
  <c r="CB153" i="2"/>
  <c r="CA153" i="2"/>
  <c r="BZ153" i="2"/>
  <c r="BY153" i="2"/>
  <c r="BX153" i="2"/>
  <c r="BW153" i="2"/>
  <c r="BV153" i="2"/>
  <c r="BU153" i="2"/>
  <c r="BT153" i="2"/>
  <c r="BS153" i="2"/>
  <c r="BR153" i="2"/>
  <c r="BQ153" i="2"/>
  <c r="BP153" i="2"/>
  <c r="BO153" i="2"/>
  <c r="BN153" i="2"/>
  <c r="BM153" i="2"/>
  <c r="BL153" i="2"/>
  <c r="BK153" i="2"/>
  <c r="BJ153" i="2"/>
  <c r="BI153" i="2"/>
  <c r="BH153" i="2"/>
  <c r="BG153" i="2"/>
  <c r="BF153" i="2"/>
  <c r="BE153" i="2"/>
  <c r="BD153" i="2"/>
  <c r="BC153" i="2"/>
  <c r="BB153" i="2"/>
  <c r="BA153" i="2"/>
  <c r="AZ153" i="2"/>
  <c r="AY153" i="2"/>
  <c r="AX153" i="2"/>
  <c r="AW153" i="2"/>
  <c r="AV153" i="2"/>
  <c r="AU153" i="2"/>
  <c r="AT153" i="2"/>
  <c r="AS153" i="2"/>
  <c r="AR153" i="2"/>
  <c r="AQ153" i="2"/>
  <c r="AP153" i="2"/>
  <c r="AO153" i="2"/>
  <c r="AN153" i="2"/>
  <c r="AM153" i="2"/>
  <c r="AL153" i="2"/>
  <c r="AK153" i="2"/>
  <c r="AJ153" i="2"/>
  <c r="AI153" i="2"/>
  <c r="AH153" i="2"/>
  <c r="AG153" i="2"/>
  <c r="AF153" i="2"/>
  <c r="AE153" i="2"/>
  <c r="AD153" i="2"/>
  <c r="AC153" i="2"/>
  <c r="AB153" i="2"/>
  <c r="AA153" i="2"/>
  <c r="Z153" i="2"/>
  <c r="Y153" i="2"/>
  <c r="X153" i="2"/>
  <c r="W153" i="2"/>
  <c r="GX152" i="2"/>
  <c r="GW152" i="2"/>
  <c r="GV152" i="2"/>
  <c r="GU152" i="2"/>
  <c r="GT152" i="2"/>
  <c r="GS152" i="2"/>
  <c r="GR152" i="2"/>
  <c r="GQ152" i="2"/>
  <c r="GP152" i="2"/>
  <c r="GO152" i="2"/>
  <c r="GN152" i="2"/>
  <c r="GM152" i="2"/>
  <c r="GL152" i="2"/>
  <c r="GK152" i="2"/>
  <c r="GJ152" i="2"/>
  <c r="GI152" i="2"/>
  <c r="GH152" i="2"/>
  <c r="GG152" i="2"/>
  <c r="GF152" i="2"/>
  <c r="GE152" i="2"/>
  <c r="GD152" i="2"/>
  <c r="GC152" i="2"/>
  <c r="GB152" i="2"/>
  <c r="GA152" i="2"/>
  <c r="FZ152" i="2"/>
  <c r="FY152" i="2"/>
  <c r="FX152" i="2"/>
  <c r="FW152" i="2"/>
  <c r="FV152" i="2"/>
  <c r="FU152" i="2"/>
  <c r="FT152" i="2"/>
  <c r="FS152" i="2"/>
  <c r="FR152" i="2"/>
  <c r="FQ152" i="2"/>
  <c r="FP152" i="2"/>
  <c r="FO152" i="2"/>
  <c r="FN152" i="2"/>
  <c r="FM152" i="2"/>
  <c r="FL152" i="2"/>
  <c r="FK152" i="2"/>
  <c r="FJ152" i="2"/>
  <c r="FI152" i="2"/>
  <c r="FH152" i="2"/>
  <c r="FG152" i="2"/>
  <c r="FF152" i="2"/>
  <c r="FE152" i="2"/>
  <c r="FD152" i="2"/>
  <c r="FC152" i="2"/>
  <c r="FB152" i="2"/>
  <c r="FA152" i="2"/>
  <c r="EZ152" i="2"/>
  <c r="EY152" i="2"/>
  <c r="EX152" i="2"/>
  <c r="EW152" i="2"/>
  <c r="EV152" i="2"/>
  <c r="EU152" i="2"/>
  <c r="ET152" i="2"/>
  <c r="ES152" i="2"/>
  <c r="ER152" i="2"/>
  <c r="EQ152" i="2"/>
  <c r="EP152" i="2"/>
  <c r="EO152" i="2"/>
  <c r="EN152" i="2"/>
  <c r="EM152" i="2"/>
  <c r="EL152" i="2"/>
  <c r="EK152" i="2"/>
  <c r="EJ152" i="2"/>
  <c r="EI152" i="2"/>
  <c r="EH152" i="2"/>
  <c r="EG152" i="2"/>
  <c r="EF152" i="2"/>
  <c r="EE152" i="2"/>
  <c r="ED152" i="2"/>
  <c r="EC152" i="2"/>
  <c r="EB152" i="2"/>
  <c r="EA152" i="2"/>
  <c r="DZ152" i="2"/>
  <c r="DY152" i="2"/>
  <c r="DX152" i="2"/>
  <c r="DW152" i="2"/>
  <c r="DV152" i="2"/>
  <c r="DU152" i="2"/>
  <c r="DT152" i="2"/>
  <c r="DS152" i="2"/>
  <c r="DR152" i="2"/>
  <c r="DQ152" i="2"/>
  <c r="DP152" i="2"/>
  <c r="DO152" i="2"/>
  <c r="DN152" i="2"/>
  <c r="DM152" i="2"/>
  <c r="DL152" i="2"/>
  <c r="DK152" i="2"/>
  <c r="DJ152" i="2"/>
  <c r="DI152" i="2"/>
  <c r="DH152" i="2"/>
  <c r="DG152" i="2"/>
  <c r="DF152" i="2"/>
  <c r="DE152" i="2"/>
  <c r="DD152" i="2"/>
  <c r="DC152" i="2"/>
  <c r="DB152" i="2"/>
  <c r="DA152" i="2"/>
  <c r="CZ152" i="2"/>
  <c r="CY152" i="2"/>
  <c r="CX152" i="2"/>
  <c r="CW152" i="2"/>
  <c r="CV152" i="2"/>
  <c r="CU152" i="2"/>
  <c r="CT152" i="2"/>
  <c r="CS152" i="2"/>
  <c r="CR152" i="2"/>
  <c r="CQ152" i="2"/>
  <c r="CP152" i="2"/>
  <c r="CO152" i="2"/>
  <c r="CN152" i="2"/>
  <c r="CM152" i="2"/>
  <c r="CL152" i="2"/>
  <c r="CK152" i="2"/>
  <c r="CJ152" i="2"/>
  <c r="CI152" i="2"/>
  <c r="CH152" i="2"/>
  <c r="CG152" i="2"/>
  <c r="CF152" i="2"/>
  <c r="CE152" i="2"/>
  <c r="CD152" i="2"/>
  <c r="CC152" i="2"/>
  <c r="CB152" i="2"/>
  <c r="CA152" i="2"/>
  <c r="BZ152" i="2"/>
  <c r="BY152" i="2"/>
  <c r="BX152" i="2"/>
  <c r="BW152" i="2"/>
  <c r="BV152" i="2"/>
  <c r="BU152" i="2"/>
  <c r="BT152" i="2"/>
  <c r="BS152" i="2"/>
  <c r="BR152" i="2"/>
  <c r="BQ152" i="2"/>
  <c r="BP152" i="2"/>
  <c r="BO152" i="2"/>
  <c r="BN152" i="2"/>
  <c r="BM152" i="2"/>
  <c r="BL152" i="2"/>
  <c r="BK152" i="2"/>
  <c r="BJ152" i="2"/>
  <c r="BI152" i="2"/>
  <c r="BH152" i="2"/>
  <c r="BG152" i="2"/>
  <c r="BF152" i="2"/>
  <c r="BE152" i="2"/>
  <c r="BD152" i="2"/>
  <c r="BC152" i="2"/>
  <c r="BB152" i="2"/>
  <c r="BA152" i="2"/>
  <c r="AZ152" i="2"/>
  <c r="AY152" i="2"/>
  <c r="AX152" i="2"/>
  <c r="AW152" i="2"/>
  <c r="AV152" i="2"/>
  <c r="AU152" i="2"/>
  <c r="AT152" i="2"/>
  <c r="AS152" i="2"/>
  <c r="AR152" i="2"/>
  <c r="AQ152" i="2"/>
  <c r="AP152" i="2"/>
  <c r="AO152" i="2"/>
  <c r="AN152" i="2"/>
  <c r="AM152" i="2"/>
  <c r="AL152" i="2"/>
  <c r="AK152" i="2"/>
  <c r="AJ152" i="2"/>
  <c r="AI152" i="2"/>
  <c r="AH152" i="2"/>
  <c r="AG152" i="2"/>
  <c r="AF152" i="2"/>
  <c r="AE152" i="2"/>
  <c r="AD152" i="2"/>
  <c r="AC152" i="2"/>
  <c r="AB152" i="2"/>
  <c r="AA152" i="2"/>
  <c r="Z152" i="2"/>
  <c r="Y152" i="2"/>
  <c r="X152" i="2"/>
  <c r="W152" i="2"/>
  <c r="GX151" i="2"/>
  <c r="GW151" i="2"/>
  <c r="GV151" i="2"/>
  <c r="GU151" i="2"/>
  <c r="GT151" i="2"/>
  <c r="GS151" i="2"/>
  <c r="GR151" i="2"/>
  <c r="GQ151" i="2"/>
  <c r="GP151" i="2"/>
  <c r="GO151" i="2"/>
  <c r="GN151" i="2"/>
  <c r="GM151" i="2"/>
  <c r="GL151" i="2"/>
  <c r="GK151" i="2"/>
  <c r="GJ151" i="2"/>
  <c r="GI151" i="2"/>
  <c r="GH151" i="2"/>
  <c r="GG151" i="2"/>
  <c r="GF151" i="2"/>
  <c r="GE151" i="2"/>
  <c r="GD151" i="2"/>
  <c r="GC151" i="2"/>
  <c r="GB151" i="2"/>
  <c r="GA151" i="2"/>
  <c r="FZ151" i="2"/>
  <c r="FY151" i="2"/>
  <c r="FX151" i="2"/>
  <c r="FW151" i="2"/>
  <c r="FV151" i="2"/>
  <c r="FU151" i="2"/>
  <c r="FT151" i="2"/>
  <c r="FS151" i="2"/>
  <c r="FR151" i="2"/>
  <c r="FQ151" i="2"/>
  <c r="FP151" i="2"/>
  <c r="FO151" i="2"/>
  <c r="FN151" i="2"/>
  <c r="FM151" i="2"/>
  <c r="FL151" i="2"/>
  <c r="FK151" i="2"/>
  <c r="FJ151" i="2"/>
  <c r="FI151" i="2"/>
  <c r="FH151" i="2"/>
  <c r="FG151" i="2"/>
  <c r="FF151" i="2"/>
  <c r="FE151" i="2"/>
  <c r="FD151" i="2"/>
  <c r="FC151" i="2"/>
  <c r="FB151" i="2"/>
  <c r="FA151" i="2"/>
  <c r="EZ151" i="2"/>
  <c r="EY151" i="2"/>
  <c r="EX151" i="2"/>
  <c r="EW151" i="2"/>
  <c r="EV151" i="2"/>
  <c r="EU151" i="2"/>
  <c r="ET151" i="2"/>
  <c r="ES151" i="2"/>
  <c r="ER151" i="2"/>
  <c r="EQ151" i="2"/>
  <c r="EP151" i="2"/>
  <c r="EO151" i="2"/>
  <c r="EN151" i="2"/>
  <c r="EM151" i="2"/>
  <c r="EL151" i="2"/>
  <c r="EK151" i="2"/>
  <c r="EJ151" i="2"/>
  <c r="EI151" i="2"/>
  <c r="EH151" i="2"/>
  <c r="EG151" i="2"/>
  <c r="EF151" i="2"/>
  <c r="EE151" i="2"/>
  <c r="ED151" i="2"/>
  <c r="EC151" i="2"/>
  <c r="EB151" i="2"/>
  <c r="EA151" i="2"/>
  <c r="DZ151" i="2"/>
  <c r="DY151" i="2"/>
  <c r="DX151" i="2"/>
  <c r="DW151" i="2"/>
  <c r="DV151" i="2"/>
  <c r="DU151" i="2"/>
  <c r="DT151" i="2"/>
  <c r="DS151" i="2"/>
  <c r="DR151" i="2"/>
  <c r="DQ151" i="2"/>
  <c r="DP151" i="2"/>
  <c r="DO151" i="2"/>
  <c r="DN151" i="2"/>
  <c r="DM151" i="2"/>
  <c r="DL151" i="2"/>
  <c r="DK151" i="2"/>
  <c r="DJ151" i="2"/>
  <c r="DI151" i="2"/>
  <c r="DH151" i="2"/>
  <c r="DG151" i="2"/>
  <c r="DF151" i="2"/>
  <c r="DE151" i="2"/>
  <c r="DD151" i="2"/>
  <c r="DC151" i="2"/>
  <c r="DB151" i="2"/>
  <c r="DA151" i="2"/>
  <c r="CZ151" i="2"/>
  <c r="CY151" i="2"/>
  <c r="CX151" i="2"/>
  <c r="CW151" i="2"/>
  <c r="CV151" i="2"/>
  <c r="CU151" i="2"/>
  <c r="CT151" i="2"/>
  <c r="CS151" i="2"/>
  <c r="CR151" i="2"/>
  <c r="CQ151" i="2"/>
  <c r="CP151" i="2"/>
  <c r="CO151" i="2"/>
  <c r="CN151" i="2"/>
  <c r="CM151" i="2"/>
  <c r="CL151" i="2"/>
  <c r="CK151" i="2"/>
  <c r="CJ151" i="2"/>
  <c r="CI151" i="2"/>
  <c r="CH151" i="2"/>
  <c r="CG151" i="2"/>
  <c r="CF151" i="2"/>
  <c r="CE151" i="2"/>
  <c r="CD151" i="2"/>
  <c r="CC151" i="2"/>
  <c r="CB151" i="2"/>
  <c r="CA151" i="2"/>
  <c r="BZ151" i="2"/>
  <c r="BY151" i="2"/>
  <c r="BX151" i="2"/>
  <c r="BW151" i="2"/>
  <c r="BV151" i="2"/>
  <c r="BU151" i="2"/>
  <c r="BT151" i="2"/>
  <c r="BS151" i="2"/>
  <c r="BR151" i="2"/>
  <c r="BQ151" i="2"/>
  <c r="BP151" i="2"/>
  <c r="BO151" i="2"/>
  <c r="BN151" i="2"/>
  <c r="BM151" i="2"/>
  <c r="BL151" i="2"/>
  <c r="BK151" i="2"/>
  <c r="BJ151" i="2"/>
  <c r="BI151" i="2"/>
  <c r="BH151" i="2"/>
  <c r="BG151" i="2"/>
  <c r="BF151" i="2"/>
  <c r="BE151" i="2"/>
  <c r="BD151" i="2"/>
  <c r="BC151" i="2"/>
  <c r="BB151" i="2"/>
  <c r="BA151" i="2"/>
  <c r="AZ151" i="2"/>
  <c r="AY151" i="2"/>
  <c r="AX151" i="2"/>
  <c r="AW151" i="2"/>
  <c r="AV151" i="2"/>
  <c r="AU151" i="2"/>
  <c r="AT151" i="2"/>
  <c r="AS151" i="2"/>
  <c r="AR151" i="2"/>
  <c r="AQ151" i="2"/>
  <c r="AP151" i="2"/>
  <c r="AO151" i="2"/>
  <c r="AN151" i="2"/>
  <c r="AM151" i="2"/>
  <c r="AL151" i="2"/>
  <c r="AK151" i="2"/>
  <c r="AJ151" i="2"/>
  <c r="AI151" i="2"/>
  <c r="AH151" i="2"/>
  <c r="AG151" i="2"/>
  <c r="AF151" i="2"/>
  <c r="AE151" i="2"/>
  <c r="AD151" i="2"/>
  <c r="AC151" i="2"/>
  <c r="AB151" i="2"/>
  <c r="AA151" i="2"/>
  <c r="Z151" i="2"/>
  <c r="Y151" i="2"/>
  <c r="X151" i="2"/>
  <c r="W151" i="2"/>
  <c r="GX150" i="2"/>
  <c r="GW150" i="2"/>
  <c r="GV150" i="2"/>
  <c r="GU150" i="2"/>
  <c r="GT150" i="2"/>
  <c r="GS150" i="2"/>
  <c r="GR150" i="2"/>
  <c r="GQ150" i="2"/>
  <c r="GP150" i="2"/>
  <c r="GO150" i="2"/>
  <c r="GN150" i="2"/>
  <c r="GM150" i="2"/>
  <c r="GL150" i="2"/>
  <c r="GK150" i="2"/>
  <c r="GJ150" i="2"/>
  <c r="GI150" i="2"/>
  <c r="GH150" i="2"/>
  <c r="GG150" i="2"/>
  <c r="GF150" i="2"/>
  <c r="GE150" i="2"/>
  <c r="GD150" i="2"/>
  <c r="GC150" i="2"/>
  <c r="GB150" i="2"/>
  <c r="GA150" i="2"/>
  <c r="FZ150" i="2"/>
  <c r="FY150" i="2"/>
  <c r="FX150" i="2"/>
  <c r="FW150" i="2"/>
  <c r="FV150" i="2"/>
  <c r="FU150" i="2"/>
  <c r="FT150" i="2"/>
  <c r="FS150" i="2"/>
  <c r="FR150" i="2"/>
  <c r="FQ150" i="2"/>
  <c r="FP150" i="2"/>
  <c r="FO150" i="2"/>
  <c r="FN150" i="2"/>
  <c r="FM150" i="2"/>
  <c r="FL150" i="2"/>
  <c r="FK150" i="2"/>
  <c r="FJ150" i="2"/>
  <c r="FI150" i="2"/>
  <c r="FH150" i="2"/>
  <c r="FG150" i="2"/>
  <c r="FF150" i="2"/>
  <c r="FE150" i="2"/>
  <c r="FD150" i="2"/>
  <c r="FC150" i="2"/>
  <c r="FB150" i="2"/>
  <c r="FA150" i="2"/>
  <c r="EZ150" i="2"/>
  <c r="EY150" i="2"/>
  <c r="EX150" i="2"/>
  <c r="EW150" i="2"/>
  <c r="EV150" i="2"/>
  <c r="EU150" i="2"/>
  <c r="ET150" i="2"/>
  <c r="ES150" i="2"/>
  <c r="ER150" i="2"/>
  <c r="EQ150" i="2"/>
  <c r="EP150" i="2"/>
  <c r="EO150" i="2"/>
  <c r="EN150" i="2"/>
  <c r="EM150" i="2"/>
  <c r="EL150" i="2"/>
  <c r="EK150" i="2"/>
  <c r="EJ150" i="2"/>
  <c r="EI150" i="2"/>
  <c r="EH150" i="2"/>
  <c r="EG150" i="2"/>
  <c r="EF150" i="2"/>
  <c r="EE150" i="2"/>
  <c r="ED150" i="2"/>
  <c r="EC150" i="2"/>
  <c r="EB150" i="2"/>
  <c r="EA150" i="2"/>
  <c r="DZ150" i="2"/>
  <c r="DY150" i="2"/>
  <c r="DX150" i="2"/>
  <c r="DW150" i="2"/>
  <c r="DV150" i="2"/>
  <c r="DU150" i="2"/>
  <c r="DT150" i="2"/>
  <c r="DS150" i="2"/>
  <c r="DR150" i="2"/>
  <c r="DQ150" i="2"/>
  <c r="DP150" i="2"/>
  <c r="DO150" i="2"/>
  <c r="DN150" i="2"/>
  <c r="DM150" i="2"/>
  <c r="DL150" i="2"/>
  <c r="DK150" i="2"/>
  <c r="DJ150" i="2"/>
  <c r="DI150" i="2"/>
  <c r="DH150" i="2"/>
  <c r="DG150" i="2"/>
  <c r="DF150" i="2"/>
  <c r="DE150" i="2"/>
  <c r="DD150" i="2"/>
  <c r="DC150" i="2"/>
  <c r="DB150" i="2"/>
  <c r="DA150" i="2"/>
  <c r="CZ150" i="2"/>
  <c r="CY150" i="2"/>
  <c r="CX150" i="2"/>
  <c r="CW150" i="2"/>
  <c r="CV150" i="2"/>
  <c r="CU150" i="2"/>
  <c r="CT150" i="2"/>
  <c r="CS150" i="2"/>
  <c r="CR150" i="2"/>
  <c r="CQ150" i="2"/>
  <c r="CP150" i="2"/>
  <c r="CO150" i="2"/>
  <c r="CN150" i="2"/>
  <c r="CM150" i="2"/>
  <c r="CL150" i="2"/>
  <c r="CK150" i="2"/>
  <c r="CJ150" i="2"/>
  <c r="CI150" i="2"/>
  <c r="CH150" i="2"/>
  <c r="CG150" i="2"/>
  <c r="CF150" i="2"/>
  <c r="CE150" i="2"/>
  <c r="CD150" i="2"/>
  <c r="CC150" i="2"/>
  <c r="CB150" i="2"/>
  <c r="CA150" i="2"/>
  <c r="BZ150" i="2"/>
  <c r="BY150" i="2"/>
  <c r="BX150" i="2"/>
  <c r="BW150" i="2"/>
  <c r="BV150" i="2"/>
  <c r="BU150" i="2"/>
  <c r="BT150" i="2"/>
  <c r="BS150" i="2"/>
  <c r="BR150" i="2"/>
  <c r="BQ150" i="2"/>
  <c r="BP150" i="2"/>
  <c r="BO150" i="2"/>
  <c r="BN150" i="2"/>
  <c r="BM150" i="2"/>
  <c r="BL150" i="2"/>
  <c r="BK150" i="2"/>
  <c r="BJ150" i="2"/>
  <c r="BI150" i="2"/>
  <c r="BH150" i="2"/>
  <c r="BG150" i="2"/>
  <c r="BF150" i="2"/>
  <c r="BE150" i="2"/>
  <c r="BD150" i="2"/>
  <c r="BC150" i="2"/>
  <c r="BB150" i="2"/>
  <c r="BA150" i="2"/>
  <c r="AZ150" i="2"/>
  <c r="AY150" i="2"/>
  <c r="AX150" i="2"/>
  <c r="AW150" i="2"/>
  <c r="AV150" i="2"/>
  <c r="AU150" i="2"/>
  <c r="AT150" i="2"/>
  <c r="AS150" i="2"/>
  <c r="AR150" i="2"/>
  <c r="AQ150" i="2"/>
  <c r="AP150" i="2"/>
  <c r="AO150" i="2"/>
  <c r="AN150" i="2"/>
  <c r="AM150" i="2"/>
  <c r="AL150" i="2"/>
  <c r="AK150" i="2"/>
  <c r="AJ150" i="2"/>
  <c r="AI150" i="2"/>
  <c r="AH150" i="2"/>
  <c r="AG150" i="2"/>
  <c r="AF150" i="2"/>
  <c r="AE150" i="2"/>
  <c r="AD150" i="2"/>
  <c r="AC150" i="2"/>
  <c r="AB150" i="2"/>
  <c r="AA150" i="2"/>
  <c r="Z150" i="2"/>
  <c r="Y150" i="2"/>
  <c r="X150" i="2"/>
  <c r="W150" i="2"/>
  <c r="GX149" i="2"/>
  <c r="GW149" i="2"/>
  <c r="GV149" i="2"/>
  <c r="GU149" i="2"/>
  <c r="GT149" i="2"/>
  <c r="GS149" i="2"/>
  <c r="GR149" i="2"/>
  <c r="GQ149" i="2"/>
  <c r="GP149" i="2"/>
  <c r="GO149" i="2"/>
  <c r="GN149" i="2"/>
  <c r="GM149" i="2"/>
  <c r="GL149" i="2"/>
  <c r="GK149" i="2"/>
  <c r="GJ149" i="2"/>
  <c r="GI149" i="2"/>
  <c r="GH149" i="2"/>
  <c r="GG149" i="2"/>
  <c r="GF149" i="2"/>
  <c r="GE149" i="2"/>
  <c r="GD149" i="2"/>
  <c r="GC149" i="2"/>
  <c r="GB149" i="2"/>
  <c r="GA149" i="2"/>
  <c r="FZ149" i="2"/>
  <c r="FY149" i="2"/>
  <c r="FX149" i="2"/>
  <c r="FW149" i="2"/>
  <c r="FV149" i="2"/>
  <c r="FU149" i="2"/>
  <c r="FT149" i="2"/>
  <c r="FS149" i="2"/>
  <c r="FR149" i="2"/>
  <c r="FQ149" i="2"/>
  <c r="FP149" i="2"/>
  <c r="FO149" i="2"/>
  <c r="FN149" i="2"/>
  <c r="FM149" i="2"/>
  <c r="FL149" i="2"/>
  <c r="FK149" i="2"/>
  <c r="FJ149" i="2"/>
  <c r="FI149" i="2"/>
  <c r="FH149" i="2"/>
  <c r="FG149" i="2"/>
  <c r="FF149" i="2"/>
  <c r="FE149" i="2"/>
  <c r="FD149" i="2"/>
  <c r="FC149" i="2"/>
  <c r="FB149" i="2"/>
  <c r="FA149" i="2"/>
  <c r="EZ149" i="2"/>
  <c r="EY149" i="2"/>
  <c r="EX149" i="2"/>
  <c r="EW149" i="2"/>
  <c r="EV149" i="2"/>
  <c r="EU149" i="2"/>
  <c r="ET149" i="2"/>
  <c r="ES149" i="2"/>
  <c r="ER149" i="2"/>
  <c r="EQ149" i="2"/>
  <c r="EP149" i="2"/>
  <c r="EO149" i="2"/>
  <c r="EN149" i="2"/>
  <c r="EM149" i="2"/>
  <c r="EL149" i="2"/>
  <c r="EK149" i="2"/>
  <c r="EJ149" i="2"/>
  <c r="EI149" i="2"/>
  <c r="EH149" i="2"/>
  <c r="EG149" i="2"/>
  <c r="EF149" i="2"/>
  <c r="EE149" i="2"/>
  <c r="ED149" i="2"/>
  <c r="EC149" i="2"/>
  <c r="EB149" i="2"/>
  <c r="EA149" i="2"/>
  <c r="DZ149" i="2"/>
  <c r="DY149" i="2"/>
  <c r="DX149" i="2"/>
  <c r="DW149" i="2"/>
  <c r="DV149" i="2"/>
  <c r="DU149" i="2"/>
  <c r="DT149" i="2"/>
  <c r="DS149" i="2"/>
  <c r="DR149" i="2"/>
  <c r="DQ149" i="2"/>
  <c r="DP149" i="2"/>
  <c r="DO149" i="2"/>
  <c r="DN149" i="2"/>
  <c r="DM149" i="2"/>
  <c r="DL149" i="2"/>
  <c r="DK149" i="2"/>
  <c r="DJ149" i="2"/>
  <c r="DI149" i="2"/>
  <c r="DH149" i="2"/>
  <c r="DG149" i="2"/>
  <c r="DF149" i="2"/>
  <c r="DE149" i="2"/>
  <c r="DD149" i="2"/>
  <c r="DC149" i="2"/>
  <c r="DB149" i="2"/>
  <c r="DA149" i="2"/>
  <c r="CZ149" i="2"/>
  <c r="CY149" i="2"/>
  <c r="CX149" i="2"/>
  <c r="CW149" i="2"/>
  <c r="CV149" i="2"/>
  <c r="CU149" i="2"/>
  <c r="CT149" i="2"/>
  <c r="CS149" i="2"/>
  <c r="CR149" i="2"/>
  <c r="CQ149" i="2"/>
  <c r="CP149" i="2"/>
  <c r="CO149" i="2"/>
  <c r="CN149" i="2"/>
  <c r="CM149" i="2"/>
  <c r="CL149" i="2"/>
  <c r="CK149" i="2"/>
  <c r="CJ149" i="2"/>
  <c r="CI149" i="2"/>
  <c r="CH149" i="2"/>
  <c r="CG149" i="2"/>
  <c r="CF149" i="2"/>
  <c r="CE149" i="2"/>
  <c r="CD149" i="2"/>
  <c r="CC149" i="2"/>
  <c r="CB149" i="2"/>
  <c r="CA149" i="2"/>
  <c r="BZ149" i="2"/>
  <c r="BY149" i="2"/>
  <c r="BX149" i="2"/>
  <c r="BW149" i="2"/>
  <c r="BV149" i="2"/>
  <c r="BU149" i="2"/>
  <c r="BT149" i="2"/>
  <c r="BS149" i="2"/>
  <c r="BR149" i="2"/>
  <c r="BQ149" i="2"/>
  <c r="BP149" i="2"/>
  <c r="BO149" i="2"/>
  <c r="BN149" i="2"/>
  <c r="BM149" i="2"/>
  <c r="BL149" i="2"/>
  <c r="BK149" i="2"/>
  <c r="BJ149" i="2"/>
  <c r="BI149" i="2"/>
  <c r="BH149" i="2"/>
  <c r="BG149" i="2"/>
  <c r="BF149" i="2"/>
  <c r="BE149" i="2"/>
  <c r="BD149" i="2"/>
  <c r="BC149" i="2"/>
  <c r="BB149" i="2"/>
  <c r="BA149" i="2"/>
  <c r="AZ149" i="2"/>
  <c r="AY149" i="2"/>
  <c r="AX149" i="2"/>
  <c r="AW149" i="2"/>
  <c r="AV149" i="2"/>
  <c r="AU149" i="2"/>
  <c r="AT149" i="2"/>
  <c r="AS149" i="2"/>
  <c r="AR149" i="2"/>
  <c r="AQ149" i="2"/>
  <c r="AP149" i="2"/>
  <c r="AO149" i="2"/>
  <c r="AN149" i="2"/>
  <c r="AM149" i="2"/>
  <c r="AL149" i="2"/>
  <c r="AK149" i="2"/>
  <c r="AJ149" i="2"/>
  <c r="AI149" i="2"/>
  <c r="AH149" i="2"/>
  <c r="AG149" i="2"/>
  <c r="AF149" i="2"/>
  <c r="AE149" i="2"/>
  <c r="AD149" i="2"/>
  <c r="AC149" i="2"/>
  <c r="AB149" i="2"/>
  <c r="AA149" i="2"/>
  <c r="Z149" i="2"/>
  <c r="Y149" i="2"/>
  <c r="X149" i="2"/>
  <c r="W149" i="2"/>
  <c r="GX147" i="2"/>
  <c r="GW147" i="2"/>
  <c r="GV147" i="2"/>
  <c r="GU147" i="2"/>
  <c r="GT147" i="2"/>
  <c r="GS147" i="2"/>
  <c r="GR147" i="2"/>
  <c r="GQ147" i="2"/>
  <c r="GP147" i="2"/>
  <c r="GO147" i="2"/>
  <c r="GN147" i="2"/>
  <c r="GM147" i="2"/>
  <c r="GL147" i="2"/>
  <c r="GK147" i="2"/>
  <c r="GJ147" i="2"/>
  <c r="GI147" i="2"/>
  <c r="GH147" i="2"/>
  <c r="GG147" i="2"/>
  <c r="GF147" i="2"/>
  <c r="GE147" i="2"/>
  <c r="GD147" i="2"/>
  <c r="GC147" i="2"/>
  <c r="GB147" i="2"/>
  <c r="GA147" i="2"/>
  <c r="FZ147" i="2"/>
  <c r="FY147" i="2"/>
  <c r="FX147" i="2"/>
  <c r="FW147" i="2"/>
  <c r="FV147" i="2"/>
  <c r="FU147" i="2"/>
  <c r="FT147" i="2"/>
  <c r="FS147" i="2"/>
  <c r="FR147" i="2"/>
  <c r="FQ147" i="2"/>
  <c r="FP147" i="2"/>
  <c r="FO147" i="2"/>
  <c r="FN147" i="2"/>
  <c r="FM147" i="2"/>
  <c r="FL147" i="2"/>
  <c r="FK147" i="2"/>
  <c r="FJ147" i="2"/>
  <c r="FI147" i="2"/>
  <c r="FH147" i="2"/>
  <c r="FG147" i="2"/>
  <c r="FF147" i="2"/>
  <c r="FE147" i="2"/>
  <c r="FD147" i="2"/>
  <c r="FC147" i="2"/>
  <c r="FB147" i="2"/>
  <c r="FA147" i="2"/>
  <c r="EZ147" i="2"/>
  <c r="EY147" i="2"/>
  <c r="EX147" i="2"/>
  <c r="EW147" i="2"/>
  <c r="EV147" i="2"/>
  <c r="EU147" i="2"/>
  <c r="ET147" i="2"/>
  <c r="ES147" i="2"/>
  <c r="ER147" i="2"/>
  <c r="EQ147" i="2"/>
  <c r="EP147" i="2"/>
  <c r="EO147" i="2"/>
  <c r="EN147" i="2"/>
  <c r="EM147" i="2"/>
  <c r="EL147" i="2"/>
  <c r="EK147" i="2"/>
  <c r="EJ147" i="2"/>
  <c r="EI147" i="2"/>
  <c r="EH147" i="2"/>
  <c r="EG147" i="2"/>
  <c r="EF147" i="2"/>
  <c r="EE147" i="2"/>
  <c r="ED147" i="2"/>
  <c r="EC147" i="2"/>
  <c r="EB147" i="2"/>
  <c r="EA147" i="2"/>
  <c r="DZ147" i="2"/>
  <c r="DY147" i="2"/>
  <c r="DX147" i="2"/>
  <c r="DW147" i="2"/>
  <c r="DV147" i="2"/>
  <c r="DU147" i="2"/>
  <c r="DT147" i="2"/>
  <c r="DS147" i="2"/>
  <c r="DR147" i="2"/>
  <c r="DQ147" i="2"/>
  <c r="DP147" i="2"/>
  <c r="DO147" i="2"/>
  <c r="DN147" i="2"/>
  <c r="DM147" i="2"/>
  <c r="DL147" i="2"/>
  <c r="DK147" i="2"/>
  <c r="DJ147" i="2"/>
  <c r="DI147" i="2"/>
  <c r="DH147" i="2"/>
  <c r="DG147" i="2"/>
  <c r="DF147" i="2"/>
  <c r="DE147" i="2"/>
  <c r="DD147" i="2"/>
  <c r="DC147" i="2"/>
  <c r="DB147" i="2"/>
  <c r="DA147" i="2"/>
  <c r="CZ147" i="2"/>
  <c r="CY147" i="2"/>
  <c r="CX147" i="2"/>
  <c r="CW147" i="2"/>
  <c r="CV147" i="2"/>
  <c r="CU147" i="2"/>
  <c r="CT147" i="2"/>
  <c r="CS147" i="2"/>
  <c r="CR147" i="2"/>
  <c r="CQ147" i="2"/>
  <c r="CP147" i="2"/>
  <c r="CO147" i="2"/>
  <c r="CN147" i="2"/>
  <c r="CM147" i="2"/>
  <c r="CL147" i="2"/>
  <c r="CK147" i="2"/>
  <c r="CJ147" i="2"/>
  <c r="CI147" i="2"/>
  <c r="CH147" i="2"/>
  <c r="CG147" i="2"/>
  <c r="CF147" i="2"/>
  <c r="CE147" i="2"/>
  <c r="CD147" i="2"/>
  <c r="CC147" i="2"/>
  <c r="CB147" i="2"/>
  <c r="CA147" i="2"/>
  <c r="BZ147" i="2"/>
  <c r="BY147" i="2"/>
  <c r="BX147" i="2"/>
  <c r="BW147" i="2"/>
  <c r="BV147" i="2"/>
  <c r="BU147" i="2"/>
  <c r="BT147" i="2"/>
  <c r="BS147" i="2"/>
  <c r="BR147" i="2"/>
  <c r="BQ147" i="2"/>
  <c r="BP147" i="2"/>
  <c r="BO147" i="2"/>
  <c r="BN147" i="2"/>
  <c r="BM147" i="2"/>
  <c r="BL147" i="2"/>
  <c r="BK147" i="2"/>
  <c r="BJ147" i="2"/>
  <c r="BI147" i="2"/>
  <c r="BH147" i="2"/>
  <c r="BG147" i="2"/>
  <c r="BF147" i="2"/>
  <c r="BE147" i="2"/>
  <c r="BD147" i="2"/>
  <c r="BC147" i="2"/>
  <c r="BB147" i="2"/>
  <c r="BA147" i="2"/>
  <c r="AZ147" i="2"/>
  <c r="AY147" i="2"/>
  <c r="AX147" i="2"/>
  <c r="AW147" i="2"/>
  <c r="AV147" i="2"/>
  <c r="AU147" i="2"/>
  <c r="AT147" i="2"/>
  <c r="AS147" i="2"/>
  <c r="AR147" i="2"/>
  <c r="AQ147" i="2"/>
  <c r="AP147" i="2"/>
  <c r="AO147" i="2"/>
  <c r="AN147" i="2"/>
  <c r="AM147" i="2"/>
  <c r="AL147" i="2"/>
  <c r="AK147" i="2"/>
  <c r="AJ147" i="2"/>
  <c r="AI147" i="2"/>
  <c r="AH147" i="2"/>
  <c r="AG147" i="2"/>
  <c r="AF147" i="2"/>
  <c r="AE147" i="2"/>
  <c r="AD147" i="2"/>
  <c r="AC147" i="2"/>
  <c r="AB147" i="2"/>
  <c r="AA147" i="2"/>
  <c r="Z147" i="2"/>
  <c r="Y147" i="2"/>
  <c r="X147" i="2"/>
  <c r="W147" i="2"/>
  <c r="GX146" i="2"/>
  <c r="GW146" i="2"/>
  <c r="GV146" i="2"/>
  <c r="GU146" i="2"/>
  <c r="GT146" i="2"/>
  <c r="GS146" i="2"/>
  <c r="GR146" i="2"/>
  <c r="GQ146" i="2"/>
  <c r="GP146" i="2"/>
  <c r="GO146" i="2"/>
  <c r="GN146" i="2"/>
  <c r="GM146" i="2"/>
  <c r="GL146" i="2"/>
  <c r="GK146" i="2"/>
  <c r="GJ146" i="2"/>
  <c r="GI146" i="2"/>
  <c r="GH146" i="2"/>
  <c r="GG146" i="2"/>
  <c r="GF146" i="2"/>
  <c r="GE146" i="2"/>
  <c r="GD146" i="2"/>
  <c r="GC146" i="2"/>
  <c r="GB146" i="2"/>
  <c r="GA146" i="2"/>
  <c r="FZ146" i="2"/>
  <c r="FY146" i="2"/>
  <c r="FX146" i="2"/>
  <c r="FW146" i="2"/>
  <c r="FV146" i="2"/>
  <c r="FU146" i="2"/>
  <c r="FT146" i="2"/>
  <c r="FS146" i="2"/>
  <c r="FR146" i="2"/>
  <c r="FQ146" i="2"/>
  <c r="FP146" i="2"/>
  <c r="FO146" i="2"/>
  <c r="FN146" i="2"/>
  <c r="FM146" i="2"/>
  <c r="FL146" i="2"/>
  <c r="FK146" i="2"/>
  <c r="FJ146" i="2"/>
  <c r="FI146" i="2"/>
  <c r="FH146" i="2"/>
  <c r="FG146" i="2"/>
  <c r="FF146" i="2"/>
  <c r="FE146" i="2"/>
  <c r="FD146" i="2"/>
  <c r="FC146" i="2"/>
  <c r="FB146" i="2"/>
  <c r="FA146" i="2"/>
  <c r="EZ146" i="2"/>
  <c r="EY146" i="2"/>
  <c r="EX146" i="2"/>
  <c r="EW146" i="2"/>
  <c r="EV146" i="2"/>
  <c r="EU146" i="2"/>
  <c r="ET146" i="2"/>
  <c r="ES146" i="2"/>
  <c r="ER146" i="2"/>
  <c r="EQ146" i="2"/>
  <c r="EP146" i="2"/>
  <c r="EO146" i="2"/>
  <c r="EN146" i="2"/>
  <c r="EM146" i="2"/>
  <c r="EL146" i="2"/>
  <c r="EK146" i="2"/>
  <c r="EJ146" i="2"/>
  <c r="EI146" i="2"/>
  <c r="EH146" i="2"/>
  <c r="EG146" i="2"/>
  <c r="EF146" i="2"/>
  <c r="EE146" i="2"/>
  <c r="ED146" i="2"/>
  <c r="EC146" i="2"/>
  <c r="EB146" i="2"/>
  <c r="EA146" i="2"/>
  <c r="DZ146" i="2"/>
  <c r="DY146" i="2"/>
  <c r="DX146" i="2"/>
  <c r="DW146" i="2"/>
  <c r="DV146" i="2"/>
  <c r="DU146" i="2"/>
  <c r="DT146" i="2"/>
  <c r="DS146" i="2"/>
  <c r="DR146" i="2"/>
  <c r="DQ146" i="2"/>
  <c r="DP146" i="2"/>
  <c r="DO146" i="2"/>
  <c r="DN146" i="2"/>
  <c r="DM146" i="2"/>
  <c r="DL146" i="2"/>
  <c r="DK146" i="2"/>
  <c r="DJ146" i="2"/>
  <c r="DI146" i="2"/>
  <c r="DH146" i="2"/>
  <c r="DG146" i="2"/>
  <c r="DF146" i="2"/>
  <c r="DE146" i="2"/>
  <c r="DD146" i="2"/>
  <c r="DC146" i="2"/>
  <c r="DB146" i="2"/>
  <c r="DA146" i="2"/>
  <c r="CZ146" i="2"/>
  <c r="CY146" i="2"/>
  <c r="CX146" i="2"/>
  <c r="CW146" i="2"/>
  <c r="CV146" i="2"/>
  <c r="CU146" i="2"/>
  <c r="CT146" i="2"/>
  <c r="CS146" i="2"/>
  <c r="CR146" i="2"/>
  <c r="CQ146" i="2"/>
  <c r="CP146" i="2"/>
  <c r="CO146" i="2"/>
  <c r="CN146" i="2"/>
  <c r="CM146" i="2"/>
  <c r="CL146" i="2"/>
  <c r="CK146" i="2"/>
  <c r="CJ146" i="2"/>
  <c r="CI146" i="2"/>
  <c r="CH146" i="2"/>
  <c r="CG146" i="2"/>
  <c r="CF146" i="2"/>
  <c r="CE146" i="2"/>
  <c r="CD146" i="2"/>
  <c r="CC146" i="2"/>
  <c r="CB146" i="2"/>
  <c r="CA146" i="2"/>
  <c r="BZ146" i="2"/>
  <c r="BY146" i="2"/>
  <c r="BX146" i="2"/>
  <c r="BW146" i="2"/>
  <c r="BV146" i="2"/>
  <c r="BU146" i="2"/>
  <c r="BT146" i="2"/>
  <c r="BS146" i="2"/>
  <c r="BR146" i="2"/>
  <c r="BQ146" i="2"/>
  <c r="BP146" i="2"/>
  <c r="BO146" i="2"/>
  <c r="BN146" i="2"/>
  <c r="BM146" i="2"/>
  <c r="BL146" i="2"/>
  <c r="BK146" i="2"/>
  <c r="BJ146" i="2"/>
  <c r="BI146" i="2"/>
  <c r="BH146" i="2"/>
  <c r="BG146" i="2"/>
  <c r="BF146" i="2"/>
  <c r="BE146" i="2"/>
  <c r="BD146" i="2"/>
  <c r="BC146" i="2"/>
  <c r="BB146" i="2"/>
  <c r="BA146" i="2"/>
  <c r="AZ146" i="2"/>
  <c r="AY146" i="2"/>
  <c r="AX146" i="2"/>
  <c r="AW146" i="2"/>
  <c r="AV146" i="2"/>
  <c r="AU146" i="2"/>
  <c r="AT146" i="2"/>
  <c r="AS146" i="2"/>
  <c r="AR146" i="2"/>
  <c r="AQ146" i="2"/>
  <c r="AP146" i="2"/>
  <c r="AO146" i="2"/>
  <c r="AN146" i="2"/>
  <c r="AM146" i="2"/>
  <c r="AL146" i="2"/>
  <c r="AK146" i="2"/>
  <c r="AJ146" i="2"/>
  <c r="AI146" i="2"/>
  <c r="AH146" i="2"/>
  <c r="AG146" i="2"/>
  <c r="AF146" i="2"/>
  <c r="AE146" i="2"/>
  <c r="AD146" i="2"/>
  <c r="AC146" i="2"/>
  <c r="AB146" i="2"/>
  <c r="AA146" i="2"/>
  <c r="Z146" i="2"/>
  <c r="Y146" i="2"/>
  <c r="X146" i="2"/>
  <c r="W146" i="2"/>
  <c r="GX145" i="2"/>
  <c r="GW145" i="2"/>
  <c r="GV145" i="2"/>
  <c r="GU145" i="2"/>
  <c r="GT145" i="2"/>
  <c r="GS145" i="2"/>
  <c r="GR145" i="2"/>
  <c r="GQ145" i="2"/>
  <c r="GP145" i="2"/>
  <c r="GO145" i="2"/>
  <c r="GN145" i="2"/>
  <c r="GM145" i="2"/>
  <c r="GL145" i="2"/>
  <c r="GK145" i="2"/>
  <c r="GJ145" i="2"/>
  <c r="GI145" i="2"/>
  <c r="GH145" i="2"/>
  <c r="GG145" i="2"/>
  <c r="GF145" i="2"/>
  <c r="GE145" i="2"/>
  <c r="GD145" i="2"/>
  <c r="GC145" i="2"/>
  <c r="GB145" i="2"/>
  <c r="GA145" i="2"/>
  <c r="FZ145" i="2"/>
  <c r="FY145" i="2"/>
  <c r="FX145" i="2"/>
  <c r="FW145" i="2"/>
  <c r="FV145" i="2"/>
  <c r="FU145" i="2"/>
  <c r="FT145" i="2"/>
  <c r="FS145" i="2"/>
  <c r="FR145" i="2"/>
  <c r="FQ145" i="2"/>
  <c r="FP145" i="2"/>
  <c r="FO145" i="2"/>
  <c r="FN145" i="2"/>
  <c r="FM145" i="2"/>
  <c r="FL145" i="2"/>
  <c r="FK145" i="2"/>
  <c r="FJ145" i="2"/>
  <c r="FI145" i="2"/>
  <c r="FH145" i="2"/>
  <c r="FG145" i="2"/>
  <c r="FF145" i="2"/>
  <c r="FE145" i="2"/>
  <c r="FD145" i="2"/>
  <c r="FC145" i="2"/>
  <c r="FB145" i="2"/>
  <c r="FA145" i="2"/>
  <c r="EZ145" i="2"/>
  <c r="EY145" i="2"/>
  <c r="EX145" i="2"/>
  <c r="EW145" i="2"/>
  <c r="EV145" i="2"/>
  <c r="EU145" i="2"/>
  <c r="ET145" i="2"/>
  <c r="ES145" i="2"/>
  <c r="ER145" i="2"/>
  <c r="EQ145" i="2"/>
  <c r="EP145" i="2"/>
  <c r="EO145" i="2"/>
  <c r="EN145" i="2"/>
  <c r="EM145" i="2"/>
  <c r="EL145" i="2"/>
  <c r="EK145" i="2"/>
  <c r="EJ145" i="2"/>
  <c r="EI145" i="2"/>
  <c r="EH145" i="2"/>
  <c r="EG145" i="2"/>
  <c r="EF145" i="2"/>
  <c r="EE145" i="2"/>
  <c r="ED145" i="2"/>
  <c r="EC145" i="2"/>
  <c r="EB145" i="2"/>
  <c r="EA145" i="2"/>
  <c r="DZ145" i="2"/>
  <c r="DY145" i="2"/>
  <c r="DX145" i="2"/>
  <c r="DW145" i="2"/>
  <c r="DV145" i="2"/>
  <c r="DU145" i="2"/>
  <c r="DT145" i="2"/>
  <c r="DS145" i="2"/>
  <c r="DR145" i="2"/>
  <c r="DQ145" i="2"/>
  <c r="DP145" i="2"/>
  <c r="DO145" i="2"/>
  <c r="DN145" i="2"/>
  <c r="DM145" i="2"/>
  <c r="DL145" i="2"/>
  <c r="DK145" i="2"/>
  <c r="DJ145" i="2"/>
  <c r="DI145" i="2"/>
  <c r="DH145" i="2"/>
  <c r="DG145" i="2"/>
  <c r="DF145" i="2"/>
  <c r="DE145" i="2"/>
  <c r="DD145" i="2"/>
  <c r="DC145" i="2"/>
  <c r="DB145" i="2"/>
  <c r="DA145" i="2"/>
  <c r="CZ145" i="2"/>
  <c r="CY145" i="2"/>
  <c r="CX145" i="2"/>
  <c r="CW145" i="2"/>
  <c r="CV145" i="2"/>
  <c r="CU145" i="2"/>
  <c r="CT145" i="2"/>
  <c r="CS145" i="2"/>
  <c r="CR145" i="2"/>
  <c r="CQ145" i="2"/>
  <c r="CP145" i="2"/>
  <c r="CO145" i="2"/>
  <c r="CN145" i="2"/>
  <c r="CM145" i="2"/>
  <c r="CL145" i="2"/>
  <c r="CK145" i="2"/>
  <c r="CJ145" i="2"/>
  <c r="CI145" i="2"/>
  <c r="CH145" i="2"/>
  <c r="CG145" i="2"/>
  <c r="CF145" i="2"/>
  <c r="CE145" i="2"/>
  <c r="CD145" i="2"/>
  <c r="CC145" i="2"/>
  <c r="CB145" i="2"/>
  <c r="CA145" i="2"/>
  <c r="BZ145" i="2"/>
  <c r="BY145" i="2"/>
  <c r="BX145" i="2"/>
  <c r="BW145" i="2"/>
  <c r="BV145" i="2"/>
  <c r="BU145" i="2"/>
  <c r="BT145" i="2"/>
  <c r="BS145" i="2"/>
  <c r="BR145" i="2"/>
  <c r="BQ145" i="2"/>
  <c r="BP145" i="2"/>
  <c r="BO145" i="2"/>
  <c r="BN145" i="2"/>
  <c r="BM145" i="2"/>
  <c r="BL145" i="2"/>
  <c r="BK145" i="2"/>
  <c r="BJ145" i="2"/>
  <c r="BI145" i="2"/>
  <c r="BH145" i="2"/>
  <c r="BG145" i="2"/>
  <c r="BF145" i="2"/>
  <c r="BE145" i="2"/>
  <c r="BD145" i="2"/>
  <c r="BC145" i="2"/>
  <c r="BB145" i="2"/>
  <c r="BA145" i="2"/>
  <c r="AZ145" i="2"/>
  <c r="AY145" i="2"/>
  <c r="AX145" i="2"/>
  <c r="AW145" i="2"/>
  <c r="AV145" i="2"/>
  <c r="AU145" i="2"/>
  <c r="AT145" i="2"/>
  <c r="AS145" i="2"/>
  <c r="AR145" i="2"/>
  <c r="AQ145" i="2"/>
  <c r="AP145" i="2"/>
  <c r="AO145" i="2"/>
  <c r="AN145" i="2"/>
  <c r="AM145" i="2"/>
  <c r="AL145" i="2"/>
  <c r="AK145" i="2"/>
  <c r="AJ145" i="2"/>
  <c r="AI145" i="2"/>
  <c r="AH145" i="2"/>
  <c r="AG145" i="2"/>
  <c r="AF145" i="2"/>
  <c r="AE145" i="2"/>
  <c r="AD145" i="2"/>
  <c r="AC145" i="2"/>
  <c r="AB145" i="2"/>
  <c r="AA145" i="2"/>
  <c r="Z145" i="2"/>
  <c r="Y145" i="2"/>
  <c r="X145" i="2"/>
  <c r="W145" i="2"/>
  <c r="GX144" i="2"/>
  <c r="GW144" i="2"/>
  <c r="GV144" i="2"/>
  <c r="GU144" i="2"/>
  <c r="GT144" i="2"/>
  <c r="GS144" i="2"/>
  <c r="GR144" i="2"/>
  <c r="GQ144" i="2"/>
  <c r="GP144" i="2"/>
  <c r="GO144" i="2"/>
  <c r="GN144" i="2"/>
  <c r="GM144" i="2"/>
  <c r="GL144" i="2"/>
  <c r="GK144" i="2"/>
  <c r="GJ144" i="2"/>
  <c r="GI144" i="2"/>
  <c r="GH144" i="2"/>
  <c r="GG144" i="2"/>
  <c r="GF144" i="2"/>
  <c r="GE144" i="2"/>
  <c r="GD144" i="2"/>
  <c r="GC144" i="2"/>
  <c r="GB144" i="2"/>
  <c r="GA144" i="2"/>
  <c r="FZ144" i="2"/>
  <c r="FY144" i="2"/>
  <c r="FX144" i="2"/>
  <c r="FW144" i="2"/>
  <c r="FV144" i="2"/>
  <c r="FU144" i="2"/>
  <c r="FT144" i="2"/>
  <c r="FS144" i="2"/>
  <c r="FR144" i="2"/>
  <c r="FQ144" i="2"/>
  <c r="FP144" i="2"/>
  <c r="FO144" i="2"/>
  <c r="FN144" i="2"/>
  <c r="FM144" i="2"/>
  <c r="FL144" i="2"/>
  <c r="FK144" i="2"/>
  <c r="FJ144" i="2"/>
  <c r="FI144" i="2"/>
  <c r="FH144" i="2"/>
  <c r="FG144" i="2"/>
  <c r="FF144" i="2"/>
  <c r="FE144" i="2"/>
  <c r="FD144" i="2"/>
  <c r="FC144" i="2"/>
  <c r="FB144" i="2"/>
  <c r="FA144" i="2"/>
  <c r="EZ144" i="2"/>
  <c r="EY144" i="2"/>
  <c r="EX144" i="2"/>
  <c r="EW144" i="2"/>
  <c r="EV144" i="2"/>
  <c r="EU144" i="2"/>
  <c r="ET144" i="2"/>
  <c r="ES144" i="2"/>
  <c r="ER144" i="2"/>
  <c r="EQ144" i="2"/>
  <c r="EP144" i="2"/>
  <c r="EO144" i="2"/>
  <c r="EN144" i="2"/>
  <c r="EM144" i="2"/>
  <c r="EL144" i="2"/>
  <c r="EK144" i="2"/>
  <c r="EJ144" i="2"/>
  <c r="EI144" i="2"/>
  <c r="EH144" i="2"/>
  <c r="EG144" i="2"/>
  <c r="EF144" i="2"/>
  <c r="EE144" i="2"/>
  <c r="ED144" i="2"/>
  <c r="EC144" i="2"/>
  <c r="EB144" i="2"/>
  <c r="EA144" i="2"/>
  <c r="DZ144" i="2"/>
  <c r="DY144" i="2"/>
  <c r="DX144" i="2"/>
  <c r="DW144" i="2"/>
  <c r="DV144" i="2"/>
  <c r="DU144" i="2"/>
  <c r="DT144" i="2"/>
  <c r="DS144" i="2"/>
  <c r="DR144" i="2"/>
  <c r="DQ144" i="2"/>
  <c r="DP144" i="2"/>
  <c r="DO144" i="2"/>
  <c r="DN144" i="2"/>
  <c r="DM144" i="2"/>
  <c r="DL144" i="2"/>
  <c r="DK144" i="2"/>
  <c r="DJ144" i="2"/>
  <c r="DI144" i="2"/>
  <c r="DH144" i="2"/>
  <c r="DG144" i="2"/>
  <c r="DF144" i="2"/>
  <c r="DE144" i="2"/>
  <c r="DD144" i="2"/>
  <c r="DC144" i="2"/>
  <c r="DB144" i="2"/>
  <c r="DA144" i="2"/>
  <c r="CZ144" i="2"/>
  <c r="CY144" i="2"/>
  <c r="CX144" i="2"/>
  <c r="CW144" i="2"/>
  <c r="CV144" i="2"/>
  <c r="CU144" i="2"/>
  <c r="CT144" i="2"/>
  <c r="CS144" i="2"/>
  <c r="CR144" i="2"/>
  <c r="CQ144" i="2"/>
  <c r="CP144" i="2"/>
  <c r="CO144" i="2"/>
  <c r="CN144" i="2"/>
  <c r="CM144" i="2"/>
  <c r="CL144" i="2"/>
  <c r="CK144" i="2"/>
  <c r="CJ144" i="2"/>
  <c r="CI144" i="2"/>
  <c r="CH144" i="2"/>
  <c r="CG144" i="2"/>
  <c r="CF144" i="2"/>
  <c r="CE144" i="2"/>
  <c r="CD144" i="2"/>
  <c r="CC144" i="2"/>
  <c r="CB144" i="2"/>
  <c r="CA144" i="2"/>
  <c r="BZ144" i="2"/>
  <c r="BY144" i="2"/>
  <c r="BX144" i="2"/>
  <c r="BW144" i="2"/>
  <c r="BV144" i="2"/>
  <c r="BU144" i="2"/>
  <c r="BT144" i="2"/>
  <c r="BS144" i="2"/>
  <c r="BR144" i="2"/>
  <c r="BQ144" i="2"/>
  <c r="BP144" i="2"/>
  <c r="BO144" i="2"/>
  <c r="BN144" i="2"/>
  <c r="BM144" i="2"/>
  <c r="BL144" i="2"/>
  <c r="BK144" i="2"/>
  <c r="BJ144" i="2"/>
  <c r="BI144" i="2"/>
  <c r="BH144" i="2"/>
  <c r="BG144" i="2"/>
  <c r="BF144" i="2"/>
  <c r="BE144" i="2"/>
  <c r="BD144" i="2"/>
  <c r="BC144" i="2"/>
  <c r="BB144" i="2"/>
  <c r="BA144" i="2"/>
  <c r="AZ144" i="2"/>
  <c r="AY144" i="2"/>
  <c r="AX144" i="2"/>
  <c r="AW144" i="2"/>
  <c r="AV144" i="2"/>
  <c r="AU144" i="2"/>
  <c r="AT144" i="2"/>
  <c r="AS144" i="2"/>
  <c r="AR144" i="2"/>
  <c r="AQ144" i="2"/>
  <c r="AP144" i="2"/>
  <c r="AO144" i="2"/>
  <c r="AN144" i="2"/>
  <c r="AM144" i="2"/>
  <c r="AL144" i="2"/>
  <c r="AK144" i="2"/>
  <c r="AJ144" i="2"/>
  <c r="AI144" i="2"/>
  <c r="AH144" i="2"/>
  <c r="AG144" i="2"/>
  <c r="AF144" i="2"/>
  <c r="AE144" i="2"/>
  <c r="AD144" i="2"/>
  <c r="AC144" i="2"/>
  <c r="AB144" i="2"/>
  <c r="AA144" i="2"/>
  <c r="Z144" i="2"/>
  <c r="Y144" i="2"/>
  <c r="X144" i="2"/>
  <c r="W144" i="2"/>
  <c r="GX143" i="2"/>
  <c r="GW143" i="2"/>
  <c r="GV143" i="2"/>
  <c r="GU143" i="2"/>
  <c r="GT143" i="2"/>
  <c r="GS143" i="2"/>
  <c r="GR143" i="2"/>
  <c r="GQ143" i="2"/>
  <c r="GP143" i="2"/>
  <c r="GO143" i="2"/>
  <c r="GN143" i="2"/>
  <c r="GM143" i="2"/>
  <c r="GL143" i="2"/>
  <c r="GK143" i="2"/>
  <c r="GJ143" i="2"/>
  <c r="GI143" i="2"/>
  <c r="GH143" i="2"/>
  <c r="GG143" i="2"/>
  <c r="GF143" i="2"/>
  <c r="GE143" i="2"/>
  <c r="GD143" i="2"/>
  <c r="GC143" i="2"/>
  <c r="GB143" i="2"/>
  <c r="GA143" i="2"/>
  <c r="FZ143" i="2"/>
  <c r="FY143" i="2"/>
  <c r="FX143" i="2"/>
  <c r="FW143" i="2"/>
  <c r="FV143" i="2"/>
  <c r="FU143" i="2"/>
  <c r="FT143" i="2"/>
  <c r="FS143" i="2"/>
  <c r="FR143" i="2"/>
  <c r="FQ143" i="2"/>
  <c r="FP143" i="2"/>
  <c r="FO143" i="2"/>
  <c r="FN143" i="2"/>
  <c r="FM143" i="2"/>
  <c r="FL143" i="2"/>
  <c r="FK143" i="2"/>
  <c r="FJ143" i="2"/>
  <c r="FI143" i="2"/>
  <c r="FH143" i="2"/>
  <c r="FG143" i="2"/>
  <c r="FF143" i="2"/>
  <c r="FE143" i="2"/>
  <c r="FD143" i="2"/>
  <c r="FC143" i="2"/>
  <c r="FB143" i="2"/>
  <c r="FA143" i="2"/>
  <c r="EZ143" i="2"/>
  <c r="EY143" i="2"/>
  <c r="EX143" i="2"/>
  <c r="EW143" i="2"/>
  <c r="EV143" i="2"/>
  <c r="EU143" i="2"/>
  <c r="ET143" i="2"/>
  <c r="ES143" i="2"/>
  <c r="ER143" i="2"/>
  <c r="EQ143" i="2"/>
  <c r="EP143" i="2"/>
  <c r="EO143" i="2"/>
  <c r="EN143" i="2"/>
  <c r="EM143" i="2"/>
  <c r="EL143" i="2"/>
  <c r="EK143" i="2"/>
  <c r="EJ143" i="2"/>
  <c r="EI143" i="2"/>
  <c r="EH143" i="2"/>
  <c r="EG143" i="2"/>
  <c r="EF143" i="2"/>
  <c r="EE143" i="2"/>
  <c r="ED143" i="2"/>
  <c r="EC143" i="2"/>
  <c r="EB143" i="2"/>
  <c r="EA143" i="2"/>
  <c r="DZ143" i="2"/>
  <c r="DY143" i="2"/>
  <c r="DX143" i="2"/>
  <c r="DW143" i="2"/>
  <c r="DV143" i="2"/>
  <c r="DU143" i="2"/>
  <c r="DT143" i="2"/>
  <c r="DS143" i="2"/>
  <c r="DR143" i="2"/>
  <c r="DQ143" i="2"/>
  <c r="DP143" i="2"/>
  <c r="DO143" i="2"/>
  <c r="DN143" i="2"/>
  <c r="DM143" i="2"/>
  <c r="DL143" i="2"/>
  <c r="DK143" i="2"/>
  <c r="DJ143" i="2"/>
  <c r="DI143" i="2"/>
  <c r="DH143" i="2"/>
  <c r="DG143" i="2"/>
  <c r="DF143" i="2"/>
  <c r="DE143" i="2"/>
  <c r="DD143" i="2"/>
  <c r="DC143" i="2"/>
  <c r="DB143" i="2"/>
  <c r="DA143" i="2"/>
  <c r="CZ143" i="2"/>
  <c r="CY143" i="2"/>
  <c r="CX143" i="2"/>
  <c r="CW143" i="2"/>
  <c r="CV143" i="2"/>
  <c r="CU143" i="2"/>
  <c r="CT143" i="2"/>
  <c r="CS143" i="2"/>
  <c r="CR143" i="2"/>
  <c r="CQ143" i="2"/>
  <c r="CP143" i="2"/>
  <c r="CO143" i="2"/>
  <c r="CN143" i="2"/>
  <c r="CM143" i="2"/>
  <c r="CL143" i="2"/>
  <c r="CK143" i="2"/>
  <c r="CJ143" i="2"/>
  <c r="CI143" i="2"/>
  <c r="CH143" i="2"/>
  <c r="CG143" i="2"/>
  <c r="CF143" i="2"/>
  <c r="CE143" i="2"/>
  <c r="CD143" i="2"/>
  <c r="CC143" i="2"/>
  <c r="CB143" i="2"/>
  <c r="CA143" i="2"/>
  <c r="BZ143" i="2"/>
  <c r="BY143" i="2"/>
  <c r="BX143" i="2"/>
  <c r="BW143" i="2"/>
  <c r="BV143" i="2"/>
  <c r="BU143" i="2"/>
  <c r="BT143" i="2"/>
  <c r="BS143" i="2"/>
  <c r="BR143" i="2"/>
  <c r="BQ143" i="2"/>
  <c r="BP143" i="2"/>
  <c r="BO143" i="2"/>
  <c r="BN143" i="2"/>
  <c r="BM143" i="2"/>
  <c r="BL143" i="2"/>
  <c r="BK143" i="2"/>
  <c r="BJ143" i="2"/>
  <c r="BI143" i="2"/>
  <c r="BH143" i="2"/>
  <c r="BG143" i="2"/>
  <c r="BF143" i="2"/>
  <c r="BE143" i="2"/>
  <c r="BD143" i="2"/>
  <c r="BC143" i="2"/>
  <c r="BB143" i="2"/>
  <c r="BA143" i="2"/>
  <c r="AZ143" i="2"/>
  <c r="AY143" i="2"/>
  <c r="AX143" i="2"/>
  <c r="AW143" i="2"/>
  <c r="AV143" i="2"/>
  <c r="AU143" i="2"/>
  <c r="AT143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GX141" i="2"/>
  <c r="GW141" i="2"/>
  <c r="GV141" i="2"/>
  <c r="GU141" i="2"/>
  <c r="GT141" i="2"/>
  <c r="GS141" i="2"/>
  <c r="GR141" i="2"/>
  <c r="GQ141" i="2"/>
  <c r="GP141" i="2"/>
  <c r="GO141" i="2"/>
  <c r="GN141" i="2"/>
  <c r="GM141" i="2"/>
  <c r="GL141" i="2"/>
  <c r="GK141" i="2"/>
  <c r="GJ141" i="2"/>
  <c r="GI141" i="2"/>
  <c r="GH141" i="2"/>
  <c r="GG141" i="2"/>
  <c r="GF141" i="2"/>
  <c r="GE141" i="2"/>
  <c r="GD141" i="2"/>
  <c r="GC141" i="2"/>
  <c r="GB141" i="2"/>
  <c r="GA141" i="2"/>
  <c r="FZ141" i="2"/>
  <c r="FY141" i="2"/>
  <c r="FX141" i="2"/>
  <c r="FW141" i="2"/>
  <c r="FV141" i="2"/>
  <c r="FU141" i="2"/>
  <c r="FT141" i="2"/>
  <c r="FS141" i="2"/>
  <c r="FR141" i="2"/>
  <c r="FQ141" i="2"/>
  <c r="FP141" i="2"/>
  <c r="FO141" i="2"/>
  <c r="FN141" i="2"/>
  <c r="FM141" i="2"/>
  <c r="FL141" i="2"/>
  <c r="FK141" i="2"/>
  <c r="FJ141" i="2"/>
  <c r="FI141" i="2"/>
  <c r="FH141" i="2"/>
  <c r="FG141" i="2"/>
  <c r="FF141" i="2"/>
  <c r="FE141" i="2"/>
  <c r="FD141" i="2"/>
  <c r="FC141" i="2"/>
  <c r="FB141" i="2"/>
  <c r="FA141" i="2"/>
  <c r="EZ141" i="2"/>
  <c r="EY141" i="2"/>
  <c r="EX141" i="2"/>
  <c r="EW141" i="2"/>
  <c r="EV141" i="2"/>
  <c r="EU141" i="2"/>
  <c r="ET141" i="2"/>
  <c r="ES141" i="2"/>
  <c r="ER141" i="2"/>
  <c r="EQ141" i="2"/>
  <c r="EP141" i="2"/>
  <c r="EO141" i="2"/>
  <c r="EN141" i="2"/>
  <c r="EM141" i="2"/>
  <c r="EL141" i="2"/>
  <c r="EK141" i="2"/>
  <c r="EJ141" i="2"/>
  <c r="EI141" i="2"/>
  <c r="EH141" i="2"/>
  <c r="EG141" i="2"/>
  <c r="EF141" i="2"/>
  <c r="EE141" i="2"/>
  <c r="ED141" i="2"/>
  <c r="EC141" i="2"/>
  <c r="EB141" i="2"/>
  <c r="EA141" i="2"/>
  <c r="DZ141" i="2"/>
  <c r="DY141" i="2"/>
  <c r="DX141" i="2"/>
  <c r="DW141" i="2"/>
  <c r="DV141" i="2"/>
  <c r="DU141" i="2"/>
  <c r="DT141" i="2"/>
  <c r="DS141" i="2"/>
  <c r="DR141" i="2"/>
  <c r="DQ141" i="2"/>
  <c r="DP141" i="2"/>
  <c r="DO141" i="2"/>
  <c r="DN141" i="2"/>
  <c r="DM141" i="2"/>
  <c r="DL141" i="2"/>
  <c r="DK141" i="2"/>
  <c r="DJ141" i="2"/>
  <c r="DI141" i="2"/>
  <c r="DH141" i="2"/>
  <c r="DG141" i="2"/>
  <c r="DF141" i="2"/>
  <c r="DE141" i="2"/>
  <c r="DD141" i="2"/>
  <c r="DC141" i="2"/>
  <c r="DB141" i="2"/>
  <c r="DA141" i="2"/>
  <c r="CZ141" i="2"/>
  <c r="CY141" i="2"/>
  <c r="CX141" i="2"/>
  <c r="CW141" i="2"/>
  <c r="CV141" i="2"/>
  <c r="CU141" i="2"/>
  <c r="CT141" i="2"/>
  <c r="CS141" i="2"/>
  <c r="CR141" i="2"/>
  <c r="CQ141" i="2"/>
  <c r="CP141" i="2"/>
  <c r="CO141" i="2"/>
  <c r="CN141" i="2"/>
  <c r="CM141" i="2"/>
  <c r="CL141" i="2"/>
  <c r="CK141" i="2"/>
  <c r="CJ141" i="2"/>
  <c r="CI141" i="2"/>
  <c r="CH141" i="2"/>
  <c r="CG141" i="2"/>
  <c r="CF141" i="2"/>
  <c r="CE141" i="2"/>
  <c r="CD141" i="2"/>
  <c r="CC141" i="2"/>
  <c r="CB141" i="2"/>
  <c r="CA141" i="2"/>
  <c r="BZ141" i="2"/>
  <c r="BY141" i="2"/>
  <c r="BX141" i="2"/>
  <c r="BW141" i="2"/>
  <c r="BV141" i="2"/>
  <c r="BU141" i="2"/>
  <c r="BT141" i="2"/>
  <c r="BS141" i="2"/>
  <c r="BR141" i="2"/>
  <c r="BQ141" i="2"/>
  <c r="BP141" i="2"/>
  <c r="BO141" i="2"/>
  <c r="BN141" i="2"/>
  <c r="BM141" i="2"/>
  <c r="BL141" i="2"/>
  <c r="BK141" i="2"/>
  <c r="BJ141" i="2"/>
  <c r="BI141" i="2"/>
  <c r="BH141" i="2"/>
  <c r="BG141" i="2"/>
  <c r="BF141" i="2"/>
  <c r="BE141" i="2"/>
  <c r="BD141" i="2"/>
  <c r="BC141" i="2"/>
  <c r="BB141" i="2"/>
  <c r="BA141" i="2"/>
  <c r="AZ141" i="2"/>
  <c r="AY141" i="2"/>
  <c r="AX141" i="2"/>
  <c r="AW141" i="2"/>
  <c r="AV141" i="2"/>
  <c r="AU141" i="2"/>
  <c r="AT141" i="2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GX140" i="2"/>
  <c r="GW140" i="2"/>
  <c r="GV140" i="2"/>
  <c r="GU140" i="2"/>
  <c r="GT140" i="2"/>
  <c r="GS140" i="2"/>
  <c r="GR140" i="2"/>
  <c r="GQ140" i="2"/>
  <c r="GP140" i="2"/>
  <c r="GO140" i="2"/>
  <c r="GN140" i="2"/>
  <c r="GM140" i="2"/>
  <c r="GL140" i="2"/>
  <c r="GK140" i="2"/>
  <c r="GJ140" i="2"/>
  <c r="GI140" i="2"/>
  <c r="GH140" i="2"/>
  <c r="GG140" i="2"/>
  <c r="GF140" i="2"/>
  <c r="GE140" i="2"/>
  <c r="GD140" i="2"/>
  <c r="GC140" i="2"/>
  <c r="GB140" i="2"/>
  <c r="GA140" i="2"/>
  <c r="FZ140" i="2"/>
  <c r="FY140" i="2"/>
  <c r="FX140" i="2"/>
  <c r="FW140" i="2"/>
  <c r="FV140" i="2"/>
  <c r="FU140" i="2"/>
  <c r="FT140" i="2"/>
  <c r="FS140" i="2"/>
  <c r="FR140" i="2"/>
  <c r="FQ140" i="2"/>
  <c r="FP140" i="2"/>
  <c r="FO140" i="2"/>
  <c r="FN140" i="2"/>
  <c r="FM140" i="2"/>
  <c r="FL140" i="2"/>
  <c r="FK140" i="2"/>
  <c r="FJ140" i="2"/>
  <c r="FI140" i="2"/>
  <c r="FH140" i="2"/>
  <c r="FG140" i="2"/>
  <c r="FF140" i="2"/>
  <c r="FE140" i="2"/>
  <c r="FD140" i="2"/>
  <c r="FC140" i="2"/>
  <c r="FB140" i="2"/>
  <c r="FA140" i="2"/>
  <c r="EZ140" i="2"/>
  <c r="EY140" i="2"/>
  <c r="EX140" i="2"/>
  <c r="EW140" i="2"/>
  <c r="EV140" i="2"/>
  <c r="EU140" i="2"/>
  <c r="ET140" i="2"/>
  <c r="ES140" i="2"/>
  <c r="ER140" i="2"/>
  <c r="EQ140" i="2"/>
  <c r="EP140" i="2"/>
  <c r="EO140" i="2"/>
  <c r="EN140" i="2"/>
  <c r="EM140" i="2"/>
  <c r="EL140" i="2"/>
  <c r="EK140" i="2"/>
  <c r="EJ140" i="2"/>
  <c r="EI140" i="2"/>
  <c r="EH140" i="2"/>
  <c r="EG140" i="2"/>
  <c r="EF140" i="2"/>
  <c r="EE140" i="2"/>
  <c r="ED140" i="2"/>
  <c r="EC140" i="2"/>
  <c r="EB140" i="2"/>
  <c r="EA140" i="2"/>
  <c r="DZ140" i="2"/>
  <c r="DY140" i="2"/>
  <c r="DX140" i="2"/>
  <c r="DW140" i="2"/>
  <c r="DV140" i="2"/>
  <c r="DU140" i="2"/>
  <c r="DT140" i="2"/>
  <c r="DS140" i="2"/>
  <c r="DR140" i="2"/>
  <c r="DQ140" i="2"/>
  <c r="DP140" i="2"/>
  <c r="DO140" i="2"/>
  <c r="DN140" i="2"/>
  <c r="DM140" i="2"/>
  <c r="DL140" i="2"/>
  <c r="DK140" i="2"/>
  <c r="DJ140" i="2"/>
  <c r="DI140" i="2"/>
  <c r="DH140" i="2"/>
  <c r="DG140" i="2"/>
  <c r="DF140" i="2"/>
  <c r="DE140" i="2"/>
  <c r="DD140" i="2"/>
  <c r="DC140" i="2"/>
  <c r="DB140" i="2"/>
  <c r="DA140" i="2"/>
  <c r="CZ140" i="2"/>
  <c r="CY140" i="2"/>
  <c r="CX140" i="2"/>
  <c r="CW140" i="2"/>
  <c r="CV140" i="2"/>
  <c r="CU140" i="2"/>
  <c r="CT140" i="2"/>
  <c r="CS140" i="2"/>
  <c r="CR140" i="2"/>
  <c r="CQ140" i="2"/>
  <c r="CP140" i="2"/>
  <c r="CO140" i="2"/>
  <c r="CN140" i="2"/>
  <c r="CM140" i="2"/>
  <c r="CL140" i="2"/>
  <c r="CK140" i="2"/>
  <c r="CJ140" i="2"/>
  <c r="CI140" i="2"/>
  <c r="CH140" i="2"/>
  <c r="CG140" i="2"/>
  <c r="CF140" i="2"/>
  <c r="CE140" i="2"/>
  <c r="CD140" i="2"/>
  <c r="CC140" i="2"/>
  <c r="CB140" i="2"/>
  <c r="CA140" i="2"/>
  <c r="BZ140" i="2"/>
  <c r="BY140" i="2"/>
  <c r="BX140" i="2"/>
  <c r="BW140" i="2"/>
  <c r="BV140" i="2"/>
  <c r="BU140" i="2"/>
  <c r="BT140" i="2"/>
  <c r="BS140" i="2"/>
  <c r="BR140" i="2"/>
  <c r="BQ140" i="2"/>
  <c r="BP140" i="2"/>
  <c r="BO140" i="2"/>
  <c r="BN140" i="2"/>
  <c r="BM140" i="2"/>
  <c r="BL140" i="2"/>
  <c r="BK140" i="2"/>
  <c r="BJ140" i="2"/>
  <c r="BI140" i="2"/>
  <c r="BH140" i="2"/>
  <c r="BG140" i="2"/>
  <c r="BF140" i="2"/>
  <c r="BE140" i="2"/>
  <c r="BD140" i="2"/>
  <c r="BC140" i="2"/>
  <c r="BB140" i="2"/>
  <c r="BA140" i="2"/>
  <c r="AZ140" i="2"/>
  <c r="AY140" i="2"/>
  <c r="AX140" i="2"/>
  <c r="AW140" i="2"/>
  <c r="AV140" i="2"/>
  <c r="AU140" i="2"/>
  <c r="AT140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GX139" i="2"/>
  <c r="GW139" i="2"/>
  <c r="GV139" i="2"/>
  <c r="GU139" i="2"/>
  <c r="GT139" i="2"/>
  <c r="GS139" i="2"/>
  <c r="GR139" i="2"/>
  <c r="GQ139" i="2"/>
  <c r="GP139" i="2"/>
  <c r="GO139" i="2"/>
  <c r="GN139" i="2"/>
  <c r="GM139" i="2"/>
  <c r="GL139" i="2"/>
  <c r="GK139" i="2"/>
  <c r="GJ139" i="2"/>
  <c r="GI139" i="2"/>
  <c r="GH139" i="2"/>
  <c r="GG139" i="2"/>
  <c r="GF139" i="2"/>
  <c r="GE139" i="2"/>
  <c r="GD139" i="2"/>
  <c r="GC139" i="2"/>
  <c r="GB139" i="2"/>
  <c r="GA139" i="2"/>
  <c r="FZ139" i="2"/>
  <c r="FY139" i="2"/>
  <c r="FX139" i="2"/>
  <c r="FW139" i="2"/>
  <c r="FV139" i="2"/>
  <c r="FU139" i="2"/>
  <c r="FT139" i="2"/>
  <c r="FS139" i="2"/>
  <c r="FR139" i="2"/>
  <c r="FQ139" i="2"/>
  <c r="FP139" i="2"/>
  <c r="FO139" i="2"/>
  <c r="FN139" i="2"/>
  <c r="FM139" i="2"/>
  <c r="FL139" i="2"/>
  <c r="FK139" i="2"/>
  <c r="FJ139" i="2"/>
  <c r="FI139" i="2"/>
  <c r="FH139" i="2"/>
  <c r="FG139" i="2"/>
  <c r="FF139" i="2"/>
  <c r="FE139" i="2"/>
  <c r="FD139" i="2"/>
  <c r="FC139" i="2"/>
  <c r="FB139" i="2"/>
  <c r="FA139" i="2"/>
  <c r="EZ139" i="2"/>
  <c r="EY139" i="2"/>
  <c r="EX139" i="2"/>
  <c r="EW139" i="2"/>
  <c r="EV139" i="2"/>
  <c r="EU139" i="2"/>
  <c r="ET139" i="2"/>
  <c r="ES139" i="2"/>
  <c r="ER139" i="2"/>
  <c r="EQ139" i="2"/>
  <c r="EP139" i="2"/>
  <c r="EO139" i="2"/>
  <c r="EN139" i="2"/>
  <c r="EM139" i="2"/>
  <c r="EL139" i="2"/>
  <c r="EK139" i="2"/>
  <c r="EJ139" i="2"/>
  <c r="EI139" i="2"/>
  <c r="EH139" i="2"/>
  <c r="EG139" i="2"/>
  <c r="EF139" i="2"/>
  <c r="EE139" i="2"/>
  <c r="ED139" i="2"/>
  <c r="EC139" i="2"/>
  <c r="EB139" i="2"/>
  <c r="EA139" i="2"/>
  <c r="DZ139" i="2"/>
  <c r="DY139" i="2"/>
  <c r="DX139" i="2"/>
  <c r="DW139" i="2"/>
  <c r="DV139" i="2"/>
  <c r="DU139" i="2"/>
  <c r="DT139" i="2"/>
  <c r="DS139" i="2"/>
  <c r="DR139" i="2"/>
  <c r="DQ139" i="2"/>
  <c r="DP139" i="2"/>
  <c r="DO139" i="2"/>
  <c r="DN139" i="2"/>
  <c r="DM139" i="2"/>
  <c r="DL139" i="2"/>
  <c r="DK139" i="2"/>
  <c r="DJ139" i="2"/>
  <c r="DI139" i="2"/>
  <c r="DH139" i="2"/>
  <c r="DG139" i="2"/>
  <c r="DF139" i="2"/>
  <c r="DE139" i="2"/>
  <c r="DD139" i="2"/>
  <c r="DC139" i="2"/>
  <c r="DB139" i="2"/>
  <c r="DA139" i="2"/>
  <c r="CZ139" i="2"/>
  <c r="CY139" i="2"/>
  <c r="CX139" i="2"/>
  <c r="CW139" i="2"/>
  <c r="CV139" i="2"/>
  <c r="CU139" i="2"/>
  <c r="CT139" i="2"/>
  <c r="CS139" i="2"/>
  <c r="CR139" i="2"/>
  <c r="CQ139" i="2"/>
  <c r="CP139" i="2"/>
  <c r="CO139" i="2"/>
  <c r="CN139" i="2"/>
  <c r="CM139" i="2"/>
  <c r="CL139" i="2"/>
  <c r="CK139" i="2"/>
  <c r="CJ139" i="2"/>
  <c r="CI139" i="2"/>
  <c r="CH139" i="2"/>
  <c r="CG139" i="2"/>
  <c r="CF139" i="2"/>
  <c r="CE139" i="2"/>
  <c r="CD139" i="2"/>
  <c r="CC139" i="2"/>
  <c r="CB139" i="2"/>
  <c r="CA139" i="2"/>
  <c r="BZ139" i="2"/>
  <c r="BY139" i="2"/>
  <c r="BX139" i="2"/>
  <c r="BW139" i="2"/>
  <c r="BV139" i="2"/>
  <c r="BU139" i="2"/>
  <c r="BT139" i="2"/>
  <c r="BS139" i="2"/>
  <c r="BR139" i="2"/>
  <c r="BQ139" i="2"/>
  <c r="BP139" i="2"/>
  <c r="BO139" i="2"/>
  <c r="BN139" i="2"/>
  <c r="BM139" i="2"/>
  <c r="BL139" i="2"/>
  <c r="BK139" i="2"/>
  <c r="BJ139" i="2"/>
  <c r="BI139" i="2"/>
  <c r="BH139" i="2"/>
  <c r="BG139" i="2"/>
  <c r="BF139" i="2"/>
  <c r="BE139" i="2"/>
  <c r="BD139" i="2"/>
  <c r="BC139" i="2"/>
  <c r="BB139" i="2"/>
  <c r="BA139" i="2"/>
  <c r="AZ139" i="2"/>
  <c r="AY139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GX138" i="2"/>
  <c r="GW138" i="2"/>
  <c r="GV138" i="2"/>
  <c r="GU138" i="2"/>
  <c r="GT138" i="2"/>
  <c r="GS138" i="2"/>
  <c r="GR138" i="2"/>
  <c r="GQ138" i="2"/>
  <c r="GP138" i="2"/>
  <c r="GO138" i="2"/>
  <c r="GN138" i="2"/>
  <c r="GM138" i="2"/>
  <c r="GL138" i="2"/>
  <c r="GK138" i="2"/>
  <c r="GJ138" i="2"/>
  <c r="GI138" i="2"/>
  <c r="GH138" i="2"/>
  <c r="GG138" i="2"/>
  <c r="GF138" i="2"/>
  <c r="GE138" i="2"/>
  <c r="GD138" i="2"/>
  <c r="GC138" i="2"/>
  <c r="GB138" i="2"/>
  <c r="GA138" i="2"/>
  <c r="FZ138" i="2"/>
  <c r="FY138" i="2"/>
  <c r="FX138" i="2"/>
  <c r="FW138" i="2"/>
  <c r="FV138" i="2"/>
  <c r="FU138" i="2"/>
  <c r="FT138" i="2"/>
  <c r="FS138" i="2"/>
  <c r="FR138" i="2"/>
  <c r="FQ138" i="2"/>
  <c r="FP138" i="2"/>
  <c r="FO138" i="2"/>
  <c r="FN138" i="2"/>
  <c r="FM138" i="2"/>
  <c r="FL138" i="2"/>
  <c r="FK138" i="2"/>
  <c r="FJ138" i="2"/>
  <c r="FI138" i="2"/>
  <c r="FH138" i="2"/>
  <c r="FG138" i="2"/>
  <c r="FF138" i="2"/>
  <c r="FE138" i="2"/>
  <c r="FD138" i="2"/>
  <c r="FC138" i="2"/>
  <c r="FB138" i="2"/>
  <c r="FA138" i="2"/>
  <c r="EZ138" i="2"/>
  <c r="EY138" i="2"/>
  <c r="EX138" i="2"/>
  <c r="EW138" i="2"/>
  <c r="EV138" i="2"/>
  <c r="EU138" i="2"/>
  <c r="ET138" i="2"/>
  <c r="ES138" i="2"/>
  <c r="ER138" i="2"/>
  <c r="EQ138" i="2"/>
  <c r="EP138" i="2"/>
  <c r="EO138" i="2"/>
  <c r="EN138" i="2"/>
  <c r="EM138" i="2"/>
  <c r="EL138" i="2"/>
  <c r="EK138" i="2"/>
  <c r="EJ138" i="2"/>
  <c r="EI138" i="2"/>
  <c r="EH138" i="2"/>
  <c r="EG138" i="2"/>
  <c r="EF138" i="2"/>
  <c r="EE138" i="2"/>
  <c r="ED138" i="2"/>
  <c r="EC138" i="2"/>
  <c r="EB138" i="2"/>
  <c r="EA138" i="2"/>
  <c r="DZ138" i="2"/>
  <c r="DY138" i="2"/>
  <c r="DX138" i="2"/>
  <c r="DW138" i="2"/>
  <c r="DV138" i="2"/>
  <c r="DU138" i="2"/>
  <c r="DT138" i="2"/>
  <c r="DS138" i="2"/>
  <c r="DR138" i="2"/>
  <c r="DQ138" i="2"/>
  <c r="DP138" i="2"/>
  <c r="DO138" i="2"/>
  <c r="DN138" i="2"/>
  <c r="DM138" i="2"/>
  <c r="DL138" i="2"/>
  <c r="DK138" i="2"/>
  <c r="DJ138" i="2"/>
  <c r="DI138" i="2"/>
  <c r="DH138" i="2"/>
  <c r="DG138" i="2"/>
  <c r="DF138" i="2"/>
  <c r="DE138" i="2"/>
  <c r="DD138" i="2"/>
  <c r="DC138" i="2"/>
  <c r="DB138" i="2"/>
  <c r="DA138" i="2"/>
  <c r="CZ138" i="2"/>
  <c r="CY138" i="2"/>
  <c r="CX138" i="2"/>
  <c r="CW138" i="2"/>
  <c r="CV138" i="2"/>
  <c r="CU138" i="2"/>
  <c r="CT138" i="2"/>
  <c r="CS138" i="2"/>
  <c r="CR138" i="2"/>
  <c r="CQ138" i="2"/>
  <c r="CP138" i="2"/>
  <c r="CO138" i="2"/>
  <c r="CN138" i="2"/>
  <c r="CM138" i="2"/>
  <c r="CL138" i="2"/>
  <c r="CK138" i="2"/>
  <c r="CJ138" i="2"/>
  <c r="CI138" i="2"/>
  <c r="CH138" i="2"/>
  <c r="CG138" i="2"/>
  <c r="CF138" i="2"/>
  <c r="CE138" i="2"/>
  <c r="CD138" i="2"/>
  <c r="CC138" i="2"/>
  <c r="CB138" i="2"/>
  <c r="CA138" i="2"/>
  <c r="BZ138" i="2"/>
  <c r="BY138" i="2"/>
  <c r="BX138" i="2"/>
  <c r="BW138" i="2"/>
  <c r="BV138" i="2"/>
  <c r="BU138" i="2"/>
  <c r="BT138" i="2"/>
  <c r="BS138" i="2"/>
  <c r="BR138" i="2"/>
  <c r="BQ138" i="2"/>
  <c r="BP138" i="2"/>
  <c r="BO138" i="2"/>
  <c r="BN138" i="2"/>
  <c r="BM138" i="2"/>
  <c r="BL138" i="2"/>
  <c r="BK138" i="2"/>
  <c r="BJ138" i="2"/>
  <c r="BI138" i="2"/>
  <c r="BH138" i="2"/>
  <c r="BG138" i="2"/>
  <c r="BF138" i="2"/>
  <c r="BE138" i="2"/>
  <c r="BD138" i="2"/>
  <c r="BC138" i="2"/>
  <c r="BB138" i="2"/>
  <c r="BA138" i="2"/>
  <c r="AZ138" i="2"/>
  <c r="AY138" i="2"/>
  <c r="AX138" i="2"/>
  <c r="AW138" i="2"/>
  <c r="AV138" i="2"/>
  <c r="AU138" i="2"/>
  <c r="AT138" i="2"/>
  <c r="AS138" i="2"/>
  <c r="AR138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GX137" i="2"/>
  <c r="GW137" i="2"/>
  <c r="GV137" i="2"/>
  <c r="GU137" i="2"/>
  <c r="GT137" i="2"/>
  <c r="GS137" i="2"/>
  <c r="GR137" i="2"/>
  <c r="GQ137" i="2"/>
  <c r="GP137" i="2"/>
  <c r="GO137" i="2"/>
  <c r="GN137" i="2"/>
  <c r="GM137" i="2"/>
  <c r="GL137" i="2"/>
  <c r="GK137" i="2"/>
  <c r="GJ137" i="2"/>
  <c r="GI137" i="2"/>
  <c r="GH137" i="2"/>
  <c r="GG137" i="2"/>
  <c r="GF137" i="2"/>
  <c r="GE137" i="2"/>
  <c r="GD137" i="2"/>
  <c r="GC137" i="2"/>
  <c r="GB137" i="2"/>
  <c r="GA137" i="2"/>
  <c r="FZ137" i="2"/>
  <c r="FY137" i="2"/>
  <c r="FX137" i="2"/>
  <c r="FW137" i="2"/>
  <c r="FV137" i="2"/>
  <c r="FU137" i="2"/>
  <c r="FT137" i="2"/>
  <c r="FS137" i="2"/>
  <c r="FR137" i="2"/>
  <c r="FQ137" i="2"/>
  <c r="FP137" i="2"/>
  <c r="FO137" i="2"/>
  <c r="FN137" i="2"/>
  <c r="FM137" i="2"/>
  <c r="FL137" i="2"/>
  <c r="FK137" i="2"/>
  <c r="FJ137" i="2"/>
  <c r="FI137" i="2"/>
  <c r="FH137" i="2"/>
  <c r="FG137" i="2"/>
  <c r="FF137" i="2"/>
  <c r="FE137" i="2"/>
  <c r="FD137" i="2"/>
  <c r="FC137" i="2"/>
  <c r="FB137" i="2"/>
  <c r="FA137" i="2"/>
  <c r="EZ137" i="2"/>
  <c r="EY137" i="2"/>
  <c r="EX137" i="2"/>
  <c r="EW137" i="2"/>
  <c r="EV137" i="2"/>
  <c r="EU137" i="2"/>
  <c r="ET137" i="2"/>
  <c r="ES137" i="2"/>
  <c r="ER137" i="2"/>
  <c r="EQ137" i="2"/>
  <c r="EP137" i="2"/>
  <c r="EO137" i="2"/>
  <c r="EN137" i="2"/>
  <c r="EM137" i="2"/>
  <c r="EL137" i="2"/>
  <c r="EK137" i="2"/>
  <c r="EJ137" i="2"/>
  <c r="EI137" i="2"/>
  <c r="EH137" i="2"/>
  <c r="EG137" i="2"/>
  <c r="EF137" i="2"/>
  <c r="EE137" i="2"/>
  <c r="ED137" i="2"/>
  <c r="EC137" i="2"/>
  <c r="EB137" i="2"/>
  <c r="EA137" i="2"/>
  <c r="DZ137" i="2"/>
  <c r="DY137" i="2"/>
  <c r="DX137" i="2"/>
  <c r="DW137" i="2"/>
  <c r="DV137" i="2"/>
  <c r="DU137" i="2"/>
  <c r="DT137" i="2"/>
  <c r="DS137" i="2"/>
  <c r="DR137" i="2"/>
  <c r="DQ137" i="2"/>
  <c r="DP137" i="2"/>
  <c r="DO137" i="2"/>
  <c r="DN137" i="2"/>
  <c r="DM137" i="2"/>
  <c r="DL137" i="2"/>
  <c r="DK137" i="2"/>
  <c r="DJ137" i="2"/>
  <c r="DI137" i="2"/>
  <c r="DH137" i="2"/>
  <c r="DG137" i="2"/>
  <c r="DF137" i="2"/>
  <c r="DE137" i="2"/>
  <c r="DD137" i="2"/>
  <c r="DC137" i="2"/>
  <c r="DB137" i="2"/>
  <c r="DA137" i="2"/>
  <c r="CZ137" i="2"/>
  <c r="CY137" i="2"/>
  <c r="CX137" i="2"/>
  <c r="CW137" i="2"/>
  <c r="CV137" i="2"/>
  <c r="CU137" i="2"/>
  <c r="CT137" i="2"/>
  <c r="CS137" i="2"/>
  <c r="CR137" i="2"/>
  <c r="CQ137" i="2"/>
  <c r="CP137" i="2"/>
  <c r="CO137" i="2"/>
  <c r="CN137" i="2"/>
  <c r="CM137" i="2"/>
  <c r="CL137" i="2"/>
  <c r="CK137" i="2"/>
  <c r="CJ137" i="2"/>
  <c r="CI137" i="2"/>
  <c r="CH137" i="2"/>
  <c r="CG137" i="2"/>
  <c r="CF137" i="2"/>
  <c r="CE137" i="2"/>
  <c r="CD137" i="2"/>
  <c r="CC137" i="2"/>
  <c r="CB137" i="2"/>
  <c r="CA137" i="2"/>
  <c r="BZ137" i="2"/>
  <c r="BY137" i="2"/>
  <c r="BX137" i="2"/>
  <c r="BW137" i="2"/>
  <c r="BV137" i="2"/>
  <c r="BU137" i="2"/>
  <c r="BT137" i="2"/>
  <c r="BS137" i="2"/>
  <c r="BR137" i="2"/>
  <c r="BQ137" i="2"/>
  <c r="BP137" i="2"/>
  <c r="BO137" i="2"/>
  <c r="BN137" i="2"/>
  <c r="BM137" i="2"/>
  <c r="BL137" i="2"/>
  <c r="BK137" i="2"/>
  <c r="BJ137" i="2"/>
  <c r="BI137" i="2"/>
  <c r="BH137" i="2"/>
  <c r="BG137" i="2"/>
  <c r="BF137" i="2"/>
  <c r="BE137" i="2"/>
  <c r="BD137" i="2"/>
  <c r="BC137" i="2"/>
  <c r="BB137" i="2"/>
  <c r="BA137" i="2"/>
  <c r="AZ137" i="2"/>
  <c r="AY137" i="2"/>
  <c r="AX137" i="2"/>
  <c r="AW137" i="2"/>
  <c r="AV137" i="2"/>
  <c r="AU137" i="2"/>
  <c r="AT137" i="2"/>
  <c r="AS137" i="2"/>
  <c r="AR137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GX135" i="2"/>
  <c r="GW135" i="2"/>
  <c r="GV135" i="2"/>
  <c r="GU135" i="2"/>
  <c r="GT135" i="2"/>
  <c r="GS135" i="2"/>
  <c r="GR135" i="2"/>
  <c r="GQ135" i="2"/>
  <c r="GP135" i="2"/>
  <c r="GO135" i="2"/>
  <c r="GN135" i="2"/>
  <c r="GM135" i="2"/>
  <c r="GL135" i="2"/>
  <c r="GK135" i="2"/>
  <c r="GJ135" i="2"/>
  <c r="GI135" i="2"/>
  <c r="GH135" i="2"/>
  <c r="GG135" i="2"/>
  <c r="GF135" i="2"/>
  <c r="GE135" i="2"/>
  <c r="GD135" i="2"/>
  <c r="GC135" i="2"/>
  <c r="GB135" i="2"/>
  <c r="GA135" i="2"/>
  <c r="FZ135" i="2"/>
  <c r="FY135" i="2"/>
  <c r="FX135" i="2"/>
  <c r="FW135" i="2"/>
  <c r="FV135" i="2"/>
  <c r="FU135" i="2"/>
  <c r="FT135" i="2"/>
  <c r="FS135" i="2"/>
  <c r="FR135" i="2"/>
  <c r="FQ135" i="2"/>
  <c r="FP135" i="2"/>
  <c r="FO135" i="2"/>
  <c r="FN135" i="2"/>
  <c r="FM135" i="2"/>
  <c r="FL135" i="2"/>
  <c r="FK135" i="2"/>
  <c r="FJ135" i="2"/>
  <c r="FI135" i="2"/>
  <c r="FH135" i="2"/>
  <c r="FG135" i="2"/>
  <c r="FF135" i="2"/>
  <c r="FE135" i="2"/>
  <c r="FD135" i="2"/>
  <c r="FC135" i="2"/>
  <c r="FB135" i="2"/>
  <c r="FA135" i="2"/>
  <c r="EZ135" i="2"/>
  <c r="EY135" i="2"/>
  <c r="EX135" i="2"/>
  <c r="EW135" i="2"/>
  <c r="EV135" i="2"/>
  <c r="EU135" i="2"/>
  <c r="ET135" i="2"/>
  <c r="ES135" i="2"/>
  <c r="ER135" i="2"/>
  <c r="EQ135" i="2"/>
  <c r="EP135" i="2"/>
  <c r="EO135" i="2"/>
  <c r="EN135" i="2"/>
  <c r="EM135" i="2"/>
  <c r="EL135" i="2"/>
  <c r="EK135" i="2"/>
  <c r="EJ135" i="2"/>
  <c r="EI135" i="2"/>
  <c r="EH135" i="2"/>
  <c r="EG135" i="2"/>
  <c r="EF135" i="2"/>
  <c r="EE135" i="2"/>
  <c r="ED135" i="2"/>
  <c r="EC135" i="2"/>
  <c r="EB135" i="2"/>
  <c r="EA135" i="2"/>
  <c r="DZ135" i="2"/>
  <c r="DY135" i="2"/>
  <c r="DX135" i="2"/>
  <c r="DW135" i="2"/>
  <c r="DV135" i="2"/>
  <c r="DU135" i="2"/>
  <c r="DT135" i="2"/>
  <c r="DS135" i="2"/>
  <c r="DR135" i="2"/>
  <c r="DQ135" i="2"/>
  <c r="DP135" i="2"/>
  <c r="DO135" i="2"/>
  <c r="DN135" i="2"/>
  <c r="DM135" i="2"/>
  <c r="DL135" i="2"/>
  <c r="DK135" i="2"/>
  <c r="DJ135" i="2"/>
  <c r="DI135" i="2"/>
  <c r="DH135" i="2"/>
  <c r="DG135" i="2"/>
  <c r="DF135" i="2"/>
  <c r="DE135" i="2"/>
  <c r="DD135" i="2"/>
  <c r="DC135" i="2"/>
  <c r="DB135" i="2"/>
  <c r="DA135" i="2"/>
  <c r="CZ135" i="2"/>
  <c r="CY135" i="2"/>
  <c r="CX135" i="2"/>
  <c r="CW135" i="2"/>
  <c r="CV135" i="2"/>
  <c r="CU135" i="2"/>
  <c r="CT135" i="2"/>
  <c r="CS135" i="2"/>
  <c r="CR135" i="2"/>
  <c r="CQ135" i="2"/>
  <c r="CP135" i="2"/>
  <c r="CO135" i="2"/>
  <c r="CN135" i="2"/>
  <c r="CM135" i="2"/>
  <c r="CL135" i="2"/>
  <c r="CK135" i="2"/>
  <c r="CJ135" i="2"/>
  <c r="CI135" i="2"/>
  <c r="CH135" i="2"/>
  <c r="CG135" i="2"/>
  <c r="CF135" i="2"/>
  <c r="CE135" i="2"/>
  <c r="CD135" i="2"/>
  <c r="CC135" i="2"/>
  <c r="CB135" i="2"/>
  <c r="CA135" i="2"/>
  <c r="BZ135" i="2"/>
  <c r="BY135" i="2"/>
  <c r="BX135" i="2"/>
  <c r="BW135" i="2"/>
  <c r="BV135" i="2"/>
  <c r="BU135" i="2"/>
  <c r="BT135" i="2"/>
  <c r="BS135" i="2"/>
  <c r="BR135" i="2"/>
  <c r="BQ135" i="2"/>
  <c r="BP135" i="2"/>
  <c r="BO135" i="2"/>
  <c r="BN135" i="2"/>
  <c r="BM135" i="2"/>
  <c r="BL135" i="2"/>
  <c r="BK135" i="2"/>
  <c r="BJ135" i="2"/>
  <c r="BI135" i="2"/>
  <c r="BH135" i="2"/>
  <c r="BG135" i="2"/>
  <c r="BF135" i="2"/>
  <c r="BE135" i="2"/>
  <c r="BD135" i="2"/>
  <c r="BC135" i="2"/>
  <c r="BB135" i="2"/>
  <c r="BA135" i="2"/>
  <c r="AZ135" i="2"/>
  <c r="AY135" i="2"/>
  <c r="AX135" i="2"/>
  <c r="AW135" i="2"/>
  <c r="AV135" i="2"/>
  <c r="AU135" i="2"/>
  <c r="AT135" i="2"/>
  <c r="AS135" i="2"/>
  <c r="AR135" i="2"/>
  <c r="AQ135" i="2"/>
  <c r="AP135" i="2"/>
  <c r="AO135" i="2"/>
  <c r="AN135" i="2"/>
  <c r="AM135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W135" i="2"/>
  <c r="GX134" i="2"/>
  <c r="GW134" i="2"/>
  <c r="GV134" i="2"/>
  <c r="GU134" i="2"/>
  <c r="GT134" i="2"/>
  <c r="GS134" i="2"/>
  <c r="GR134" i="2"/>
  <c r="GQ134" i="2"/>
  <c r="GP134" i="2"/>
  <c r="GO134" i="2"/>
  <c r="GN134" i="2"/>
  <c r="GM134" i="2"/>
  <c r="GL134" i="2"/>
  <c r="GK134" i="2"/>
  <c r="GJ134" i="2"/>
  <c r="GI134" i="2"/>
  <c r="GH134" i="2"/>
  <c r="GG134" i="2"/>
  <c r="GF134" i="2"/>
  <c r="GE134" i="2"/>
  <c r="GD134" i="2"/>
  <c r="GC134" i="2"/>
  <c r="GB134" i="2"/>
  <c r="GA134" i="2"/>
  <c r="FZ134" i="2"/>
  <c r="FY134" i="2"/>
  <c r="FX134" i="2"/>
  <c r="FW134" i="2"/>
  <c r="FV134" i="2"/>
  <c r="FU134" i="2"/>
  <c r="FT134" i="2"/>
  <c r="FS134" i="2"/>
  <c r="FR134" i="2"/>
  <c r="FQ134" i="2"/>
  <c r="FP134" i="2"/>
  <c r="FO134" i="2"/>
  <c r="FN134" i="2"/>
  <c r="FM134" i="2"/>
  <c r="FL134" i="2"/>
  <c r="FK134" i="2"/>
  <c r="FJ134" i="2"/>
  <c r="FI134" i="2"/>
  <c r="FH134" i="2"/>
  <c r="FG134" i="2"/>
  <c r="FF134" i="2"/>
  <c r="FE134" i="2"/>
  <c r="FD134" i="2"/>
  <c r="FC134" i="2"/>
  <c r="FB134" i="2"/>
  <c r="FA134" i="2"/>
  <c r="EZ134" i="2"/>
  <c r="EY134" i="2"/>
  <c r="EX134" i="2"/>
  <c r="EW134" i="2"/>
  <c r="EV134" i="2"/>
  <c r="EU134" i="2"/>
  <c r="ET134" i="2"/>
  <c r="ES134" i="2"/>
  <c r="ER134" i="2"/>
  <c r="EQ134" i="2"/>
  <c r="EP134" i="2"/>
  <c r="EO134" i="2"/>
  <c r="EN134" i="2"/>
  <c r="EM134" i="2"/>
  <c r="EL134" i="2"/>
  <c r="EK134" i="2"/>
  <c r="EJ134" i="2"/>
  <c r="EI134" i="2"/>
  <c r="EH134" i="2"/>
  <c r="EG134" i="2"/>
  <c r="EF134" i="2"/>
  <c r="EE134" i="2"/>
  <c r="ED134" i="2"/>
  <c r="EC134" i="2"/>
  <c r="EB134" i="2"/>
  <c r="EA134" i="2"/>
  <c r="DZ134" i="2"/>
  <c r="DY134" i="2"/>
  <c r="DX134" i="2"/>
  <c r="DW134" i="2"/>
  <c r="DV134" i="2"/>
  <c r="DU134" i="2"/>
  <c r="DT134" i="2"/>
  <c r="DS134" i="2"/>
  <c r="DR134" i="2"/>
  <c r="DQ134" i="2"/>
  <c r="DP134" i="2"/>
  <c r="DO134" i="2"/>
  <c r="DN134" i="2"/>
  <c r="DM134" i="2"/>
  <c r="DL134" i="2"/>
  <c r="DK134" i="2"/>
  <c r="DJ134" i="2"/>
  <c r="DI134" i="2"/>
  <c r="DH134" i="2"/>
  <c r="DG134" i="2"/>
  <c r="DF134" i="2"/>
  <c r="DE134" i="2"/>
  <c r="DD134" i="2"/>
  <c r="DC134" i="2"/>
  <c r="DB134" i="2"/>
  <c r="DA134" i="2"/>
  <c r="CZ134" i="2"/>
  <c r="CY134" i="2"/>
  <c r="CX134" i="2"/>
  <c r="CW134" i="2"/>
  <c r="CV134" i="2"/>
  <c r="CU134" i="2"/>
  <c r="CT134" i="2"/>
  <c r="CS134" i="2"/>
  <c r="CR134" i="2"/>
  <c r="CQ134" i="2"/>
  <c r="CP134" i="2"/>
  <c r="CO134" i="2"/>
  <c r="CN134" i="2"/>
  <c r="CM134" i="2"/>
  <c r="CL134" i="2"/>
  <c r="CK134" i="2"/>
  <c r="CJ134" i="2"/>
  <c r="CI134" i="2"/>
  <c r="CH134" i="2"/>
  <c r="CG134" i="2"/>
  <c r="CF134" i="2"/>
  <c r="CE134" i="2"/>
  <c r="CD134" i="2"/>
  <c r="CC134" i="2"/>
  <c r="CB134" i="2"/>
  <c r="CA134" i="2"/>
  <c r="BZ134" i="2"/>
  <c r="BY134" i="2"/>
  <c r="BX134" i="2"/>
  <c r="BW134" i="2"/>
  <c r="BV134" i="2"/>
  <c r="BU134" i="2"/>
  <c r="BT134" i="2"/>
  <c r="BS134" i="2"/>
  <c r="BR134" i="2"/>
  <c r="BQ134" i="2"/>
  <c r="BP134" i="2"/>
  <c r="BO134" i="2"/>
  <c r="BN134" i="2"/>
  <c r="BM134" i="2"/>
  <c r="BL134" i="2"/>
  <c r="BK134" i="2"/>
  <c r="BJ134" i="2"/>
  <c r="BI134" i="2"/>
  <c r="BH134" i="2"/>
  <c r="BG134" i="2"/>
  <c r="BF134" i="2"/>
  <c r="BE134" i="2"/>
  <c r="BD134" i="2"/>
  <c r="BC134" i="2"/>
  <c r="BB134" i="2"/>
  <c r="BA134" i="2"/>
  <c r="AZ134" i="2"/>
  <c r="AY134" i="2"/>
  <c r="AX134" i="2"/>
  <c r="AW134" i="2"/>
  <c r="AV134" i="2"/>
  <c r="AU134" i="2"/>
  <c r="AT134" i="2"/>
  <c r="AS134" i="2"/>
  <c r="AR134" i="2"/>
  <c r="AQ134" i="2"/>
  <c r="AP134" i="2"/>
  <c r="AO134" i="2"/>
  <c r="AN134" i="2"/>
  <c r="AM134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Z134" i="2"/>
  <c r="Y134" i="2"/>
  <c r="X134" i="2"/>
  <c r="W134" i="2"/>
  <c r="GX133" i="2"/>
  <c r="GW133" i="2"/>
  <c r="GV133" i="2"/>
  <c r="GU133" i="2"/>
  <c r="GT133" i="2"/>
  <c r="GS133" i="2"/>
  <c r="GR133" i="2"/>
  <c r="GQ133" i="2"/>
  <c r="GP133" i="2"/>
  <c r="GO133" i="2"/>
  <c r="GN133" i="2"/>
  <c r="GM133" i="2"/>
  <c r="GL133" i="2"/>
  <c r="GK133" i="2"/>
  <c r="GJ133" i="2"/>
  <c r="GI133" i="2"/>
  <c r="GH133" i="2"/>
  <c r="GG133" i="2"/>
  <c r="GF133" i="2"/>
  <c r="GE133" i="2"/>
  <c r="GD133" i="2"/>
  <c r="GC133" i="2"/>
  <c r="GB133" i="2"/>
  <c r="GA133" i="2"/>
  <c r="FZ133" i="2"/>
  <c r="FY133" i="2"/>
  <c r="FX133" i="2"/>
  <c r="FW133" i="2"/>
  <c r="FV133" i="2"/>
  <c r="FU133" i="2"/>
  <c r="FT133" i="2"/>
  <c r="FS133" i="2"/>
  <c r="FR133" i="2"/>
  <c r="FQ133" i="2"/>
  <c r="FP133" i="2"/>
  <c r="FO133" i="2"/>
  <c r="FN133" i="2"/>
  <c r="FM133" i="2"/>
  <c r="FL133" i="2"/>
  <c r="FK133" i="2"/>
  <c r="FJ133" i="2"/>
  <c r="FI133" i="2"/>
  <c r="FH133" i="2"/>
  <c r="FG133" i="2"/>
  <c r="FF133" i="2"/>
  <c r="FE133" i="2"/>
  <c r="FD133" i="2"/>
  <c r="FC133" i="2"/>
  <c r="FB133" i="2"/>
  <c r="FA133" i="2"/>
  <c r="EZ133" i="2"/>
  <c r="EY133" i="2"/>
  <c r="EX133" i="2"/>
  <c r="EW133" i="2"/>
  <c r="EV133" i="2"/>
  <c r="EU133" i="2"/>
  <c r="ET133" i="2"/>
  <c r="ES133" i="2"/>
  <c r="ER133" i="2"/>
  <c r="EQ133" i="2"/>
  <c r="EP133" i="2"/>
  <c r="EO133" i="2"/>
  <c r="EN133" i="2"/>
  <c r="EM133" i="2"/>
  <c r="EL133" i="2"/>
  <c r="EK133" i="2"/>
  <c r="EJ133" i="2"/>
  <c r="EI133" i="2"/>
  <c r="EH133" i="2"/>
  <c r="EG133" i="2"/>
  <c r="EF133" i="2"/>
  <c r="EE133" i="2"/>
  <c r="ED133" i="2"/>
  <c r="EC133" i="2"/>
  <c r="EB133" i="2"/>
  <c r="EA133" i="2"/>
  <c r="DZ133" i="2"/>
  <c r="DY133" i="2"/>
  <c r="DX133" i="2"/>
  <c r="DW133" i="2"/>
  <c r="DV133" i="2"/>
  <c r="DU133" i="2"/>
  <c r="DT133" i="2"/>
  <c r="DS133" i="2"/>
  <c r="DR133" i="2"/>
  <c r="DQ133" i="2"/>
  <c r="DP133" i="2"/>
  <c r="DO133" i="2"/>
  <c r="DN133" i="2"/>
  <c r="DM133" i="2"/>
  <c r="DL133" i="2"/>
  <c r="DK133" i="2"/>
  <c r="DJ133" i="2"/>
  <c r="DI133" i="2"/>
  <c r="DH133" i="2"/>
  <c r="DG133" i="2"/>
  <c r="DF133" i="2"/>
  <c r="DE133" i="2"/>
  <c r="DD133" i="2"/>
  <c r="DC133" i="2"/>
  <c r="DB133" i="2"/>
  <c r="DA133" i="2"/>
  <c r="CZ133" i="2"/>
  <c r="CY133" i="2"/>
  <c r="CX133" i="2"/>
  <c r="CW133" i="2"/>
  <c r="CV133" i="2"/>
  <c r="CU133" i="2"/>
  <c r="CT133" i="2"/>
  <c r="CS133" i="2"/>
  <c r="CR133" i="2"/>
  <c r="CQ133" i="2"/>
  <c r="CP133" i="2"/>
  <c r="CO133" i="2"/>
  <c r="CN133" i="2"/>
  <c r="CM133" i="2"/>
  <c r="CL133" i="2"/>
  <c r="CK133" i="2"/>
  <c r="CJ133" i="2"/>
  <c r="CI133" i="2"/>
  <c r="CH133" i="2"/>
  <c r="CG133" i="2"/>
  <c r="CF133" i="2"/>
  <c r="CE133" i="2"/>
  <c r="CD133" i="2"/>
  <c r="CC133" i="2"/>
  <c r="CB133" i="2"/>
  <c r="CA133" i="2"/>
  <c r="BZ133" i="2"/>
  <c r="BY133" i="2"/>
  <c r="BX133" i="2"/>
  <c r="BW133" i="2"/>
  <c r="BV133" i="2"/>
  <c r="BU133" i="2"/>
  <c r="BT133" i="2"/>
  <c r="BS133" i="2"/>
  <c r="BR133" i="2"/>
  <c r="BQ133" i="2"/>
  <c r="BP133" i="2"/>
  <c r="BO133" i="2"/>
  <c r="BN133" i="2"/>
  <c r="BM133" i="2"/>
  <c r="BL133" i="2"/>
  <c r="BK133" i="2"/>
  <c r="BJ133" i="2"/>
  <c r="BI133" i="2"/>
  <c r="BH133" i="2"/>
  <c r="BG133" i="2"/>
  <c r="BF133" i="2"/>
  <c r="BE133" i="2"/>
  <c r="BD133" i="2"/>
  <c r="BC133" i="2"/>
  <c r="BB133" i="2"/>
  <c r="BA133" i="2"/>
  <c r="AZ133" i="2"/>
  <c r="AY133" i="2"/>
  <c r="AX133" i="2"/>
  <c r="AW133" i="2"/>
  <c r="AV133" i="2"/>
  <c r="AU133" i="2"/>
  <c r="AT133" i="2"/>
  <c r="AS133" i="2"/>
  <c r="AR133" i="2"/>
  <c r="AQ133" i="2"/>
  <c r="AP133" i="2"/>
  <c r="AO133" i="2"/>
  <c r="AN133" i="2"/>
  <c r="AM133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X133" i="2"/>
  <c r="W133" i="2"/>
  <c r="GX132" i="2"/>
  <c r="GW132" i="2"/>
  <c r="GV132" i="2"/>
  <c r="GU132" i="2"/>
  <c r="GT132" i="2"/>
  <c r="GS132" i="2"/>
  <c r="GR132" i="2"/>
  <c r="GQ132" i="2"/>
  <c r="GP132" i="2"/>
  <c r="GO132" i="2"/>
  <c r="GN132" i="2"/>
  <c r="GM132" i="2"/>
  <c r="GL132" i="2"/>
  <c r="GK132" i="2"/>
  <c r="GJ132" i="2"/>
  <c r="GI132" i="2"/>
  <c r="GH132" i="2"/>
  <c r="GG132" i="2"/>
  <c r="GF132" i="2"/>
  <c r="GE132" i="2"/>
  <c r="GD132" i="2"/>
  <c r="GC132" i="2"/>
  <c r="GB132" i="2"/>
  <c r="GA132" i="2"/>
  <c r="FZ132" i="2"/>
  <c r="FY132" i="2"/>
  <c r="FX132" i="2"/>
  <c r="FW132" i="2"/>
  <c r="FV132" i="2"/>
  <c r="FU132" i="2"/>
  <c r="FT132" i="2"/>
  <c r="FS132" i="2"/>
  <c r="FR132" i="2"/>
  <c r="FQ132" i="2"/>
  <c r="FP132" i="2"/>
  <c r="FO132" i="2"/>
  <c r="FN132" i="2"/>
  <c r="FM132" i="2"/>
  <c r="FL132" i="2"/>
  <c r="FK132" i="2"/>
  <c r="FJ132" i="2"/>
  <c r="FI132" i="2"/>
  <c r="FH132" i="2"/>
  <c r="FG132" i="2"/>
  <c r="FF132" i="2"/>
  <c r="FE132" i="2"/>
  <c r="FD132" i="2"/>
  <c r="FC132" i="2"/>
  <c r="FB132" i="2"/>
  <c r="FA132" i="2"/>
  <c r="EZ132" i="2"/>
  <c r="EY132" i="2"/>
  <c r="EX132" i="2"/>
  <c r="EW132" i="2"/>
  <c r="EV132" i="2"/>
  <c r="EU132" i="2"/>
  <c r="ET132" i="2"/>
  <c r="ES132" i="2"/>
  <c r="ER132" i="2"/>
  <c r="EQ132" i="2"/>
  <c r="EP132" i="2"/>
  <c r="EO132" i="2"/>
  <c r="EN132" i="2"/>
  <c r="EM132" i="2"/>
  <c r="EL132" i="2"/>
  <c r="EK132" i="2"/>
  <c r="EJ132" i="2"/>
  <c r="EI132" i="2"/>
  <c r="EH132" i="2"/>
  <c r="EG132" i="2"/>
  <c r="EF132" i="2"/>
  <c r="EE132" i="2"/>
  <c r="ED132" i="2"/>
  <c r="EC132" i="2"/>
  <c r="EB132" i="2"/>
  <c r="EA132" i="2"/>
  <c r="DZ132" i="2"/>
  <c r="DY132" i="2"/>
  <c r="DX132" i="2"/>
  <c r="DW132" i="2"/>
  <c r="DV132" i="2"/>
  <c r="DU132" i="2"/>
  <c r="DT132" i="2"/>
  <c r="DS132" i="2"/>
  <c r="DR132" i="2"/>
  <c r="DQ132" i="2"/>
  <c r="DP132" i="2"/>
  <c r="DO132" i="2"/>
  <c r="DN132" i="2"/>
  <c r="DM132" i="2"/>
  <c r="DL132" i="2"/>
  <c r="DK132" i="2"/>
  <c r="DJ132" i="2"/>
  <c r="DI132" i="2"/>
  <c r="DH132" i="2"/>
  <c r="DG132" i="2"/>
  <c r="DF132" i="2"/>
  <c r="DE132" i="2"/>
  <c r="DD132" i="2"/>
  <c r="DC132" i="2"/>
  <c r="DB132" i="2"/>
  <c r="DA132" i="2"/>
  <c r="CZ132" i="2"/>
  <c r="CY132" i="2"/>
  <c r="CX132" i="2"/>
  <c r="CW132" i="2"/>
  <c r="CV132" i="2"/>
  <c r="CU132" i="2"/>
  <c r="CT132" i="2"/>
  <c r="CS132" i="2"/>
  <c r="CR132" i="2"/>
  <c r="CQ132" i="2"/>
  <c r="CP132" i="2"/>
  <c r="CO132" i="2"/>
  <c r="CN132" i="2"/>
  <c r="CM132" i="2"/>
  <c r="CL132" i="2"/>
  <c r="CK132" i="2"/>
  <c r="CJ132" i="2"/>
  <c r="CI132" i="2"/>
  <c r="CH132" i="2"/>
  <c r="CG132" i="2"/>
  <c r="CF132" i="2"/>
  <c r="CE132" i="2"/>
  <c r="CD132" i="2"/>
  <c r="CC132" i="2"/>
  <c r="CB132" i="2"/>
  <c r="CA132" i="2"/>
  <c r="BZ132" i="2"/>
  <c r="BY132" i="2"/>
  <c r="BX132" i="2"/>
  <c r="BW132" i="2"/>
  <c r="BV132" i="2"/>
  <c r="BU132" i="2"/>
  <c r="BT132" i="2"/>
  <c r="BS132" i="2"/>
  <c r="BR132" i="2"/>
  <c r="BQ132" i="2"/>
  <c r="BP132" i="2"/>
  <c r="BO132" i="2"/>
  <c r="BN132" i="2"/>
  <c r="BM132" i="2"/>
  <c r="BL132" i="2"/>
  <c r="BK132" i="2"/>
  <c r="BJ132" i="2"/>
  <c r="BI132" i="2"/>
  <c r="BH132" i="2"/>
  <c r="BG132" i="2"/>
  <c r="BF132" i="2"/>
  <c r="BE132" i="2"/>
  <c r="BD132" i="2"/>
  <c r="BC132" i="2"/>
  <c r="BB132" i="2"/>
  <c r="BA132" i="2"/>
  <c r="AZ132" i="2"/>
  <c r="AY132" i="2"/>
  <c r="AX132" i="2"/>
  <c r="AW132" i="2"/>
  <c r="AV132" i="2"/>
  <c r="AU132" i="2"/>
  <c r="AT132" i="2"/>
  <c r="AS132" i="2"/>
  <c r="AR132" i="2"/>
  <c r="AQ132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GX131" i="2"/>
  <c r="GW131" i="2"/>
  <c r="GV131" i="2"/>
  <c r="GU131" i="2"/>
  <c r="GT131" i="2"/>
  <c r="GS131" i="2"/>
  <c r="GR131" i="2"/>
  <c r="GQ131" i="2"/>
  <c r="GP131" i="2"/>
  <c r="GO131" i="2"/>
  <c r="GN131" i="2"/>
  <c r="GM131" i="2"/>
  <c r="GL131" i="2"/>
  <c r="GK131" i="2"/>
  <c r="GJ131" i="2"/>
  <c r="GI131" i="2"/>
  <c r="GH131" i="2"/>
  <c r="GG131" i="2"/>
  <c r="GF131" i="2"/>
  <c r="GE131" i="2"/>
  <c r="GD131" i="2"/>
  <c r="GC131" i="2"/>
  <c r="GB131" i="2"/>
  <c r="GA131" i="2"/>
  <c r="FZ131" i="2"/>
  <c r="FY131" i="2"/>
  <c r="FX131" i="2"/>
  <c r="FW131" i="2"/>
  <c r="FV131" i="2"/>
  <c r="FU131" i="2"/>
  <c r="FT131" i="2"/>
  <c r="FS131" i="2"/>
  <c r="FR131" i="2"/>
  <c r="FQ131" i="2"/>
  <c r="FP131" i="2"/>
  <c r="FO131" i="2"/>
  <c r="FN131" i="2"/>
  <c r="FM131" i="2"/>
  <c r="FL131" i="2"/>
  <c r="FK131" i="2"/>
  <c r="FJ131" i="2"/>
  <c r="FI131" i="2"/>
  <c r="FH131" i="2"/>
  <c r="FG131" i="2"/>
  <c r="FF131" i="2"/>
  <c r="FE131" i="2"/>
  <c r="FD131" i="2"/>
  <c r="FC131" i="2"/>
  <c r="FB131" i="2"/>
  <c r="FA131" i="2"/>
  <c r="EZ131" i="2"/>
  <c r="EY131" i="2"/>
  <c r="EX131" i="2"/>
  <c r="EW131" i="2"/>
  <c r="EV131" i="2"/>
  <c r="EU131" i="2"/>
  <c r="ET131" i="2"/>
  <c r="ES131" i="2"/>
  <c r="ER131" i="2"/>
  <c r="EQ131" i="2"/>
  <c r="EP131" i="2"/>
  <c r="EO131" i="2"/>
  <c r="EN131" i="2"/>
  <c r="EM131" i="2"/>
  <c r="EL131" i="2"/>
  <c r="EK131" i="2"/>
  <c r="EJ131" i="2"/>
  <c r="EI131" i="2"/>
  <c r="EH131" i="2"/>
  <c r="EG131" i="2"/>
  <c r="EF131" i="2"/>
  <c r="EE131" i="2"/>
  <c r="ED131" i="2"/>
  <c r="EC131" i="2"/>
  <c r="EB131" i="2"/>
  <c r="EA131" i="2"/>
  <c r="DZ131" i="2"/>
  <c r="DY131" i="2"/>
  <c r="DX131" i="2"/>
  <c r="DW131" i="2"/>
  <c r="DV131" i="2"/>
  <c r="DU131" i="2"/>
  <c r="DT131" i="2"/>
  <c r="DS131" i="2"/>
  <c r="DR131" i="2"/>
  <c r="DQ131" i="2"/>
  <c r="DP131" i="2"/>
  <c r="DO131" i="2"/>
  <c r="DN131" i="2"/>
  <c r="DM131" i="2"/>
  <c r="DL131" i="2"/>
  <c r="DK131" i="2"/>
  <c r="DJ131" i="2"/>
  <c r="DI131" i="2"/>
  <c r="DH131" i="2"/>
  <c r="DG131" i="2"/>
  <c r="DF131" i="2"/>
  <c r="DE131" i="2"/>
  <c r="DD131" i="2"/>
  <c r="DC131" i="2"/>
  <c r="DB131" i="2"/>
  <c r="DA131" i="2"/>
  <c r="CZ131" i="2"/>
  <c r="CY131" i="2"/>
  <c r="CX131" i="2"/>
  <c r="CW131" i="2"/>
  <c r="CV131" i="2"/>
  <c r="CU131" i="2"/>
  <c r="CT131" i="2"/>
  <c r="CS131" i="2"/>
  <c r="CR131" i="2"/>
  <c r="CQ131" i="2"/>
  <c r="CP131" i="2"/>
  <c r="CO131" i="2"/>
  <c r="CN131" i="2"/>
  <c r="CM131" i="2"/>
  <c r="CL131" i="2"/>
  <c r="CK131" i="2"/>
  <c r="CJ131" i="2"/>
  <c r="CI131" i="2"/>
  <c r="CH131" i="2"/>
  <c r="CG131" i="2"/>
  <c r="CF131" i="2"/>
  <c r="CE131" i="2"/>
  <c r="CD131" i="2"/>
  <c r="CC131" i="2"/>
  <c r="CB131" i="2"/>
  <c r="CA131" i="2"/>
  <c r="BZ131" i="2"/>
  <c r="BY131" i="2"/>
  <c r="BX131" i="2"/>
  <c r="BW131" i="2"/>
  <c r="BV131" i="2"/>
  <c r="BU131" i="2"/>
  <c r="BT131" i="2"/>
  <c r="BS131" i="2"/>
  <c r="BR131" i="2"/>
  <c r="BQ131" i="2"/>
  <c r="BP131" i="2"/>
  <c r="BO131" i="2"/>
  <c r="BN131" i="2"/>
  <c r="BM131" i="2"/>
  <c r="BL131" i="2"/>
  <c r="BK131" i="2"/>
  <c r="BJ131" i="2"/>
  <c r="BI131" i="2"/>
  <c r="BH131" i="2"/>
  <c r="BG131" i="2"/>
  <c r="BF131" i="2"/>
  <c r="BE131" i="2"/>
  <c r="BD131" i="2"/>
  <c r="BC131" i="2"/>
  <c r="BB131" i="2"/>
  <c r="BA131" i="2"/>
  <c r="AZ131" i="2"/>
  <c r="AY131" i="2"/>
  <c r="AX131" i="2"/>
  <c r="AW131" i="2"/>
  <c r="AV131" i="2"/>
  <c r="AU131" i="2"/>
  <c r="AT131" i="2"/>
  <c r="AS131" i="2"/>
  <c r="AR131" i="2"/>
  <c r="AQ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W13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Superintendente de Campo</author>
  </authors>
  <commentList>
    <comment ref="B2" authorId="0" shapeId="0" xr:uid="{F69C08D8-A6F8-4697-B5EC-E192C50C1A0A}">
      <text>
        <r>
          <rPr>
            <b/>
            <sz val="9"/>
            <color indexed="81"/>
            <rFont val="Tahoma"/>
            <family val="2"/>
          </rPr>
          <t>Superintendente de Campo:</t>
        </r>
        <r>
          <rPr>
            <sz val="9"/>
            <color indexed="81"/>
            <rFont val="Tahoma"/>
            <family val="2"/>
          </rPr>
          <t xml:space="preserve">
Ingrese la fecha del informe. Rango válido: 01/07/2026 a 31/12/2026. Escriba =HOY() para volver a la fecha actual. Todos los KPIs, tablas y gráficos se recalcularán automáticamente.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Q1" authorId="0" shapeId="0" xr:uid="{00000000-0006-0000-0100-000001000000}">
      <text>
        <r>
          <rPr>
            <sz val="10"/>
            <rFont val="Arial"/>
            <family val="2"/>
          </rPr>
          <t>INPUT real: fecha del último corte. Al registrar un corte escriba la fecha; el ciclo se reinicia solo.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Superintendente de Campo</author>
  </authors>
  <commentList>
    <comment ref="C10" authorId="0" shapeId="0" xr:uid="{8DF844A9-5588-4138-87BC-6AA30493A425}">
      <text>
        <r>
          <rPr>
            <b/>
            <sz val="9"/>
            <color indexed="81"/>
            <rFont val="Tahoma"/>
            <family val="2"/>
          </rPr>
          <t>Superintendente de Campo:</t>
        </r>
        <r>
          <rPr>
            <sz val="9"/>
            <color indexed="81"/>
            <rFont val="Tahoma"/>
            <family val="2"/>
          </rPr>
          <t xml:space="preserve">
INPUT — modifique este valor para ver el efecto sobre las hectáreas por condición. Por defecto toma el promedio de los últimos 7 días (C15).</t>
        </r>
      </text>
    </comment>
    <comment ref="C20" authorId="0" shapeId="0" xr:uid="{B5419BB9-8527-41B5-B86E-EAA9AE80FA6E}">
      <text>
        <r>
          <rPr>
            <b/>
            <sz val="9"/>
            <color indexed="81"/>
            <rFont val="Tahoma"/>
            <family val="2"/>
          </rPr>
          <t>Superintendente de Campo:</t>
        </r>
        <r>
          <rPr>
            <sz val="9"/>
            <color indexed="81"/>
            <rFont val="Tahoma"/>
            <family val="2"/>
          </rPr>
          <t xml:space="preserve">
INPUT — define el salto entre filas de la tabla de sensibilidad.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<sst xmlns="http://schemas.openxmlformats.org/spreadsheetml/2006/main" count="3676" uniqueCount="693">
  <si>
    <t>Fecha del informe:</t>
  </si>
  <si>
    <t>🌾 RECIÉN CORTADO
(&lt;5 días)</t>
  </si>
  <si>
    <t>✅ EN CICLO
(5–12 días)</t>
  </si>
  <si>
    <t>⚠️ FUERA DE CICLO
(&gt;12 días)</t>
  </si>
  <si>
    <t>🔴 MAYOR CICLO
(días)</t>
  </si>
  <si>
    <t>INFORME GENERAL</t>
  </si>
  <si>
    <t>Estado ciclo</t>
  </si>
  <si>
    <t>Hás</t>
  </si>
  <si>
    <t># Lotes</t>
  </si>
  <si>
    <t>% Hás</t>
  </si>
  <si>
    <t>Equivalencia</t>
  </si>
  <si>
    <t>En ciclo</t>
  </si>
  <si>
    <t>ciclo ≤ 12 días</t>
  </si>
  <si>
    <t>Vencido 1-5 d</t>
  </si>
  <si>
    <t>ciclo 13–17 d</t>
  </si>
  <si>
    <t>Vencido 6-10 d</t>
  </si>
  <si>
    <t>ciclo 18–22 d</t>
  </si>
  <si>
    <t>Vencido 11-15 d</t>
  </si>
  <si>
    <t>ciclo 23–27 d</t>
  </si>
  <si>
    <t>Vencido +15 d</t>
  </si>
  <si>
    <t>ciclo ≥ 28 d</t>
  </si>
  <si>
    <t>Total con dato</t>
  </si>
  <si>
    <t>INFORME POR ZONA (Hás)</t>
  </si>
  <si>
    <t>Zona</t>
  </si>
  <si>
    <t>Total fuera</t>
  </si>
  <si>
    <t>Mayor ciclo</t>
  </si>
  <si>
    <t>Lote mayor ciclo</t>
  </si>
  <si>
    <t>Total</t>
  </si>
  <si>
    <t>PARTICIPACIÓN % POR ZONA (sobre hás con dato de cada zona)</t>
  </si>
  <si>
    <t>Total hás zona</t>
  </si>
  <si>
    <t>GLOSARIO DE ESTADOS</t>
  </si>
  <si>
    <t>Estado</t>
  </si>
  <si>
    <t>Descripción</t>
  </si>
  <si>
    <t>Recién cortado</t>
  </si>
  <si>
    <t>Ciclo &lt; 5 días desde el último corte. El lote acaba de ser cosechado.</t>
  </si>
  <si>
    <t>5 – 12 días desde el corte. Lote dentro del ventana de cosecha óptima.</t>
  </si>
  <si>
    <t>Ciclo 13–17 días. Fuera de ciclo, urgencia baja.</t>
  </si>
  <si>
    <t>Ciclo 18–22 días. Fuera de ciclo, urgencia media.</t>
  </si>
  <si>
    <t>Ciclo 23–27 días. Fuera de ciclo, urgencia alta. Pérdida de calidad probable.</t>
  </si>
  <si>
    <t>Ciclo ≥ 28 días. Fuera de ciclo crítico. Pérdida de calidad y TEA.</t>
  </si>
  <si>
    <t>Sin dato</t>
  </si>
  <si>
    <t>Lote En Desarrollo: no tiene ciclo activo, excluido del cómputo de hás.</t>
  </si>
  <si>
    <t>🔍 CONSULTA INTERACTIVA POR ZONA</t>
  </si>
  <si>
    <t>Seleccione zona ▼</t>
  </si>
  <si>
    <t>← Todas, 1, 2, 3, 4 o 5</t>
  </si>
  <si>
    <t>Área recién cortada (&lt;5d)</t>
  </si>
  <si>
    <t>Área en ciclo (5–12d)</t>
  </si>
  <si>
    <t>Área fuera de ciclo (&gt;12d)</t>
  </si>
  <si>
    <t>Mayor ciclo (días)</t>
  </si>
  <si>
    <t>Lote con mayor ciclo</t>
  </si>
  <si>
    <t>Plantación</t>
  </si>
  <si>
    <t>Finca</t>
  </si>
  <si>
    <t>Lote</t>
  </si>
  <si>
    <t>Lote (llave)</t>
  </si>
  <si>
    <t>Material</t>
  </si>
  <si>
    <t>Casa Comercial</t>
  </si>
  <si>
    <t>Año Siembra</t>
  </si>
  <si>
    <t>Edad</t>
  </si>
  <si>
    <t>No Palmas MD</t>
  </si>
  <si>
    <t>Total Palmas</t>
  </si>
  <si>
    <t>Palmas sin RH 2026</t>
  </si>
  <si>
    <t>Propietario</t>
  </si>
  <si>
    <t>Tipo Operación</t>
  </si>
  <si>
    <t>Fecha último corte</t>
  </si>
  <si>
    <t>Ciclo Hoy</t>
  </si>
  <si>
    <t>Condición</t>
  </si>
  <si>
    <t>Días p/ vencer</t>
  </si>
  <si>
    <t>Fecha venc. proyectada</t>
  </si>
  <si>
    <t>Vitis</t>
  </si>
  <si>
    <t>El Cristal</t>
  </si>
  <si>
    <t>El Cristal-1</t>
  </si>
  <si>
    <t>Deli x La Me</t>
  </si>
  <si>
    <t>Irho</t>
  </si>
  <si>
    <t>Capitales y proyectos</t>
  </si>
  <si>
    <t>Administrado</t>
  </si>
  <si>
    <t>Productivo</t>
  </si>
  <si>
    <t>El Cristal-2</t>
  </si>
  <si>
    <t>El Cristal-3</t>
  </si>
  <si>
    <t>Deli x Mezcla</t>
  </si>
  <si>
    <t>Mezcla</t>
  </si>
  <si>
    <t>El Cristal-4</t>
  </si>
  <si>
    <t>Deli x Nigeria</t>
  </si>
  <si>
    <t>Asd</t>
  </si>
  <si>
    <t>El Cristal-5</t>
  </si>
  <si>
    <t>El Cristal-6</t>
  </si>
  <si>
    <t>El Cristal-7</t>
  </si>
  <si>
    <t>El Cristal-8</t>
  </si>
  <si>
    <t>Family Capital</t>
  </si>
  <si>
    <t>El Cristal-9</t>
  </si>
  <si>
    <t>El Cristal-10</t>
  </si>
  <si>
    <t>El Cristal-11</t>
  </si>
  <si>
    <t>El Cristal-12</t>
  </si>
  <si>
    <t>El Cristal-13</t>
  </si>
  <si>
    <t>La Bendición</t>
  </si>
  <si>
    <t>La Bendición-14</t>
  </si>
  <si>
    <t>Vitis Olei</t>
  </si>
  <si>
    <t>Propio</t>
  </si>
  <si>
    <t>La Bendición-15</t>
  </si>
  <si>
    <t>La Bendición-16</t>
  </si>
  <si>
    <t>La Bendición-17</t>
  </si>
  <si>
    <t>La Bendición-18</t>
  </si>
  <si>
    <t>La Bendición-19</t>
  </si>
  <si>
    <t>Los Cambulos</t>
  </si>
  <si>
    <t>Los Cambulos-20</t>
  </si>
  <si>
    <t>Los Cambulos-21</t>
  </si>
  <si>
    <t>La Vitrina</t>
  </si>
  <si>
    <t>La Vitrina-22</t>
  </si>
  <si>
    <t>La Bendición-23</t>
  </si>
  <si>
    <t>La Bendición-24</t>
  </si>
  <si>
    <t>La Bendición-25</t>
  </si>
  <si>
    <t>La Vitrina-26</t>
  </si>
  <si>
    <t>La Vitrina-27</t>
  </si>
  <si>
    <t>La Vitrina-28</t>
  </si>
  <si>
    <t>Los Cambulos-29</t>
  </si>
  <si>
    <t>Los Cambulos-30</t>
  </si>
  <si>
    <t>16A</t>
  </si>
  <si>
    <t>La Bendición-16A</t>
  </si>
  <si>
    <t>19A</t>
  </si>
  <si>
    <t>Los Cambulos-19A</t>
  </si>
  <si>
    <t>20A</t>
  </si>
  <si>
    <t>Los Cambulos-20A</t>
  </si>
  <si>
    <t>25A</t>
  </si>
  <si>
    <t>La Bendición-25A</t>
  </si>
  <si>
    <t>La Vitrina-31</t>
  </si>
  <si>
    <t>Deli x Yangambi</t>
  </si>
  <si>
    <t>Los Cambulos-32</t>
  </si>
  <si>
    <t>Los Cambulos-33</t>
  </si>
  <si>
    <t>Eugenias</t>
  </si>
  <si>
    <t>33A</t>
  </si>
  <si>
    <t>Los Cambulos-33A</t>
  </si>
  <si>
    <t>Los Cambulos-34</t>
  </si>
  <si>
    <t>34A</t>
  </si>
  <si>
    <t>Los Cambulos-34A</t>
  </si>
  <si>
    <t>Los Cambulos-35</t>
  </si>
  <si>
    <t>Duras</t>
  </si>
  <si>
    <t>35A</t>
  </si>
  <si>
    <t>Los Cambulos-35A</t>
  </si>
  <si>
    <t>La Vitrina-36</t>
  </si>
  <si>
    <t>La Pradera</t>
  </si>
  <si>
    <t>La Pradera-37</t>
  </si>
  <si>
    <t>La Bendición-38</t>
  </si>
  <si>
    <t>38A</t>
  </si>
  <si>
    <t>La Bendición-38A</t>
  </si>
  <si>
    <t>La Bendición-39</t>
  </si>
  <si>
    <t>La Bendición-40</t>
  </si>
  <si>
    <t>La Bendición-41</t>
  </si>
  <si>
    <t>La Pradera-42</t>
  </si>
  <si>
    <t>35B</t>
  </si>
  <si>
    <t>Los Cambulos-35B</t>
  </si>
  <si>
    <t>41A</t>
  </si>
  <si>
    <t>La Bendición-41A</t>
  </si>
  <si>
    <t>Híbridos</t>
  </si>
  <si>
    <t>Hibrido</t>
  </si>
  <si>
    <t>42A</t>
  </si>
  <si>
    <t>La Pradera-42A</t>
  </si>
  <si>
    <t>La Vitrina-43</t>
  </si>
  <si>
    <t>La Vitrina-44</t>
  </si>
  <si>
    <t>La Pradera-45</t>
  </si>
  <si>
    <t>La Pradera-46</t>
  </si>
  <si>
    <t>Mixtas</t>
  </si>
  <si>
    <t>La Pradera-47</t>
  </si>
  <si>
    <t>La Pradera-48</t>
  </si>
  <si>
    <t>Rines</t>
  </si>
  <si>
    <t>Rines-49</t>
  </si>
  <si>
    <t>Rines-50</t>
  </si>
  <si>
    <t>Rines-51</t>
  </si>
  <si>
    <t>Rines-52</t>
  </si>
  <si>
    <t>Rines-53</t>
  </si>
  <si>
    <t>Rines-54</t>
  </si>
  <si>
    <t>53A</t>
  </si>
  <si>
    <t>Rines-53A</t>
  </si>
  <si>
    <t>54A</t>
  </si>
  <si>
    <t>Rines-54A</t>
  </si>
  <si>
    <t>Rines-55</t>
  </si>
  <si>
    <t>Rines-57</t>
  </si>
  <si>
    <t>Rines-61</t>
  </si>
  <si>
    <t>Rines-63</t>
  </si>
  <si>
    <t>Rines-60</t>
  </si>
  <si>
    <t>Deli x Compacta</t>
  </si>
  <si>
    <t>Rines-62</t>
  </si>
  <si>
    <t>Rines-56</t>
  </si>
  <si>
    <t>56A</t>
  </si>
  <si>
    <t>Rines-56A</t>
  </si>
  <si>
    <t>61A</t>
  </si>
  <si>
    <t>Rines-61A</t>
  </si>
  <si>
    <t>62A</t>
  </si>
  <si>
    <t>Rines-62A</t>
  </si>
  <si>
    <t>63A</t>
  </si>
  <si>
    <t>Rines-63A</t>
  </si>
  <si>
    <t>Rines-58</t>
  </si>
  <si>
    <t>59B</t>
  </si>
  <si>
    <t>Rines-59B</t>
  </si>
  <si>
    <t>61B</t>
  </si>
  <si>
    <t>Rines-61B</t>
  </si>
  <si>
    <t>Paso Barinas</t>
  </si>
  <si>
    <t>Paso Barinas-1</t>
  </si>
  <si>
    <t>Palmeras del Casanare</t>
  </si>
  <si>
    <t>1A</t>
  </si>
  <si>
    <t>Paso Barinas-1A</t>
  </si>
  <si>
    <t>1B</t>
  </si>
  <si>
    <t>Paso Barinas-1B</t>
  </si>
  <si>
    <t>Paso Barinas-2</t>
  </si>
  <si>
    <t>2A</t>
  </si>
  <si>
    <t>Paso Barinas-2A</t>
  </si>
  <si>
    <t>Paso Barinas-3</t>
  </si>
  <si>
    <t>3A</t>
  </si>
  <si>
    <t>Paso Barinas-3A</t>
  </si>
  <si>
    <t>3B</t>
  </si>
  <si>
    <t>Paso Barinas-3B</t>
  </si>
  <si>
    <t>Paso Barinas-4</t>
  </si>
  <si>
    <t>4A</t>
  </si>
  <si>
    <t>Paso Barinas-4A</t>
  </si>
  <si>
    <t>Paso Barinas-5</t>
  </si>
  <si>
    <t>5A</t>
  </si>
  <si>
    <t>Paso Barinas-5A</t>
  </si>
  <si>
    <t>Paso Barinas-6 (s2023)</t>
  </si>
  <si>
    <t>En Desarrollo</t>
  </si>
  <si>
    <t>Rines-1</t>
  </si>
  <si>
    <t/>
  </si>
  <si>
    <t>Rines-2</t>
  </si>
  <si>
    <t>Rines-3</t>
  </si>
  <si>
    <t>Rines-4</t>
  </si>
  <si>
    <t>Rines-5</t>
  </si>
  <si>
    <t>Rines-6</t>
  </si>
  <si>
    <t>Rines-7</t>
  </si>
  <si>
    <t>Rines-8</t>
  </si>
  <si>
    <t>Rines-9</t>
  </si>
  <si>
    <t>Rines-10 (s2024)</t>
  </si>
  <si>
    <t>Rines-10 (s2025)</t>
  </si>
  <si>
    <t>Rines-11</t>
  </si>
  <si>
    <t>Rines-12</t>
  </si>
  <si>
    <t>Rines-13</t>
  </si>
  <si>
    <t>Por Definir</t>
  </si>
  <si>
    <t>Rines-14</t>
  </si>
  <si>
    <t>Rines-15</t>
  </si>
  <si>
    <t>Rines-16</t>
  </si>
  <si>
    <t>Rines-17</t>
  </si>
  <si>
    <t>Rines-18</t>
  </si>
  <si>
    <t>Rines-19</t>
  </si>
  <si>
    <t>Rines-20</t>
  </si>
  <si>
    <t>Rines-21</t>
  </si>
  <si>
    <t>Paso Barinas-6 (s2024)</t>
  </si>
  <si>
    <t>6A</t>
  </si>
  <si>
    <t>Paso Barinas-6A</t>
  </si>
  <si>
    <t>Paso Barinas-7</t>
  </si>
  <si>
    <t>7A</t>
  </si>
  <si>
    <t>Paso Barinas-7A</t>
  </si>
  <si>
    <t>Paso Barinas-8</t>
  </si>
  <si>
    <t>8A</t>
  </si>
  <si>
    <t>Paso Barinas-8A</t>
  </si>
  <si>
    <t>Paso Barinas-9</t>
  </si>
  <si>
    <t>9A</t>
  </si>
  <si>
    <t>Paso Barinas-9A</t>
  </si>
  <si>
    <t>Paso Barinas-10</t>
  </si>
  <si>
    <t>INFORME POR ZONA — ÁREAS (Hás)</t>
  </si>
  <si>
    <t>Vencido 1-5d</t>
  </si>
  <si>
    <t>Vencido 6-10d</t>
  </si>
  <si>
    <t>Vencido 11-15d</t>
  </si>
  <si>
    <t>Guafa</t>
  </si>
  <si>
    <t>Vencido +15d</t>
  </si>
  <si>
    <t>Macolla</t>
  </si>
  <si>
    <t>Total Zona 1</t>
  </si>
  <si>
    <t>Total Zona 2</t>
  </si>
  <si>
    <t>Total Zona 3</t>
  </si>
  <si>
    <t>Total Zona 4</t>
  </si>
  <si>
    <t>Total Zona 5</t>
  </si>
  <si>
    <t>TOTAL GENERAL</t>
  </si>
  <si>
    <t>PARTICIPACIÓN % POR ZONA</t>
  </si>
  <si>
    <t>Indicador</t>
  </si>
  <si>
    <t>En ciclo (≤12d)</t>
  </si>
  <si>
    <t>Vencido 1-5d (13-17d)</t>
  </si>
  <si>
    <t>Vencido 6-10d (18-22d)</t>
  </si>
  <si>
    <t>Vencido 11-15d (23-27d)</t>
  </si>
  <si>
    <t>Vencido +15d (≥28d)</t>
  </si>
  <si>
    <t>Total lotes</t>
  </si>
  <si>
    <t>Otros</t>
  </si>
  <si>
    <t>Ciclo promedio (días)</t>
  </si>
  <si>
    <t>Recién cortado &lt;5d (hás)</t>
  </si>
  <si>
    <t>Recién cortado &lt;5d (# lotes)</t>
  </si>
  <si>
    <t>⚙️ PARÁMETROS DEL MODELO</t>
  </si>
  <si>
    <t>Parámetro</t>
  </si>
  <si>
    <t>Valor</t>
  </si>
  <si>
    <t>Ciclo objetivo (días)</t>
  </si>
  <si>
    <t>Umbral de ciclo de cosecha. Cambie solo aquí y todo el libro se ajusta.</t>
  </si>
  <si>
    <t>Ventana recién cortado (días)</t>
  </si>
  <si>
    <t>Lotes con ciclo menor a este valor se consideran recién cosechados.</t>
  </si>
  <si>
    <t>Nucleo</t>
  </si>
  <si>
    <t>Plantacion</t>
  </si>
  <si>
    <t>F - L</t>
  </si>
  <si>
    <t>TIPO</t>
  </si>
  <si>
    <t>Material 2</t>
  </si>
  <si>
    <t>Variedad</t>
  </si>
  <si>
    <t>Año de Siembra</t>
  </si>
  <si>
    <t>Cod Awed</t>
  </si>
  <si>
    <t>Cod Sigaind</t>
  </si>
  <si>
    <t>Cod Siesa</t>
  </si>
  <si>
    <t>No. Pal Sembradas Iniciales</t>
  </si>
  <si>
    <t>Has
Poligono</t>
  </si>
  <si>
    <t>Densidad Siembra</t>
  </si>
  <si>
    <t>No. Pal   Sin RH</t>
  </si>
  <si>
    <t>No. Pal
de RH</t>
  </si>
  <si>
    <t>Total
Pal</t>
  </si>
  <si>
    <t>N0 Palmas sin RH 2026</t>
  </si>
  <si>
    <t>Has Sin RH</t>
  </si>
  <si>
    <t>Has de RH</t>
  </si>
  <si>
    <t>Área (Has)</t>
  </si>
  <si>
    <t>Densidad Actual</t>
  </si>
  <si>
    <t>Palmas
Sigaind</t>
  </si>
  <si>
    <t>Palms RH Sigaind</t>
  </si>
  <si>
    <t>Has Pal
Sigaind</t>
  </si>
  <si>
    <t>Densidad
Sigaind</t>
  </si>
  <si>
    <t>Has Poligono Sigaind</t>
  </si>
  <si>
    <t>Estado
Sigaind</t>
  </si>
  <si>
    <t>Dif
Palmas</t>
  </si>
  <si>
    <t>Dif
Has</t>
  </si>
  <si>
    <t>Dif
Densidad</t>
  </si>
  <si>
    <t>Has Finales</t>
  </si>
  <si>
    <t>Palmas Finales</t>
  </si>
  <si>
    <t>Mani</t>
  </si>
  <si>
    <t>Guineensis</t>
  </si>
  <si>
    <t>Irho - Deli x La Me</t>
  </si>
  <si>
    <t>MACRI01</t>
  </si>
  <si>
    <t>CPCRI01</t>
  </si>
  <si>
    <t>AG800101</t>
  </si>
  <si>
    <t>Activo</t>
  </si>
  <si>
    <t>MACRI02</t>
  </si>
  <si>
    <t>CPCRI02</t>
  </si>
  <si>
    <t>AG800102</t>
  </si>
  <si>
    <t>MACRI03</t>
  </si>
  <si>
    <t>CPCRI03</t>
  </si>
  <si>
    <t>AG800103</t>
  </si>
  <si>
    <t>MACRI04</t>
  </si>
  <si>
    <t>CPCRI04</t>
  </si>
  <si>
    <t>AG800104</t>
  </si>
  <si>
    <t>MACRI05</t>
  </si>
  <si>
    <t>CPCRI05</t>
  </si>
  <si>
    <t>AG800105</t>
  </si>
  <si>
    <t>MACRI06</t>
  </si>
  <si>
    <t>CPCRI06</t>
  </si>
  <si>
    <t>AG800106</t>
  </si>
  <si>
    <t>MACRI07</t>
  </si>
  <si>
    <t>CPCRI07</t>
  </si>
  <si>
    <t>AG800107</t>
  </si>
  <si>
    <t>MACRI08</t>
  </si>
  <si>
    <t>FCCRI08</t>
  </si>
  <si>
    <t>AG800108</t>
  </si>
  <si>
    <t>MACRI09</t>
  </si>
  <si>
    <t>FCCRI09</t>
  </si>
  <si>
    <t>AG800109</t>
  </si>
  <si>
    <t>MACRI10</t>
  </si>
  <si>
    <t>FCCRI10</t>
  </si>
  <si>
    <t>AG800110</t>
  </si>
  <si>
    <t>MACRI11</t>
  </si>
  <si>
    <t>FCCRI11</t>
  </si>
  <si>
    <t>AG800111</t>
  </si>
  <si>
    <t>MACRI12</t>
  </si>
  <si>
    <t>FCCRI12</t>
  </si>
  <si>
    <t>AG800112</t>
  </si>
  <si>
    <t>MACRI13</t>
  </si>
  <si>
    <t>FCCRI13</t>
  </si>
  <si>
    <t>AG800113</t>
  </si>
  <si>
    <t>MABEN14</t>
  </si>
  <si>
    <t>AGBE14</t>
  </si>
  <si>
    <t>MABEN15</t>
  </si>
  <si>
    <t>AGBE15</t>
  </si>
  <si>
    <t>MABEN16</t>
  </si>
  <si>
    <t>AGBE16</t>
  </si>
  <si>
    <t>MABEN17</t>
  </si>
  <si>
    <t>AGBE17</t>
  </si>
  <si>
    <t>MABEN18</t>
  </si>
  <si>
    <t>AGBE18</t>
  </si>
  <si>
    <t>MABEN19</t>
  </si>
  <si>
    <t>AGBE19</t>
  </si>
  <si>
    <t>MACAM20</t>
  </si>
  <si>
    <t>AGCA20</t>
  </si>
  <si>
    <t>MACAM21</t>
  </si>
  <si>
    <t>AGCA21</t>
  </si>
  <si>
    <t>MAVIT22</t>
  </si>
  <si>
    <t>AGVT0022</t>
  </si>
  <si>
    <t>MABEN23</t>
  </si>
  <si>
    <t>AGBE23</t>
  </si>
  <si>
    <t>MABEN24</t>
  </si>
  <si>
    <t>AGBE24</t>
  </si>
  <si>
    <t>MABEN25</t>
  </si>
  <si>
    <t>AGBE25</t>
  </si>
  <si>
    <t>MAVIT26</t>
  </si>
  <si>
    <t>AGVT0026</t>
  </si>
  <si>
    <t>MAVIT27</t>
  </si>
  <si>
    <t>AGVT0027</t>
  </si>
  <si>
    <t>MAVIT28</t>
  </si>
  <si>
    <t>AGVT0028</t>
  </si>
  <si>
    <t>MACAM29</t>
  </si>
  <si>
    <t>AGCA29</t>
  </si>
  <si>
    <t>MACAM30</t>
  </si>
  <si>
    <t>AGCA30</t>
  </si>
  <si>
    <t>MABEN16A</t>
  </si>
  <si>
    <t>AGBE16A</t>
  </si>
  <si>
    <t>MACAM19A</t>
  </si>
  <si>
    <t>AGCA19A</t>
  </si>
  <si>
    <t>MACAM20A</t>
  </si>
  <si>
    <t>AGCA20A</t>
  </si>
  <si>
    <t>MABEN25A</t>
  </si>
  <si>
    <t>AGBE25A</t>
  </si>
  <si>
    <t>MAVIT31</t>
  </si>
  <si>
    <t>AGVT0031</t>
  </si>
  <si>
    <t>MACAM32</t>
  </si>
  <si>
    <t>AGCA32</t>
  </si>
  <si>
    <t>MACAM33</t>
  </si>
  <si>
    <t>AGCA33</t>
  </si>
  <si>
    <t>MACAM33A</t>
  </si>
  <si>
    <t>AGCA33A</t>
  </si>
  <si>
    <t>MACAM34</t>
  </si>
  <si>
    <t>AGCA34</t>
  </si>
  <si>
    <t>MACAM34A</t>
  </si>
  <si>
    <t>AGCA34A</t>
  </si>
  <si>
    <t>MACAM35</t>
  </si>
  <si>
    <t>AGCA35</t>
  </si>
  <si>
    <t>MACAM35A</t>
  </si>
  <si>
    <t>AGCA35A</t>
  </si>
  <si>
    <t>MAVIT36</t>
  </si>
  <si>
    <t>AGTV0036</t>
  </si>
  <si>
    <t>Asd - Deli x La Me</t>
  </si>
  <si>
    <t>MAPRA37</t>
  </si>
  <si>
    <t>AGPR37</t>
  </si>
  <si>
    <t>MABEN38</t>
  </si>
  <si>
    <t>AGBE38</t>
  </si>
  <si>
    <t>MABEN38A</t>
  </si>
  <si>
    <t>AGBE38A</t>
  </si>
  <si>
    <t>MABEN39</t>
  </si>
  <si>
    <t>AGBE39</t>
  </si>
  <si>
    <t>MABEN40</t>
  </si>
  <si>
    <t>AGBE40</t>
  </si>
  <si>
    <t>MABEN41</t>
  </si>
  <si>
    <t>AGBE41</t>
  </si>
  <si>
    <t>MAPRA42</t>
  </si>
  <si>
    <t>AGPR42</t>
  </si>
  <si>
    <t>MACAM35B</t>
  </si>
  <si>
    <t>AGCA35B</t>
  </si>
  <si>
    <t>MABEN41A</t>
  </si>
  <si>
    <t>AGBE41A</t>
  </si>
  <si>
    <t>MAPRA42A</t>
  </si>
  <si>
    <t>AGPR42A</t>
  </si>
  <si>
    <t>MAVIT43</t>
  </si>
  <si>
    <t>AGVT0043</t>
  </si>
  <si>
    <t>MAVIT44</t>
  </si>
  <si>
    <t>AGVT0044</t>
  </si>
  <si>
    <t>MAPRA45</t>
  </si>
  <si>
    <t>AGPR45</t>
  </si>
  <si>
    <t>MAPRA46</t>
  </si>
  <si>
    <t>AGPR46</t>
  </si>
  <si>
    <t>MAPRA47</t>
  </si>
  <si>
    <t>AGPR47</t>
  </si>
  <si>
    <t>MAPRA48</t>
  </si>
  <si>
    <t>AGPR48</t>
  </si>
  <si>
    <t>MARIN49</t>
  </si>
  <si>
    <t>AGRI0049</t>
  </si>
  <si>
    <t>MARIN50</t>
  </si>
  <si>
    <t>AGRI0050</t>
  </si>
  <si>
    <t>MARIN51</t>
  </si>
  <si>
    <t>AGRI0051</t>
  </si>
  <si>
    <t>MARIN52</t>
  </si>
  <si>
    <t>AGRI0052</t>
  </si>
  <si>
    <t>MARIN53</t>
  </si>
  <si>
    <t>AGRI0053</t>
  </si>
  <si>
    <t>MARIN54</t>
  </si>
  <si>
    <t>AGRI0054</t>
  </si>
  <si>
    <t>MARIN53A</t>
  </si>
  <si>
    <t>AGRI053A</t>
  </si>
  <si>
    <t>MARIN54A</t>
  </si>
  <si>
    <t>AGRI054A</t>
  </si>
  <si>
    <t>MARIN55</t>
  </si>
  <si>
    <t>AGRI0055</t>
  </si>
  <si>
    <t>MARIN57</t>
  </si>
  <si>
    <t>AGRI0057</t>
  </si>
  <si>
    <t>MARIN61</t>
  </si>
  <si>
    <t>AGRI0061</t>
  </si>
  <si>
    <t>MARIN63</t>
  </si>
  <si>
    <t>AGRI0063</t>
  </si>
  <si>
    <t>MARIN60</t>
  </si>
  <si>
    <t>AGRI0060</t>
  </si>
  <si>
    <t>MARIN62</t>
  </si>
  <si>
    <t>AGRI0062</t>
  </si>
  <si>
    <t>MARIN56</t>
  </si>
  <si>
    <t>AGRI0056</t>
  </si>
  <si>
    <t>MARIN56A</t>
  </si>
  <si>
    <t>AGRI056A</t>
  </si>
  <si>
    <t>MARIN61A</t>
  </si>
  <si>
    <t>AGRI061A</t>
  </si>
  <si>
    <t>MARIN62A</t>
  </si>
  <si>
    <t>AGRI062A</t>
  </si>
  <si>
    <t>MARIN63A</t>
  </si>
  <si>
    <t>AGRI063A</t>
  </si>
  <si>
    <t>Deli x La Mé Advance</t>
  </si>
  <si>
    <t>MARIN58</t>
  </si>
  <si>
    <t>AGRI0058</t>
  </si>
  <si>
    <t>MARIN59B</t>
  </si>
  <si>
    <t>AGRI059B</t>
  </si>
  <si>
    <t>MARIN61B</t>
  </si>
  <si>
    <t>AGRI061B</t>
  </si>
  <si>
    <t>N.A.</t>
  </si>
  <si>
    <t>PCRIN01</t>
  </si>
  <si>
    <t>AG800017</t>
  </si>
  <si>
    <t>PCRIN02</t>
  </si>
  <si>
    <t>PCRIN03</t>
  </si>
  <si>
    <t>PCRIN04</t>
  </si>
  <si>
    <t>PCRIN05</t>
  </si>
  <si>
    <t>PCRIN06</t>
  </si>
  <si>
    <t>PCRIN07</t>
  </si>
  <si>
    <t>PCRIN08</t>
  </si>
  <si>
    <t>PCRIN09</t>
  </si>
  <si>
    <t>Rines-10</t>
  </si>
  <si>
    <t>PCRIN10</t>
  </si>
  <si>
    <t>PCRIN11</t>
  </si>
  <si>
    <t>PCRIN12</t>
  </si>
  <si>
    <t>PCRIN13</t>
  </si>
  <si>
    <t>PCRIN14</t>
  </si>
  <si>
    <t>PCRIN15</t>
  </si>
  <si>
    <t>PCRIN16</t>
  </si>
  <si>
    <t>PCRIN17</t>
  </si>
  <si>
    <t>PCRIN18</t>
  </si>
  <si>
    <t>PCRIN19</t>
  </si>
  <si>
    <t>PCRIN20</t>
  </si>
  <si>
    <t>PCRIN21</t>
  </si>
  <si>
    <t>PCBAR01</t>
  </si>
  <si>
    <t>AG800016</t>
  </si>
  <si>
    <t>PCBAR02</t>
  </si>
  <si>
    <t>PCBAR03</t>
  </si>
  <si>
    <t>PCBAR04</t>
  </si>
  <si>
    <t>PCBAR05</t>
  </si>
  <si>
    <t>Paso Barinas-6</t>
  </si>
  <si>
    <t>PCBAR06</t>
  </si>
  <si>
    <t>PCBAR07</t>
  </si>
  <si>
    <t>PCBAR08</t>
  </si>
  <si>
    <t>PCBAR09</t>
  </si>
  <si>
    <t>PCBAR10</t>
  </si>
  <si>
    <t>Columna1</t>
  </si>
  <si>
    <t>Lotes</t>
  </si>
  <si>
    <t>Año de Siem</t>
  </si>
  <si>
    <t>No. Palmas</t>
  </si>
  <si>
    <t xml:space="preserve">Hás </t>
  </si>
  <si>
    <t>Ciclos</t>
  </si>
  <si>
    <t>Días fuera de ciclo</t>
  </si>
  <si>
    <t>Columna2</t>
  </si>
  <si>
    <t>0-0</t>
  </si>
  <si>
    <t>⚠️ Hoja legacy (valores congelados): el modelo ya NO depende de esta hoja. Maestro = Censo.</t>
  </si>
  <si>
    <t>Deli x La Mé</t>
  </si>
  <si>
    <t>Fuera de ciclo</t>
  </si>
  <si>
    <t>1-3</t>
  </si>
  <si>
    <t>4-6</t>
  </si>
  <si>
    <t>7-9</t>
  </si>
  <si>
    <t>&gt;10</t>
  </si>
  <si>
    <t>En cosecha</t>
  </si>
  <si>
    <t>La Bendición-16a</t>
  </si>
  <si>
    <t>16a</t>
  </si>
  <si>
    <t>Los Cámbulos</t>
  </si>
  <si>
    <t>Los Cámbulos-19a</t>
  </si>
  <si>
    <t>19a</t>
  </si>
  <si>
    <t>Los Cámbulos-20</t>
  </si>
  <si>
    <t>Los Cámbulos-20a</t>
  </si>
  <si>
    <t>20a</t>
  </si>
  <si>
    <t>Los Cámbulos-21</t>
  </si>
  <si>
    <t>Los Cámbulos-29</t>
  </si>
  <si>
    <t>Los Cámbulos-30</t>
  </si>
  <si>
    <t>Los Cámbulos-32</t>
  </si>
  <si>
    <t>Los Cámbulos-33</t>
  </si>
  <si>
    <t>Los Cámbulos-33a</t>
  </si>
  <si>
    <t>33a</t>
  </si>
  <si>
    <t>Los Cámbulos-34</t>
  </si>
  <si>
    <t>Los Cámbulos-34a</t>
  </si>
  <si>
    <t>34a</t>
  </si>
  <si>
    <t>Los Cámbulos-35</t>
  </si>
  <si>
    <t>Los Cámbulos-35a</t>
  </si>
  <si>
    <t>35a</t>
  </si>
  <si>
    <t>Los Cámbulos-35b</t>
  </si>
  <si>
    <t>35b</t>
  </si>
  <si>
    <t>La Bendición-38a</t>
  </si>
  <si>
    <t>38a</t>
  </si>
  <si>
    <t>La Pradera-42a</t>
  </si>
  <si>
    <t>42a</t>
  </si>
  <si>
    <t>La Bendición-41a</t>
  </si>
  <si>
    <t>41a</t>
  </si>
  <si>
    <t>Rines-53a</t>
  </si>
  <si>
    <t>53a</t>
  </si>
  <si>
    <t>Rines-54a</t>
  </si>
  <si>
    <t>54a</t>
  </si>
  <si>
    <t>Rines-56a</t>
  </si>
  <si>
    <t>56a</t>
  </si>
  <si>
    <t>Deli x la Mé</t>
  </si>
  <si>
    <t>Rines-59b</t>
  </si>
  <si>
    <t>59b</t>
  </si>
  <si>
    <t>Rines-61a</t>
  </si>
  <si>
    <t>61a</t>
  </si>
  <si>
    <t>Rines-61b</t>
  </si>
  <si>
    <t>61b</t>
  </si>
  <si>
    <t>Rines-62a</t>
  </si>
  <si>
    <t>62a</t>
  </si>
  <si>
    <t>Rines-63a</t>
  </si>
  <si>
    <t>63a</t>
  </si>
  <si>
    <t>Has</t>
  </si>
  <si>
    <t>Densidad</t>
  </si>
  <si>
    <t>I.M</t>
  </si>
  <si>
    <t># RFF</t>
  </si>
  <si>
    <t>Peso Prom</t>
  </si>
  <si>
    <t>Kilos</t>
  </si>
  <si>
    <t>Ton</t>
  </si>
  <si>
    <t>kilos</t>
  </si>
  <si>
    <t>Palmas</t>
  </si>
  <si>
    <t># RFF / Ciclo</t>
  </si>
  <si>
    <t>IM</t>
  </si>
  <si>
    <t>ton 2025</t>
  </si>
  <si>
    <t>% Crecimiento</t>
  </si>
  <si>
    <t>Ton mas</t>
  </si>
  <si>
    <t>Ciclo Ponderado</t>
  </si>
  <si>
    <t>Ciclo Ponderado por Fecha</t>
  </si>
  <si>
    <t>Fecha</t>
  </si>
  <si>
    <t>Fecha (filtrada)</t>
  </si>
  <si>
    <t>Ciclo Ponderado (filtrado)</t>
  </si>
  <si>
    <t>Fecha Inicio:</t>
  </si>
  <si>
    <t>Fecha Fin:</t>
  </si>
  <si>
    <t>🌴 CICLOS DE COSECHA · Vitis Olei</t>
  </si>
  <si>
    <t>AVANCE DE HECTÁREAS COSECHADAS — CICLOS DE COSECHA</t>
  </si>
  <si>
    <t>Período: 01-jul-2026 al 10-ago-2026 (41 días) · Fuente: hoja "Registro Diario", filas 2:95 · Un corte se identifica cuando el día de ciclo del lote regresa a 0</t>
  </si>
  <si>
    <t>RESUMEN DEL PERÍODO</t>
  </si>
  <si>
    <t>Lotes en seguimiento</t>
  </si>
  <si>
    <t>Cortes de lote ejecutados (pases)</t>
  </si>
  <si>
    <t>Día</t>
  </si>
  <si>
    <t>Lotes cortados</t>
  </si>
  <si>
    <t>Hás cosechadas</t>
  </si>
  <si>
    <t>Hás acumuladas</t>
  </si>
  <si>
    <t>% avance acum. vs total</t>
  </si>
  <si>
    <t>Media móvil 7d (Hás)</t>
  </si>
  <si>
    <t>AVANCE POR SEMANA (bloques de 7 días desde el 01-jul)</t>
  </si>
  <si>
    <t>Semana</t>
  </si>
  <si>
    <t>Desde</t>
  </si>
  <si>
    <t>Hasta</t>
  </si>
  <si>
    <t>Días</t>
  </si>
  <si>
    <t>Hás/día</t>
  </si>
  <si>
    <t>% del total plantación</t>
  </si>
  <si>
    <t>TOTAL</t>
  </si>
  <si>
    <t>AVANCE POR FINCA (01-jul al 10-ago)</t>
  </si>
  <si>
    <t>Hás totales</t>
  </si>
  <si>
    <t>Cortes en el período</t>
  </si>
  <si>
    <t>Hás recorridas</t>
  </si>
  <si>
    <t>Ciclos equivalentes</t>
  </si>
  <si>
    <t>Hás totales de la plantación</t>
  </si>
  <si>
    <t>Hás recorridas en el período</t>
  </si>
  <si>
    <t>Ciclos equivalentes recorridos</t>
  </si>
  <si>
    <t>Hás promedio por día</t>
  </si>
  <si>
    <t>PROYECCIÓN DE HECTÁREAS POR CONDICIÓN — SEMANA SIGUIENTE</t>
  </si>
  <si>
    <t>Base: tendencia de rendimiento de la última semana. Los lotes se cosechan en orden de prioridad (mayor día de ciclo primero) hasta agotar la capacidad semanal; los no cosechados avanzan 7 días y se reclasifican. Ámbito: filas 2:95 de "Registro Diario".</t>
  </si>
  <si>
    <t>SUPUESTOS DEL MODELO</t>
  </si>
  <si>
    <t>Fecha de corte del análisis (hoy)</t>
  </si>
  <si>
    <t>Fecha de proyección (+7 días)</t>
  </si>
  <si>
    <t>Rendimiento diario proyectado (Hás/día)</t>
  </si>
  <si>
    <t>Capacidad de la semana (Hás)</t>
  </si>
  <si>
    <t>TENDENCIA OBSERVADA (base de la proyección)</t>
  </si>
  <si>
    <t>Hás cosechadas últimos 7 días (04–10 ago)</t>
  </si>
  <si>
    <t>Rendimiento últimos 7 días (Hás/día)</t>
  </si>
  <si>
    <t>Rendimiento semana previa (28 jul – 03 ago)</t>
  </si>
  <si>
    <t>Variación última semana vs previa</t>
  </si>
  <si>
    <t>Rendimiento promedio 01-jul a 10-ago (Hás/día)</t>
  </si>
  <si>
    <t>Tendencia lineal del período (Hás/día adicionales por día)</t>
  </si>
  <si>
    <t>Ciclo hoy</t>
  </si>
  <si>
    <t>Condición hoy</t>
  </si>
  <si>
    <t>Prioridad de corte</t>
  </si>
  <si>
    <t>Hás acum. en prioridad</t>
  </si>
  <si>
    <t>Ciclo proy. si NO se corta</t>
  </si>
  <si>
    <t>¿Se cosecha esta semana?</t>
  </si>
  <si>
    <t>Condición proyectada</t>
  </si>
  <si>
    <t>Estado ciclo proyectado</t>
  </si>
  <si>
    <t>PROYECCIÓN DE HÁS POR CONDICIÓN — al 17-ago-2026</t>
  </si>
  <si>
    <t>Hás hoy</t>
  </si>
  <si>
    <t>% hoy</t>
  </si>
  <si>
    <t>Hás proyectadas</t>
  </si>
  <si>
    <t>% proyectado</t>
  </si>
  <si>
    <t>Variación (Hás)</t>
  </si>
  <si>
    <t>DETALLE POR ESTADO DE VENCIMIENTO</t>
  </si>
  <si>
    <t>Paso de la tabla de sensibilidad (Hás/día)</t>
  </si>
  <si>
    <t>TABLA DE SENSIBILIDAD — HÁS POR CONDICIÓN SEGÚN RENDIMIENTO DIARIO (al 17-ago-2026)</t>
  </si>
  <si>
    <t>Rendimiento (Hás/día)</t>
  </si>
  <si>
    <t>Capacidad semanal (Hás)</t>
  </si>
  <si>
    <t>Lotes cosechados</t>
  </si>
  <si>
    <t>Total (control)</t>
  </si>
  <si>
    <t>Datos para gráfico (enlaces al resumen)</t>
  </si>
  <si>
    <t>Hás hoy (10-ago)</t>
  </si>
  <si>
    <t>Hás proyectadas (17-ago)</t>
  </si>
  <si>
    <t>NOTAS METODOLÓGICAS</t>
  </si>
  <si>
    <t>1. El rendimiento base (C10) toma el promedio de los últimos 7 días: 113,89 Hás/día. Puede sobrescribirlo con cualquier valor.</t>
  </si>
  <si>
    <t>2. Orden de cosecha: los lotes se priorizan por mayor día de ciclo (columna F). La columna G acumula Hás en ese orden; se cosecha todo lo que quepa en la capacidad semanal (C11).</t>
  </si>
  <si>
    <t>3. Todo lote cosechado en la semana se clasifica como "Recién cortado" al 17-ago. En rigor, un lote cortado el día 1 o 2 tendría ciclo 5-6 y ya estaría "En ciclo"; el modelo lo agrupa en recién cortado.</t>
  </si>
  <si>
    <t>4. Los lotes no cosechados avanzan exactamente 7 días de ciclo (columna H) y se reclasifican con los mismos umbrales de Parametros (ciclo objetivo 12 d, ventana 5 d).</t>
  </si>
  <si>
    <t>5. Ámbito: 94 lotes, filas 2:95 de "Registro Diario" (2.336,15 Hás). El Dashboard usa 2:126, por lo que sus cifras pueden diferir levemente.</t>
  </si>
  <si>
    <t>6. "En ciclo" proyectado (677,95 Hás) no varía con el rendimiento: corresponde a los lotes más frescos, que nunca entran en la cola de corte en el rango evaluado.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</si>
</sst>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6" formatCode="&quot;$&quot;\ #,##0;[Red]\-&quot;$&quot;\ #,##0"/>
    <numFmt numFmtId="164" formatCode="0.0"/>
    <numFmt numFmtId="165" formatCode="#,##0.0"/>
    <numFmt numFmtId="166" formatCode="0.0%"/>
    <numFmt numFmtId="167" formatCode="&quot;$ &quot;#,##0.00"/>
    <numFmt numFmtId="168" formatCode="_(* #,##0_);_(* \(#,##0\);_(* \-??_);_(@_)"/>
    <numFmt numFmtId="169" formatCode="_-* #,##0.00_-;\-* #,##0.00_-;_-* \-??_-;_-@_-"/>
    <numFmt numFmtId="170" formatCode="m/d/yyyy"/>
    <numFmt numFmtId="171" formatCode="dd/mm/yyyy"/>
    <numFmt numFmtId="172" formatCode="#,##0.00;\(#,##0.00\);\-"/>
    <numFmt numFmtId="173" formatCode="#,##0;\(#,##0\);\-"/>
    <numFmt numFmtId="174" formatCode="0.00&quot;x&quot;"/>
    <numFmt numFmtId="175" formatCode="dd\-mmm\-yyyy"/>
    <numFmt numFmtId="176" formatCode="dd\-mmm"/>
    <numFmt numFmtId="177" formatCode="#,##0.0;\(#,##0.0\);\-"/>
    <numFmt numFmtId="178" formatCode="\+0.0%;\-0.0%;0.0%"/>
    <numFmt numFmtId="179" formatCode="\+#,##0.00;\-#,##0.00;0.00"/>
    <numFmt numFmtId="180" formatCode="\+#,##0.00;\-#,##0.00;\-"/>
  </numFmts>
  <fonts count="49" x14ac:knownFonts="1">
    <font>
      <sz val="11"/>
      <color theme="1"/>
      <name val="Calibri"/>
      <family val="2"/>
      <charset val="1"/>
    </font>
    <font>
      <sz val="10"/>
      <color theme="1"/>
      <name val="Aptos Narrow"/>
      <family val="2"/>
    </font>
    <font>
      <sz val="10"/>
      <name val="Arial"/>
      <family val="2"/>
    </font>
    <font>
      <b/>
      <sz val="16"/>
      <color rgb="FFFFFFFF"/>
      <name val="Calibri"/>
      <family val="2"/>
    </font>
    <font>
      <b/>
      <sz val="11"/>
      <color rgb="FF3B6D11"/>
      <name val="Calibri"/>
      <family val="2"/>
    </font>
    <font>
      <sz val="11"/>
      <color rgb="FF3B6D11"/>
      <name val="Calibri"/>
      <family val="2"/>
    </font>
    <font>
      <i/>
      <sz val="10"/>
      <color rgb="FF595959"/>
      <name val="Calibri"/>
      <family val="2"/>
    </font>
    <font>
      <b/>
      <sz val="10"/>
      <color rgb="FFFFFFFF"/>
      <name val="Calibri"/>
      <family val="2"/>
    </font>
    <font>
      <b/>
      <sz val="20"/>
      <color rgb="FFE8611A"/>
      <name val="Calibri"/>
      <family val="2"/>
    </font>
    <font>
      <b/>
      <sz val="20"/>
      <color rgb="FF5A9E2F"/>
      <name val="Calibri"/>
      <family val="2"/>
    </font>
    <font>
      <b/>
      <sz val="20"/>
      <color rgb="FFC0392B"/>
      <name val="Calibri"/>
      <family val="2"/>
    </font>
    <font>
      <b/>
      <sz val="20"/>
      <color rgb="FF7B241C"/>
      <name val="Calibri"/>
      <family val="2"/>
    </font>
    <font>
      <sz val="9"/>
      <color rgb="FF595959"/>
      <name val="Calibri"/>
      <family val="2"/>
    </font>
    <font>
      <b/>
      <sz val="12"/>
      <color rgb="FF3B6D1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595959"/>
      <name val="Calibri"/>
      <family val="2"/>
    </font>
    <font>
      <b/>
      <sz val="11"/>
      <color rgb="FF000000"/>
      <name val="Calibri"/>
      <family val="2"/>
    </font>
    <font>
      <b/>
      <sz val="12"/>
      <color rgb="FFE8611A"/>
      <name val="Calibri"/>
      <family val="2"/>
    </font>
    <font>
      <b/>
      <sz val="11"/>
      <color rgb="FF0000FF"/>
      <name val="Calibri"/>
      <family val="2"/>
    </font>
    <font>
      <b/>
      <sz val="11"/>
      <color rgb="FFE8611A"/>
      <name val="Calibri"/>
      <family val="2"/>
    </font>
    <font>
      <b/>
      <sz val="9"/>
      <name val="Calibri"/>
      <family val="2"/>
    </font>
    <font>
      <sz val="10"/>
      <name val="Calibri"/>
      <family val="2"/>
    </font>
    <font>
      <sz val="10"/>
      <color rgb="FF0000FF"/>
      <name val="Calibri"/>
      <family val="2"/>
    </font>
    <font>
      <b/>
      <sz val="13"/>
      <color rgb="FF3B6D11"/>
      <name val="Calibri"/>
      <family val="2"/>
    </font>
    <font>
      <b/>
      <sz val="9"/>
      <color theme="0"/>
      <name val="Calibri"/>
      <family val="2"/>
      <charset val="1"/>
    </font>
    <font>
      <b/>
      <sz val="9"/>
      <name val="Calibri"/>
      <family val="2"/>
      <charset val="1"/>
    </font>
    <font>
      <sz val="10"/>
      <name val="Calibri"/>
      <family val="2"/>
      <charset val="1"/>
    </font>
    <font>
      <sz val="10"/>
      <color theme="1"/>
      <name val="Calibri"/>
      <family val="2"/>
      <charset val="1"/>
    </font>
    <font>
      <b/>
      <i/>
      <sz val="11"/>
      <color theme="0"/>
      <name val="Calibri"/>
      <family val="2"/>
      <charset val="1"/>
    </font>
    <font>
      <b/>
      <sz val="11"/>
      <color rgb="FFC0392B"/>
      <name val="Cambria"/>
      <family val="1"/>
    </font>
    <font>
      <b/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0"/>
      <color theme="1"/>
      <name val="Calibri"/>
      <family val="2"/>
    </font>
    <font>
      <b/>
      <sz val="10"/>
      <color theme="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  <charset val="1"/>
    </font>
    <font>
      <b/>
      <sz val="11"/>
      <color rgb="FF0000FF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4"/>
      <color rgb="FF1F3864"/>
      <name val="Calibri"/>
      <family val="2"/>
      <charset val="1"/>
    </font>
    <font>
      <i/>
      <sz val="9"/>
      <color rgb="FF595959"/>
      <name val="Calibri"/>
      <family val="2"/>
      <charset val="1"/>
    </font>
    <font>
      <sz val="11"/>
      <color rgb="FF0000FF"/>
      <name val="Calibri"/>
      <family val="2"/>
      <charset val="1"/>
    </font>
    <font>
      <b/>
      <sz val="11"/>
      <color rgb="FF1F3864"/>
      <name val="Calibri"/>
      <family val="2"/>
      <charset val="1"/>
    </font>
    <font>
      <b/>
      <sz val="11"/>
      <color rgb="FF008000"/>
      <name val="Calibri"/>
      <family val="2"/>
      <charset val="1"/>
    </font>
    <font>
      <i/>
      <sz val="9"/>
      <color rgb="FF808080"/>
      <name val="Calibri"/>
      <family val="2"/>
      <charset val="1"/>
    </font>
    <font>
      <sz val="9"/>
      <color theme="1"/>
      <name val="Calibri"/>
      <family val="2"/>
      <charset val="1"/>
    </font>
  </fonts>
  <fills count="35">
    <fill>
      <patternFill patternType="none"/>
    </fill>
    <fill>
      <patternFill patternType="gray125"/>
    </fill>
    <fill>
      <patternFill patternType="solid">
        <fgColor rgb="FF3B6D11"/>
        <bgColor rgb="FF595959"/>
      </patternFill>
    </fill>
    <fill>
      <patternFill patternType="solid">
        <fgColor rgb="FFE8611A"/>
        <bgColor rgb="FFC0392B"/>
      </patternFill>
    </fill>
    <fill>
      <patternFill patternType="solid">
        <fgColor rgb="FF5A9E2F"/>
        <bgColor rgb="FF3B6D11"/>
      </patternFill>
    </fill>
    <fill>
      <patternFill patternType="solid">
        <fgColor rgb="FFF2F2F2"/>
        <bgColor rgb="FFEBF1DE"/>
      </patternFill>
    </fill>
    <fill>
      <patternFill patternType="solid">
        <fgColor rgb="FFFFF2CC"/>
        <bgColor rgb="FFFDEADA"/>
      </patternFill>
    </fill>
    <fill>
      <patternFill patternType="solid">
        <fgColor rgb="FF00B0F0"/>
        <bgColor rgb="FF33CCCC"/>
      </patternFill>
    </fill>
    <fill>
      <patternFill patternType="solid">
        <fgColor rgb="FFFF0000"/>
        <bgColor rgb="FFC00000"/>
      </patternFill>
    </fill>
    <fill>
      <patternFill patternType="solid">
        <fgColor rgb="FF00B050"/>
        <bgColor rgb="FF008080"/>
      </patternFill>
    </fill>
    <fill>
      <patternFill patternType="solid">
        <fgColor rgb="FF002060"/>
        <bgColor rgb="FF000080"/>
      </patternFill>
    </fill>
    <fill>
      <patternFill patternType="solid">
        <fgColor rgb="FFC00000"/>
        <bgColor rgb="FF9C0006"/>
      </patternFill>
    </fill>
    <fill>
      <patternFill patternType="solid">
        <fgColor rgb="FFFFFF00"/>
        <bgColor rgb="FFFFC000"/>
      </patternFill>
    </fill>
    <fill>
      <patternFill patternType="solid">
        <fgColor theme="6" tint="0.79989013336588644"/>
        <bgColor rgb="FFF2F2F2"/>
      </patternFill>
    </fill>
    <fill>
      <patternFill patternType="solid">
        <fgColor theme="4" tint="0.79989013336588644"/>
        <bgColor rgb="FFD9D9D9"/>
      </patternFill>
    </fill>
    <fill>
      <patternFill patternType="solid">
        <fgColor theme="9" tint="0.79989013336588644"/>
        <bgColor rgb="FFFCE4D6"/>
      </patternFill>
    </fill>
    <fill>
      <patternFill patternType="solid">
        <fgColor rgb="FFFFFFB9"/>
        <bgColor rgb="FFFFF2CC"/>
      </patternFill>
    </fill>
    <fill>
      <patternFill patternType="solid">
        <fgColor theme="9" tint="0.59987182226020086"/>
        <bgColor rgb="FFFFC7CE"/>
      </patternFill>
    </fill>
    <fill>
      <patternFill patternType="solid">
        <fgColor theme="4"/>
        <bgColor rgb="FF346FE4"/>
      </patternFill>
    </fill>
    <fill>
      <patternFill patternType="solid">
        <fgColor theme="0"/>
        <bgColor rgb="FFF2F2F2"/>
      </patternFill>
    </fill>
    <fill>
      <patternFill patternType="solid">
        <fgColor rgb="FFFFC000"/>
        <bgColor rgb="FFFF9900"/>
      </patternFill>
    </fill>
    <fill>
      <patternFill patternType="solid">
        <fgColor rgb="FF346FE4"/>
        <bgColor rgb="FF4F81BD"/>
      </patternFill>
    </fill>
    <fill>
      <patternFill patternType="solid">
        <fgColor rgb="FFC6EFCE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6" tint="-0.499984740745262"/>
        <bgColor rgb="FFC0392B"/>
      </patternFill>
    </fill>
    <fill>
      <patternFill patternType="solid">
        <fgColor rgb="FFFFC000"/>
        <bgColor rgb="FF974706"/>
      </patternFill>
    </fill>
    <fill>
      <patternFill patternType="solid">
        <fgColor rgb="FFFF0000"/>
        <bgColor rgb="FF993366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</fills>
  <borders count="1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/>
      <bottom style="thin">
        <color theme="4" tint="0.399884029663991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88402966399123"/>
      </top>
      <bottom style="thin">
        <color theme="4" tint="0.39988402966399123"/>
      </bottom>
      <diagonal/>
    </border>
    <border>
      <left/>
      <right/>
      <top style="thin">
        <color theme="4" tint="0.39988402966399123"/>
      </top>
      <bottom/>
      <diagonal/>
    </border>
    <border>
      <left/>
      <right/>
      <top style="thin">
        <color auto="1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35">
    <xf numFmtId="0" fontId="0" fillId="0" borderId="0" xfId="0"/>
    <xf numFmtId="0" fontId="14" fillId="2" borderId="1" xfId="0" applyFont="1" applyFill="1" applyBorder="1"/>
    <xf numFmtId="0" fontId="4" fillId="0" borderId="0" xfId="0" applyFont="1"/>
    <xf numFmtId="0" fontId="13" fillId="0" borderId="0" xfId="0" applyFont="1" applyAlignment="1">
      <alignment horizontal="left" vertical="center"/>
    </xf>
    <xf numFmtId="0" fontId="14" fillId="4" borderId="1" xfId="0" applyFont="1" applyFill="1" applyBorder="1" applyAlignment="1">
      <alignment horizontal="center" vertical="center"/>
    </xf>
    <xf numFmtId="165" fontId="15" fillId="0" borderId="1" xfId="0" applyNumberFormat="1" applyFont="1" applyBorder="1" applyAlignment="1">
      <alignment horizontal="right" vertical="center"/>
    </xf>
    <xf numFmtId="0" fontId="15" fillId="0" borderId="1" xfId="0" applyFont="1" applyBorder="1" applyAlignment="1">
      <alignment horizontal="center" vertical="center"/>
    </xf>
    <xf numFmtId="166" fontId="15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165" fontId="17" fillId="5" borderId="1" xfId="0" applyNumberFormat="1" applyFont="1" applyFill="1" applyBorder="1" applyAlignment="1">
      <alignment horizontal="right" vertical="center"/>
    </xf>
    <xf numFmtId="0" fontId="17" fillId="5" borderId="1" xfId="0" applyFont="1" applyFill="1" applyBorder="1" applyAlignment="1">
      <alignment horizontal="center" vertical="center"/>
    </xf>
    <xf numFmtId="166" fontId="17" fillId="5" borderId="1" xfId="0" applyNumberFormat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9" fillId="6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165" fontId="17" fillId="0" borderId="1" xfId="0" applyNumberFormat="1" applyFont="1" applyBorder="1" applyAlignment="1">
      <alignment horizontal="right" vertical="center"/>
    </xf>
    <xf numFmtId="0" fontId="14" fillId="3" borderId="1" xfId="0" applyFont="1" applyFill="1" applyBorder="1" applyAlignment="1">
      <alignment horizontal="center" vertical="center" wrapText="1"/>
    </xf>
    <xf numFmtId="0" fontId="21" fillId="0" borderId="1" xfId="0" applyFont="1" applyBorder="1"/>
    <xf numFmtId="0" fontId="7" fillId="2" borderId="1" xfId="0" applyFont="1" applyFill="1" applyBorder="1" applyAlignment="1">
      <alignment horizontal="center" vertical="center" wrapText="1"/>
    </xf>
    <xf numFmtId="14" fontId="23" fillId="0" borderId="1" xfId="0" applyNumberFormat="1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14" fontId="2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4" fillId="0" borderId="0" xfId="0" applyFont="1"/>
    <xf numFmtId="0" fontId="0" fillId="0" borderId="1" xfId="0" applyBorder="1"/>
    <xf numFmtId="0" fontId="19" fillId="6" borderId="1" xfId="0" applyFont="1" applyFill="1" applyBorder="1" applyAlignment="1">
      <alignment horizontal="center"/>
    </xf>
    <xf numFmtId="0" fontId="25" fillId="7" borderId="0" xfId="0" applyFont="1" applyFill="1" applyAlignment="1">
      <alignment horizontal="center" vertical="center" wrapText="1"/>
    </xf>
    <xf numFmtId="0" fontId="25" fillId="8" borderId="0" xfId="0" applyFont="1" applyFill="1" applyAlignment="1">
      <alignment horizontal="center" vertical="center" wrapText="1"/>
    </xf>
    <xf numFmtId="1" fontId="25" fillId="7" borderId="0" xfId="0" applyNumberFormat="1" applyFont="1" applyFill="1" applyAlignment="1">
      <alignment horizontal="center" vertical="center" wrapText="1"/>
    </xf>
    <xf numFmtId="0" fontId="25" fillId="9" borderId="0" xfId="0" applyFont="1" applyFill="1" applyAlignment="1">
      <alignment horizontal="center" vertical="center" wrapText="1"/>
    </xf>
    <xf numFmtId="0" fontId="25" fillId="10" borderId="0" xfId="0" applyFont="1" applyFill="1" applyAlignment="1">
      <alignment horizontal="center" vertical="center" wrapText="1"/>
    </xf>
    <xf numFmtId="0" fontId="25" fillId="11" borderId="0" xfId="0" applyFont="1" applyFill="1" applyAlignment="1">
      <alignment horizontal="center" vertical="center" wrapText="1"/>
    </xf>
    <xf numFmtId="0" fontId="26" fillId="12" borderId="0" xfId="0" applyFont="1" applyFill="1" applyAlignment="1">
      <alignment horizontal="center" vertical="center" wrapText="1"/>
    </xf>
    <xf numFmtId="3" fontId="27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1" fontId="28" fillId="0" borderId="0" xfId="0" applyNumberFormat="1" applyFont="1" applyAlignment="1">
      <alignment horizontal="center"/>
    </xf>
    <xf numFmtId="1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3" fontId="28" fillId="13" borderId="0" xfId="0" applyNumberFormat="1" applyFont="1" applyFill="1" applyAlignment="1">
      <alignment horizontal="center" vertical="center"/>
    </xf>
    <xf numFmtId="165" fontId="28" fillId="13" borderId="0" xfId="0" applyNumberFormat="1" applyFont="1" applyFill="1" applyAlignment="1">
      <alignment horizontal="center" vertical="center"/>
    </xf>
    <xf numFmtId="3" fontId="27" fillId="14" borderId="0" xfId="0" applyNumberFormat="1" applyFont="1" applyFill="1" applyAlignment="1">
      <alignment horizontal="center" vertical="center"/>
    </xf>
    <xf numFmtId="165" fontId="27" fillId="0" borderId="0" xfId="0" applyNumberFormat="1" applyFont="1" applyAlignment="1">
      <alignment horizontal="center" vertical="center"/>
    </xf>
    <xf numFmtId="165" fontId="28" fillId="0" borderId="0" xfId="0" applyNumberFormat="1" applyFont="1" applyAlignment="1">
      <alignment horizontal="center"/>
    </xf>
    <xf numFmtId="3" fontId="27" fillId="15" borderId="0" xfId="0" applyNumberFormat="1" applyFont="1" applyFill="1" applyAlignment="1">
      <alignment horizontal="center" vertical="center"/>
    </xf>
    <xf numFmtId="165" fontId="27" fillId="15" borderId="0" xfId="0" applyNumberFormat="1" applyFont="1" applyFill="1" applyAlignment="1">
      <alignment horizontal="center" vertical="center"/>
    </xf>
    <xf numFmtId="168" fontId="27" fillId="15" borderId="0" xfId="0" applyNumberFormat="1" applyFont="1" applyFill="1" applyAlignment="1">
      <alignment horizontal="center" vertical="center"/>
    </xf>
    <xf numFmtId="168" fontId="27" fillId="16" borderId="0" xfId="0" applyNumberFormat="1" applyFont="1" applyFill="1" applyAlignment="1">
      <alignment horizontal="center" vertical="center"/>
    </xf>
    <xf numFmtId="169" fontId="27" fillId="16" borderId="0" xfId="0" applyNumberFormat="1" applyFont="1" applyFill="1" applyAlignment="1">
      <alignment horizontal="center" vertical="center"/>
    </xf>
    <xf numFmtId="4" fontId="28" fillId="0" borderId="0" xfId="0" applyNumberFormat="1" applyFont="1" applyAlignment="1">
      <alignment horizontal="center"/>
    </xf>
    <xf numFmtId="4" fontId="28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3" fontId="27" fillId="17" borderId="0" xfId="0" applyNumberFormat="1" applyFont="1" applyFill="1" applyAlignment="1">
      <alignment horizontal="center" vertical="center"/>
    </xf>
    <xf numFmtId="165" fontId="27" fillId="17" borderId="0" xfId="0" applyNumberFormat="1" applyFont="1" applyFill="1" applyAlignment="1">
      <alignment horizontal="center" vertical="center"/>
    </xf>
    <xf numFmtId="168" fontId="27" fillId="17" borderId="0" xfId="0" applyNumberFormat="1" applyFont="1" applyFill="1" applyAlignment="1">
      <alignment horizontal="center" vertical="center"/>
    </xf>
    <xf numFmtId="0" fontId="29" fillId="18" borderId="3" xfId="0" applyFont="1" applyFill="1" applyBorder="1" applyAlignment="1">
      <alignment horizontal="center" vertical="center"/>
    </xf>
    <xf numFmtId="49" fontId="0" fillId="19" borderId="4" xfId="0" applyNumberFormat="1" applyFill="1" applyBorder="1"/>
    <xf numFmtId="0" fontId="30" fillId="0" borderId="0" xfId="0" applyFont="1"/>
    <xf numFmtId="0" fontId="0" fillId="14" borderId="5" xfId="0" applyFill="1" applyBorder="1"/>
    <xf numFmtId="0" fontId="0" fillId="14" borderId="5" xfId="0" applyFill="1" applyBorder="1" applyAlignment="1">
      <alignment horizontal="center" vertical="center"/>
    </xf>
    <xf numFmtId="2" fontId="0" fillId="14" borderId="5" xfId="0" applyNumberFormat="1" applyFill="1" applyBorder="1"/>
    <xf numFmtId="2" fontId="0" fillId="8" borderId="5" xfId="0" applyNumberFormat="1" applyFill="1" applyBorder="1"/>
    <xf numFmtId="0" fontId="0" fillId="14" borderId="3" xfId="0" applyFill="1" applyBorder="1"/>
    <xf numFmtId="49" fontId="0" fillId="12" borderId="4" xfId="0" applyNumberFormat="1" applyFill="1" applyBorder="1"/>
    <xf numFmtId="0" fontId="0" fillId="0" borderId="5" xfId="0" applyBorder="1"/>
    <xf numFmtId="0" fontId="0" fillId="0" borderId="5" xfId="0" applyBorder="1" applyAlignment="1">
      <alignment horizontal="center" vertical="center"/>
    </xf>
    <xf numFmtId="2" fontId="0" fillId="0" borderId="5" xfId="0" applyNumberFormat="1" applyBorder="1"/>
    <xf numFmtId="49" fontId="0" fillId="20" borderId="4" xfId="0" applyNumberFormat="1" applyFill="1" applyBorder="1"/>
    <xf numFmtId="49" fontId="0" fillId="8" borderId="4" xfId="0" applyNumberFormat="1" applyFill="1" applyBorder="1"/>
    <xf numFmtId="49" fontId="0" fillId="11" borderId="4" xfId="0" applyNumberFormat="1" applyFill="1" applyBorder="1"/>
    <xf numFmtId="2" fontId="0" fillId="9" borderId="5" xfId="0" applyNumberFormat="1" applyFill="1" applyBorder="1"/>
    <xf numFmtId="2" fontId="0" fillId="21" borderId="5" xfId="0" applyNumberFormat="1" applyFill="1" applyBorder="1"/>
    <xf numFmtId="0" fontId="0" fillId="14" borderId="6" xfId="0" applyFill="1" applyBorder="1"/>
    <xf numFmtId="0" fontId="0" fillId="14" borderId="6" xfId="0" applyFill="1" applyBorder="1" applyAlignment="1">
      <alignment horizontal="center" vertical="center"/>
    </xf>
    <xf numFmtId="2" fontId="0" fillId="14" borderId="6" xfId="0" applyNumberFormat="1" applyFill="1" applyBorder="1"/>
    <xf numFmtId="0" fontId="0" fillId="0" borderId="0" xfId="0" applyAlignment="1">
      <alignment horizontal="center"/>
    </xf>
    <xf numFmtId="16" fontId="3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32" fillId="23" borderId="0" xfId="0" applyFont="1" applyFill="1" applyAlignment="1">
      <alignment horizontal="center"/>
    </xf>
    <xf numFmtId="0" fontId="31" fillId="24" borderId="0" xfId="0" applyFont="1" applyFill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31" fillId="22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31" fillId="0" borderId="8" xfId="0" applyFont="1" applyBorder="1" applyAlignment="1">
      <alignment horizontal="center"/>
    </xf>
    <xf numFmtId="0" fontId="31" fillId="0" borderId="7" xfId="0" applyFont="1" applyBorder="1" applyAlignment="1">
      <alignment horizontal="center"/>
    </xf>
    <xf numFmtId="165" fontId="15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5" fontId="17" fillId="5" borderId="1" xfId="0" applyNumberFormat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35" fillId="0" borderId="8" xfId="0" applyFont="1" applyBorder="1" applyAlignment="1">
      <alignment horizontal="center"/>
    </xf>
    <xf numFmtId="0" fontId="35" fillId="0" borderId="0" xfId="0" applyFont="1" applyAlignment="1">
      <alignment horizontal="center"/>
    </xf>
    <xf numFmtId="166" fontId="35" fillId="0" borderId="0" xfId="0" applyNumberFormat="1" applyFont="1" applyAlignment="1">
      <alignment horizontal="center"/>
    </xf>
    <xf numFmtId="0" fontId="36" fillId="25" borderId="8" xfId="0" applyFont="1" applyFill="1" applyBorder="1" applyAlignment="1">
      <alignment horizontal="center"/>
    </xf>
    <xf numFmtId="0" fontId="36" fillId="0" borderId="0" xfId="0" applyFont="1" applyAlignment="1">
      <alignment horizontal="center"/>
    </xf>
    <xf numFmtId="165" fontId="36" fillId="0" borderId="0" xfId="0" applyNumberFormat="1" applyFont="1" applyAlignment="1">
      <alignment horizontal="center"/>
    </xf>
    <xf numFmtId="1" fontId="36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6" fontId="1" fillId="0" borderId="0" xfId="0" applyNumberFormat="1" applyFont="1" applyAlignment="1">
      <alignment horizontal="center"/>
    </xf>
    <xf numFmtId="14" fontId="5" fillId="0" borderId="0" xfId="0" applyNumberFormat="1" applyFont="1"/>
    <xf numFmtId="170" fontId="23" fillId="0" borderId="1" xfId="0" applyNumberFormat="1" applyFont="1" applyBorder="1" applyAlignment="1">
      <alignment horizontal="center"/>
    </xf>
    <xf numFmtId="9" fontId="0" fillId="0" borderId="0" xfId="0" applyNumberFormat="1"/>
    <xf numFmtId="0" fontId="22" fillId="0" borderId="0" xfId="0" applyFont="1" applyAlignment="1">
      <alignment horizontal="center"/>
    </xf>
    <xf numFmtId="14" fontId="22" fillId="0" borderId="0" xfId="0" applyNumberFormat="1" applyFont="1" applyAlignment="1">
      <alignment horizontal="center"/>
    </xf>
    <xf numFmtId="0" fontId="39" fillId="0" borderId="0" xfId="0" applyFont="1"/>
    <xf numFmtId="0" fontId="31" fillId="0" borderId="0" xfId="0" applyFont="1"/>
    <xf numFmtId="0" fontId="31" fillId="31" borderId="0" xfId="0" applyFont="1" applyFill="1"/>
    <xf numFmtId="171" fontId="41" fillId="0" borderId="0" xfId="0" applyNumberFormat="1" applyFont="1"/>
    <xf numFmtId="0" fontId="31" fillId="0" borderId="0" xfId="0" applyFont="1" applyAlignment="1">
      <alignment horizontal="right"/>
    </xf>
    <xf numFmtId="0" fontId="31" fillId="29" borderId="0" xfId="0" applyFont="1" applyFill="1"/>
    <xf numFmtId="171" fontId="40" fillId="30" borderId="0" xfId="0" applyNumberFormat="1" applyFont="1" applyFill="1" applyAlignment="1">
      <alignment horizontal="center"/>
    </xf>
    <xf numFmtId="165" fontId="0" fillId="0" borderId="0" xfId="0" applyNumberFormat="1"/>
    <xf numFmtId="164" fontId="41" fillId="0" borderId="0" xfId="0" applyNumberFormat="1" applyFont="1"/>
    <xf numFmtId="0" fontId="42" fillId="0" borderId="0" xfId="0" applyFont="1"/>
    <xf numFmtId="0" fontId="43" fillId="0" borderId="0" xfId="0" applyFont="1"/>
    <xf numFmtId="0" fontId="32" fillId="32" borderId="0" xfId="0" applyFont="1" applyFill="1"/>
    <xf numFmtId="0" fontId="0" fillId="32" borderId="0" xfId="0" applyFill="1"/>
    <xf numFmtId="172" fontId="31" fillId="0" borderId="0" xfId="0" applyNumberFormat="1" applyFont="1"/>
    <xf numFmtId="173" fontId="31" fillId="0" borderId="0" xfId="0" applyNumberFormat="1" applyFont="1"/>
    <xf numFmtId="174" fontId="31" fillId="0" borderId="0" xfId="0" applyNumberFormat="1" applyFont="1"/>
    <xf numFmtId="0" fontId="45" fillId="0" borderId="0" xfId="0" applyFont="1"/>
    <xf numFmtId="175" fontId="44" fillId="0" borderId="13" xfId="0" applyNumberFormat="1" applyFont="1" applyBorder="1"/>
    <xf numFmtId="0" fontId="0" fillId="0" borderId="4" xfId="0" applyBorder="1" applyAlignment="1">
      <alignment horizontal="center"/>
    </xf>
    <xf numFmtId="173" fontId="0" fillId="0" borderId="4" xfId="0" applyNumberFormat="1" applyBorder="1"/>
    <xf numFmtId="172" fontId="0" fillId="0" borderId="4" xfId="0" applyNumberFormat="1" applyBorder="1"/>
    <xf numFmtId="166" fontId="0" fillId="0" borderId="4" xfId="0" applyNumberFormat="1" applyBorder="1"/>
    <xf numFmtId="172" fontId="0" fillId="0" borderId="14" xfId="0" applyNumberFormat="1" applyBorder="1"/>
    <xf numFmtId="175" fontId="0" fillId="0" borderId="13" xfId="0" applyNumberFormat="1" applyBorder="1"/>
    <xf numFmtId="0" fontId="0" fillId="0" borderId="14" xfId="0" applyBorder="1"/>
    <xf numFmtId="0" fontId="0" fillId="0" borderId="13" xfId="0" applyBorder="1" applyAlignment="1">
      <alignment horizontal="center"/>
    </xf>
    <xf numFmtId="176" fontId="0" fillId="0" borderId="4" xfId="0" applyNumberFormat="1" applyBorder="1"/>
    <xf numFmtId="173" fontId="0" fillId="0" borderId="4" xfId="0" applyNumberFormat="1" applyBorder="1" applyAlignment="1">
      <alignment horizontal="center"/>
    </xf>
    <xf numFmtId="166" fontId="0" fillId="0" borderId="14" xfId="0" applyNumberFormat="1" applyBorder="1"/>
    <xf numFmtId="0" fontId="31" fillId="31" borderId="15" xfId="0" applyFont="1" applyFill="1" applyBorder="1"/>
    <xf numFmtId="0" fontId="0" fillId="31" borderId="16" xfId="0" applyFill="1" applyBorder="1"/>
    <xf numFmtId="173" fontId="31" fillId="31" borderId="16" xfId="0" applyNumberFormat="1" applyFont="1" applyFill="1" applyBorder="1" applyAlignment="1">
      <alignment horizontal="center"/>
    </xf>
    <xf numFmtId="173" fontId="31" fillId="31" borderId="16" xfId="0" applyNumberFormat="1" applyFont="1" applyFill="1" applyBorder="1"/>
    <xf numFmtId="172" fontId="31" fillId="31" borderId="16" xfId="0" applyNumberFormat="1" applyFont="1" applyFill="1" applyBorder="1"/>
    <xf numFmtId="166" fontId="31" fillId="31" borderId="17" xfId="0" applyNumberFormat="1" applyFont="1" applyFill="1" applyBorder="1"/>
    <xf numFmtId="0" fontId="0" fillId="0" borderId="13" xfId="0" applyBorder="1"/>
    <xf numFmtId="174" fontId="0" fillId="0" borderId="4" xfId="0" applyNumberFormat="1" applyBorder="1"/>
    <xf numFmtId="174" fontId="31" fillId="31" borderId="16" xfId="0" applyNumberFormat="1" applyFont="1" applyFill="1" applyBorder="1"/>
    <xf numFmtId="172" fontId="31" fillId="31" borderId="17" xfId="0" applyNumberFormat="1" applyFont="1" applyFill="1" applyBorder="1"/>
    <xf numFmtId="0" fontId="32" fillId="32" borderId="10" xfId="0" applyFont="1" applyFill="1" applyBorder="1" applyAlignment="1">
      <alignment horizontal="center" wrapText="1"/>
    </xf>
    <xf numFmtId="0" fontId="32" fillId="32" borderId="11" xfId="0" applyFont="1" applyFill="1" applyBorder="1" applyAlignment="1">
      <alignment horizontal="center" wrapText="1"/>
    </xf>
    <xf numFmtId="0" fontId="32" fillId="32" borderId="12" xfId="0" applyFont="1" applyFill="1" applyBorder="1" applyAlignment="1">
      <alignment horizontal="center" wrapText="1"/>
    </xf>
    <xf numFmtId="0" fontId="28" fillId="0" borderId="0" xfId="0" applyFont="1"/>
    <xf numFmtId="0" fontId="0" fillId="0" borderId="0" xfId="0" applyAlignment="1">
      <alignment vertical="center"/>
    </xf>
    <xf numFmtId="0" fontId="32" fillId="32" borderId="13" xfId="0" applyFont="1" applyFill="1" applyBorder="1" applyAlignment="1">
      <alignment horizontal="center" vertical="center" wrapText="1"/>
    </xf>
    <xf numFmtId="0" fontId="32" fillId="32" borderId="4" xfId="0" applyFont="1" applyFill="1" applyBorder="1" applyAlignment="1">
      <alignment horizontal="center" vertical="center" wrapText="1"/>
    </xf>
    <xf numFmtId="0" fontId="32" fillId="32" borderId="14" xfId="0" applyFont="1" applyFill="1" applyBorder="1" applyAlignment="1">
      <alignment horizontal="center" vertical="center" wrapText="1"/>
    </xf>
    <xf numFmtId="0" fontId="32" fillId="33" borderId="13" xfId="0" applyFont="1" applyFill="1" applyBorder="1" applyAlignment="1">
      <alignment horizontal="center" vertical="center" wrapText="1"/>
    </xf>
    <xf numFmtId="0" fontId="32" fillId="33" borderId="4" xfId="0" applyFont="1" applyFill="1" applyBorder="1" applyAlignment="1">
      <alignment horizontal="center" vertical="center" wrapText="1"/>
    </xf>
    <xf numFmtId="0" fontId="32" fillId="33" borderId="14" xfId="0" applyFont="1" applyFill="1" applyBorder="1" applyAlignment="1">
      <alignment horizontal="center" vertical="center" wrapText="1"/>
    </xf>
    <xf numFmtId="173" fontId="0" fillId="0" borderId="4" xfId="0" applyNumberFormat="1" applyBorder="1" applyAlignment="1">
      <alignment horizontal="center" vertical="center"/>
    </xf>
    <xf numFmtId="173" fontId="41" fillId="0" borderId="4" xfId="0" applyNumberFormat="1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173" fontId="31" fillId="34" borderId="4" xfId="0" applyNumberFormat="1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32" fillId="32" borderId="0" xfId="0" applyFont="1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31" fillId="0" borderId="13" xfId="0" applyFont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center" vertical="center" wrapText="1"/>
    </xf>
    <xf numFmtId="173" fontId="41" fillId="0" borderId="0" xfId="0" applyNumberFormat="1" applyFont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72" fontId="0" fillId="0" borderId="4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80" fontId="0" fillId="0" borderId="14" xfId="0" applyNumberFormat="1" applyBorder="1" applyAlignment="1">
      <alignment horizontal="center" vertical="center"/>
    </xf>
    <xf numFmtId="172" fontId="0" fillId="0" borderId="14" xfId="0" applyNumberFormat="1" applyBorder="1" applyAlignment="1">
      <alignment horizontal="center" vertical="center"/>
    </xf>
    <xf numFmtId="175" fontId="41" fillId="0" borderId="0" xfId="0" applyNumberFormat="1" applyFont="1" applyAlignment="1">
      <alignment horizontal="center" vertical="center"/>
    </xf>
    <xf numFmtId="175" fontId="0" fillId="0" borderId="0" xfId="0" applyNumberFormat="1" applyAlignment="1">
      <alignment horizontal="center" vertical="center"/>
    </xf>
    <xf numFmtId="0" fontId="31" fillId="31" borderId="13" xfId="0" applyFont="1" applyFill="1" applyBorder="1" applyAlignment="1">
      <alignment horizontal="center" vertical="center"/>
    </xf>
    <xf numFmtId="172" fontId="31" fillId="31" borderId="4" xfId="0" applyNumberFormat="1" applyFont="1" applyFill="1" applyBorder="1" applyAlignment="1">
      <alignment horizontal="center" vertical="center"/>
    </xf>
    <xf numFmtId="166" fontId="31" fillId="31" borderId="4" xfId="0" applyNumberFormat="1" applyFont="1" applyFill="1" applyBorder="1" applyAlignment="1">
      <alignment horizontal="center" vertical="center"/>
    </xf>
    <xf numFmtId="180" fontId="31" fillId="31" borderId="14" xfId="0" applyNumberFormat="1" applyFont="1" applyFill="1" applyBorder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0" fontId="31" fillId="0" borderId="0" xfId="0" applyFont="1" applyAlignment="1">
      <alignment horizontal="center" vertical="center"/>
    </xf>
    <xf numFmtId="177" fontId="40" fillId="30" borderId="0" xfId="0" applyNumberFormat="1" applyFont="1" applyFill="1" applyAlignment="1">
      <alignment horizontal="center" vertical="center"/>
    </xf>
    <xf numFmtId="172" fontId="31" fillId="0" borderId="0" xfId="0" applyNumberFormat="1" applyFont="1" applyAlignment="1">
      <alignment horizontal="center" vertical="center"/>
    </xf>
    <xf numFmtId="0" fontId="32" fillId="33" borderId="0" xfId="0" applyFont="1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172" fontId="41" fillId="0" borderId="0" xfId="0" applyNumberFormat="1" applyFont="1" applyAlignment="1">
      <alignment horizontal="center" vertical="center"/>
    </xf>
    <xf numFmtId="172" fontId="46" fillId="0" borderId="0" xfId="0" applyNumberFormat="1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3" fontId="44" fillId="30" borderId="0" xfId="0" applyNumberFormat="1" applyFont="1" applyFill="1" applyAlignment="1">
      <alignment horizontal="center" vertical="center"/>
    </xf>
    <xf numFmtId="177" fontId="31" fillId="0" borderId="13" xfId="0" applyNumberFormat="1" applyFont="1" applyBorder="1" applyAlignment="1">
      <alignment horizontal="center" vertical="center"/>
    </xf>
    <xf numFmtId="0" fontId="41" fillId="0" borderId="13" xfId="0" applyFont="1" applyBorder="1" applyAlignment="1">
      <alignment horizontal="center" vertical="center"/>
    </xf>
    <xf numFmtId="0" fontId="41" fillId="0" borderId="4" xfId="0" applyFont="1" applyBorder="1" applyAlignment="1">
      <alignment horizontal="center" vertical="center"/>
    </xf>
    <xf numFmtId="172" fontId="4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7" fontId="31" fillId="34" borderId="13" xfId="0" applyNumberFormat="1" applyFont="1" applyFill="1" applyBorder="1" applyAlignment="1">
      <alignment horizontal="center" vertical="center"/>
    </xf>
    <xf numFmtId="172" fontId="31" fillId="34" borderId="4" xfId="0" applyNumberFormat="1" applyFont="1" applyFill="1" applyBorder="1" applyAlignment="1">
      <alignment horizontal="center" vertical="center"/>
    </xf>
    <xf numFmtId="172" fontId="31" fillId="34" borderId="14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 vertical="center"/>
    </xf>
    <xf numFmtId="0" fontId="48" fillId="0" borderId="0" xfId="0" applyFont="1" applyAlignment="1">
      <alignment horizontal="left" vertical="center"/>
    </xf>
    <xf numFmtId="0" fontId="32" fillId="32" borderId="0" xfId="0" applyFont="1" applyFill="1" applyAlignment="1">
      <alignment horizontal="left" vertical="center"/>
    </xf>
    <xf numFmtId="0" fontId="47" fillId="0" borderId="0" xfId="0" applyFont="1" applyAlignment="1">
      <alignment horizontal="left" vertical="center"/>
    </xf>
    <xf numFmtId="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75" fontId="0" fillId="0" borderId="0" xfId="0" applyNumberFormat="1"/>
    <xf numFmtId="173" fontId="0" fillId="0" borderId="0" xfId="0" applyNumberFormat="1"/>
    <xf numFmtId="172" fontId="0" fillId="0" borderId="0" xfId="0" applyNumberFormat="1"/>
    <xf numFmtId="166" fontId="0" fillId="0" borderId="0" xfId="0" applyNumberFormat="1"/>
    <xf numFmtId="0" fontId="0" fillId="0" borderId="15" xfId="0" applyBorder="1" applyAlignment="1">
      <alignment horizontal="center"/>
    </xf>
    <xf numFmtId="176" fontId="0" fillId="0" borderId="16" xfId="0" applyNumberFormat="1" applyBorder="1"/>
    <xf numFmtId="173" fontId="0" fillId="0" borderId="16" xfId="0" applyNumberFormat="1" applyBorder="1" applyAlignment="1">
      <alignment horizontal="center"/>
    </xf>
    <xf numFmtId="173" fontId="0" fillId="0" borderId="16" xfId="0" applyNumberFormat="1" applyBorder="1"/>
    <xf numFmtId="172" fontId="0" fillId="0" borderId="16" xfId="0" applyNumberFormat="1" applyBorder="1"/>
    <xf numFmtId="166" fontId="0" fillId="0" borderId="17" xfId="0" applyNumberFormat="1" applyBorder="1"/>
    <xf numFmtId="0" fontId="12" fillId="5" borderId="0" xfId="0" applyFont="1" applyFill="1" applyAlignment="1">
      <alignment horizontal="center" vertical="center"/>
    </xf>
    <xf numFmtId="0" fontId="6" fillId="0" borderId="0" xfId="0" applyFont="1" applyAlignment="1">
      <alignment horizontal="right"/>
    </xf>
    <xf numFmtId="0" fontId="7" fillId="26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33" fillId="27" borderId="0" xfId="0" applyFont="1" applyFill="1" applyAlignment="1">
      <alignment horizontal="center" vertical="center" wrapText="1"/>
    </xf>
    <xf numFmtId="0" fontId="34" fillId="28" borderId="0" xfId="0" applyFont="1" applyFill="1" applyAlignment="1">
      <alignment horizontal="center" vertical="center" wrapText="1"/>
    </xf>
    <xf numFmtId="0" fontId="12" fillId="0" borderId="2" xfId="0" applyFont="1" applyBorder="1" applyAlignment="1">
      <alignment wrapText="1"/>
    </xf>
    <xf numFmtId="0" fontId="3" fillId="2" borderId="0" xfId="0" applyFont="1" applyFill="1" applyAlignment="1">
      <alignment horizontal="center" vertical="center"/>
    </xf>
    <xf numFmtId="0" fontId="14" fillId="2" borderId="1" xfId="0" applyFont="1" applyFill="1" applyBorder="1"/>
    <xf numFmtId="3" fontId="8" fillId="5" borderId="0" xfId="0" applyNumberFormat="1" applyFont="1" applyFill="1" applyAlignment="1">
      <alignment horizontal="center" vertical="center"/>
    </xf>
    <xf numFmtId="3" fontId="9" fillId="5" borderId="0" xfId="0" applyNumberFormat="1" applyFont="1" applyFill="1" applyAlignment="1">
      <alignment horizontal="center" vertical="center"/>
    </xf>
    <xf numFmtId="3" fontId="10" fillId="5" borderId="0" xfId="0" applyNumberFormat="1" applyFont="1" applyFill="1" applyAlignment="1">
      <alignment horizontal="center" vertical="center"/>
    </xf>
    <xf numFmtId="3" fontId="11" fillId="5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12">
    <dxf>
      <font>
        <color rgb="FFC00000"/>
      </font>
    </dxf>
    <dxf>
      <fill>
        <patternFill patternType="solid">
          <fgColor indexed="64"/>
          <bgColor rgb="FFE2EFDA"/>
        </patternFill>
      </fill>
    </dxf>
    <dxf>
      <font>
        <color rgb="FF808080"/>
      </font>
      <fill>
        <patternFill patternType="solid">
          <fgColor indexed="64"/>
          <bgColor rgb="FFF2F2F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74706"/>
      </font>
      <fill>
        <patternFill>
          <bgColor rgb="FFFCE4D6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C00000"/>
      <rgbColor rgb="FF00B050"/>
      <rgbColor rgb="FFFFC7CE"/>
      <rgbColor rgb="FF4F81BD"/>
      <rgbColor rgb="FFF2F2F2"/>
      <rgbColor rgb="FFC0392B"/>
      <rgbColor rgb="FFFFFFB9"/>
      <rgbColor rgb="FFDCE6F2"/>
      <rgbColor rgb="FF660066"/>
      <rgbColor rgb="FFFF8080"/>
      <rgbColor rgb="FF0066CC"/>
      <rgbColor rgb="FFD9D9D9"/>
      <rgbColor rgb="FF000080"/>
      <rgbColor rgb="FFFF00FF"/>
      <rgbColor rgb="FFFFF2CC"/>
      <rgbColor rgb="FF00FFFF"/>
      <rgbColor rgb="FF800080"/>
      <rgbColor rgb="FF7B241C"/>
      <rgbColor rgb="FF008080"/>
      <rgbColor rgb="FF0000FF"/>
      <rgbColor rgb="FF00B0F0"/>
      <rgbColor rgb="FFEBF1DE"/>
      <rgbColor rgb="FFC6EFCE"/>
      <rgbColor rgb="FFFFEB9C"/>
      <rgbColor rgb="FF95B3D7"/>
      <rgbColor rgb="FFFCE4D6"/>
      <rgbColor rgb="FFFDEADA"/>
      <rgbColor rgb="FFFCD5B5"/>
      <rgbColor rgb="FF346FE4"/>
      <rgbColor rgb="FF33CCCC"/>
      <rgbColor rgb="FF99CC00"/>
      <rgbColor rgb="FFFFC000"/>
      <rgbColor rgb="FFFF9900"/>
      <rgbColor rgb="FFE8611A"/>
      <rgbColor rgb="FF595959"/>
      <rgbColor rgb="FF969696"/>
      <rgbColor rgb="FF002060"/>
      <rgbColor rgb="FF5A9E2F"/>
      <rgbColor rgb="FF003300"/>
      <rgbColor rgb="FF3B6D11"/>
      <rgbColor rgb="FF974706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General por Estado de Ciclo (Hás)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0CC-43BF-B557-97118E85A947}"/>
              </c:ext>
            </c:extLst>
          </c:dPt>
          <c:dPt>
            <c:idx val="1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0CC-43BF-B557-97118E85A94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0CC-43BF-B557-97118E85A947}"/>
              </c:ext>
            </c:extLst>
          </c:dPt>
          <c:dPt>
            <c:idx val="3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0CC-43BF-B557-97118E85A947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0CC-43BF-B557-97118E85A947}"/>
              </c:ext>
            </c:extLst>
          </c:dPt>
          <c:dLbls>
            <c:spPr>
              <a:solidFill>
                <a:schemeClr val="accent3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Ciclos'!$A$10:$A$14</c:f>
              <c:strCache>
                <c:ptCount val="5"/>
                <c:pt idx="0">
                  <c:v>En ciclo</c:v>
                </c:pt>
                <c:pt idx="1">
                  <c:v>Vencido 1-5 d</c:v>
                </c:pt>
                <c:pt idx="2">
                  <c:v>Vencido 6-10 d</c:v>
                </c:pt>
                <c:pt idx="3">
                  <c:v>Vencido 11-15 d</c:v>
                </c:pt>
                <c:pt idx="4">
                  <c:v>Vencido +15 d</c:v>
                </c:pt>
              </c:strCache>
            </c:strRef>
          </c:cat>
          <c:val>
            <c:numRef>
              <c:f>'Dashboard Ciclos'!$B$10:$B$14</c:f>
              <c:numCache>
                <c:formatCode>#,##0.0</c:formatCode>
                <c:ptCount val="5"/>
                <c:pt idx="0">
                  <c:v>1680.3</c:v>
                </c:pt>
                <c:pt idx="1">
                  <c:v>493.4</c:v>
                </c:pt>
                <c:pt idx="2">
                  <c:v>162.4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CC-43BF-B557-97118E85A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sz="1050" b="1">
          <a:solidFill>
            <a:sysClr val="windowText" lastClr="000000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ysClr val="windowText" lastClr="000000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r>
              <a:rPr lang="en-US"/>
              <a:t>Estados de Ciclo por Zona (% Área)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ysClr val="windowText" lastClr="000000"/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'Dashboard Ciclos'!$B$33</c:f>
              <c:strCache>
                <c:ptCount val="1"/>
                <c:pt idx="0">
                  <c:v>En ciclo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'Dashboard Ciclos'!$A$43:$A$47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'Dashboard Ciclos'!$B$43:$B$47</c:f>
              <c:numCache>
                <c:formatCode>0.0%</c:formatCode>
                <c:ptCount val="5"/>
                <c:pt idx="0">
                  <c:v>0.39651695692025668</c:v>
                </c:pt>
                <c:pt idx="1">
                  <c:v>0.90955534531693472</c:v>
                </c:pt>
                <c:pt idx="2">
                  <c:v>0.72958426132145515</c:v>
                </c:pt>
                <c:pt idx="3">
                  <c:v>0.94388516032811343</c:v>
                </c:pt>
                <c:pt idx="4">
                  <c:v>0.44919786096256686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E-4D47-ACA4-CF2A001CEA32}"/>
            </c:ext>
          </c:extLst>
        </c:ser>
        <c:ser>
          <c:idx val="1"/>
          <c:order val="1"/>
          <c:tx>
            <c:strRef>
              <c:f>'Dashboard Ciclos'!$C$33</c:f>
              <c:strCache>
                <c:ptCount val="1"/>
                <c:pt idx="0">
                  <c:v>Vencido 1-5 d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'Dashboard Ciclos'!$A$43:$A$47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'Dashboard Ciclos'!$C$43:$C$47</c:f>
              <c:numCache>
                <c:formatCode>0.0%</c:formatCode>
                <c:ptCount val="5"/>
                <c:pt idx="0">
                  <c:v>0.41191567369385884</c:v>
                </c:pt>
                <c:pt idx="1">
                  <c:v>9.044465468306527E-2</c:v>
                </c:pt>
                <c:pt idx="2">
                  <c:v>0.16295471417965851</c:v>
                </c:pt>
                <c:pt idx="3">
                  <c:v>5.6114839671886657E-2</c:v>
                </c:pt>
                <c:pt idx="4">
                  <c:v>0.55080213903743314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E-4D47-ACA4-CF2A001CEA32}"/>
            </c:ext>
          </c:extLst>
        </c:ser>
        <c:ser>
          <c:idx val="2"/>
          <c:order val="2"/>
          <c:tx>
            <c:strRef>
              <c:f>'Dashboard Ciclos'!$D$33</c:f>
              <c:strCache>
                <c:ptCount val="1"/>
                <c:pt idx="0">
                  <c:v>Vencido 6-10 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'Dashboard Ciclos'!$A$43:$A$47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'Dashboard Ciclos'!$D$43:$D$47</c:f>
              <c:numCache>
                <c:formatCode>0.0%</c:formatCode>
                <c:ptCount val="5"/>
                <c:pt idx="0">
                  <c:v>0.19156736938588451</c:v>
                </c:pt>
                <c:pt idx="1">
                  <c:v>0</c:v>
                </c:pt>
                <c:pt idx="2">
                  <c:v>0.10746102449888642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5E-4D47-ACA4-CF2A001CEA32}"/>
            </c:ext>
          </c:extLst>
        </c:ser>
        <c:ser>
          <c:idx val="3"/>
          <c:order val="3"/>
          <c:tx>
            <c:strRef>
              <c:f>'Dashboard Ciclos'!$E$33</c:f>
              <c:strCache>
                <c:ptCount val="1"/>
                <c:pt idx="0">
                  <c:v>Vencido 11-15 d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'Dashboard Ciclos'!$A$43:$A$47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'Dashboard Ciclos'!$E$43:$E$47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5E-4D47-ACA4-CF2A001CEA32}"/>
            </c:ext>
          </c:extLst>
        </c:ser>
        <c:ser>
          <c:idx val="4"/>
          <c:order val="4"/>
          <c:tx>
            <c:strRef>
              <c:f>'Dashboard Ciclos'!$F$33</c:f>
              <c:strCache>
                <c:ptCount val="1"/>
                <c:pt idx="0">
                  <c:v>Vencido +15 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'Dashboard Ciclos'!$A$43:$A$47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'Dashboard Ciclos'!$F$43:$F$47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5E-4D47-ACA4-CF2A001CEA3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551104607"/>
        <c:axId val="1592952911"/>
      </c:barChart>
      <c:catAx>
        <c:axId val="1551104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all" spc="120" normalizeH="0" baseline="0">
                <a:solidFill>
                  <a:sysClr val="windowText" lastClr="000000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s-CO"/>
          </a:p>
        </c:txPr>
        <c:crossAx val="1592952911"/>
        <c:crosses val="autoZero"/>
        <c:auto val="1"/>
        <c:lblAlgn val="ctr"/>
        <c:lblOffset val="100"/>
        <c:noMultiLvlLbl val="0"/>
      </c:catAx>
      <c:valAx>
        <c:axId val="1592952911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551104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sz="1000" b="1">
          <a:solidFill>
            <a:sysClr val="windowText" lastClr="000000"/>
          </a:solidFill>
          <a:latin typeface="Aptos Narrow" panose="020B000402020202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Avance diario de hectáreas cosechadas (01-jul al 10-ago)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'Avance Hectáreas'!$D$12</c:f>
              <c:strCache>
                <c:ptCount val="1"/>
                <c:pt idx="0">
                  <c:v>Hás cosechadas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'Avance Hectáreas'!$A$44:$A$55</c:f>
              <c:numCache>
                <c:formatCode>dd\-mmm\-yyyy</c:formatCode>
                <c:ptCount val="12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</c:numCache>
            </c:numRef>
          </c:cat>
          <c:val>
            <c:numRef>
              <c:f>'Avance Hectáreas'!$D$44:$D$55</c:f>
              <c:numCache>
                <c:formatCode>#,##0.00;\(#,##0.00\);\-</c:formatCode>
                <c:ptCount val="12"/>
                <c:pt idx="0">
                  <c:v>69.78</c:v>
                </c:pt>
                <c:pt idx="1">
                  <c:v>0</c:v>
                </c:pt>
                <c:pt idx="2">
                  <c:v>128.18</c:v>
                </c:pt>
                <c:pt idx="3">
                  <c:v>119.25999999999998</c:v>
                </c:pt>
                <c:pt idx="4">
                  <c:v>246.46999999999997</c:v>
                </c:pt>
                <c:pt idx="5">
                  <c:v>200.09000000000003</c:v>
                </c:pt>
                <c:pt idx="6">
                  <c:v>61.34</c:v>
                </c:pt>
                <c:pt idx="7">
                  <c:v>51.77</c:v>
                </c:pt>
                <c:pt idx="8">
                  <c:v>0</c:v>
                </c:pt>
                <c:pt idx="9">
                  <c:v>142.19</c:v>
                </c:pt>
                <c:pt idx="10">
                  <c:v>229.29999999999998</c:v>
                </c:pt>
                <c:pt idx="11">
                  <c:v>218.25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68-4B2D-9077-A53D1E1E9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2665808"/>
        <c:axId val="1492798832"/>
      </c:barChart>
      <c:lineChart>
        <c:grouping val="standard"/>
        <c:varyColors val="0"/>
        <c:ser>
          <c:idx val="1"/>
          <c:order val="1"/>
          <c:tx>
            <c:strRef>
              <c:f>'Avance Hectáreas'!$E$12</c:f>
              <c:strCache>
                <c:ptCount val="1"/>
                <c:pt idx="0">
                  <c:v>Hás acumuladas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'Avance Hectáreas'!$E$44:$E$55</c:f>
              <c:numCache>
                <c:formatCode>#,##0.00;\(#,##0.00\);\-</c:formatCode>
                <c:ptCount val="12"/>
                <c:pt idx="0">
                  <c:v>3321.1499999999996</c:v>
                </c:pt>
                <c:pt idx="1">
                  <c:v>3321.1499999999996</c:v>
                </c:pt>
                <c:pt idx="2">
                  <c:v>3449.3299999999995</c:v>
                </c:pt>
                <c:pt idx="3">
                  <c:v>3568.5899999999992</c:v>
                </c:pt>
                <c:pt idx="4">
                  <c:v>3815.059999999999</c:v>
                </c:pt>
                <c:pt idx="5">
                  <c:v>4015.1499999999992</c:v>
                </c:pt>
                <c:pt idx="6">
                  <c:v>4076.4899999999993</c:v>
                </c:pt>
                <c:pt idx="7">
                  <c:v>4128.2599999999993</c:v>
                </c:pt>
                <c:pt idx="8">
                  <c:v>4128.2599999999993</c:v>
                </c:pt>
                <c:pt idx="9">
                  <c:v>4270.4499999999989</c:v>
                </c:pt>
                <c:pt idx="10">
                  <c:v>4499.7499999999991</c:v>
                </c:pt>
                <c:pt idx="11">
                  <c:v>4717.9999999999991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68-4B2D-9077-A53D1E1E9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6333488"/>
        <c:axId val="617980688"/>
      </c:lineChart>
      <c:dateAx>
        <c:axId val="702665808"/>
        <c:scaling>
          <c:orientation val="minMax"/>
        </c:scaling>
        <c:delete val="0"/>
        <c:axPos val="b"/>
        <c:numFmt formatCode="dd\-mmm\-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92798832"/>
        <c:crosses val="autoZero"/>
        <c:auto val="1"/>
        <c:lblOffset val="100"/>
        <c:baseTimeUnit val="days"/>
      </c:dateAx>
      <c:valAx>
        <c:axId val="149279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Hás por día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0;\(#,##0.0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02665808"/>
        <c:crosses val="autoZero"/>
        <c:crossBetween val="between"/>
      </c:valAx>
      <c:valAx>
        <c:axId val="617980688"/>
        <c:scaling>
          <c:orientation val="minMax"/>
        </c:scaling>
        <c:delete val="0"/>
        <c:axPos val="r"/>
        <c:numFmt formatCode="#,##0.00;\(#,##0.00\);\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6333488"/>
        <c:crosses val="max"/>
        <c:crossBetween val="between"/>
      </c:valAx>
      <c:catAx>
        <c:axId val="1066333488"/>
        <c:scaling>
          <c:orientation val="minMax"/>
        </c:scaling>
        <c:delete val="1"/>
        <c:axPos val="b"/>
        <c:majorTickMark val="out"/>
        <c:minorTickMark val="none"/>
        <c:tickLblPos val="nextTo"/>
        <c:crossAx val="6179806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Hectáreas recorridas por finca (01-jul al 10-ago)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'Avance Hectáreas'!$E$81</c:f>
              <c:strCache>
                <c:ptCount val="1"/>
                <c:pt idx="0">
                  <c:v>Hás recorridas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'Avance Hectáreas'!$A$82:$A$88</c:f>
              <c:strCache>
                <c:ptCount val="7"/>
                <c:pt idx="0">
                  <c:v>El Cristal</c:v>
                </c:pt>
                <c:pt idx="1">
                  <c:v>La Bendición</c:v>
                </c:pt>
                <c:pt idx="2">
                  <c:v>Los Cambulos</c:v>
                </c:pt>
                <c:pt idx="3">
                  <c:v>La Vitrina</c:v>
                </c:pt>
                <c:pt idx="4">
                  <c:v>La Pradera</c:v>
                </c:pt>
                <c:pt idx="5">
                  <c:v>Paso Barinas</c:v>
                </c:pt>
                <c:pt idx="6">
                  <c:v>Rines</c:v>
                </c:pt>
              </c:strCache>
            </c:strRef>
          </c:cat>
          <c:val>
            <c:numRef>
              <c:f>'Avance Hectáreas'!$E$82:$E$88</c:f>
              <c:numCache>
                <c:formatCode>#,##0.00;\(#,##0.00\);\-</c:formatCode>
                <c:ptCount val="7"/>
                <c:pt idx="0">
                  <c:v>893.06</c:v>
                </c:pt>
                <c:pt idx="1">
                  <c:v>1021.26</c:v>
                </c:pt>
                <c:pt idx="2">
                  <c:v>362.09000000000003</c:v>
                </c:pt>
                <c:pt idx="3">
                  <c:v>399.12</c:v>
                </c:pt>
                <c:pt idx="4">
                  <c:v>347.72</c:v>
                </c:pt>
                <c:pt idx="5">
                  <c:v>290</c:v>
                </c:pt>
                <c:pt idx="6">
                  <c:v>957.1999999999997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7-4AB6-8C80-7094F1828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407264"/>
        <c:axId val="617989808"/>
      </c:barChart>
      <c:catAx>
        <c:axId val="41407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7989808"/>
        <c:crosses val="autoZero"/>
        <c:auto val="1"/>
        <c:lblAlgn val="ctr"/>
        <c:lblOffset val="100"/>
        <c:noMultiLvlLbl val="0"/>
      </c:catAx>
      <c:valAx>
        <c:axId val="61798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;\(#,##0.0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1407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Hectáreas cosechadas por semana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'Avance Hectáreas'!$F$68</c:f>
              <c:strCache>
                <c:ptCount val="1"/>
                <c:pt idx="0">
                  <c:v>Hás cosechadas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'Avance Hectáreas'!$A$69:$A$74</c:f>
              <c:strCache>
                <c:ptCount val="6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  <c:pt idx="5">
                  <c:v>Sem 6</c:v>
                </c:pt>
              </c:strCache>
            </c:strRef>
          </c:cat>
          <c:val>
            <c:numRef>
              <c:f>'Avance Hectáreas'!$F$69:$F$74</c:f>
              <c:numCache>
                <c:formatCode>#,##0.00;\(#,##0.00\);\-</c:formatCode>
                <c:ptCount val="6"/>
                <c:pt idx="0">
                  <c:v>445.24</c:v>
                </c:pt>
                <c:pt idx="1">
                  <c:v>658.59999999999991</c:v>
                </c:pt>
                <c:pt idx="2">
                  <c:v>562.81000000000006</c:v>
                </c:pt>
                <c:pt idx="3">
                  <c:v>977.5</c:v>
                </c:pt>
                <c:pt idx="4">
                  <c:v>924.44</c:v>
                </c:pt>
                <c:pt idx="5">
                  <c:v>701.8599999999999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39-4ED3-8CE3-26EA8F926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368288"/>
        <c:axId val="617995568"/>
      </c:barChart>
      <c:catAx>
        <c:axId val="4136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7995568"/>
        <c:crosses val="autoZero"/>
        <c:auto val="1"/>
        <c:lblAlgn val="ctr"/>
        <c:lblOffset val="100"/>
        <c:noMultiLvlLbl val="0"/>
      </c:catAx>
      <c:valAx>
        <c:axId val="61799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;\(#,##0.0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136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Hás por condición: hoy (10-ago) vs proyectado (17-ago)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'Proyección Condición'!$B$148</c:f>
              <c:strCache>
                <c:ptCount val="1"/>
                <c:pt idx="0">
                  <c:v>Hás hoy (10-ago)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'Proyección Condición'!$A$149:$A$151</c:f>
              <c:strCache>
                <c:ptCount val="3"/>
                <c:pt idx="0">
                  <c:v>Recién cortado</c:v>
                </c:pt>
                <c:pt idx="1">
                  <c:v>En ciclo</c:v>
                </c:pt>
                <c:pt idx="2">
                  <c:v>Fuera de ciclo</c:v>
                </c:pt>
              </c:strCache>
            </c:strRef>
          </c:cat>
          <c:val>
            <c:numRef>
              <c:f>'Proyección Condición'!$B$149:$B$151</c:f>
              <c:numCache>
                <c:formatCode>#,##0.00;\(#,##0.00\);\-</c:formatCode>
                <c:ptCount val="3"/>
                <c:pt idx="0">
                  <c:v>730.9899999999999</c:v>
                </c:pt>
                <c:pt idx="1">
                  <c:v>949.3</c:v>
                </c:pt>
                <c:pt idx="2">
                  <c:v>655.86000000000013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26-4181-BC4B-490D4C377C49}"/>
            </c:ext>
          </c:extLst>
        </c:ser>
        <c:ser>
          <c:idx val="1"/>
          <c:order val="1"/>
          <c:tx>
            <c:strRef>
              <c:f>'Proyección Condición'!$C$148</c:f>
              <c:strCache>
                <c:ptCount val="1"/>
                <c:pt idx="0">
                  <c:v>Hás proyectadas (17-ago)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'Proyección Condición'!$C$149:$C$151</c:f>
              <c:numCache>
                <c:formatCode>#,##0.00;\(#,##0.00\);\-</c:formatCode>
                <c:ptCount val="3"/>
                <c:pt idx="0">
                  <c:v>1186.0300000000002</c:v>
                </c:pt>
                <c:pt idx="1">
                  <c:v>873.17999999999984</c:v>
                </c:pt>
                <c:pt idx="2">
                  <c:v>276.94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26-4181-BC4B-490D4C377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256799"/>
        <c:axId val="1492787312"/>
      </c:barChart>
      <c:catAx>
        <c:axId val="213256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92787312"/>
        <c:crosses val="autoZero"/>
        <c:auto val="1"/>
        <c:lblAlgn val="ctr"/>
        <c:lblOffset val="100"/>
        <c:noMultiLvlLbl val="0"/>
      </c:catAx>
      <c:valAx>
        <c:axId val="149278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;\(#,##0.0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3256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Hás por condición según rendimiento diario (Hás/día)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'Proyección Condición'!$E$135</c:f>
              <c:strCache>
                <c:ptCount val="1"/>
                <c:pt idx="0">
                  <c:v>Recién cortado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'Proyección Condición'!$A$136:$A$144</c:f>
              <c:numCache>
                <c:formatCode>#,##0.0;\(#,##0.0\);\-</c:formatCode>
                <c:ptCount val="9"/>
                <c:pt idx="0">
                  <c:v>110</c:v>
                </c:pt>
                <c:pt idx="1">
                  <c:v>125</c:v>
                </c:pt>
                <c:pt idx="2">
                  <c:v>140</c:v>
                </c:pt>
                <c:pt idx="3">
                  <c:v>155</c:v>
                </c:pt>
                <c:pt idx="4">
                  <c:v>170</c:v>
                </c:pt>
                <c:pt idx="5">
                  <c:v>185</c:v>
                </c:pt>
                <c:pt idx="6">
                  <c:v>200</c:v>
                </c:pt>
                <c:pt idx="7">
                  <c:v>215</c:v>
                </c:pt>
                <c:pt idx="8">
                  <c:v>230</c:v>
                </c:pt>
              </c:numCache>
            </c:numRef>
          </c:cat>
          <c:val>
            <c:numRef>
              <c:f>'Proyección Condición'!$E$136:$E$144</c:f>
              <c:numCache>
                <c:formatCode>#,##0.00;\(#,##0.00\);\-</c:formatCode>
                <c:ptCount val="9"/>
                <c:pt idx="0">
                  <c:v>747.12000000000012</c:v>
                </c:pt>
                <c:pt idx="1">
                  <c:v>869.9</c:v>
                </c:pt>
                <c:pt idx="2">
                  <c:v>948.48</c:v>
                </c:pt>
                <c:pt idx="3">
                  <c:v>1081.4899999999998</c:v>
                </c:pt>
                <c:pt idx="4">
                  <c:v>1186.0300000000002</c:v>
                </c:pt>
                <c:pt idx="5">
                  <c:v>1269.49</c:v>
                </c:pt>
                <c:pt idx="6">
                  <c:v>1396.2200000000005</c:v>
                </c:pt>
                <c:pt idx="7">
                  <c:v>1462.9700000000007</c:v>
                </c:pt>
                <c:pt idx="8">
                  <c:v>1605.1600000000005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28-4A9C-99C3-3245E4C0368E}"/>
            </c:ext>
          </c:extLst>
        </c:ser>
        <c:ser>
          <c:idx val="1"/>
          <c:order val="1"/>
          <c:tx>
            <c:strRef>
              <c:f>'Proyección Condición'!$F$135</c:f>
              <c:strCache>
                <c:ptCount val="1"/>
                <c:pt idx="0">
                  <c:v>En ciclo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'Proyección Condición'!$F$136:$F$144</c:f>
              <c:numCache>
                <c:formatCode>#,##0.00;\(#,##0.00\);\-</c:formatCode>
                <c:ptCount val="9"/>
                <c:pt idx="0">
                  <c:v>873.17999999999984</c:v>
                </c:pt>
                <c:pt idx="1">
                  <c:v>873.17999999999984</c:v>
                </c:pt>
                <c:pt idx="2">
                  <c:v>873.17999999999984</c:v>
                </c:pt>
                <c:pt idx="3">
                  <c:v>873.17999999999984</c:v>
                </c:pt>
                <c:pt idx="4">
                  <c:v>873.17999999999984</c:v>
                </c:pt>
                <c:pt idx="5">
                  <c:v>873.17999999999984</c:v>
                </c:pt>
                <c:pt idx="6">
                  <c:v>873.17999999999984</c:v>
                </c:pt>
                <c:pt idx="7">
                  <c:v>873.17999999999984</c:v>
                </c:pt>
                <c:pt idx="8">
                  <c:v>730.9899999999999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28-4A9C-99C3-3245E4C0368E}"/>
            </c:ext>
          </c:extLst>
        </c:ser>
        <c:ser>
          <c:idx val="2"/>
          <c:order val="2"/>
          <c:tx>
            <c:strRef>
              <c:f>'Proyección Condición'!$G$135</c:f>
              <c:strCache>
                <c:ptCount val="1"/>
                <c:pt idx="0">
                  <c:v>Fuera de ciclo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'Proyección Condición'!$G$136:$G$144</c:f>
              <c:numCache>
                <c:formatCode>#,##0.00;\(#,##0.00\);\-</c:formatCode>
                <c:ptCount val="9"/>
                <c:pt idx="0">
                  <c:v>715.85</c:v>
                </c:pt>
                <c:pt idx="1">
                  <c:v>593.07000000000016</c:v>
                </c:pt>
                <c:pt idx="2">
                  <c:v>514.49000000000012</c:v>
                </c:pt>
                <c:pt idx="3">
                  <c:v>381.47999999999996</c:v>
                </c:pt>
                <c:pt idx="4">
                  <c:v>276.94</c:v>
                </c:pt>
                <c:pt idx="5">
                  <c:v>193.48000000000002</c:v>
                </c:pt>
                <c:pt idx="6">
                  <c:v>66.75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28-4A9C-99C3-3245E4C03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307375"/>
        <c:axId val="1492796912"/>
      </c:lineChart>
      <c:catAx>
        <c:axId val="213307375"/>
        <c:scaling>
          <c:orientation val="minMax"/>
        </c:scaling>
        <c:delete val="0"/>
        <c:axPos val="b"/>
        <c:numFmt formatCode="#,##0.0;\(#,##0.0\);\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92796912"/>
        <c:crosses val="autoZero"/>
        <c:auto val="1"/>
        <c:lblAlgn val="ctr"/>
        <c:lblOffset val="100"/>
        <c:noMultiLvlLbl val="0"/>
      </c:catAx>
      <c:valAx>
        <c:axId val="149279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;\(#,##0.0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3307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Ciclo Ponderado por Fecha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'Grafica Ciclo'!$D$4</c:f>
              <c:strCache>
                <c:ptCount val="1"/>
                <c:pt idx="0">
                  <c:v>Ciclo Ponderado (filtrado)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'Grafica Ciclo'!$C$5:$C$47</c:f>
              <c:numCache>
                <c:formatCode>dd/mm/yyyy</c:formatCode>
                <c:ptCount val="43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  <c:pt idx="31">
                  <c:v>46235</c:v>
                </c:pt>
                <c:pt idx="32">
                  <c:v>46236</c:v>
                </c:pt>
                <c:pt idx="33">
                  <c:v>46237</c:v>
                </c:pt>
                <c:pt idx="34">
                  <c:v>46238</c:v>
                </c:pt>
                <c:pt idx="35">
                  <c:v>46239</c:v>
                </c:pt>
                <c:pt idx="36">
                  <c:v>46240</c:v>
                </c:pt>
                <c:pt idx="37">
                  <c:v>46241</c:v>
                </c:pt>
                <c:pt idx="38">
                  <c:v>46242</c:v>
                </c:pt>
                <c:pt idx="39">
                  <c:v>46243</c:v>
                </c:pt>
                <c:pt idx="40">
                  <c:v>46244</c:v>
                </c:pt>
                <c:pt idx="41">
                  <c:v>46245</c:v>
                </c:pt>
                <c:pt idx="42">
                  <c:v>46246</c:v>
                </c:pt>
              </c:numCache>
            </c:numRef>
          </c:xVal>
          <c:yVal>
            <c:numRef>
              <c:f>'Grafica Ciclo'!$D$5:$D$47</c:f>
              <c:numCache>
                <c:formatCode>#,##0.0</c:formatCode>
                <c:ptCount val="43"/>
                <c:pt idx="0">
                  <c:v>12.582299937932071</c:v>
                </c:pt>
                <c:pt idx="1">
                  <c:v>13.582299937932065</c:v>
                </c:pt>
                <c:pt idx="2">
                  <c:v>14.582299937932062</c:v>
                </c:pt>
                <c:pt idx="3">
                  <c:v>15.582299937932065</c:v>
                </c:pt>
                <c:pt idx="4">
                  <c:v>16.58229993793206</c:v>
                </c:pt>
                <c:pt idx="5">
                  <c:v>16.664850287866795</c:v>
                </c:pt>
                <c:pt idx="6">
                  <c:v>16.627930569526779</c:v>
                </c:pt>
                <c:pt idx="7">
                  <c:v>17.548261027759356</c:v>
                </c:pt>
                <c:pt idx="8">
                  <c:v>16.816972369068768</c:v>
                </c:pt>
                <c:pt idx="9">
                  <c:v>17.261716927423322</c:v>
                </c:pt>
                <c:pt idx="10">
                  <c:v>16.560315048263167</c:v>
                </c:pt>
                <c:pt idx="11">
                  <c:v>15.386409263103824</c:v>
                </c:pt>
                <c:pt idx="12">
                  <c:v>15.383776726665666</c:v>
                </c:pt>
                <c:pt idx="13">
                  <c:v>15.253755109903045</c:v>
                </c:pt>
                <c:pt idx="14">
                  <c:v>14.393074074866769</c:v>
                </c:pt>
                <c:pt idx="15">
                  <c:v>14.703062731417074</c:v>
                </c:pt>
                <c:pt idx="16">
                  <c:v>13.674400188344066</c:v>
                </c:pt>
                <c:pt idx="17">
                  <c:v>13.866558226141304</c:v>
                </c:pt>
                <c:pt idx="18">
                  <c:v>14.866558226141297</c:v>
                </c:pt>
                <c:pt idx="19">
                  <c:v>15.68136891894784</c:v>
                </c:pt>
                <c:pt idx="20">
                  <c:v>15.573417802795195</c:v>
                </c:pt>
                <c:pt idx="21">
                  <c:v>13.681398882777216</c:v>
                </c:pt>
                <c:pt idx="22">
                  <c:v>12.102454893735416</c:v>
                </c:pt>
                <c:pt idx="23">
                  <c:v>12.026000042805466</c:v>
                </c:pt>
                <c:pt idx="24">
                  <c:v>11.942413800483703</c:v>
                </c:pt>
                <c:pt idx="25">
                  <c:v>12.942413800483704</c:v>
                </c:pt>
                <c:pt idx="26">
                  <c:v>10.69807161355221</c:v>
                </c:pt>
                <c:pt idx="27">
                  <c:v>11.000809023393185</c:v>
                </c:pt>
                <c:pt idx="28">
                  <c:v>10.557780964407254</c:v>
                </c:pt>
                <c:pt idx="29">
                  <c:v>10.404173533377563</c:v>
                </c:pt>
                <c:pt idx="30">
                  <c:v>8.899976456991201</c:v>
                </c:pt>
                <c:pt idx="31">
                  <c:v>9.4049825567707526</c:v>
                </c:pt>
                <c:pt idx="32">
                  <c:v>10.404982556770754</c:v>
                </c:pt>
                <c:pt idx="33">
                  <c:v>10.412520600132698</c:v>
                </c:pt>
                <c:pt idx="34">
                  <c:v>9.9352267619801822</c:v>
                </c:pt>
                <c:pt idx="35">
                  <c:v>9.0674100550050305</c:v>
                </c:pt>
                <c:pt idx="36">
                  <c:v>8.5771846842026385</c:v>
                </c:pt>
                <c:pt idx="37">
                  <c:v>9.0656079446953353</c:v>
                </c:pt>
                <c:pt idx="38">
                  <c:v>9.5129465145645629</c:v>
                </c:pt>
                <c:pt idx="39">
                  <c:v>10.512946514564559</c:v>
                </c:pt>
                <c:pt idx="40">
                  <c:v>10.3963401322689</c:v>
                </c:pt>
                <c:pt idx="41">
                  <c:v>9.8555443785715813</c:v>
                </c:pt>
                <c:pt idx="42">
                  <c:v>8.3114483230956893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79-45AC-9368-04B7D9BA4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7499103"/>
        <c:axId val="444349295"/>
      </c:scatterChart>
      <c:valAx>
        <c:axId val="1667499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dd/mm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4349295"/>
        <c:crosses val="autoZero"/>
        <c:crossBetween val="midCat"/>
        <c:majorUnit val="1"/>
      </c:valAx>
      <c:valAx>
        <c:axId val="44434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Ciclo Ponderado (días)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67499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253574</xdr:colOff>
      <xdr:row>15</xdr:row>
      <xdr:rowOff>164569</xdr:rowOff>
    </xdr:from>
    <xdr:to>
      <xdr:col>4</xdr:col>
      <xdr:colOff>544285</xdr:colOff>
      <xdr:row>30</xdr:row>
      <xdr:rowOff>78122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A388870-F525-E6AE-FE03-7A83F10255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300719</xdr:colOff>
      <xdr:row>7</xdr:row>
      <xdr:rowOff>155120</xdr:rowOff>
    </xdr:from>
    <xdr:to>
      <xdr:col>11</xdr:col>
      <xdr:colOff>201864</xdr:colOff>
      <xdr:row>30</xdr:row>
      <xdr:rowOff>155121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1286635-790E-B040-929F-8164FABEAD8E}"/>
            </a:ext>
            <a:ext uri="{147F2762-F138-4A5C-976F-8EAC2B608ADB}">
              <a16:predDERef xmlns:a16="http://schemas.microsoft.com/office/drawing/2014/main" pred="{FA388870-F525-E6AE-FE03-7A83F10255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69</xdr:row>
      <xdr:rowOff>1</xdr:rowOff>
    </xdr:from>
    <xdr:to>
      <xdr:col>23</xdr:col>
      <xdr:colOff>609600</xdr:colOff>
      <xdr:row>96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8BC4373-48A6-C0E8-7E70-ED903CCF44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32656</xdr:colOff>
      <xdr:row>32</xdr:row>
      <xdr:rowOff>0</xdr:rowOff>
    </xdr:from>
    <xdr:to>
      <xdr:col>17</xdr:col>
      <xdr:colOff>576942</xdr:colOff>
      <xdr:row>68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212CF67-6433-822F-E5F6-7127BA557D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55517</xdr:colOff>
      <xdr:row>11</xdr:row>
      <xdr:rowOff>4355</xdr:rowOff>
    </xdr:from>
    <xdr:to>
      <xdr:col>17</xdr:col>
      <xdr:colOff>606334</xdr:colOff>
      <xdr:row>31</xdr:row>
      <xdr:rowOff>4355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F619AC3-65C3-5DF6-86B7-AAB2193312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31</xdr:row>
      <xdr:rowOff>0</xdr:rowOff>
    </xdr:from>
    <xdr:to>
      <xdr:col>19</xdr:col>
      <xdr:colOff>0</xdr:colOff>
      <xdr:row>52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C2610C-5450-117F-9F76-C6FFF36C35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53</xdr:row>
      <xdr:rowOff>0</xdr:rowOff>
    </xdr:from>
    <xdr:to>
      <xdr:col>19</xdr:col>
      <xdr:colOff>0</xdr:colOff>
      <xdr:row>74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0741C86-E41D-CB0A-6CD3-F2289ED86B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17</xdr:col>
      <xdr:colOff>701040</xdr:colOff>
      <xdr:row>28</xdr:row>
      <xdr:rowOff>0</xdr:rowOff>
    </xdr:to>
    <xdr:graphicFrame macro="">
      <xdr:nvGraphicFramePr>
        <xdr:cNvPr id="4" name="CicloPonderado">
          <a:extLst>
            <a:ext uri="{FF2B5EF4-FFF2-40B4-BE49-F238E27FC236}">
              <a16:creationId xmlns:a16="http://schemas.microsoft.com/office/drawing/2014/main" id="{60C93FFA-C6AE-AA67-EBF7-548EB74E3B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626825F-5548-4773-B9C5-0E62DB0D43CC}">
  <we:reference id="29673e3c-d826-4f00-92ee-162334a52b1a" version="1.0.0.8" store="EXCatalog" storeType="EXCatalog"/>
  <we:alternateReferences>
    <we:reference id="WA200009404" version="1.0.0.8" store="es-ES" storeType="OMEX"/>
  </we:alternateReferences>
  <we:properties>
    <we:property name="claude.fileId" value="&quot;f0482ad6-d5e4-499a-9c6a-4080dedc92b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7"/>
  <sheetViews>
    <sheetView tabSelected="1" zoomScale="95" zoomScaleNormal="95" workbookViewId="0">
      <selection activeCell="B2" sqref="B2"/>
    </sheetView>
  </sheetViews>
  <sheetFormatPr defaultColWidth="8.609375" defaultRowHeight="15" x14ac:dyDescent="0.2"/>
  <cols>
    <col min="1" max="1" width="29.99609375" customWidth="1"/>
    <col min="2" max="2" width="14.9296875" customWidth="1"/>
    <col min="3" max="3" width="15.87109375" customWidth="1"/>
    <col min="4" max="4" width="15.6015625" customWidth="1"/>
    <col min="5" max="5" width="14.9296875" customWidth="1"/>
    <col min="6" max="6" width="13.98828125" customWidth="1"/>
    <col min="7" max="7" width="13.046875" customWidth="1"/>
    <col min="8" max="8" width="11.02734375" customWidth="1"/>
    <col min="9" max="9" width="22.05859375" customWidth="1"/>
  </cols>
  <sheetData>
    <row r="1" spans="1:11" ht="27.75" customHeight="1" x14ac:dyDescent="0.2">
      <c r="A1" s="229" t="s">
        <v>619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</row>
    <row r="2" spans="1:11" ht="15" customHeight="1" x14ac:dyDescent="0.2">
      <c r="A2" s="2" t="s">
        <v>0</v>
      </c>
      <c r="B2" s="107">
        <v>46249</v>
      </c>
      <c r="D2" s="223" t="str">
        <f ca="1">"Universo: "&amp;COUNTA('Registro Diario'!$E$2:$E$126)&amp;" lotes  ·  "&amp;COUNTIFS('Registro Diario'!$R$2:$R$126,"&lt;&gt;",'Registro Diario'!$R$2:$R$126,"&gt;=0")&amp;" productivos  ·  "&amp;COUNTIF('Registro Diario'!$S$2:$S$126,"Sin dato")&amp;" en desarrollo (sin ciclo)"</f>
        <v>Universo: 125 lotes  ·  94 productivos  ·  31 en desarrollo (sin ciclo)</v>
      </c>
      <c r="E2" s="223"/>
      <c r="F2" s="223"/>
      <c r="G2" s="223"/>
      <c r="H2" s="223"/>
      <c r="I2" s="223"/>
    </row>
    <row r="4" spans="1:11" ht="30" customHeight="1" x14ac:dyDescent="0.2">
      <c r="A4" s="224" t="s">
        <v>1</v>
      </c>
      <c r="B4" s="224"/>
      <c r="C4" s="225" t="s">
        <v>2</v>
      </c>
      <c r="D4" s="225"/>
      <c r="E4" s="226" t="s">
        <v>3</v>
      </c>
      <c r="F4" s="226"/>
      <c r="G4" s="227" t="s">
        <v>4</v>
      </c>
      <c r="H4" s="227"/>
    </row>
    <row r="5" spans="1:11" ht="25.5" customHeight="1" x14ac:dyDescent="0.2">
      <c r="A5" s="231">
        <f ca="1">ROUND(SUMIFS('Registro Diario'!$J$2:$J$126,'Registro Diario'!$T$2:$T$126,"Recién cortado"),1)</f>
        <v>731</v>
      </c>
      <c r="B5" s="231"/>
      <c r="C5" s="232">
        <f ca="1">ROUND(SUMIFS('Registro Diario'!$J$2:$J$126,'Registro Diario'!$T$2:$T$126,"En ciclo"),1)</f>
        <v>949.3</v>
      </c>
      <c r="D5" s="232"/>
      <c r="E5" s="233">
        <f ca="1">ROUND(SUMIFS('Registro Diario'!$J$2:$J$126,'Registro Diario'!$T$2:$T$126,"Fuera de ciclo"),1)</f>
        <v>655.9</v>
      </c>
      <c r="F5" s="233"/>
      <c r="G5" s="234">
        <f>MAX('Registro Diario'!$R$2:$R$126)</f>
        <v>22</v>
      </c>
      <c r="H5" s="234"/>
    </row>
    <row r="6" spans="1:11" ht="28.9" customHeight="1" x14ac:dyDescent="0.2">
      <c r="A6" s="222" t="str">
        <f ca="1">COUNTIFS('Registro Diario'!$T$2:$T$126,"Recién cortado")&amp;" lotes  ·  hás"</f>
        <v>25 lotes  ·  hás</v>
      </c>
      <c r="B6" s="222"/>
      <c r="C6" s="222" t="str">
        <f ca="1">COUNTIFS('Registro Diario'!$T$2:$T$126,"En ciclo")&amp;" lotes  ·  hás"</f>
        <v>44 lotes  ·  hás</v>
      </c>
      <c r="D6" s="222"/>
      <c r="E6" s="222" t="str">
        <f ca="1">COUNTIFS('Registro Diario'!$T$2:$T$126,"Fuera de ciclo")&amp;" lotes  ·  hás"</f>
        <v>25 lotes  ·  hás</v>
      </c>
      <c r="F6" s="222"/>
      <c r="G6" s="222" t="str">
        <f>INDEX('Registro Diario'!$E$2:$E$126,MATCH(MAX('Registro Diario'!$R$2:$R$126),'Registro Diario'!$R$2:$R$126,0))</f>
        <v>La Pradera-42</v>
      </c>
      <c r="H6" s="222"/>
    </row>
    <row r="8" spans="1:11" ht="15" customHeight="1" x14ac:dyDescent="0.2">
      <c r="A8" s="3" t="s">
        <v>5</v>
      </c>
    </row>
    <row r="9" spans="1:11" ht="15" customHeight="1" x14ac:dyDescent="0.2">
      <c r="A9" s="4" t="s">
        <v>6</v>
      </c>
      <c r="B9" s="4" t="s">
        <v>7</v>
      </c>
      <c r="C9" s="4" t="s">
        <v>8</v>
      </c>
      <c r="D9" s="4" t="s">
        <v>9</v>
      </c>
      <c r="E9" s="4" t="s">
        <v>10</v>
      </c>
    </row>
    <row r="10" spans="1:11" ht="15" customHeight="1" x14ac:dyDescent="0.2">
      <c r="A10" s="6" t="s">
        <v>11</v>
      </c>
      <c r="B10" s="91">
        <f ca="1">ROUND(SUMIFS('Registro Diario'!$J$2:$J$126,'Registro Diario'!$S$2:$S$126,$A10),1)</f>
        <v>1680.3</v>
      </c>
      <c r="C10" s="6">
        <f ca="1">COUNTIFS('Registro Diario'!$S$2:$S$126,$A10)</f>
        <v>69</v>
      </c>
      <c r="D10" s="7">
        <f t="shared" ref="D10:D15" ca="1" si="0">IF($B$15=0,0,B10/$B$15)</f>
        <v>0.71927571593681783</v>
      </c>
      <c r="E10" s="92" t="s">
        <v>12</v>
      </c>
      <c r="F10" s="77"/>
    </row>
    <row r="11" spans="1:11" ht="15" customHeight="1" x14ac:dyDescent="0.2">
      <c r="A11" s="6" t="s">
        <v>13</v>
      </c>
      <c r="B11" s="91">
        <f ca="1">ROUND(SUMIFS('Registro Diario'!$J$2:$J$126,'Registro Diario'!$S$2:$S$126,$A11),1)</f>
        <v>493.4</v>
      </c>
      <c r="C11" s="6">
        <f ca="1">COUNTIFS('Registro Diario'!$S$2:$S$126,$A11)</f>
        <v>20</v>
      </c>
      <c r="D11" s="7">
        <f t="shared" ca="1" si="0"/>
        <v>0.21120671204143657</v>
      </c>
      <c r="E11" s="92" t="s">
        <v>14</v>
      </c>
      <c r="F11" s="77"/>
    </row>
    <row r="12" spans="1:11" ht="15" customHeight="1" x14ac:dyDescent="0.2">
      <c r="A12" s="6" t="s">
        <v>15</v>
      </c>
      <c r="B12" s="91">
        <f ca="1">ROUND(SUMIFS('Registro Diario'!$J$2:$J$126,'Registro Diario'!$S$2:$S$126,$A12),1)</f>
        <v>162.4</v>
      </c>
      <c r="C12" s="6">
        <f ca="1">COUNTIFS('Registro Diario'!$S$2:$S$126,$A12)</f>
        <v>5</v>
      </c>
      <c r="D12" s="7">
        <f t="shared" ca="1" si="0"/>
        <v>6.9517572021745647E-2</v>
      </c>
      <c r="E12" s="92" t="s">
        <v>16</v>
      </c>
      <c r="F12" s="77"/>
    </row>
    <row r="13" spans="1:11" ht="15" customHeight="1" x14ac:dyDescent="0.2">
      <c r="A13" s="6" t="s">
        <v>17</v>
      </c>
      <c r="B13" s="91">
        <f ca="1">ROUND(SUMIFS('Registro Diario'!$J$2:$J$126,'Registro Diario'!$S$2:$S$126,$A13),1)</f>
        <v>0</v>
      </c>
      <c r="C13" s="6">
        <f ca="1">COUNTIFS('Registro Diario'!$S$2:$S$126,$A13)</f>
        <v>0</v>
      </c>
      <c r="D13" s="7">
        <f t="shared" ca="1" si="0"/>
        <v>0</v>
      </c>
      <c r="E13" s="92" t="s">
        <v>18</v>
      </c>
      <c r="F13" s="77"/>
    </row>
    <row r="14" spans="1:11" ht="15" customHeight="1" x14ac:dyDescent="0.2">
      <c r="A14" s="6" t="s">
        <v>19</v>
      </c>
      <c r="B14" s="91">
        <f ca="1">ROUND(SUMIFS('Registro Diario'!$J$2:$J$126,'Registro Diario'!$S$2:$S$126,$A14),1)</f>
        <v>0</v>
      </c>
      <c r="C14" s="6">
        <f ca="1">COUNTIFS('Registro Diario'!$S$2:$S$126,$A14)</f>
        <v>0</v>
      </c>
      <c r="D14" s="7">
        <f t="shared" ca="1" si="0"/>
        <v>0</v>
      </c>
      <c r="E14" s="92" t="s">
        <v>20</v>
      </c>
      <c r="F14" s="77"/>
    </row>
    <row r="15" spans="1:11" ht="15" customHeight="1" x14ac:dyDescent="0.2">
      <c r="A15" s="10" t="s">
        <v>21</v>
      </c>
      <c r="B15" s="93">
        <f ca="1">SUM(B10:B14)</f>
        <v>2336.1</v>
      </c>
      <c r="C15" s="10">
        <f ca="1">SUM(C10:C14)</f>
        <v>94</v>
      </c>
      <c r="D15" s="11">
        <f t="shared" ca="1" si="0"/>
        <v>1</v>
      </c>
      <c r="E15" s="94"/>
      <c r="F15" s="77"/>
    </row>
    <row r="16" spans="1:11" x14ac:dyDescent="0.2">
      <c r="A16" s="77"/>
      <c r="B16" s="77"/>
      <c r="C16" s="77"/>
      <c r="D16" s="77"/>
      <c r="E16" s="77"/>
      <c r="F16" s="77"/>
    </row>
    <row r="32" spans="1:1" ht="15" customHeight="1" x14ac:dyDescent="0.2">
      <c r="A32" s="3" t="s">
        <v>22</v>
      </c>
    </row>
    <row r="33" spans="1:9" ht="30" customHeight="1" x14ac:dyDescent="0.2">
      <c r="A33" s="16" t="s">
        <v>23</v>
      </c>
      <c r="B33" s="16" t="s">
        <v>11</v>
      </c>
      <c r="C33" s="16" t="s">
        <v>13</v>
      </c>
      <c r="D33" s="16" t="s">
        <v>15</v>
      </c>
      <c r="E33" s="16" t="s">
        <v>17</v>
      </c>
      <c r="F33" s="16" t="s">
        <v>19</v>
      </c>
      <c r="G33" s="16" t="s">
        <v>24</v>
      </c>
      <c r="H33" s="16" t="s">
        <v>25</v>
      </c>
      <c r="I33" s="16" t="s">
        <v>26</v>
      </c>
    </row>
    <row r="34" spans="1:9" ht="15" customHeight="1" x14ac:dyDescent="0.2">
      <c r="A34" s="15">
        <v>1</v>
      </c>
      <c r="B34" s="5">
        <f>ROUND(SUMIFS('Registro Diario'!$J$2:$J$126,'Registro Diario'!$B$2:$B$126,$A34,'Registro Diario'!$S$2:$S$126,"En ciclo"),1)</f>
        <v>216.3</v>
      </c>
      <c r="C34" s="5">
        <f>ROUND(SUMIFS('Registro Diario'!$J$2:$J$126,'Registro Diario'!$B$2:$B$126,$A34,'Registro Diario'!$S$2:$S$126,"Vencido 1-5 d"),1)</f>
        <v>224.7</v>
      </c>
      <c r="D34" s="5">
        <f>ROUND(SUMIFS('Registro Diario'!$J$2:$J$126,'Registro Diario'!$B$2:$B$126,$A34,'Registro Diario'!$S$2:$S$126,"Vencido 6-10 d"),1)</f>
        <v>104.5</v>
      </c>
      <c r="E34" s="5">
        <f>ROUND(SUMIFS('Registro Diario'!$J$2:$J$126,'Registro Diario'!$B$2:$B$126,$A34,'Registro Diario'!$S$2:$S$126,"Vencido 11-15 d"),1)</f>
        <v>0</v>
      </c>
      <c r="F34" s="5">
        <f>ROUND(SUMIFS('Registro Diario'!$J$2:$J$126,'Registro Diario'!$B$2:$B$126,$A34,'Registro Diario'!$S$2:$S$126,"Vencido +15 d"),1)</f>
        <v>0</v>
      </c>
      <c r="G34" s="17">
        <f>SUM(C34:F34)</f>
        <v>329.2</v>
      </c>
      <c r="H34" s="6">
        <f>IFERROR(_xlfn.MAXIFS('Registro Diario'!$R$2:$R$126,'Registro Diario'!$B$2:$B$126,$A34),0)</f>
        <v>19</v>
      </c>
      <c r="I34" s="8" t="str">
        <f>IFERROR(INDEX('Registro Diario'!$E$2:$E$126,MATCH(1,INDEX(('Registro Diario'!$R$2:$R$126=$H34)*('Registro Diario'!$B$2:$B$126=$A34),0),0)),"—")</f>
        <v>El Cristal-12</v>
      </c>
    </row>
    <row r="35" spans="1:9" ht="15" customHeight="1" x14ac:dyDescent="0.2">
      <c r="A35" s="15">
        <v>2</v>
      </c>
      <c r="B35" s="5">
        <f>ROUND(SUMIFS('Registro Diario'!$J$2:$J$126,'Registro Diario'!$B$2:$B$126,$A35,'Registro Diario'!$S$2:$S$126,"En ciclo"),1)</f>
        <v>480.7</v>
      </c>
      <c r="C35" s="5">
        <f>ROUND(SUMIFS('Registro Diario'!$J$2:$J$126,'Registro Diario'!$B$2:$B$126,$A35,'Registro Diario'!$S$2:$S$126,"Vencido 1-5 d"),1)</f>
        <v>47.8</v>
      </c>
      <c r="D35" s="5">
        <f>ROUND(SUMIFS('Registro Diario'!$J$2:$J$126,'Registro Diario'!$B$2:$B$126,$A35,'Registro Diario'!$S$2:$S$126,"Vencido 6-10 d"),1)</f>
        <v>0</v>
      </c>
      <c r="E35" s="5">
        <f>ROUND(SUMIFS('Registro Diario'!$J$2:$J$126,'Registro Diario'!$B$2:$B$126,$A35,'Registro Diario'!$S$2:$S$126,"Vencido 11-15 d"),1)</f>
        <v>0</v>
      </c>
      <c r="F35" s="5">
        <f>ROUND(SUMIFS('Registro Diario'!$J$2:$J$126,'Registro Diario'!$B$2:$B$126,$A35,'Registro Diario'!$S$2:$S$126,"Vencido +15 d"),1)</f>
        <v>0</v>
      </c>
      <c r="G35" s="17">
        <f>SUM(C35:F35)</f>
        <v>47.8</v>
      </c>
      <c r="H35" s="6">
        <f>IFERROR(_xlfn.MAXIFS('Registro Diario'!$R$2:$R$126,'Registro Diario'!$B$2:$B$126,$A35),0)</f>
        <v>15</v>
      </c>
      <c r="I35" s="8" t="str">
        <f>IFERROR(INDEX('Registro Diario'!$E$2:$E$126,MATCH(1,INDEX(('Registro Diario'!$R$2:$R$126=$H35)*('Registro Diario'!$B$2:$B$126=$A35),0),0)),"—")</f>
        <v>La Vitrina-22</v>
      </c>
    </row>
    <row r="36" spans="1:9" ht="15" customHeight="1" x14ac:dyDescent="0.2">
      <c r="A36" s="15">
        <v>3</v>
      </c>
      <c r="B36" s="5">
        <f>ROUND(SUMIFS('Registro Diario'!$J$2:$J$126,'Registro Diario'!$B$2:$B$126,$A36,'Registro Diario'!$S$2:$S$126,"En ciclo"),1)</f>
        <v>393.1</v>
      </c>
      <c r="C36" s="5">
        <f>ROUND(SUMIFS('Registro Diario'!$J$2:$J$126,'Registro Diario'!$B$2:$B$126,$A36,'Registro Diario'!$S$2:$S$126,"Vencido 1-5 d"),1)</f>
        <v>87.8</v>
      </c>
      <c r="D36" s="5">
        <f>ROUND(SUMIFS('Registro Diario'!$J$2:$J$126,'Registro Diario'!$B$2:$B$126,$A36,'Registro Diario'!$S$2:$S$126,"Vencido 6-10 d"),1)</f>
        <v>57.9</v>
      </c>
      <c r="E36" s="5">
        <f>ROUND(SUMIFS('Registro Diario'!$J$2:$J$126,'Registro Diario'!$B$2:$B$126,$A36,'Registro Diario'!$S$2:$S$126,"Vencido 11-15 d"),1)</f>
        <v>0</v>
      </c>
      <c r="F36" s="5">
        <f>ROUND(SUMIFS('Registro Diario'!$J$2:$J$126,'Registro Diario'!$B$2:$B$126,$A36,'Registro Diario'!$S$2:$S$126,"Vencido +15 d"),1)</f>
        <v>0</v>
      </c>
      <c r="G36" s="17">
        <f>SUM(C36:F36)</f>
        <v>145.69999999999999</v>
      </c>
      <c r="H36" s="6">
        <f>IFERROR(_xlfn.MAXIFS('Registro Diario'!$R$2:$R$126,'Registro Diario'!$B$2:$B$126,$A36),0)</f>
        <v>22</v>
      </c>
      <c r="I36" s="8" t="str">
        <f>IFERROR(INDEX('Registro Diario'!$E$2:$E$126,MATCH(1,INDEX(('Registro Diario'!$R$2:$R$126=$H36)*('Registro Diario'!$B$2:$B$126=$A36),0),0)),"—")</f>
        <v>La Pradera-42</v>
      </c>
    </row>
    <row r="37" spans="1:9" ht="15" customHeight="1" x14ac:dyDescent="0.2">
      <c r="A37" s="15">
        <v>4</v>
      </c>
      <c r="B37" s="5">
        <f>ROUND(SUMIFS('Registro Diario'!$J$2:$J$126,'Registro Diario'!$B$2:$B$126,$A37,'Registro Diario'!$S$2:$S$126,"En ciclo"),1)</f>
        <v>506.3</v>
      </c>
      <c r="C37" s="5">
        <f>ROUND(SUMIFS('Registro Diario'!$J$2:$J$126,'Registro Diario'!$B$2:$B$126,$A37,'Registro Diario'!$S$2:$S$126,"Vencido 1-5 d"),1)</f>
        <v>30.1</v>
      </c>
      <c r="D37" s="5">
        <f>ROUND(SUMIFS('Registro Diario'!$J$2:$J$126,'Registro Diario'!$B$2:$B$126,$A37,'Registro Diario'!$S$2:$S$126,"Vencido 6-10 d"),1)</f>
        <v>0</v>
      </c>
      <c r="E37" s="5">
        <f>ROUND(SUMIFS('Registro Diario'!$J$2:$J$126,'Registro Diario'!$B$2:$B$126,$A37,'Registro Diario'!$S$2:$S$126,"Vencido 11-15 d"),1)</f>
        <v>0</v>
      </c>
      <c r="F37" s="5">
        <f>ROUND(SUMIFS('Registro Diario'!$J$2:$J$126,'Registro Diario'!$B$2:$B$126,$A37,'Registro Diario'!$S$2:$S$126,"Vencido +15 d"),1)</f>
        <v>0</v>
      </c>
      <c r="G37" s="17">
        <f>SUM(C37:F37)</f>
        <v>30.1</v>
      </c>
      <c r="H37" s="6">
        <f>IFERROR(_xlfn.MAXIFS('Registro Diario'!$R$2:$R$126,'Registro Diario'!$B$2:$B$126,$A37),0)</f>
        <v>14</v>
      </c>
      <c r="I37" s="8" t="str">
        <f>IFERROR(INDEX('Registro Diario'!$E$2:$E$126,MATCH(1,INDEX(('Registro Diario'!$R$2:$R$126=$H37)*('Registro Diario'!$B$2:$B$126=$A37),0),0)),"—")</f>
        <v>Rines-61</v>
      </c>
    </row>
    <row r="38" spans="1:9" ht="15" customHeight="1" x14ac:dyDescent="0.2">
      <c r="A38" s="15">
        <v>5</v>
      </c>
      <c r="B38" s="5">
        <f ca="1">ROUND(SUMIFS('Registro Diario'!$J$2:$J$126,'Registro Diario'!$B$2:$B$126,$A38,'Registro Diario'!$S$2:$S$126,"En ciclo"),1)</f>
        <v>84</v>
      </c>
      <c r="C38" s="5">
        <f ca="1">ROUND(SUMIFS('Registro Diario'!$J$2:$J$126,'Registro Diario'!$B$2:$B$126,$A38,'Registro Diario'!$S$2:$S$126,"Vencido 1-5 d"),1)</f>
        <v>103</v>
      </c>
      <c r="D38" s="5">
        <f ca="1">ROUND(SUMIFS('Registro Diario'!$J$2:$J$126,'Registro Diario'!$B$2:$B$126,$A38,'Registro Diario'!$S$2:$S$126,"Vencido 6-10 d"),1)</f>
        <v>0</v>
      </c>
      <c r="E38" s="5">
        <f ca="1">ROUND(SUMIFS('Registro Diario'!$J$2:$J$126,'Registro Diario'!$B$2:$B$126,$A38,'Registro Diario'!$S$2:$S$126,"Vencido 11-15 d"),1)</f>
        <v>0</v>
      </c>
      <c r="F38" s="5">
        <f ca="1">ROUND(SUMIFS('Registro Diario'!$J$2:$J$126,'Registro Diario'!$B$2:$B$126,$A38,'Registro Diario'!$S$2:$S$126,"Vencido +15 d"),1)</f>
        <v>0</v>
      </c>
      <c r="G38" s="17">
        <f ca="1">SUM(C38:F38)</f>
        <v>103</v>
      </c>
      <c r="H38" s="6">
        <f>IFERROR(_xlfn.MAXIFS('Registro Diario'!$R$2:$R$126,'Registro Diario'!$B$2:$B$126,$A38),0)</f>
        <v>16</v>
      </c>
      <c r="I38" s="8" t="str">
        <f>IFERROR(INDEX('Registro Diario'!$E$2:$E$126,MATCH(1,INDEX(('Registro Diario'!$R$2:$R$126=$H38)*('Registro Diario'!$B$2:$B$126=$A38),0),0)),"—")</f>
        <v>Paso Barinas-2A</v>
      </c>
    </row>
    <row r="39" spans="1:9" ht="15" customHeight="1" x14ac:dyDescent="0.2">
      <c r="A39" s="10" t="s">
        <v>27</v>
      </c>
      <c r="B39" s="9">
        <f t="shared" ref="B39:G39" ca="1" si="1">SUM(B34:B38)</f>
        <v>1680.3999999999999</v>
      </c>
      <c r="C39" s="9">
        <f t="shared" ca="1" si="1"/>
        <v>493.40000000000003</v>
      </c>
      <c r="D39" s="9">
        <f t="shared" ca="1" si="1"/>
        <v>162.4</v>
      </c>
      <c r="E39" s="9">
        <f t="shared" ca="1" si="1"/>
        <v>0</v>
      </c>
      <c r="F39" s="9">
        <f t="shared" ca="1" si="1"/>
        <v>0</v>
      </c>
      <c r="G39" s="9">
        <f t="shared" ca="1" si="1"/>
        <v>655.80000000000007</v>
      </c>
      <c r="H39" s="10">
        <f>MAX(H34:H38)</f>
        <v>22</v>
      </c>
      <c r="I39" s="12"/>
    </row>
    <row r="41" spans="1:9" ht="15" customHeight="1" x14ac:dyDescent="0.2">
      <c r="A41" s="13" t="s">
        <v>28</v>
      </c>
    </row>
    <row r="42" spans="1:9" ht="29.45" customHeight="1" x14ac:dyDescent="0.2">
      <c r="A42" s="18" t="s">
        <v>23</v>
      </c>
      <c r="B42" s="18" t="s">
        <v>11</v>
      </c>
      <c r="C42" s="18" t="s">
        <v>13</v>
      </c>
      <c r="D42" s="18" t="s">
        <v>15</v>
      </c>
      <c r="E42" s="18" t="s">
        <v>17</v>
      </c>
      <c r="F42" s="18" t="s">
        <v>19</v>
      </c>
      <c r="G42" s="18" t="s">
        <v>29</v>
      </c>
    </row>
    <row r="43" spans="1:9" ht="15" customHeight="1" x14ac:dyDescent="0.2">
      <c r="A43" s="15">
        <f>A34</f>
        <v>1</v>
      </c>
      <c r="B43" s="7">
        <f t="shared" ref="B43:F47" si="2">IF($B34+$G34=0,0,B34/($B34+$G34))</f>
        <v>0.39651695692025668</v>
      </c>
      <c r="C43" s="7">
        <f t="shared" si="2"/>
        <v>0.41191567369385884</v>
      </c>
      <c r="D43" s="7">
        <f t="shared" si="2"/>
        <v>0.19156736938588451</v>
      </c>
      <c r="E43" s="7">
        <f t="shared" si="2"/>
        <v>0</v>
      </c>
      <c r="F43" s="7">
        <f t="shared" si="2"/>
        <v>0</v>
      </c>
      <c r="G43" s="5">
        <f t="shared" ref="G43:G48" si="3">B34+G34</f>
        <v>545.5</v>
      </c>
    </row>
    <row r="44" spans="1:9" ht="15" customHeight="1" x14ac:dyDescent="0.2">
      <c r="A44" s="15">
        <f>A35</f>
        <v>2</v>
      </c>
      <c r="B44" s="7">
        <f t="shared" si="2"/>
        <v>0.90955534531693472</v>
      </c>
      <c r="C44" s="7">
        <f t="shared" si="2"/>
        <v>9.044465468306527E-2</v>
      </c>
      <c r="D44" s="7">
        <f t="shared" si="2"/>
        <v>0</v>
      </c>
      <c r="E44" s="7">
        <f t="shared" si="2"/>
        <v>0</v>
      </c>
      <c r="F44" s="7">
        <f t="shared" si="2"/>
        <v>0</v>
      </c>
      <c r="G44" s="5">
        <f t="shared" si="3"/>
        <v>528.5</v>
      </c>
    </row>
    <row r="45" spans="1:9" ht="15" customHeight="1" x14ac:dyDescent="0.2">
      <c r="A45" s="15">
        <f>A36</f>
        <v>3</v>
      </c>
      <c r="B45" s="7">
        <f t="shared" si="2"/>
        <v>0.72958426132145515</v>
      </c>
      <c r="C45" s="7">
        <f t="shared" si="2"/>
        <v>0.16295471417965851</v>
      </c>
      <c r="D45" s="7">
        <f t="shared" si="2"/>
        <v>0.10746102449888642</v>
      </c>
      <c r="E45" s="7">
        <f t="shared" si="2"/>
        <v>0</v>
      </c>
      <c r="F45" s="7">
        <f t="shared" si="2"/>
        <v>0</v>
      </c>
      <c r="G45" s="5">
        <f t="shared" si="3"/>
        <v>538.79999999999995</v>
      </c>
    </row>
    <row r="46" spans="1:9" ht="15" customHeight="1" x14ac:dyDescent="0.2">
      <c r="A46" s="15">
        <f>A37</f>
        <v>4</v>
      </c>
      <c r="B46" s="7">
        <f t="shared" si="2"/>
        <v>0.94388516032811343</v>
      </c>
      <c r="C46" s="7">
        <f t="shared" si="2"/>
        <v>5.6114839671886657E-2</v>
      </c>
      <c r="D46" s="7">
        <f t="shared" si="2"/>
        <v>0</v>
      </c>
      <c r="E46" s="7">
        <f t="shared" si="2"/>
        <v>0</v>
      </c>
      <c r="F46" s="7">
        <f t="shared" si="2"/>
        <v>0</v>
      </c>
      <c r="G46" s="5">
        <f t="shared" si="3"/>
        <v>536.4</v>
      </c>
    </row>
    <row r="47" spans="1:9" ht="15" customHeight="1" x14ac:dyDescent="0.2">
      <c r="A47" s="15">
        <f>A38</f>
        <v>5</v>
      </c>
      <c r="B47" s="7">
        <f t="shared" ca="1" si="2"/>
        <v>0.44919786096256686</v>
      </c>
      <c r="C47" s="7">
        <f t="shared" ca="1" si="2"/>
        <v>0.55080213903743314</v>
      </c>
      <c r="D47" s="7">
        <f t="shared" ca="1" si="2"/>
        <v>0</v>
      </c>
      <c r="E47" s="7">
        <f t="shared" ca="1" si="2"/>
        <v>0</v>
      </c>
      <c r="F47" s="7">
        <f t="shared" ca="1" si="2"/>
        <v>0</v>
      </c>
      <c r="G47" s="5">
        <f t="shared" ca="1" si="3"/>
        <v>187</v>
      </c>
    </row>
    <row r="48" spans="1:9" ht="15" customHeight="1" x14ac:dyDescent="0.2">
      <c r="A48" s="10" t="s">
        <v>27</v>
      </c>
      <c r="B48" s="11">
        <f ca="1">IF($B$39+$G$39=0,0,B39/($B$39+$G$39))</f>
        <v>0.71928773221470765</v>
      </c>
      <c r="C48" s="11">
        <f ca="1">IF($B$39+$G$39=0,0,C39/($B$39+$G$39))</f>
        <v>0.21119767143224041</v>
      </c>
      <c r="D48" s="11">
        <f ca="1">IF($B$39+$G$39=0,0,D39/($B$39+$G$39))</f>
        <v>6.9514596353051974E-2</v>
      </c>
      <c r="E48" s="11">
        <f ca="1">IF($B$39+$G$39=0,0,E39/($B$39+$G$39))</f>
        <v>0</v>
      </c>
      <c r="F48" s="11">
        <f ca="1">IF($B$39+$G$39=0,0,F39/($B$39+$G$39))</f>
        <v>0</v>
      </c>
      <c r="G48" s="9">
        <f t="shared" ca="1" si="3"/>
        <v>2336.1999999999998</v>
      </c>
    </row>
    <row r="50" spans="1:9" x14ac:dyDescent="0.2">
      <c r="A50" s="2" t="s">
        <v>30</v>
      </c>
    </row>
    <row r="51" spans="1:9" x14ac:dyDescent="0.2">
      <c r="A51" s="1" t="s">
        <v>31</v>
      </c>
      <c r="B51" s="230" t="s">
        <v>32</v>
      </c>
      <c r="C51" s="230"/>
      <c r="D51" s="230"/>
      <c r="E51" s="230"/>
      <c r="F51" s="230"/>
      <c r="G51" s="230"/>
      <c r="H51" s="230"/>
      <c r="I51" s="230"/>
    </row>
    <row r="52" spans="1:9" ht="13.5" customHeight="1" x14ac:dyDescent="0.2">
      <c r="A52" s="19" t="s">
        <v>33</v>
      </c>
      <c r="B52" s="228" t="s">
        <v>34</v>
      </c>
      <c r="C52" s="228"/>
      <c r="D52" s="228"/>
      <c r="E52" s="228"/>
      <c r="F52" s="228"/>
      <c r="G52" s="228"/>
      <c r="H52" s="228"/>
      <c r="I52" s="228"/>
    </row>
    <row r="53" spans="1:9" ht="13.5" customHeight="1" x14ac:dyDescent="0.2">
      <c r="A53" s="19" t="s">
        <v>11</v>
      </c>
      <c r="B53" s="228" t="s">
        <v>35</v>
      </c>
      <c r="C53" s="228"/>
      <c r="D53" s="228"/>
      <c r="E53" s="228"/>
      <c r="F53" s="228"/>
      <c r="G53" s="228"/>
      <c r="H53" s="228"/>
      <c r="I53" s="228"/>
    </row>
    <row r="54" spans="1:9" ht="13.5" customHeight="1" x14ac:dyDescent="0.2">
      <c r="A54" s="19" t="s">
        <v>13</v>
      </c>
      <c r="B54" s="228" t="s">
        <v>36</v>
      </c>
      <c r="C54" s="228"/>
      <c r="D54" s="228"/>
      <c r="E54" s="228"/>
      <c r="F54" s="228"/>
      <c r="G54" s="228"/>
      <c r="H54" s="228"/>
      <c r="I54" s="228"/>
    </row>
    <row r="55" spans="1:9" ht="13.5" customHeight="1" x14ac:dyDescent="0.2">
      <c r="A55" s="19" t="s">
        <v>15</v>
      </c>
      <c r="B55" s="228" t="s">
        <v>37</v>
      </c>
      <c r="C55" s="228"/>
      <c r="D55" s="228"/>
      <c r="E55" s="228"/>
      <c r="F55" s="228"/>
      <c r="G55" s="228"/>
      <c r="H55" s="228"/>
      <c r="I55" s="228"/>
    </row>
    <row r="56" spans="1:9" ht="13.5" customHeight="1" x14ac:dyDescent="0.2">
      <c r="A56" s="19" t="s">
        <v>17</v>
      </c>
      <c r="B56" s="228" t="s">
        <v>38</v>
      </c>
      <c r="C56" s="228"/>
      <c r="D56" s="228"/>
      <c r="E56" s="228"/>
      <c r="F56" s="228"/>
      <c r="G56" s="228"/>
      <c r="H56" s="228"/>
      <c r="I56" s="228"/>
    </row>
    <row r="57" spans="1:9" ht="13.5" customHeight="1" x14ac:dyDescent="0.2">
      <c r="A57" s="19" t="s">
        <v>19</v>
      </c>
      <c r="B57" s="228" t="s">
        <v>39</v>
      </c>
      <c r="C57" s="228"/>
      <c r="D57" s="228"/>
      <c r="E57" s="228"/>
      <c r="F57" s="228"/>
      <c r="G57" s="228"/>
      <c r="H57" s="228"/>
      <c r="I57" s="228"/>
    </row>
    <row r="58" spans="1:9" ht="13.5" customHeight="1" x14ac:dyDescent="0.2">
      <c r="A58" s="19" t="s">
        <v>40</v>
      </c>
      <c r="B58" s="228" t="s">
        <v>41</v>
      </c>
      <c r="C58" s="228"/>
      <c r="D58" s="228"/>
      <c r="E58" s="228"/>
      <c r="F58" s="228"/>
      <c r="G58" s="228"/>
      <c r="H58" s="228"/>
      <c r="I58" s="228"/>
    </row>
    <row r="81" spans="1:6" ht="15" customHeight="1" x14ac:dyDescent="0.2">
      <c r="A81" s="95" t="s">
        <v>42</v>
      </c>
      <c r="B81" s="77"/>
      <c r="C81" s="77"/>
      <c r="D81" s="77"/>
      <c r="E81" s="77"/>
      <c r="F81" s="77"/>
    </row>
    <row r="82" spans="1:6" ht="15" customHeight="1" x14ac:dyDescent="0.2">
      <c r="A82" s="15" t="s">
        <v>43</v>
      </c>
      <c r="B82" s="14">
        <v>4</v>
      </c>
      <c r="C82" s="96" t="s">
        <v>44</v>
      </c>
      <c r="D82" s="77"/>
      <c r="E82" s="77"/>
      <c r="F82" s="77"/>
    </row>
    <row r="83" spans="1:6" ht="15" customHeight="1" x14ac:dyDescent="0.2">
      <c r="A83" s="6" t="s">
        <v>45</v>
      </c>
      <c r="B83" s="91">
        <f ca="1">ROUND(SUMIFS('Registro Diario'!$J$2:$J$126,'Registro Diario'!$T$2:$T$126,"Recién cortado",'Registro Diario'!$B$2:$B$126,IF($B$82="Todas","&lt;&gt;",$B$82)),1)</f>
        <v>139.1</v>
      </c>
      <c r="C83" s="6" t="str">
        <f ca="1">COUNTIFS('Registro Diario'!$T$2:$T$126,"Recién cortado",'Registro Diario'!$B$2:$B$126,IF($B$82="Todas","&lt;&gt;",$B$82))&amp;" lotes"</f>
        <v>6 lotes</v>
      </c>
      <c r="D83" s="77"/>
      <c r="E83" s="77"/>
      <c r="F83" s="77"/>
    </row>
    <row r="84" spans="1:6" ht="15" customHeight="1" x14ac:dyDescent="0.2">
      <c r="A84" s="6" t="s">
        <v>46</v>
      </c>
      <c r="B84" s="91">
        <f ca="1">ROUND(SUMIFS('Registro Diario'!$J$2:$J$126,'Registro Diario'!$T$2:$T$126,"En ciclo",'Registro Diario'!$B$2:$B$126,IF($B$82="Todas","&lt;&gt;",$B$82)),1)</f>
        <v>367.2</v>
      </c>
      <c r="C84" s="6" t="str">
        <f ca="1">COUNTIFS('Registro Diario'!$T$2:$T$126,"En ciclo",'Registro Diario'!$B$2:$B$126,IF($B$82="Todas","&lt;&gt;",$B$82))&amp;" lotes"</f>
        <v>21 lotes</v>
      </c>
      <c r="D84" s="77"/>
      <c r="E84" s="77"/>
      <c r="F84" s="77"/>
    </row>
    <row r="85" spans="1:6" ht="15" customHeight="1" x14ac:dyDescent="0.2">
      <c r="A85" s="6" t="s">
        <v>47</v>
      </c>
      <c r="B85" s="91">
        <f ca="1">ROUND(SUMIFS('Registro Diario'!$J$2:$J$126,'Registro Diario'!$T$2:$T$126,"Fuera de ciclo",'Registro Diario'!$B$2:$B$126,IF($B$82="Todas","&lt;&gt;",$B$82)),1)</f>
        <v>30.1</v>
      </c>
      <c r="C85" s="6" t="str">
        <f ca="1">COUNTIFS('Registro Diario'!$T$2:$T$126,"Fuera de ciclo",'Registro Diario'!$B$2:$B$126,IF($B$82="Todas","&lt;&gt;",$B$82))&amp;" lotes"</f>
        <v>2 lotes</v>
      </c>
      <c r="D85" s="77"/>
      <c r="E85" s="77"/>
      <c r="F85" s="77"/>
    </row>
    <row r="86" spans="1:6" ht="15" customHeight="1" x14ac:dyDescent="0.2">
      <c r="A86" s="15" t="s">
        <v>48</v>
      </c>
      <c r="B86" s="15">
        <f>IFERROR(_xlfn.MAXIFS('Registro Diario'!$R$2:$R$126,'Registro Diario'!$B$2:$B$126,IF($B$82="Todas","&lt;&gt;",$B$82)),0)</f>
        <v>14</v>
      </c>
      <c r="C86" s="77"/>
      <c r="D86" s="77"/>
      <c r="E86" s="77"/>
      <c r="F86" s="77"/>
    </row>
    <row r="87" spans="1:6" ht="15" customHeight="1" x14ac:dyDescent="0.2">
      <c r="A87" s="15" t="s">
        <v>49</v>
      </c>
      <c r="B87" s="97" t="str">
        <f>IFERROR(INDEX('Registro Diario'!$E$2:$E$126,MATCH(1,INDEX(('Registro Diario'!$R$2:$R$126=$B$86)*(IF($B$82="Todas",1,'Registro Diario'!$B$2:$B$126=$B$82)),0),0)),"—")</f>
        <v>—</v>
      </c>
      <c r="C87" s="77"/>
      <c r="D87" s="77"/>
      <c r="E87" s="77"/>
      <c r="F87" s="77"/>
    </row>
  </sheetData>
  <mergeCells count="22">
    <mergeCell ref="B56:I56"/>
    <mergeCell ref="B57:I57"/>
    <mergeCell ref="B58:I58"/>
    <mergeCell ref="A1:K1"/>
    <mergeCell ref="B51:I51"/>
    <mergeCell ref="B52:I52"/>
    <mergeCell ref="B53:I53"/>
    <mergeCell ref="B54:I54"/>
    <mergeCell ref="B55:I55"/>
    <mergeCell ref="A5:B5"/>
    <mergeCell ref="C5:D5"/>
    <mergeCell ref="E5:F5"/>
    <mergeCell ref="G5:H5"/>
    <mergeCell ref="A6:B6"/>
    <mergeCell ref="C6:D6"/>
    <mergeCell ref="E6:F6"/>
    <mergeCell ref="G6:H6"/>
    <mergeCell ref="D2:I2"/>
    <mergeCell ref="A4:B4"/>
    <mergeCell ref="C4:D4"/>
    <mergeCell ref="E4:F4"/>
    <mergeCell ref="G4:H4"/>
  </mergeCells>
  <pageMargins left="0.75" right="0.75" top="1" bottom="1" header="0.511811023622047" footer="0.511811023622047"/>
  <pageSetup paperSize="9" orientation="portrait" horizontalDpi="300" verticalDpi="300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Fecha no válida" error="Seleccione una fecha del desplegable (01/07/2026 - 31/12/2026)." promptTitle="📅 Calendario del informe" prompt="Haga clic en la flecha ▼ para desplegar el calendario de fechas (01/07/2026 - 31/12/2026). Todos los KPIs, tablas y gráficos se recalcularán al seleccionar una fecha. Escriba =HOY() para volver a la fecha actual." xr:uid="{39C911A9-82DD-45BC-9385-0F751A57616A}">
          <x14:formula1>
            <xm:f>'Registro Diario'!$W$1:$GX$1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GX222"/>
  <sheetViews>
    <sheetView zoomScale="86" zoomScaleNormal="86" workbookViewId="0">
      <pane xSplit="53" ySplit="1" topLeftCell="BO58" activePane="bottomRight" state="frozen"/>
      <selection pane="bottomLeft" activeCell="A2" sqref="A2"/>
      <selection pane="topRight" activeCell="BB1" sqref="BB1"/>
      <selection pane="bottomRight" activeCell="BO92" sqref="BO92"/>
    </sheetView>
  </sheetViews>
  <sheetFormatPr defaultColWidth="8.609375" defaultRowHeight="15" outlineLevelCol="1" x14ac:dyDescent="0.2"/>
  <cols>
    <col min="1" max="1" width="30.66796875" style="77" bestFit="1" customWidth="1"/>
    <col min="2" max="2" width="18.5625" style="77" customWidth="1"/>
    <col min="3" max="3" width="13.046875" style="77" customWidth="1"/>
    <col min="4" max="4" width="6.9921875" style="77" customWidth="1"/>
    <col min="5" max="5" width="16.94921875" style="77" customWidth="1"/>
    <col min="6" max="6" width="13.98828125" style="77" hidden="1" customWidth="1"/>
    <col min="7" max="7" width="11.97265625" style="77" hidden="1" customWidth="1"/>
    <col min="8" max="8" width="7.93359375" style="77" hidden="1" customWidth="1"/>
    <col min="9" max="9" width="6.05078125" style="77" hidden="1" customWidth="1"/>
    <col min="10" max="10" width="9.01171875" style="77" customWidth="1"/>
    <col min="11" max="12" width="11.02734375" style="77" hidden="1" customWidth="1"/>
    <col min="13" max="13" width="13.046875" style="77" hidden="1" customWidth="1"/>
    <col min="14" max="14" width="18.0234375" style="77" hidden="1" customWidth="1"/>
    <col min="15" max="15" width="13.046875" style="77" hidden="1" customWidth="1"/>
    <col min="16" max="16" width="12.64453125" style="77" hidden="1" customWidth="1"/>
    <col min="17" max="17" width="13.98828125" style="77" customWidth="1"/>
    <col min="18" max="18" width="9.01171875" style="77" customWidth="1"/>
    <col min="19" max="20" width="13.98828125" style="77" customWidth="1"/>
    <col min="21" max="21" width="9.953125" style="77" customWidth="1"/>
    <col min="22" max="22" width="16.0078125" style="77" customWidth="1"/>
    <col min="23" max="53" width="9.68359375" style="77" hidden="1" customWidth="1" outlineLevel="1"/>
    <col min="54" max="54" width="9.68359375" style="77" customWidth="1" collapsed="1"/>
    <col min="55" max="63" width="9.68359375" style="77" customWidth="1"/>
    <col min="64" max="66" width="9.68359375" style="77" hidden="1" customWidth="1"/>
    <col min="67" max="206" width="9.68359375" style="77" customWidth="1"/>
    <col min="207" max="16384" width="8.609375" style="77"/>
  </cols>
  <sheetData>
    <row r="1" spans="1:206" ht="30" customHeight="1" x14ac:dyDescent="0.2">
      <c r="A1" s="20" t="s">
        <v>50</v>
      </c>
      <c r="B1" s="20" t="s">
        <v>23</v>
      </c>
      <c r="C1" s="20" t="s">
        <v>51</v>
      </c>
      <c r="D1" s="20" t="s">
        <v>52</v>
      </c>
      <c r="E1" s="20" t="s">
        <v>53</v>
      </c>
      <c r="F1" s="20" t="s">
        <v>54</v>
      </c>
      <c r="G1" s="20" t="s">
        <v>55</v>
      </c>
      <c r="H1" s="20" t="s">
        <v>56</v>
      </c>
      <c r="I1" s="20" t="s">
        <v>57</v>
      </c>
      <c r="J1" s="20" t="s">
        <v>7</v>
      </c>
      <c r="K1" s="20" t="s">
        <v>58</v>
      </c>
      <c r="L1" s="20" t="s">
        <v>59</v>
      </c>
      <c r="M1" s="20" t="s">
        <v>60</v>
      </c>
      <c r="N1" s="20" t="s">
        <v>61</v>
      </c>
      <c r="O1" s="20" t="s">
        <v>62</v>
      </c>
      <c r="P1" s="20" t="s">
        <v>31</v>
      </c>
      <c r="Q1" s="20" t="s">
        <v>63</v>
      </c>
      <c r="R1" s="20" t="s">
        <v>64</v>
      </c>
      <c r="S1" s="20" t="s">
        <v>6</v>
      </c>
      <c r="T1" s="20" t="s">
        <v>65</v>
      </c>
      <c r="U1" s="20" t="s">
        <v>66</v>
      </c>
      <c r="V1" s="20" t="s">
        <v>67</v>
      </c>
      <c r="W1" s="78">
        <f>DATE(2026,7,1)</f>
        <v>46204</v>
      </c>
      <c r="X1" s="78">
        <f>W1+1</f>
        <v>46205</v>
      </c>
      <c r="Y1" s="78">
        <f t="shared" ref="Y1:CJ1" si="0">X1+1</f>
        <v>46206</v>
      </c>
      <c r="Z1" s="78">
        <f t="shared" si="0"/>
        <v>46207</v>
      </c>
      <c r="AA1" s="78">
        <f t="shared" si="0"/>
        <v>46208</v>
      </c>
      <c r="AB1" s="78">
        <f t="shared" si="0"/>
        <v>46209</v>
      </c>
      <c r="AC1" s="78">
        <f t="shared" si="0"/>
        <v>46210</v>
      </c>
      <c r="AD1" s="78">
        <f t="shared" si="0"/>
        <v>46211</v>
      </c>
      <c r="AE1" s="78">
        <f t="shared" si="0"/>
        <v>46212</v>
      </c>
      <c r="AF1" s="78">
        <f t="shared" si="0"/>
        <v>46213</v>
      </c>
      <c r="AG1" s="78">
        <f t="shared" si="0"/>
        <v>46214</v>
      </c>
      <c r="AH1" s="78">
        <f t="shared" si="0"/>
        <v>46215</v>
      </c>
      <c r="AI1" s="78">
        <f t="shared" si="0"/>
        <v>46216</v>
      </c>
      <c r="AJ1" s="78">
        <f t="shared" si="0"/>
        <v>46217</v>
      </c>
      <c r="AK1" s="78">
        <f t="shared" si="0"/>
        <v>46218</v>
      </c>
      <c r="AL1" s="78">
        <f t="shared" si="0"/>
        <v>46219</v>
      </c>
      <c r="AM1" s="78">
        <f t="shared" si="0"/>
        <v>46220</v>
      </c>
      <c r="AN1" s="78">
        <f t="shared" si="0"/>
        <v>46221</v>
      </c>
      <c r="AO1" s="78">
        <f t="shared" si="0"/>
        <v>46222</v>
      </c>
      <c r="AP1" s="78">
        <f t="shared" si="0"/>
        <v>46223</v>
      </c>
      <c r="AQ1" s="78">
        <f t="shared" si="0"/>
        <v>46224</v>
      </c>
      <c r="AR1" s="78">
        <f t="shared" si="0"/>
        <v>46225</v>
      </c>
      <c r="AS1" s="78">
        <f t="shared" si="0"/>
        <v>46226</v>
      </c>
      <c r="AT1" s="78">
        <f t="shared" si="0"/>
        <v>46227</v>
      </c>
      <c r="AU1" s="78">
        <f t="shared" si="0"/>
        <v>46228</v>
      </c>
      <c r="AV1" s="78">
        <f t="shared" si="0"/>
        <v>46229</v>
      </c>
      <c r="AW1" s="78">
        <f t="shared" si="0"/>
        <v>46230</v>
      </c>
      <c r="AX1" s="78">
        <f t="shared" si="0"/>
        <v>46231</v>
      </c>
      <c r="AY1" s="78">
        <f t="shared" si="0"/>
        <v>46232</v>
      </c>
      <c r="AZ1" s="78">
        <f t="shared" si="0"/>
        <v>46233</v>
      </c>
      <c r="BA1" s="78">
        <f t="shared" si="0"/>
        <v>46234</v>
      </c>
      <c r="BB1" s="78">
        <f t="shared" si="0"/>
        <v>46235</v>
      </c>
      <c r="BC1" s="78">
        <f t="shared" si="0"/>
        <v>46236</v>
      </c>
      <c r="BD1" s="78">
        <f t="shared" si="0"/>
        <v>46237</v>
      </c>
      <c r="BE1" s="78">
        <f t="shared" si="0"/>
        <v>46238</v>
      </c>
      <c r="BF1" s="78">
        <f t="shared" si="0"/>
        <v>46239</v>
      </c>
      <c r="BG1" s="78">
        <f t="shared" si="0"/>
        <v>46240</v>
      </c>
      <c r="BH1" s="78">
        <f t="shared" si="0"/>
        <v>46241</v>
      </c>
      <c r="BI1" s="78">
        <f t="shared" si="0"/>
        <v>46242</v>
      </c>
      <c r="BJ1" s="78">
        <f t="shared" si="0"/>
        <v>46243</v>
      </c>
      <c r="BK1" s="78">
        <f t="shared" si="0"/>
        <v>46244</v>
      </c>
      <c r="BL1" s="78">
        <f t="shared" si="0"/>
        <v>46245</v>
      </c>
      <c r="BM1" s="78">
        <f t="shared" si="0"/>
        <v>46246</v>
      </c>
      <c r="BN1" s="78">
        <f t="shared" si="0"/>
        <v>46247</v>
      </c>
      <c r="BO1" s="78">
        <f t="shared" si="0"/>
        <v>46248</v>
      </c>
      <c r="BP1" s="78">
        <f t="shared" si="0"/>
        <v>46249</v>
      </c>
      <c r="BQ1" s="78">
        <f t="shared" si="0"/>
        <v>46250</v>
      </c>
      <c r="BR1" s="78">
        <f t="shared" si="0"/>
        <v>46251</v>
      </c>
      <c r="BS1" s="78">
        <f t="shared" si="0"/>
        <v>46252</v>
      </c>
      <c r="BT1" s="78">
        <f t="shared" si="0"/>
        <v>46253</v>
      </c>
      <c r="BU1" s="78">
        <f t="shared" si="0"/>
        <v>46254</v>
      </c>
      <c r="BV1" s="78">
        <f t="shared" si="0"/>
        <v>46255</v>
      </c>
      <c r="BW1" s="78">
        <f t="shared" si="0"/>
        <v>46256</v>
      </c>
      <c r="BX1" s="78">
        <f t="shared" si="0"/>
        <v>46257</v>
      </c>
      <c r="BY1" s="78">
        <f t="shared" si="0"/>
        <v>46258</v>
      </c>
      <c r="BZ1" s="78">
        <f t="shared" si="0"/>
        <v>46259</v>
      </c>
      <c r="CA1" s="78">
        <f t="shared" si="0"/>
        <v>46260</v>
      </c>
      <c r="CB1" s="78">
        <f t="shared" si="0"/>
        <v>46261</v>
      </c>
      <c r="CC1" s="78">
        <f t="shared" si="0"/>
        <v>46262</v>
      </c>
      <c r="CD1" s="78">
        <f t="shared" si="0"/>
        <v>46263</v>
      </c>
      <c r="CE1" s="78">
        <f t="shared" si="0"/>
        <v>46264</v>
      </c>
      <c r="CF1" s="78">
        <f t="shared" si="0"/>
        <v>46265</v>
      </c>
      <c r="CG1" s="78">
        <f t="shared" si="0"/>
        <v>46266</v>
      </c>
      <c r="CH1" s="78">
        <f t="shared" si="0"/>
        <v>46267</v>
      </c>
      <c r="CI1" s="78">
        <f t="shared" si="0"/>
        <v>46268</v>
      </c>
      <c r="CJ1" s="78">
        <f t="shared" si="0"/>
        <v>46269</v>
      </c>
      <c r="CK1" s="78">
        <f t="shared" ref="CK1:EV1" si="1">CJ1+1</f>
        <v>46270</v>
      </c>
      <c r="CL1" s="78">
        <f t="shared" si="1"/>
        <v>46271</v>
      </c>
      <c r="CM1" s="78">
        <f t="shared" si="1"/>
        <v>46272</v>
      </c>
      <c r="CN1" s="78">
        <f t="shared" si="1"/>
        <v>46273</v>
      </c>
      <c r="CO1" s="78">
        <f t="shared" si="1"/>
        <v>46274</v>
      </c>
      <c r="CP1" s="78">
        <f t="shared" si="1"/>
        <v>46275</v>
      </c>
      <c r="CQ1" s="78">
        <f t="shared" si="1"/>
        <v>46276</v>
      </c>
      <c r="CR1" s="78">
        <f t="shared" si="1"/>
        <v>46277</v>
      </c>
      <c r="CS1" s="78">
        <f t="shared" si="1"/>
        <v>46278</v>
      </c>
      <c r="CT1" s="78">
        <f t="shared" si="1"/>
        <v>46279</v>
      </c>
      <c r="CU1" s="78">
        <f t="shared" si="1"/>
        <v>46280</v>
      </c>
      <c r="CV1" s="78">
        <f t="shared" si="1"/>
        <v>46281</v>
      </c>
      <c r="CW1" s="78">
        <f t="shared" si="1"/>
        <v>46282</v>
      </c>
      <c r="CX1" s="78">
        <f t="shared" si="1"/>
        <v>46283</v>
      </c>
      <c r="CY1" s="78">
        <f t="shared" si="1"/>
        <v>46284</v>
      </c>
      <c r="CZ1" s="78">
        <f t="shared" si="1"/>
        <v>46285</v>
      </c>
      <c r="DA1" s="78">
        <f t="shared" si="1"/>
        <v>46286</v>
      </c>
      <c r="DB1" s="78">
        <f t="shared" si="1"/>
        <v>46287</v>
      </c>
      <c r="DC1" s="78">
        <f t="shared" si="1"/>
        <v>46288</v>
      </c>
      <c r="DD1" s="78">
        <f t="shared" si="1"/>
        <v>46289</v>
      </c>
      <c r="DE1" s="78">
        <f t="shared" si="1"/>
        <v>46290</v>
      </c>
      <c r="DF1" s="78">
        <f t="shared" si="1"/>
        <v>46291</v>
      </c>
      <c r="DG1" s="78">
        <f t="shared" si="1"/>
        <v>46292</v>
      </c>
      <c r="DH1" s="78">
        <f t="shared" si="1"/>
        <v>46293</v>
      </c>
      <c r="DI1" s="78">
        <f t="shared" si="1"/>
        <v>46294</v>
      </c>
      <c r="DJ1" s="78">
        <f t="shared" si="1"/>
        <v>46295</v>
      </c>
      <c r="DK1" s="78">
        <f t="shared" si="1"/>
        <v>46296</v>
      </c>
      <c r="DL1" s="78">
        <f t="shared" si="1"/>
        <v>46297</v>
      </c>
      <c r="DM1" s="78">
        <f t="shared" si="1"/>
        <v>46298</v>
      </c>
      <c r="DN1" s="78">
        <f t="shared" si="1"/>
        <v>46299</v>
      </c>
      <c r="DO1" s="78">
        <f t="shared" si="1"/>
        <v>46300</v>
      </c>
      <c r="DP1" s="78">
        <f t="shared" si="1"/>
        <v>46301</v>
      </c>
      <c r="DQ1" s="78">
        <f t="shared" si="1"/>
        <v>46302</v>
      </c>
      <c r="DR1" s="78">
        <f t="shared" si="1"/>
        <v>46303</v>
      </c>
      <c r="DS1" s="78">
        <f t="shared" si="1"/>
        <v>46304</v>
      </c>
      <c r="DT1" s="78">
        <f t="shared" si="1"/>
        <v>46305</v>
      </c>
      <c r="DU1" s="78">
        <f t="shared" si="1"/>
        <v>46306</v>
      </c>
      <c r="DV1" s="78">
        <f t="shared" si="1"/>
        <v>46307</v>
      </c>
      <c r="DW1" s="78">
        <f t="shared" si="1"/>
        <v>46308</v>
      </c>
      <c r="DX1" s="78">
        <f t="shared" si="1"/>
        <v>46309</v>
      </c>
      <c r="DY1" s="78">
        <f t="shared" si="1"/>
        <v>46310</v>
      </c>
      <c r="DZ1" s="78">
        <f t="shared" si="1"/>
        <v>46311</v>
      </c>
      <c r="EA1" s="78">
        <f t="shared" si="1"/>
        <v>46312</v>
      </c>
      <c r="EB1" s="78">
        <f t="shared" si="1"/>
        <v>46313</v>
      </c>
      <c r="EC1" s="78">
        <f t="shared" si="1"/>
        <v>46314</v>
      </c>
      <c r="ED1" s="78">
        <f t="shared" si="1"/>
        <v>46315</v>
      </c>
      <c r="EE1" s="78">
        <f t="shared" si="1"/>
        <v>46316</v>
      </c>
      <c r="EF1" s="78">
        <f t="shared" si="1"/>
        <v>46317</v>
      </c>
      <c r="EG1" s="78">
        <f t="shared" si="1"/>
        <v>46318</v>
      </c>
      <c r="EH1" s="78">
        <f t="shared" si="1"/>
        <v>46319</v>
      </c>
      <c r="EI1" s="78">
        <f t="shared" si="1"/>
        <v>46320</v>
      </c>
      <c r="EJ1" s="78">
        <f t="shared" si="1"/>
        <v>46321</v>
      </c>
      <c r="EK1" s="78">
        <f t="shared" si="1"/>
        <v>46322</v>
      </c>
      <c r="EL1" s="78">
        <f t="shared" si="1"/>
        <v>46323</v>
      </c>
      <c r="EM1" s="78">
        <f t="shared" si="1"/>
        <v>46324</v>
      </c>
      <c r="EN1" s="78">
        <f t="shared" si="1"/>
        <v>46325</v>
      </c>
      <c r="EO1" s="78">
        <f t="shared" si="1"/>
        <v>46326</v>
      </c>
      <c r="EP1" s="78">
        <f t="shared" si="1"/>
        <v>46327</v>
      </c>
      <c r="EQ1" s="78">
        <f t="shared" si="1"/>
        <v>46328</v>
      </c>
      <c r="ER1" s="78">
        <f t="shared" si="1"/>
        <v>46329</v>
      </c>
      <c r="ES1" s="78">
        <f t="shared" si="1"/>
        <v>46330</v>
      </c>
      <c r="ET1" s="78">
        <f t="shared" si="1"/>
        <v>46331</v>
      </c>
      <c r="EU1" s="78">
        <f t="shared" si="1"/>
        <v>46332</v>
      </c>
      <c r="EV1" s="78">
        <f t="shared" si="1"/>
        <v>46333</v>
      </c>
      <c r="EW1" s="78">
        <f t="shared" ref="EW1:GX1" si="2">EV1+1</f>
        <v>46334</v>
      </c>
      <c r="EX1" s="78">
        <f t="shared" si="2"/>
        <v>46335</v>
      </c>
      <c r="EY1" s="78">
        <f t="shared" si="2"/>
        <v>46336</v>
      </c>
      <c r="EZ1" s="78">
        <f t="shared" si="2"/>
        <v>46337</v>
      </c>
      <c r="FA1" s="78">
        <f t="shared" si="2"/>
        <v>46338</v>
      </c>
      <c r="FB1" s="78">
        <f t="shared" si="2"/>
        <v>46339</v>
      </c>
      <c r="FC1" s="78">
        <f t="shared" si="2"/>
        <v>46340</v>
      </c>
      <c r="FD1" s="78">
        <f t="shared" si="2"/>
        <v>46341</v>
      </c>
      <c r="FE1" s="78">
        <f t="shared" si="2"/>
        <v>46342</v>
      </c>
      <c r="FF1" s="78">
        <f t="shared" si="2"/>
        <v>46343</v>
      </c>
      <c r="FG1" s="78">
        <f t="shared" si="2"/>
        <v>46344</v>
      </c>
      <c r="FH1" s="78">
        <f t="shared" si="2"/>
        <v>46345</v>
      </c>
      <c r="FI1" s="78">
        <f t="shared" si="2"/>
        <v>46346</v>
      </c>
      <c r="FJ1" s="78">
        <f t="shared" si="2"/>
        <v>46347</v>
      </c>
      <c r="FK1" s="78">
        <f t="shared" si="2"/>
        <v>46348</v>
      </c>
      <c r="FL1" s="78">
        <f t="shared" si="2"/>
        <v>46349</v>
      </c>
      <c r="FM1" s="78">
        <f t="shared" si="2"/>
        <v>46350</v>
      </c>
      <c r="FN1" s="78">
        <f t="shared" si="2"/>
        <v>46351</v>
      </c>
      <c r="FO1" s="78">
        <f t="shared" si="2"/>
        <v>46352</v>
      </c>
      <c r="FP1" s="78">
        <f t="shared" si="2"/>
        <v>46353</v>
      </c>
      <c r="FQ1" s="78">
        <f t="shared" si="2"/>
        <v>46354</v>
      </c>
      <c r="FR1" s="78">
        <f t="shared" si="2"/>
        <v>46355</v>
      </c>
      <c r="FS1" s="78">
        <f t="shared" si="2"/>
        <v>46356</v>
      </c>
      <c r="FT1" s="78">
        <f t="shared" si="2"/>
        <v>46357</v>
      </c>
      <c r="FU1" s="78">
        <f t="shared" si="2"/>
        <v>46358</v>
      </c>
      <c r="FV1" s="78">
        <f t="shared" si="2"/>
        <v>46359</v>
      </c>
      <c r="FW1" s="78">
        <f t="shared" si="2"/>
        <v>46360</v>
      </c>
      <c r="FX1" s="78">
        <f t="shared" si="2"/>
        <v>46361</v>
      </c>
      <c r="FY1" s="78">
        <f t="shared" si="2"/>
        <v>46362</v>
      </c>
      <c r="FZ1" s="78">
        <f t="shared" si="2"/>
        <v>46363</v>
      </c>
      <c r="GA1" s="78">
        <f t="shared" si="2"/>
        <v>46364</v>
      </c>
      <c r="GB1" s="78">
        <f t="shared" si="2"/>
        <v>46365</v>
      </c>
      <c r="GC1" s="78">
        <f t="shared" si="2"/>
        <v>46366</v>
      </c>
      <c r="GD1" s="78">
        <f t="shared" si="2"/>
        <v>46367</v>
      </c>
      <c r="GE1" s="78">
        <f t="shared" si="2"/>
        <v>46368</v>
      </c>
      <c r="GF1" s="78">
        <f t="shared" si="2"/>
        <v>46369</v>
      </c>
      <c r="GG1" s="78">
        <f t="shared" si="2"/>
        <v>46370</v>
      </c>
      <c r="GH1" s="78">
        <f t="shared" si="2"/>
        <v>46371</v>
      </c>
      <c r="GI1" s="78">
        <f t="shared" si="2"/>
        <v>46372</v>
      </c>
      <c r="GJ1" s="78">
        <f t="shared" si="2"/>
        <v>46373</v>
      </c>
      <c r="GK1" s="78">
        <f t="shared" si="2"/>
        <v>46374</v>
      </c>
      <c r="GL1" s="78">
        <f t="shared" si="2"/>
        <v>46375</v>
      </c>
      <c r="GM1" s="78">
        <f t="shared" si="2"/>
        <v>46376</v>
      </c>
      <c r="GN1" s="78">
        <f t="shared" si="2"/>
        <v>46377</v>
      </c>
      <c r="GO1" s="78">
        <f t="shared" si="2"/>
        <v>46378</v>
      </c>
      <c r="GP1" s="78">
        <f t="shared" si="2"/>
        <v>46379</v>
      </c>
      <c r="GQ1" s="78">
        <f t="shared" si="2"/>
        <v>46380</v>
      </c>
      <c r="GR1" s="78">
        <f t="shared" si="2"/>
        <v>46381</v>
      </c>
      <c r="GS1" s="78">
        <f t="shared" si="2"/>
        <v>46382</v>
      </c>
      <c r="GT1" s="78">
        <f t="shared" si="2"/>
        <v>46383</v>
      </c>
      <c r="GU1" s="78">
        <f t="shared" si="2"/>
        <v>46384</v>
      </c>
      <c r="GV1" s="78">
        <f t="shared" si="2"/>
        <v>46385</v>
      </c>
      <c r="GW1" s="78">
        <f t="shared" si="2"/>
        <v>46386</v>
      </c>
      <c r="GX1" s="78">
        <f t="shared" si="2"/>
        <v>46387</v>
      </c>
    </row>
    <row r="2" spans="1:206" ht="15" customHeight="1" x14ac:dyDescent="0.2">
      <c r="A2" s="22" t="s">
        <v>68</v>
      </c>
      <c r="B2" s="22">
        <v>1</v>
      </c>
      <c r="C2" s="22" t="s">
        <v>69</v>
      </c>
      <c r="D2" s="22">
        <v>1</v>
      </c>
      <c r="E2" s="22" t="s">
        <v>70</v>
      </c>
      <c r="F2" s="22" t="s">
        <v>71</v>
      </c>
      <c r="G2" s="22" t="s">
        <v>72</v>
      </c>
      <c r="H2" s="22">
        <v>2009</v>
      </c>
      <c r="I2" s="22">
        <v>17</v>
      </c>
      <c r="J2" s="22">
        <v>39.380000000000003</v>
      </c>
      <c r="K2" s="22">
        <v>179</v>
      </c>
      <c r="L2" s="22">
        <v>5644</v>
      </c>
      <c r="M2" s="22">
        <v>5465</v>
      </c>
      <c r="N2" s="22" t="s">
        <v>73</v>
      </c>
      <c r="O2" s="22" t="s">
        <v>74</v>
      </c>
      <c r="P2" s="22" t="s">
        <v>75</v>
      </c>
      <c r="Q2" s="108">
        <f>IF(R2="","",'Dashboard Ciclos'!$B$2-R2)</f>
        <v>46231</v>
      </c>
      <c r="R2" s="22">
        <f>IF($E2="","",IFERROR(INDEX($W2:$GX2,MATCH('Dashboard Ciclos'!$B$2,$W$1:$GX$1,0)),""))</f>
        <v>18</v>
      </c>
      <c r="S2" s="22" t="str">
        <f>IF($Q2="","Sin dato",IF($R2&lt;=CicloObjetivo,"En ciclo",IF($R2-CicloObjetivo&lt;=5,"Vencido 1-5 d",IF($R2-CicloObjetivo&lt;=10,"Vencido 6-10 d",IF($R2-CicloObjetivo&lt;=15,"Vencido 11-15 d","Vencido +15 d")))))</f>
        <v>Vencido 6-10 d</v>
      </c>
      <c r="T2" s="22" t="str">
        <f t="shared" ref="T2:T33" si="3">IF($Q2="","Sin dato",IF($R2&lt;VentanaCosecha,"Recién cortado",IF($R2&lt;=CicloObjetivo,"En ciclo","Fuera de ciclo")))</f>
        <v>Fuera de ciclo</v>
      </c>
      <c r="U2" s="22">
        <f t="shared" ref="U2:U33" si="4">IF($Q2="","",CicloObjetivo-$R2)</f>
        <v>-6</v>
      </c>
      <c r="V2" s="23">
        <f t="shared" ref="V2:V33" si="5">IF($Q2="","",$Q2+CicloObjetivo)</f>
        <v>46243</v>
      </c>
      <c r="W2" s="77">
        <f t="shared" ref="W2:Z17" si="6">+X2-1</f>
        <v>30</v>
      </c>
      <c r="X2" s="77">
        <f t="shared" si="6"/>
        <v>31</v>
      </c>
      <c r="Y2" s="77">
        <f t="shared" si="6"/>
        <v>32</v>
      </c>
      <c r="Z2" s="77">
        <f>+AA2-1</f>
        <v>33</v>
      </c>
      <c r="AA2" s="77">
        <v>34</v>
      </c>
      <c r="AB2" s="77">
        <v>0</v>
      </c>
      <c r="AC2" s="77">
        <f t="shared" ref="AC2:AR17" si="7">IF(AB2="","",AB2+1)</f>
        <v>1</v>
      </c>
      <c r="AD2" s="77">
        <f t="shared" si="7"/>
        <v>2</v>
      </c>
      <c r="AE2" s="77">
        <f t="shared" si="7"/>
        <v>3</v>
      </c>
      <c r="AF2" s="77">
        <f t="shared" si="7"/>
        <v>4</v>
      </c>
      <c r="AG2" s="77">
        <f t="shared" si="7"/>
        <v>5</v>
      </c>
      <c r="AH2" s="77">
        <f t="shared" si="7"/>
        <v>6</v>
      </c>
      <c r="AI2" s="77">
        <f t="shared" si="7"/>
        <v>7</v>
      </c>
      <c r="AJ2" s="77">
        <f t="shared" si="7"/>
        <v>8</v>
      </c>
      <c r="AK2" s="77">
        <f t="shared" si="7"/>
        <v>9</v>
      </c>
      <c r="AL2" s="77">
        <f t="shared" si="7"/>
        <v>10</v>
      </c>
      <c r="AM2" s="77">
        <f t="shared" si="7"/>
        <v>11</v>
      </c>
      <c r="AN2" s="77">
        <f t="shared" si="7"/>
        <v>12</v>
      </c>
      <c r="AO2" s="77">
        <f t="shared" si="7"/>
        <v>13</v>
      </c>
      <c r="AP2" s="77">
        <f t="shared" si="7"/>
        <v>14</v>
      </c>
      <c r="AQ2" s="77">
        <f t="shared" si="7"/>
        <v>15</v>
      </c>
      <c r="AR2" s="77">
        <f t="shared" si="7"/>
        <v>16</v>
      </c>
      <c r="AS2" s="77">
        <f t="shared" ref="AS2:CJ3" si="8">IF(AR2="","",AR2+1)</f>
        <v>17</v>
      </c>
      <c r="AT2" s="77">
        <f t="shared" si="8"/>
        <v>18</v>
      </c>
      <c r="AU2" s="77">
        <f t="shared" si="8"/>
        <v>19</v>
      </c>
      <c r="AV2" s="77">
        <f t="shared" si="8"/>
        <v>20</v>
      </c>
      <c r="AW2" s="77">
        <f t="shared" si="8"/>
        <v>21</v>
      </c>
      <c r="AX2" s="77">
        <v>0</v>
      </c>
      <c r="AY2" s="77">
        <f t="shared" si="8"/>
        <v>1</v>
      </c>
      <c r="AZ2" s="77">
        <f t="shared" si="8"/>
        <v>2</v>
      </c>
      <c r="BA2" s="77">
        <f t="shared" si="8"/>
        <v>3</v>
      </c>
      <c r="BB2" s="77">
        <f t="shared" si="8"/>
        <v>4</v>
      </c>
      <c r="BC2" s="77">
        <f t="shared" si="8"/>
        <v>5</v>
      </c>
      <c r="BD2" s="77">
        <f t="shared" si="8"/>
        <v>6</v>
      </c>
      <c r="BE2" s="77">
        <f t="shared" si="8"/>
        <v>7</v>
      </c>
      <c r="BF2" s="77">
        <f t="shared" si="8"/>
        <v>8</v>
      </c>
      <c r="BG2" s="77">
        <f t="shared" si="8"/>
        <v>9</v>
      </c>
      <c r="BH2" s="77">
        <f t="shared" si="8"/>
        <v>10</v>
      </c>
      <c r="BI2" s="77">
        <f t="shared" si="8"/>
        <v>11</v>
      </c>
      <c r="BJ2" s="77">
        <f t="shared" si="8"/>
        <v>12</v>
      </c>
      <c r="BK2" s="77">
        <f t="shared" si="8"/>
        <v>13</v>
      </c>
      <c r="BL2" s="77">
        <f t="shared" si="8"/>
        <v>14</v>
      </c>
      <c r="BM2" s="77">
        <f t="shared" si="8"/>
        <v>15</v>
      </c>
      <c r="BN2" s="77">
        <f t="shared" si="8"/>
        <v>16</v>
      </c>
      <c r="BO2" s="77">
        <f t="shared" si="8"/>
        <v>17</v>
      </c>
      <c r="BP2" s="77">
        <f t="shared" si="8"/>
        <v>18</v>
      </c>
      <c r="BQ2" s="77">
        <f t="shared" si="8"/>
        <v>19</v>
      </c>
      <c r="BR2" s="77">
        <f t="shared" si="8"/>
        <v>20</v>
      </c>
      <c r="BS2" s="77">
        <f t="shared" si="8"/>
        <v>21</v>
      </c>
      <c r="BT2" s="77">
        <f t="shared" si="8"/>
        <v>22</v>
      </c>
      <c r="BU2" s="77">
        <f t="shared" si="8"/>
        <v>23</v>
      </c>
      <c r="BV2" s="77">
        <f t="shared" si="8"/>
        <v>24</v>
      </c>
      <c r="BW2" s="77">
        <f t="shared" si="8"/>
        <v>25</v>
      </c>
      <c r="BX2" s="77">
        <f t="shared" si="8"/>
        <v>26</v>
      </c>
      <c r="BY2" s="77">
        <f t="shared" si="8"/>
        <v>27</v>
      </c>
      <c r="BZ2" s="77">
        <f t="shared" si="8"/>
        <v>28</v>
      </c>
      <c r="CA2" s="77">
        <f t="shared" si="8"/>
        <v>29</v>
      </c>
      <c r="CB2" s="77">
        <f t="shared" si="8"/>
        <v>30</v>
      </c>
      <c r="CC2" s="77">
        <f t="shared" si="8"/>
        <v>31</v>
      </c>
      <c r="CD2" s="77">
        <f t="shared" si="8"/>
        <v>32</v>
      </c>
      <c r="CE2" s="77">
        <f t="shared" si="8"/>
        <v>33</v>
      </c>
      <c r="CF2" s="77">
        <f t="shared" si="8"/>
        <v>34</v>
      </c>
      <c r="CG2" s="77">
        <f t="shared" si="8"/>
        <v>35</v>
      </c>
      <c r="CH2" s="77">
        <f t="shared" si="8"/>
        <v>36</v>
      </c>
      <c r="CI2" s="77">
        <f t="shared" si="8"/>
        <v>37</v>
      </c>
      <c r="CJ2" s="77">
        <f t="shared" si="8"/>
        <v>38</v>
      </c>
      <c r="CK2" s="77">
        <f t="shared" ref="CK2:EV5" si="9">IF(CJ2="","",CJ2+1)</f>
        <v>39</v>
      </c>
      <c r="CL2" s="77">
        <f t="shared" si="9"/>
        <v>40</v>
      </c>
      <c r="CM2" s="77">
        <f t="shared" si="9"/>
        <v>41</v>
      </c>
      <c r="CN2" s="77">
        <f t="shared" si="9"/>
        <v>42</v>
      </c>
      <c r="CO2" s="77">
        <f t="shared" si="9"/>
        <v>43</v>
      </c>
      <c r="CP2" s="77">
        <f t="shared" si="9"/>
        <v>44</v>
      </c>
      <c r="CQ2" s="77">
        <f t="shared" si="9"/>
        <v>45</v>
      </c>
      <c r="CR2" s="77">
        <f t="shared" si="9"/>
        <v>46</v>
      </c>
      <c r="CS2" s="77">
        <f t="shared" si="9"/>
        <v>47</v>
      </c>
      <c r="CT2" s="77">
        <f t="shared" si="9"/>
        <v>48</v>
      </c>
      <c r="CU2" s="77">
        <f t="shared" si="9"/>
        <v>49</v>
      </c>
      <c r="CV2" s="77">
        <f t="shared" si="9"/>
        <v>50</v>
      </c>
      <c r="CW2" s="77">
        <f t="shared" si="9"/>
        <v>51</v>
      </c>
      <c r="CX2" s="77">
        <f t="shared" si="9"/>
        <v>52</v>
      </c>
      <c r="CY2" s="77">
        <f t="shared" si="9"/>
        <v>53</v>
      </c>
      <c r="CZ2" s="77">
        <f t="shared" si="9"/>
        <v>54</v>
      </c>
      <c r="DA2" s="77">
        <f t="shared" si="9"/>
        <v>55</v>
      </c>
      <c r="DB2" s="77">
        <f t="shared" si="9"/>
        <v>56</v>
      </c>
      <c r="DC2" s="77">
        <f t="shared" si="9"/>
        <v>57</v>
      </c>
      <c r="DD2" s="77">
        <f t="shared" si="9"/>
        <v>58</v>
      </c>
      <c r="DE2" s="77">
        <f t="shared" si="9"/>
        <v>59</v>
      </c>
      <c r="DF2" s="77">
        <f t="shared" si="9"/>
        <v>60</v>
      </c>
      <c r="DG2" s="77">
        <f t="shared" si="9"/>
        <v>61</v>
      </c>
      <c r="DH2" s="77">
        <f t="shared" si="9"/>
        <v>62</v>
      </c>
      <c r="DI2" s="77">
        <f t="shared" si="9"/>
        <v>63</v>
      </c>
      <c r="DJ2" s="77">
        <f t="shared" si="9"/>
        <v>64</v>
      </c>
      <c r="DK2" s="77">
        <f t="shared" si="9"/>
        <v>65</v>
      </c>
      <c r="DL2" s="77">
        <f t="shared" si="9"/>
        <v>66</v>
      </c>
      <c r="DM2" s="77">
        <f t="shared" si="9"/>
        <v>67</v>
      </c>
      <c r="DN2" s="77">
        <f t="shared" si="9"/>
        <v>68</v>
      </c>
      <c r="DO2" s="77">
        <f t="shared" si="9"/>
        <v>69</v>
      </c>
      <c r="DP2" s="77">
        <f t="shared" si="9"/>
        <v>70</v>
      </c>
      <c r="DQ2" s="77">
        <f t="shared" si="9"/>
        <v>71</v>
      </c>
      <c r="DR2" s="77">
        <f t="shared" si="9"/>
        <v>72</v>
      </c>
      <c r="DS2" s="77">
        <f t="shared" si="9"/>
        <v>73</v>
      </c>
      <c r="DT2" s="77">
        <f t="shared" si="9"/>
        <v>74</v>
      </c>
      <c r="DU2" s="77">
        <f t="shared" si="9"/>
        <v>75</v>
      </c>
      <c r="DV2" s="77">
        <f t="shared" si="9"/>
        <v>76</v>
      </c>
      <c r="DW2" s="77">
        <f t="shared" si="9"/>
        <v>77</v>
      </c>
      <c r="DX2" s="77">
        <f t="shared" si="9"/>
        <v>78</v>
      </c>
      <c r="DY2" s="77">
        <f t="shared" si="9"/>
        <v>79</v>
      </c>
      <c r="DZ2" s="77">
        <f t="shared" si="9"/>
        <v>80</v>
      </c>
      <c r="EA2" s="77">
        <f t="shared" si="9"/>
        <v>81</v>
      </c>
      <c r="EB2" s="77">
        <f t="shared" si="9"/>
        <v>82</v>
      </c>
      <c r="EC2" s="77">
        <f t="shared" si="9"/>
        <v>83</v>
      </c>
      <c r="ED2" s="77">
        <f t="shared" si="9"/>
        <v>84</v>
      </c>
      <c r="EE2" s="77">
        <f t="shared" si="9"/>
        <v>85</v>
      </c>
      <c r="EF2" s="77">
        <f t="shared" si="9"/>
        <v>86</v>
      </c>
      <c r="EG2" s="77">
        <f t="shared" si="9"/>
        <v>87</v>
      </c>
      <c r="EH2" s="77">
        <f t="shared" si="9"/>
        <v>88</v>
      </c>
      <c r="EI2" s="77">
        <f t="shared" si="9"/>
        <v>89</v>
      </c>
      <c r="EJ2" s="77">
        <f t="shared" si="9"/>
        <v>90</v>
      </c>
      <c r="EK2" s="77">
        <f t="shared" si="9"/>
        <v>91</v>
      </c>
      <c r="EL2" s="77">
        <f t="shared" si="9"/>
        <v>92</v>
      </c>
      <c r="EM2" s="77">
        <f t="shared" si="9"/>
        <v>93</v>
      </c>
      <c r="EN2" s="77">
        <f t="shared" si="9"/>
        <v>94</v>
      </c>
      <c r="EO2" s="77">
        <f t="shared" si="9"/>
        <v>95</v>
      </c>
      <c r="EP2" s="77">
        <f t="shared" si="9"/>
        <v>96</v>
      </c>
      <c r="EQ2" s="77">
        <f t="shared" si="9"/>
        <v>97</v>
      </c>
      <c r="ER2" s="77">
        <f t="shared" si="9"/>
        <v>98</v>
      </c>
      <c r="ES2" s="77">
        <f t="shared" si="9"/>
        <v>99</v>
      </c>
      <c r="ET2" s="77">
        <f t="shared" si="9"/>
        <v>100</v>
      </c>
      <c r="EU2" s="77">
        <f t="shared" si="9"/>
        <v>101</v>
      </c>
      <c r="EV2" s="77">
        <f t="shared" si="9"/>
        <v>102</v>
      </c>
      <c r="EW2" s="77">
        <f t="shared" ref="EW2:GX4" si="10">IF(EV2="","",EV2+1)</f>
        <v>103</v>
      </c>
      <c r="EX2" s="77">
        <f t="shared" si="10"/>
        <v>104</v>
      </c>
      <c r="EY2" s="77">
        <f t="shared" si="10"/>
        <v>105</v>
      </c>
      <c r="EZ2" s="77">
        <f t="shared" si="10"/>
        <v>106</v>
      </c>
      <c r="FA2" s="77">
        <f t="shared" si="10"/>
        <v>107</v>
      </c>
      <c r="FB2" s="77">
        <f t="shared" si="10"/>
        <v>108</v>
      </c>
      <c r="FC2" s="77">
        <f t="shared" si="10"/>
        <v>109</v>
      </c>
      <c r="FD2" s="77">
        <f t="shared" si="10"/>
        <v>110</v>
      </c>
      <c r="FE2" s="77">
        <f t="shared" si="10"/>
        <v>111</v>
      </c>
      <c r="FF2" s="77">
        <f t="shared" si="10"/>
        <v>112</v>
      </c>
      <c r="FG2" s="77">
        <f t="shared" si="10"/>
        <v>113</v>
      </c>
      <c r="FH2" s="77">
        <f t="shared" si="10"/>
        <v>114</v>
      </c>
      <c r="FI2" s="77">
        <f t="shared" si="10"/>
        <v>115</v>
      </c>
      <c r="FJ2" s="77">
        <f t="shared" si="10"/>
        <v>116</v>
      </c>
      <c r="FK2" s="77">
        <f t="shared" si="10"/>
        <v>117</v>
      </c>
      <c r="FL2" s="77">
        <f t="shared" si="10"/>
        <v>118</v>
      </c>
      <c r="FM2" s="77">
        <f t="shared" si="10"/>
        <v>119</v>
      </c>
      <c r="FN2" s="77">
        <f t="shared" si="10"/>
        <v>120</v>
      </c>
      <c r="FO2" s="77">
        <f t="shared" si="10"/>
        <v>121</v>
      </c>
      <c r="FP2" s="77">
        <f t="shared" si="10"/>
        <v>122</v>
      </c>
      <c r="FQ2" s="77">
        <f t="shared" si="10"/>
        <v>123</v>
      </c>
      <c r="FR2" s="77">
        <f t="shared" si="10"/>
        <v>124</v>
      </c>
      <c r="FS2" s="77">
        <f t="shared" si="10"/>
        <v>125</v>
      </c>
      <c r="FT2" s="77">
        <f t="shared" si="10"/>
        <v>126</v>
      </c>
      <c r="FU2" s="77">
        <f t="shared" si="10"/>
        <v>127</v>
      </c>
      <c r="FV2" s="77">
        <f t="shared" si="10"/>
        <v>128</v>
      </c>
      <c r="FW2" s="77">
        <f t="shared" si="10"/>
        <v>129</v>
      </c>
      <c r="FX2" s="77">
        <f t="shared" si="10"/>
        <v>130</v>
      </c>
      <c r="FY2" s="77">
        <f t="shared" si="10"/>
        <v>131</v>
      </c>
      <c r="FZ2" s="77">
        <f t="shared" si="10"/>
        <v>132</v>
      </c>
      <c r="GA2" s="77">
        <f t="shared" si="10"/>
        <v>133</v>
      </c>
      <c r="GB2" s="77">
        <f t="shared" si="10"/>
        <v>134</v>
      </c>
      <c r="GC2" s="77">
        <f t="shared" si="10"/>
        <v>135</v>
      </c>
      <c r="GD2" s="77">
        <f t="shared" si="10"/>
        <v>136</v>
      </c>
      <c r="GE2" s="77">
        <f t="shared" si="10"/>
        <v>137</v>
      </c>
      <c r="GF2" s="77">
        <f t="shared" si="10"/>
        <v>138</v>
      </c>
      <c r="GG2" s="77">
        <f t="shared" si="10"/>
        <v>139</v>
      </c>
      <c r="GH2" s="77">
        <f t="shared" si="10"/>
        <v>140</v>
      </c>
      <c r="GI2" s="77">
        <f t="shared" si="10"/>
        <v>141</v>
      </c>
      <c r="GJ2" s="77">
        <f t="shared" si="10"/>
        <v>142</v>
      </c>
      <c r="GK2" s="77">
        <f t="shared" si="10"/>
        <v>143</v>
      </c>
      <c r="GL2" s="77">
        <f t="shared" si="10"/>
        <v>144</v>
      </c>
      <c r="GM2" s="77">
        <f t="shared" si="10"/>
        <v>145</v>
      </c>
      <c r="GN2" s="77">
        <f t="shared" si="10"/>
        <v>146</v>
      </c>
      <c r="GO2" s="77">
        <f t="shared" si="10"/>
        <v>147</v>
      </c>
      <c r="GP2" s="77">
        <f t="shared" si="10"/>
        <v>148</v>
      </c>
      <c r="GQ2" s="77">
        <f t="shared" si="10"/>
        <v>149</v>
      </c>
      <c r="GR2" s="77">
        <f t="shared" si="10"/>
        <v>150</v>
      </c>
      <c r="GS2" s="77">
        <f t="shared" si="10"/>
        <v>151</v>
      </c>
      <c r="GT2" s="77">
        <f t="shared" si="10"/>
        <v>152</v>
      </c>
      <c r="GU2" s="77">
        <f t="shared" si="10"/>
        <v>153</v>
      </c>
      <c r="GV2" s="77">
        <f t="shared" si="10"/>
        <v>154</v>
      </c>
      <c r="GW2" s="77">
        <f t="shared" si="10"/>
        <v>155</v>
      </c>
      <c r="GX2" s="77">
        <f t="shared" si="10"/>
        <v>156</v>
      </c>
    </row>
    <row r="3" spans="1:206" ht="15" customHeight="1" x14ac:dyDescent="0.2">
      <c r="A3" s="22" t="s">
        <v>68</v>
      </c>
      <c r="B3" s="22">
        <v>1</v>
      </c>
      <c r="C3" s="22" t="s">
        <v>69</v>
      </c>
      <c r="D3" s="22">
        <v>2</v>
      </c>
      <c r="E3" s="22" t="s">
        <v>76</v>
      </c>
      <c r="F3" s="22" t="s">
        <v>71</v>
      </c>
      <c r="G3" s="22" t="s">
        <v>72</v>
      </c>
      <c r="H3" s="22">
        <v>2009</v>
      </c>
      <c r="I3" s="22">
        <v>17</v>
      </c>
      <c r="J3" s="22">
        <v>55.25</v>
      </c>
      <c r="K3" s="22">
        <v>0</v>
      </c>
      <c r="L3" s="22">
        <v>7820</v>
      </c>
      <c r="M3" s="22">
        <v>7820</v>
      </c>
      <c r="N3" s="22" t="s">
        <v>73</v>
      </c>
      <c r="O3" s="22" t="s">
        <v>74</v>
      </c>
      <c r="P3" s="22" t="s">
        <v>75</v>
      </c>
      <c r="Q3" s="108">
        <f>IF(R3="","",'Dashboard Ciclos'!$B$2-R3)</f>
        <v>46232</v>
      </c>
      <c r="R3" s="22">
        <f>IF($E3="","",IFERROR(INDEX($W3:$GX3,MATCH('Dashboard Ciclos'!$B$2,$W$1:$GX$1,0)),""))</f>
        <v>17</v>
      </c>
      <c r="S3" s="22" t="str">
        <f t="shared" ref="S3:S33" si="11">IF($Q3="","Sin dato",IF($R3&lt;=CicloObjetivo,"En ciclo",IF($R3-CicloObjetivo&lt;=5,"Vencido 1-5 d",IF($R3-CicloObjetivo&lt;=10,"Vencido 6-10 d",IF($R3-CicloObjetivo&lt;=15,"Vencido 11-15 d","Vencido +15 d")))))</f>
        <v>Vencido 1-5 d</v>
      </c>
      <c r="T3" s="22" t="str">
        <f t="shared" si="3"/>
        <v>Fuera de ciclo</v>
      </c>
      <c r="U3" s="22">
        <f t="shared" si="4"/>
        <v>-5</v>
      </c>
      <c r="V3" s="23">
        <f t="shared" si="5"/>
        <v>46244</v>
      </c>
      <c r="W3" s="77">
        <f t="shared" si="6"/>
        <v>28</v>
      </c>
      <c r="X3" s="77">
        <f t="shared" si="6"/>
        <v>29</v>
      </c>
      <c r="Y3" s="77">
        <f t="shared" si="6"/>
        <v>30</v>
      </c>
      <c r="Z3" s="77">
        <f t="shared" si="6"/>
        <v>31</v>
      </c>
      <c r="AA3" s="77">
        <v>32</v>
      </c>
      <c r="AB3" s="77">
        <f t="shared" ref="AB3:AQ18" si="12">IF(AA3="","",AA3+1)</f>
        <v>33</v>
      </c>
      <c r="AC3" s="77">
        <f t="shared" si="12"/>
        <v>34</v>
      </c>
      <c r="AD3" s="77">
        <f t="shared" si="12"/>
        <v>35</v>
      </c>
      <c r="AE3" s="77">
        <v>0</v>
      </c>
      <c r="AF3" s="77">
        <f t="shared" si="12"/>
        <v>1</v>
      </c>
      <c r="AG3" s="77">
        <f t="shared" si="12"/>
        <v>2</v>
      </c>
      <c r="AH3" s="77">
        <f t="shared" si="12"/>
        <v>3</v>
      </c>
      <c r="AI3" s="77">
        <f t="shared" si="12"/>
        <v>4</v>
      </c>
      <c r="AJ3" s="77">
        <f t="shared" si="12"/>
        <v>5</v>
      </c>
      <c r="AK3" s="77">
        <f t="shared" si="7"/>
        <v>6</v>
      </c>
      <c r="AL3" s="77">
        <f t="shared" si="7"/>
        <v>7</v>
      </c>
      <c r="AM3" s="77">
        <f t="shared" si="7"/>
        <v>8</v>
      </c>
      <c r="AN3" s="77">
        <f t="shared" si="7"/>
        <v>9</v>
      </c>
      <c r="AO3" s="77">
        <f t="shared" si="7"/>
        <v>10</v>
      </c>
      <c r="AP3" s="77">
        <f t="shared" si="7"/>
        <v>11</v>
      </c>
      <c r="AQ3" s="77">
        <f t="shared" si="7"/>
        <v>12</v>
      </c>
      <c r="AR3" s="77">
        <f t="shared" si="7"/>
        <v>13</v>
      </c>
      <c r="AS3" s="77">
        <f t="shared" si="8"/>
        <v>14</v>
      </c>
      <c r="AT3" s="77">
        <f t="shared" si="8"/>
        <v>15</v>
      </c>
      <c r="AU3" s="77">
        <f t="shared" si="8"/>
        <v>16</v>
      </c>
      <c r="AV3" s="77">
        <f t="shared" si="8"/>
        <v>17</v>
      </c>
      <c r="AW3" s="77">
        <f t="shared" si="8"/>
        <v>18</v>
      </c>
      <c r="AX3" s="77">
        <f t="shared" si="8"/>
        <v>19</v>
      </c>
      <c r="AY3" s="77">
        <v>0</v>
      </c>
      <c r="AZ3" s="77">
        <f t="shared" si="8"/>
        <v>1</v>
      </c>
      <c r="BA3" s="77">
        <f t="shared" si="8"/>
        <v>2</v>
      </c>
      <c r="BB3" s="77">
        <f t="shared" si="8"/>
        <v>3</v>
      </c>
      <c r="BC3" s="77">
        <f t="shared" si="8"/>
        <v>4</v>
      </c>
      <c r="BD3" s="77">
        <f t="shared" si="8"/>
        <v>5</v>
      </c>
      <c r="BE3" s="77">
        <f t="shared" si="8"/>
        <v>6</v>
      </c>
      <c r="BF3" s="77">
        <f t="shared" si="8"/>
        <v>7</v>
      </c>
      <c r="BG3" s="77">
        <f t="shared" si="8"/>
        <v>8</v>
      </c>
      <c r="BH3" s="77">
        <f t="shared" si="8"/>
        <v>9</v>
      </c>
      <c r="BI3" s="77">
        <f t="shared" si="8"/>
        <v>10</v>
      </c>
      <c r="BJ3" s="77">
        <f t="shared" si="8"/>
        <v>11</v>
      </c>
      <c r="BK3" s="77">
        <f t="shared" si="8"/>
        <v>12</v>
      </c>
      <c r="BL3" s="77">
        <f t="shared" si="8"/>
        <v>13</v>
      </c>
      <c r="BM3" s="77">
        <f t="shared" si="8"/>
        <v>14</v>
      </c>
      <c r="BN3" s="77">
        <f t="shared" si="8"/>
        <v>15</v>
      </c>
      <c r="BO3" s="77">
        <f t="shared" si="8"/>
        <v>16</v>
      </c>
      <c r="BP3" s="77">
        <f t="shared" si="8"/>
        <v>17</v>
      </c>
      <c r="BQ3" s="77">
        <f t="shared" si="8"/>
        <v>18</v>
      </c>
      <c r="BR3" s="77">
        <f t="shared" si="8"/>
        <v>19</v>
      </c>
      <c r="BS3" s="77">
        <f t="shared" si="8"/>
        <v>20</v>
      </c>
      <c r="BT3" s="77">
        <f t="shared" si="8"/>
        <v>21</v>
      </c>
      <c r="BU3" s="77">
        <f t="shared" si="8"/>
        <v>22</v>
      </c>
      <c r="BV3" s="77">
        <f t="shared" si="8"/>
        <v>23</v>
      </c>
      <c r="BW3" s="77">
        <f t="shared" si="8"/>
        <v>24</v>
      </c>
      <c r="BX3" s="77">
        <f t="shared" si="8"/>
        <v>25</v>
      </c>
      <c r="BY3" s="77">
        <f t="shared" si="8"/>
        <v>26</v>
      </c>
      <c r="BZ3" s="77">
        <f t="shared" si="8"/>
        <v>27</v>
      </c>
      <c r="CA3" s="77">
        <f t="shared" si="8"/>
        <v>28</v>
      </c>
      <c r="CB3" s="77">
        <f t="shared" si="8"/>
        <v>29</v>
      </c>
      <c r="CC3" s="77">
        <f t="shared" si="8"/>
        <v>30</v>
      </c>
      <c r="CD3" s="77">
        <f t="shared" si="8"/>
        <v>31</v>
      </c>
      <c r="CE3" s="77">
        <f t="shared" si="8"/>
        <v>32</v>
      </c>
      <c r="CF3" s="77">
        <f t="shared" si="8"/>
        <v>33</v>
      </c>
      <c r="CG3" s="77">
        <f t="shared" si="8"/>
        <v>34</v>
      </c>
      <c r="CH3" s="77">
        <f t="shared" si="8"/>
        <v>35</v>
      </c>
      <c r="CI3" s="77">
        <f t="shared" si="8"/>
        <v>36</v>
      </c>
      <c r="CJ3" s="77">
        <f t="shared" si="8"/>
        <v>37</v>
      </c>
      <c r="CK3" s="77">
        <f t="shared" si="9"/>
        <v>38</v>
      </c>
      <c r="CL3" s="77">
        <f t="shared" si="9"/>
        <v>39</v>
      </c>
      <c r="CM3" s="77">
        <f t="shared" si="9"/>
        <v>40</v>
      </c>
      <c r="CN3" s="77">
        <f t="shared" si="9"/>
        <v>41</v>
      </c>
      <c r="CO3" s="77">
        <f t="shared" si="9"/>
        <v>42</v>
      </c>
      <c r="CP3" s="77">
        <f t="shared" si="9"/>
        <v>43</v>
      </c>
      <c r="CQ3" s="77">
        <f t="shared" si="9"/>
        <v>44</v>
      </c>
      <c r="CR3" s="77">
        <f t="shared" si="9"/>
        <v>45</v>
      </c>
      <c r="CS3" s="77">
        <f t="shared" si="9"/>
        <v>46</v>
      </c>
      <c r="CT3" s="77">
        <f t="shared" si="9"/>
        <v>47</v>
      </c>
      <c r="CU3" s="77">
        <f t="shared" si="9"/>
        <v>48</v>
      </c>
      <c r="CV3" s="77">
        <f t="shared" si="9"/>
        <v>49</v>
      </c>
      <c r="CW3" s="77">
        <f t="shared" si="9"/>
        <v>50</v>
      </c>
      <c r="CX3" s="77">
        <f t="shared" si="9"/>
        <v>51</v>
      </c>
      <c r="CY3" s="77">
        <f t="shared" si="9"/>
        <v>52</v>
      </c>
      <c r="CZ3" s="77">
        <f t="shared" si="9"/>
        <v>53</v>
      </c>
      <c r="DA3" s="77">
        <f t="shared" si="9"/>
        <v>54</v>
      </c>
      <c r="DB3" s="77">
        <f t="shared" si="9"/>
        <v>55</v>
      </c>
      <c r="DC3" s="77">
        <f t="shared" si="9"/>
        <v>56</v>
      </c>
      <c r="DD3" s="77">
        <f t="shared" si="9"/>
        <v>57</v>
      </c>
      <c r="DE3" s="77">
        <f t="shared" si="9"/>
        <v>58</v>
      </c>
      <c r="DF3" s="77">
        <f t="shared" si="9"/>
        <v>59</v>
      </c>
      <c r="DG3" s="77">
        <f t="shared" si="9"/>
        <v>60</v>
      </c>
      <c r="DH3" s="77">
        <f t="shared" si="9"/>
        <v>61</v>
      </c>
      <c r="DI3" s="77">
        <f t="shared" si="9"/>
        <v>62</v>
      </c>
      <c r="DJ3" s="77">
        <f t="shared" si="9"/>
        <v>63</v>
      </c>
      <c r="DK3" s="77">
        <f t="shared" si="9"/>
        <v>64</v>
      </c>
      <c r="DL3" s="77">
        <f t="shared" si="9"/>
        <v>65</v>
      </c>
      <c r="DM3" s="77">
        <f t="shared" si="9"/>
        <v>66</v>
      </c>
      <c r="DN3" s="77">
        <f t="shared" si="9"/>
        <v>67</v>
      </c>
      <c r="DO3" s="77">
        <f t="shared" si="9"/>
        <v>68</v>
      </c>
      <c r="DP3" s="77">
        <f t="shared" si="9"/>
        <v>69</v>
      </c>
      <c r="DQ3" s="77">
        <f t="shared" si="9"/>
        <v>70</v>
      </c>
      <c r="DR3" s="77">
        <f t="shared" si="9"/>
        <v>71</v>
      </c>
      <c r="DS3" s="77">
        <f t="shared" si="9"/>
        <v>72</v>
      </c>
      <c r="DT3" s="77">
        <f t="shared" si="9"/>
        <v>73</v>
      </c>
      <c r="DU3" s="77">
        <f t="shared" si="9"/>
        <v>74</v>
      </c>
      <c r="DV3" s="77">
        <f t="shared" si="9"/>
        <v>75</v>
      </c>
      <c r="DW3" s="77">
        <f t="shared" si="9"/>
        <v>76</v>
      </c>
      <c r="DX3" s="77">
        <f t="shared" si="9"/>
        <v>77</v>
      </c>
      <c r="DY3" s="77">
        <f t="shared" si="9"/>
        <v>78</v>
      </c>
      <c r="DZ3" s="77">
        <f t="shared" si="9"/>
        <v>79</v>
      </c>
      <c r="EA3" s="77">
        <f t="shared" si="9"/>
        <v>80</v>
      </c>
      <c r="EB3" s="77">
        <f t="shared" si="9"/>
        <v>81</v>
      </c>
      <c r="EC3" s="77">
        <f t="shared" si="9"/>
        <v>82</v>
      </c>
      <c r="ED3" s="77">
        <f t="shared" si="9"/>
        <v>83</v>
      </c>
      <c r="EE3" s="77">
        <f t="shared" si="9"/>
        <v>84</v>
      </c>
      <c r="EF3" s="77">
        <f t="shared" si="9"/>
        <v>85</v>
      </c>
      <c r="EG3" s="77">
        <f t="shared" si="9"/>
        <v>86</v>
      </c>
      <c r="EH3" s="77">
        <f t="shared" si="9"/>
        <v>87</v>
      </c>
      <c r="EI3" s="77">
        <f t="shared" si="9"/>
        <v>88</v>
      </c>
      <c r="EJ3" s="77">
        <f t="shared" si="9"/>
        <v>89</v>
      </c>
      <c r="EK3" s="77">
        <f t="shared" si="9"/>
        <v>90</v>
      </c>
      <c r="EL3" s="77">
        <f t="shared" si="9"/>
        <v>91</v>
      </c>
      <c r="EM3" s="77">
        <f t="shared" si="9"/>
        <v>92</v>
      </c>
      <c r="EN3" s="77">
        <f t="shared" si="9"/>
        <v>93</v>
      </c>
      <c r="EO3" s="77">
        <f t="shared" si="9"/>
        <v>94</v>
      </c>
      <c r="EP3" s="77">
        <f t="shared" si="9"/>
        <v>95</v>
      </c>
      <c r="EQ3" s="77">
        <f t="shared" si="9"/>
        <v>96</v>
      </c>
      <c r="ER3" s="77">
        <f t="shared" si="9"/>
        <v>97</v>
      </c>
      <c r="ES3" s="77">
        <f t="shared" si="9"/>
        <v>98</v>
      </c>
      <c r="ET3" s="77">
        <f t="shared" si="9"/>
        <v>99</v>
      </c>
      <c r="EU3" s="77">
        <f t="shared" si="9"/>
        <v>100</v>
      </c>
      <c r="EV3" s="77">
        <f t="shared" si="9"/>
        <v>101</v>
      </c>
      <c r="EW3" s="77">
        <f t="shared" si="10"/>
        <v>102</v>
      </c>
      <c r="EX3" s="77">
        <f t="shared" si="10"/>
        <v>103</v>
      </c>
      <c r="EY3" s="77">
        <f t="shared" si="10"/>
        <v>104</v>
      </c>
      <c r="EZ3" s="77">
        <f t="shared" si="10"/>
        <v>105</v>
      </c>
      <c r="FA3" s="77">
        <f t="shared" si="10"/>
        <v>106</v>
      </c>
      <c r="FB3" s="77">
        <f t="shared" si="10"/>
        <v>107</v>
      </c>
      <c r="FC3" s="77">
        <f t="shared" si="10"/>
        <v>108</v>
      </c>
      <c r="FD3" s="77">
        <f t="shared" si="10"/>
        <v>109</v>
      </c>
      <c r="FE3" s="77">
        <f t="shared" si="10"/>
        <v>110</v>
      </c>
      <c r="FF3" s="77">
        <f t="shared" si="10"/>
        <v>111</v>
      </c>
      <c r="FG3" s="77">
        <f t="shared" si="10"/>
        <v>112</v>
      </c>
      <c r="FH3" s="77">
        <f t="shared" si="10"/>
        <v>113</v>
      </c>
      <c r="FI3" s="77">
        <f t="shared" si="10"/>
        <v>114</v>
      </c>
      <c r="FJ3" s="77">
        <f t="shared" si="10"/>
        <v>115</v>
      </c>
      <c r="FK3" s="77">
        <f t="shared" si="10"/>
        <v>116</v>
      </c>
      <c r="FL3" s="77">
        <f t="shared" si="10"/>
        <v>117</v>
      </c>
      <c r="FM3" s="77">
        <f t="shared" si="10"/>
        <v>118</v>
      </c>
      <c r="FN3" s="77">
        <f t="shared" si="10"/>
        <v>119</v>
      </c>
      <c r="FO3" s="77">
        <f t="shared" si="10"/>
        <v>120</v>
      </c>
      <c r="FP3" s="77">
        <f t="shared" si="10"/>
        <v>121</v>
      </c>
      <c r="FQ3" s="77">
        <f t="shared" si="10"/>
        <v>122</v>
      </c>
      <c r="FR3" s="77">
        <f t="shared" si="10"/>
        <v>123</v>
      </c>
      <c r="FS3" s="77">
        <f t="shared" si="10"/>
        <v>124</v>
      </c>
      <c r="FT3" s="77">
        <f t="shared" si="10"/>
        <v>125</v>
      </c>
      <c r="FU3" s="77">
        <f t="shared" si="10"/>
        <v>126</v>
      </c>
      <c r="FV3" s="77">
        <f t="shared" si="10"/>
        <v>127</v>
      </c>
      <c r="FW3" s="77">
        <f t="shared" si="10"/>
        <v>128</v>
      </c>
      <c r="FX3" s="77">
        <f t="shared" si="10"/>
        <v>129</v>
      </c>
      <c r="FY3" s="77">
        <f t="shared" si="10"/>
        <v>130</v>
      </c>
      <c r="FZ3" s="77">
        <f t="shared" si="10"/>
        <v>131</v>
      </c>
      <c r="GA3" s="77">
        <f t="shared" si="10"/>
        <v>132</v>
      </c>
      <c r="GB3" s="77">
        <f t="shared" si="10"/>
        <v>133</v>
      </c>
      <c r="GC3" s="77">
        <f t="shared" si="10"/>
        <v>134</v>
      </c>
      <c r="GD3" s="77">
        <f t="shared" si="10"/>
        <v>135</v>
      </c>
      <c r="GE3" s="77">
        <f t="shared" si="10"/>
        <v>136</v>
      </c>
      <c r="GF3" s="77">
        <f t="shared" si="10"/>
        <v>137</v>
      </c>
      <c r="GG3" s="77">
        <f t="shared" si="10"/>
        <v>138</v>
      </c>
      <c r="GH3" s="77">
        <f t="shared" si="10"/>
        <v>139</v>
      </c>
      <c r="GI3" s="77">
        <f t="shared" si="10"/>
        <v>140</v>
      </c>
      <c r="GJ3" s="77">
        <f t="shared" si="10"/>
        <v>141</v>
      </c>
      <c r="GK3" s="77">
        <f t="shared" si="10"/>
        <v>142</v>
      </c>
      <c r="GL3" s="77">
        <f t="shared" si="10"/>
        <v>143</v>
      </c>
      <c r="GM3" s="77">
        <f t="shared" si="10"/>
        <v>144</v>
      </c>
      <c r="GN3" s="77">
        <f t="shared" si="10"/>
        <v>145</v>
      </c>
      <c r="GO3" s="77">
        <f t="shared" si="10"/>
        <v>146</v>
      </c>
      <c r="GP3" s="77">
        <f t="shared" si="10"/>
        <v>147</v>
      </c>
      <c r="GQ3" s="77">
        <f t="shared" si="10"/>
        <v>148</v>
      </c>
      <c r="GR3" s="77">
        <f t="shared" si="10"/>
        <v>149</v>
      </c>
      <c r="GS3" s="77">
        <f t="shared" si="10"/>
        <v>150</v>
      </c>
      <c r="GT3" s="77">
        <f t="shared" si="10"/>
        <v>151</v>
      </c>
      <c r="GU3" s="77">
        <f t="shared" si="10"/>
        <v>152</v>
      </c>
      <c r="GV3" s="77">
        <f t="shared" si="10"/>
        <v>153</v>
      </c>
      <c r="GW3" s="77">
        <f t="shared" si="10"/>
        <v>154</v>
      </c>
      <c r="GX3" s="77">
        <f t="shared" si="10"/>
        <v>155</v>
      </c>
    </row>
    <row r="4" spans="1:206" ht="15" customHeight="1" x14ac:dyDescent="0.2">
      <c r="A4" s="22" t="s">
        <v>68</v>
      </c>
      <c r="B4" s="22">
        <v>1</v>
      </c>
      <c r="C4" s="22" t="s">
        <v>69</v>
      </c>
      <c r="D4" s="22">
        <v>3</v>
      </c>
      <c r="E4" s="22" t="s">
        <v>77</v>
      </c>
      <c r="F4" s="22" t="s">
        <v>78</v>
      </c>
      <c r="G4" s="22" t="s">
        <v>79</v>
      </c>
      <c r="H4" s="22">
        <v>2009</v>
      </c>
      <c r="I4" s="22">
        <v>17</v>
      </c>
      <c r="J4" s="22">
        <v>37.93</v>
      </c>
      <c r="K4" s="22">
        <v>0</v>
      </c>
      <c r="L4" s="22">
        <v>5368</v>
      </c>
      <c r="M4" s="22">
        <v>5368</v>
      </c>
      <c r="N4" s="22" t="s">
        <v>73</v>
      </c>
      <c r="O4" s="22" t="s">
        <v>74</v>
      </c>
      <c r="P4" s="22" t="s">
        <v>75</v>
      </c>
      <c r="Q4" s="108">
        <f>IF(R4="","",'Dashboard Ciclos'!$B$2-R4)</f>
        <v>46233</v>
      </c>
      <c r="R4" s="22">
        <f>IF($E4="","",IFERROR(INDEX($W4:$GX4,MATCH('Dashboard Ciclos'!$B$2,$W$1:$GX$1,0)),""))</f>
        <v>16</v>
      </c>
      <c r="S4" s="22" t="str">
        <f t="shared" si="11"/>
        <v>Vencido 1-5 d</v>
      </c>
      <c r="T4" s="22" t="str">
        <f t="shared" si="3"/>
        <v>Fuera de ciclo</v>
      </c>
      <c r="U4" s="22">
        <f t="shared" si="4"/>
        <v>-4</v>
      </c>
      <c r="V4" s="23">
        <f t="shared" si="5"/>
        <v>46245</v>
      </c>
      <c r="W4" s="77">
        <f t="shared" si="6"/>
        <v>28</v>
      </c>
      <c r="X4" s="77">
        <f t="shared" si="6"/>
        <v>29</v>
      </c>
      <c r="Y4" s="77">
        <f t="shared" si="6"/>
        <v>30</v>
      </c>
      <c r="Z4" s="77">
        <f t="shared" si="6"/>
        <v>31</v>
      </c>
      <c r="AA4" s="77">
        <v>32</v>
      </c>
      <c r="AB4" s="77">
        <f t="shared" si="12"/>
        <v>33</v>
      </c>
      <c r="AC4" s="77">
        <f t="shared" si="12"/>
        <v>34</v>
      </c>
      <c r="AD4" s="77">
        <f t="shared" si="12"/>
        <v>35</v>
      </c>
      <c r="AE4" s="77">
        <f t="shared" si="12"/>
        <v>36</v>
      </c>
      <c r="AF4" s="77">
        <f t="shared" si="12"/>
        <v>37</v>
      </c>
      <c r="AG4" s="77">
        <f t="shared" si="12"/>
        <v>38</v>
      </c>
      <c r="AH4" s="77">
        <v>0</v>
      </c>
      <c r="AI4" s="77">
        <f t="shared" si="12"/>
        <v>1</v>
      </c>
      <c r="AJ4" s="77">
        <f t="shared" si="12"/>
        <v>2</v>
      </c>
      <c r="AK4" s="77">
        <f t="shared" si="7"/>
        <v>3</v>
      </c>
      <c r="AL4" s="77">
        <f t="shared" si="7"/>
        <v>4</v>
      </c>
      <c r="AM4" s="77">
        <f t="shared" si="7"/>
        <v>5</v>
      </c>
      <c r="AN4" s="77">
        <f t="shared" si="7"/>
        <v>6</v>
      </c>
      <c r="AO4" s="77">
        <f t="shared" si="7"/>
        <v>7</v>
      </c>
      <c r="AP4" s="77">
        <f t="shared" si="7"/>
        <v>8</v>
      </c>
      <c r="AQ4" s="77">
        <f t="shared" si="7"/>
        <v>9</v>
      </c>
      <c r="AR4" s="77">
        <f t="shared" si="7"/>
        <v>10</v>
      </c>
      <c r="AS4" s="77">
        <f t="shared" ref="AS4:CJ7" si="13">IF(AR4="","",AR4+1)</f>
        <v>11</v>
      </c>
      <c r="AT4" s="77">
        <f t="shared" si="13"/>
        <v>12</v>
      </c>
      <c r="AU4" s="77">
        <f t="shared" si="13"/>
        <v>13</v>
      </c>
      <c r="AV4" s="77">
        <f t="shared" si="13"/>
        <v>14</v>
      </c>
      <c r="AW4" s="77">
        <f t="shared" si="13"/>
        <v>15</v>
      </c>
      <c r="AX4" s="77">
        <f t="shared" si="13"/>
        <v>16</v>
      </c>
      <c r="AY4" s="77">
        <f t="shared" si="13"/>
        <v>17</v>
      </c>
      <c r="AZ4" s="77">
        <v>0</v>
      </c>
      <c r="BA4" s="77">
        <f t="shared" si="13"/>
        <v>1</v>
      </c>
      <c r="BB4" s="77">
        <f t="shared" si="13"/>
        <v>2</v>
      </c>
      <c r="BC4" s="77">
        <f t="shared" si="13"/>
        <v>3</v>
      </c>
      <c r="BD4" s="77">
        <f t="shared" si="13"/>
        <v>4</v>
      </c>
      <c r="BE4" s="77">
        <f t="shared" si="13"/>
        <v>5</v>
      </c>
      <c r="BF4" s="77">
        <f t="shared" si="13"/>
        <v>6</v>
      </c>
      <c r="BG4" s="77">
        <f t="shared" si="13"/>
        <v>7</v>
      </c>
      <c r="BH4" s="77">
        <f t="shared" si="13"/>
        <v>8</v>
      </c>
      <c r="BI4" s="77">
        <f t="shared" si="13"/>
        <v>9</v>
      </c>
      <c r="BJ4" s="77">
        <f t="shared" si="13"/>
        <v>10</v>
      </c>
      <c r="BK4" s="77">
        <f t="shared" si="13"/>
        <v>11</v>
      </c>
      <c r="BL4" s="77">
        <f t="shared" si="13"/>
        <v>12</v>
      </c>
      <c r="BM4" s="77">
        <f t="shared" si="13"/>
        <v>13</v>
      </c>
      <c r="BN4" s="77">
        <f t="shared" si="13"/>
        <v>14</v>
      </c>
      <c r="BO4" s="77">
        <f t="shared" si="13"/>
        <v>15</v>
      </c>
      <c r="BP4" s="77">
        <f t="shared" si="13"/>
        <v>16</v>
      </c>
      <c r="BQ4" s="77">
        <f t="shared" si="13"/>
        <v>17</v>
      </c>
      <c r="BR4" s="77">
        <f t="shared" si="13"/>
        <v>18</v>
      </c>
      <c r="BS4" s="77">
        <f t="shared" si="13"/>
        <v>19</v>
      </c>
      <c r="BT4" s="77">
        <f t="shared" si="13"/>
        <v>20</v>
      </c>
      <c r="BU4" s="77">
        <f t="shared" si="13"/>
        <v>21</v>
      </c>
      <c r="BV4" s="77">
        <f t="shared" si="13"/>
        <v>22</v>
      </c>
      <c r="BW4" s="77">
        <f t="shared" si="13"/>
        <v>23</v>
      </c>
      <c r="BX4" s="77">
        <f t="shared" si="13"/>
        <v>24</v>
      </c>
      <c r="BY4" s="77">
        <f t="shared" si="13"/>
        <v>25</v>
      </c>
      <c r="BZ4" s="77">
        <f t="shared" si="13"/>
        <v>26</v>
      </c>
      <c r="CA4" s="77">
        <f t="shared" si="13"/>
        <v>27</v>
      </c>
      <c r="CB4" s="77">
        <f t="shared" si="13"/>
        <v>28</v>
      </c>
      <c r="CC4" s="77">
        <f t="shared" si="13"/>
        <v>29</v>
      </c>
      <c r="CD4" s="77">
        <f t="shared" si="13"/>
        <v>30</v>
      </c>
      <c r="CE4" s="77">
        <f t="shared" si="13"/>
        <v>31</v>
      </c>
      <c r="CF4" s="77">
        <f t="shared" si="13"/>
        <v>32</v>
      </c>
      <c r="CG4" s="77">
        <f t="shared" si="13"/>
        <v>33</v>
      </c>
      <c r="CH4" s="77">
        <f t="shared" si="13"/>
        <v>34</v>
      </c>
      <c r="CI4" s="77">
        <f t="shared" si="13"/>
        <v>35</v>
      </c>
      <c r="CJ4" s="77">
        <f t="shared" si="13"/>
        <v>36</v>
      </c>
      <c r="CK4" s="77">
        <f t="shared" si="9"/>
        <v>37</v>
      </c>
      <c r="CL4" s="77">
        <f t="shared" si="9"/>
        <v>38</v>
      </c>
      <c r="CM4" s="77">
        <f t="shared" si="9"/>
        <v>39</v>
      </c>
      <c r="CN4" s="77">
        <f t="shared" si="9"/>
        <v>40</v>
      </c>
      <c r="CO4" s="77">
        <f t="shared" si="9"/>
        <v>41</v>
      </c>
      <c r="CP4" s="77">
        <f t="shared" si="9"/>
        <v>42</v>
      </c>
      <c r="CQ4" s="77">
        <f t="shared" si="9"/>
        <v>43</v>
      </c>
      <c r="CR4" s="77">
        <f t="shared" si="9"/>
        <v>44</v>
      </c>
      <c r="CS4" s="77">
        <f t="shared" si="9"/>
        <v>45</v>
      </c>
      <c r="CT4" s="77">
        <f t="shared" si="9"/>
        <v>46</v>
      </c>
      <c r="CU4" s="77">
        <f t="shared" si="9"/>
        <v>47</v>
      </c>
      <c r="CV4" s="77">
        <f t="shared" si="9"/>
        <v>48</v>
      </c>
      <c r="CW4" s="77">
        <f t="shared" si="9"/>
        <v>49</v>
      </c>
      <c r="CX4" s="77">
        <f t="shared" si="9"/>
        <v>50</v>
      </c>
      <c r="CY4" s="77">
        <f t="shared" si="9"/>
        <v>51</v>
      </c>
      <c r="CZ4" s="77">
        <f t="shared" si="9"/>
        <v>52</v>
      </c>
      <c r="DA4" s="77">
        <f t="shared" si="9"/>
        <v>53</v>
      </c>
      <c r="DB4" s="77">
        <f t="shared" si="9"/>
        <v>54</v>
      </c>
      <c r="DC4" s="77">
        <f t="shared" si="9"/>
        <v>55</v>
      </c>
      <c r="DD4" s="77">
        <f t="shared" si="9"/>
        <v>56</v>
      </c>
      <c r="DE4" s="77">
        <f t="shared" si="9"/>
        <v>57</v>
      </c>
      <c r="DF4" s="77">
        <f t="shared" si="9"/>
        <v>58</v>
      </c>
      <c r="DG4" s="77">
        <f t="shared" si="9"/>
        <v>59</v>
      </c>
      <c r="DH4" s="77">
        <f t="shared" si="9"/>
        <v>60</v>
      </c>
      <c r="DI4" s="77">
        <f t="shared" si="9"/>
        <v>61</v>
      </c>
      <c r="DJ4" s="77">
        <f t="shared" si="9"/>
        <v>62</v>
      </c>
      <c r="DK4" s="77">
        <f t="shared" si="9"/>
        <v>63</v>
      </c>
      <c r="DL4" s="77">
        <f t="shared" si="9"/>
        <v>64</v>
      </c>
      <c r="DM4" s="77">
        <f t="shared" si="9"/>
        <v>65</v>
      </c>
      <c r="DN4" s="77">
        <f t="shared" si="9"/>
        <v>66</v>
      </c>
      <c r="DO4" s="77">
        <f t="shared" si="9"/>
        <v>67</v>
      </c>
      <c r="DP4" s="77">
        <f t="shared" si="9"/>
        <v>68</v>
      </c>
      <c r="DQ4" s="77">
        <f t="shared" si="9"/>
        <v>69</v>
      </c>
      <c r="DR4" s="77">
        <f t="shared" si="9"/>
        <v>70</v>
      </c>
      <c r="DS4" s="77">
        <f t="shared" si="9"/>
        <v>71</v>
      </c>
      <c r="DT4" s="77">
        <f t="shared" si="9"/>
        <v>72</v>
      </c>
      <c r="DU4" s="77">
        <f t="shared" si="9"/>
        <v>73</v>
      </c>
      <c r="DV4" s="77">
        <f t="shared" si="9"/>
        <v>74</v>
      </c>
      <c r="DW4" s="77">
        <f t="shared" si="9"/>
        <v>75</v>
      </c>
      <c r="DX4" s="77">
        <f t="shared" si="9"/>
        <v>76</v>
      </c>
      <c r="DY4" s="77">
        <f t="shared" si="9"/>
        <v>77</v>
      </c>
      <c r="DZ4" s="77">
        <f t="shared" si="9"/>
        <v>78</v>
      </c>
      <c r="EA4" s="77">
        <f t="shared" si="9"/>
        <v>79</v>
      </c>
      <c r="EB4" s="77">
        <f t="shared" si="9"/>
        <v>80</v>
      </c>
      <c r="EC4" s="77">
        <f t="shared" si="9"/>
        <v>81</v>
      </c>
      <c r="ED4" s="77">
        <f t="shared" si="9"/>
        <v>82</v>
      </c>
      <c r="EE4" s="77">
        <f t="shared" si="9"/>
        <v>83</v>
      </c>
      <c r="EF4" s="77">
        <f t="shared" si="9"/>
        <v>84</v>
      </c>
      <c r="EG4" s="77">
        <f t="shared" si="9"/>
        <v>85</v>
      </c>
      <c r="EH4" s="77">
        <f t="shared" si="9"/>
        <v>86</v>
      </c>
      <c r="EI4" s="77">
        <f t="shared" si="9"/>
        <v>87</v>
      </c>
      <c r="EJ4" s="77">
        <f t="shared" si="9"/>
        <v>88</v>
      </c>
      <c r="EK4" s="77">
        <f t="shared" si="9"/>
        <v>89</v>
      </c>
      <c r="EL4" s="77">
        <f t="shared" si="9"/>
        <v>90</v>
      </c>
      <c r="EM4" s="77">
        <f t="shared" si="9"/>
        <v>91</v>
      </c>
      <c r="EN4" s="77">
        <f t="shared" si="9"/>
        <v>92</v>
      </c>
      <c r="EO4" s="77">
        <f t="shared" si="9"/>
        <v>93</v>
      </c>
      <c r="EP4" s="77">
        <f t="shared" si="9"/>
        <v>94</v>
      </c>
      <c r="EQ4" s="77">
        <f t="shared" si="9"/>
        <v>95</v>
      </c>
      <c r="ER4" s="77">
        <f t="shared" si="9"/>
        <v>96</v>
      </c>
      <c r="ES4" s="77">
        <f t="shared" si="9"/>
        <v>97</v>
      </c>
      <c r="ET4" s="77">
        <f t="shared" si="9"/>
        <v>98</v>
      </c>
      <c r="EU4" s="77">
        <f t="shared" si="9"/>
        <v>99</v>
      </c>
      <c r="EV4" s="77">
        <f t="shared" si="9"/>
        <v>100</v>
      </c>
      <c r="EW4" s="77">
        <f t="shared" si="10"/>
        <v>101</v>
      </c>
      <c r="EX4" s="77">
        <f t="shared" si="10"/>
        <v>102</v>
      </c>
      <c r="EY4" s="77">
        <f t="shared" si="10"/>
        <v>103</v>
      </c>
      <c r="EZ4" s="77">
        <f t="shared" si="10"/>
        <v>104</v>
      </c>
      <c r="FA4" s="77">
        <f t="shared" si="10"/>
        <v>105</v>
      </c>
      <c r="FB4" s="77">
        <f t="shared" si="10"/>
        <v>106</v>
      </c>
      <c r="FC4" s="77">
        <f t="shared" si="10"/>
        <v>107</v>
      </c>
      <c r="FD4" s="77">
        <f t="shared" si="10"/>
        <v>108</v>
      </c>
      <c r="FE4" s="77">
        <f t="shared" si="10"/>
        <v>109</v>
      </c>
      <c r="FF4" s="77">
        <f t="shared" si="10"/>
        <v>110</v>
      </c>
      <c r="FG4" s="77">
        <f t="shared" si="10"/>
        <v>111</v>
      </c>
      <c r="FH4" s="77">
        <f t="shared" si="10"/>
        <v>112</v>
      </c>
      <c r="FI4" s="77">
        <f t="shared" si="10"/>
        <v>113</v>
      </c>
      <c r="FJ4" s="77">
        <f t="shared" si="10"/>
        <v>114</v>
      </c>
      <c r="FK4" s="77">
        <f t="shared" si="10"/>
        <v>115</v>
      </c>
      <c r="FL4" s="77">
        <f t="shared" si="10"/>
        <v>116</v>
      </c>
      <c r="FM4" s="77">
        <f t="shared" si="10"/>
        <v>117</v>
      </c>
      <c r="FN4" s="77">
        <f t="shared" si="10"/>
        <v>118</v>
      </c>
      <c r="FO4" s="77">
        <f t="shared" si="10"/>
        <v>119</v>
      </c>
      <c r="FP4" s="77">
        <f t="shared" si="10"/>
        <v>120</v>
      </c>
      <c r="FQ4" s="77">
        <f t="shared" si="10"/>
        <v>121</v>
      </c>
      <c r="FR4" s="77">
        <f t="shared" si="10"/>
        <v>122</v>
      </c>
      <c r="FS4" s="77">
        <f t="shared" si="10"/>
        <v>123</v>
      </c>
      <c r="FT4" s="77">
        <f t="shared" si="10"/>
        <v>124</v>
      </c>
      <c r="FU4" s="77">
        <f t="shared" si="10"/>
        <v>125</v>
      </c>
      <c r="FV4" s="77">
        <f t="shared" si="10"/>
        <v>126</v>
      </c>
      <c r="FW4" s="77">
        <f t="shared" si="10"/>
        <v>127</v>
      </c>
      <c r="FX4" s="77">
        <f t="shared" si="10"/>
        <v>128</v>
      </c>
      <c r="FY4" s="77">
        <f t="shared" si="10"/>
        <v>129</v>
      </c>
      <c r="FZ4" s="77">
        <f t="shared" si="10"/>
        <v>130</v>
      </c>
      <c r="GA4" s="77">
        <f t="shared" si="10"/>
        <v>131</v>
      </c>
      <c r="GB4" s="77">
        <f t="shared" si="10"/>
        <v>132</v>
      </c>
      <c r="GC4" s="77">
        <f t="shared" si="10"/>
        <v>133</v>
      </c>
      <c r="GD4" s="77">
        <f t="shared" si="10"/>
        <v>134</v>
      </c>
      <c r="GE4" s="77">
        <f t="shared" si="10"/>
        <v>135</v>
      </c>
      <c r="GF4" s="77">
        <f t="shared" si="10"/>
        <v>136</v>
      </c>
      <c r="GG4" s="77">
        <f t="shared" si="10"/>
        <v>137</v>
      </c>
      <c r="GH4" s="77">
        <f t="shared" si="10"/>
        <v>138</v>
      </c>
      <c r="GI4" s="77">
        <f t="shared" si="10"/>
        <v>139</v>
      </c>
      <c r="GJ4" s="77">
        <f t="shared" si="10"/>
        <v>140</v>
      </c>
      <c r="GK4" s="77">
        <f t="shared" si="10"/>
        <v>141</v>
      </c>
      <c r="GL4" s="77">
        <f t="shared" si="10"/>
        <v>142</v>
      </c>
      <c r="GM4" s="77">
        <f t="shared" si="10"/>
        <v>143</v>
      </c>
      <c r="GN4" s="77">
        <f t="shared" si="10"/>
        <v>144</v>
      </c>
      <c r="GO4" s="77">
        <f t="shared" si="10"/>
        <v>145</v>
      </c>
      <c r="GP4" s="77">
        <f t="shared" si="10"/>
        <v>146</v>
      </c>
      <c r="GQ4" s="77">
        <f t="shared" si="10"/>
        <v>147</v>
      </c>
      <c r="GR4" s="77">
        <f t="shared" si="10"/>
        <v>148</v>
      </c>
      <c r="GS4" s="77">
        <f t="shared" si="10"/>
        <v>149</v>
      </c>
      <c r="GT4" s="77">
        <f t="shared" si="10"/>
        <v>150</v>
      </c>
      <c r="GU4" s="77">
        <f t="shared" si="10"/>
        <v>151</v>
      </c>
      <c r="GV4" s="77">
        <f t="shared" si="10"/>
        <v>152</v>
      </c>
      <c r="GW4" s="77">
        <f t="shared" si="10"/>
        <v>153</v>
      </c>
      <c r="GX4" s="77">
        <f t="shared" si="10"/>
        <v>154</v>
      </c>
    </row>
    <row r="5" spans="1:206" ht="15" customHeight="1" x14ac:dyDescent="0.2">
      <c r="A5" s="22" t="s">
        <v>68</v>
      </c>
      <c r="B5" s="22">
        <v>1</v>
      </c>
      <c r="C5" s="22" t="s">
        <v>69</v>
      </c>
      <c r="D5" s="22">
        <v>4</v>
      </c>
      <c r="E5" s="22" t="s">
        <v>80</v>
      </c>
      <c r="F5" s="22" t="s">
        <v>81</v>
      </c>
      <c r="G5" s="22" t="s">
        <v>82</v>
      </c>
      <c r="H5" s="22">
        <v>2009</v>
      </c>
      <c r="I5" s="22">
        <v>17</v>
      </c>
      <c r="J5" s="22">
        <v>48.81</v>
      </c>
      <c r="K5" s="22">
        <v>0</v>
      </c>
      <c r="L5" s="22">
        <v>6820</v>
      </c>
      <c r="M5" s="22">
        <v>6820</v>
      </c>
      <c r="N5" s="22" t="s">
        <v>73</v>
      </c>
      <c r="O5" s="22" t="s">
        <v>74</v>
      </c>
      <c r="P5" s="22" t="s">
        <v>75</v>
      </c>
      <c r="Q5" s="108">
        <f>IF(R5="","",'Dashboard Ciclos'!$B$2-R5)</f>
        <v>46234</v>
      </c>
      <c r="R5" s="22">
        <f>IF($E5="","",IFERROR(INDEX($W5:$GX5,MATCH('Dashboard Ciclos'!$B$2,$W$1:$GX$1,0)),""))</f>
        <v>15</v>
      </c>
      <c r="S5" s="22" t="str">
        <f t="shared" si="11"/>
        <v>Vencido 1-5 d</v>
      </c>
      <c r="T5" s="22" t="str">
        <f t="shared" si="3"/>
        <v>Fuera de ciclo</v>
      </c>
      <c r="U5" s="22">
        <f t="shared" si="4"/>
        <v>-3</v>
      </c>
      <c r="V5" s="23">
        <f t="shared" si="5"/>
        <v>46246</v>
      </c>
      <c r="W5" s="77">
        <f t="shared" si="6"/>
        <v>22</v>
      </c>
      <c r="X5" s="77">
        <f t="shared" si="6"/>
        <v>23</v>
      </c>
      <c r="Y5" s="77">
        <f t="shared" si="6"/>
        <v>24</v>
      </c>
      <c r="Z5" s="77">
        <f t="shared" si="6"/>
        <v>25</v>
      </c>
      <c r="AA5" s="77">
        <v>26</v>
      </c>
      <c r="AB5" s="77">
        <f t="shared" si="12"/>
        <v>27</v>
      </c>
      <c r="AC5" s="77">
        <f t="shared" si="12"/>
        <v>28</v>
      </c>
      <c r="AD5" s="77">
        <f t="shared" si="12"/>
        <v>29</v>
      </c>
      <c r="AE5" s="77">
        <f t="shared" si="12"/>
        <v>30</v>
      </c>
      <c r="AF5" s="77">
        <f t="shared" si="12"/>
        <v>31</v>
      </c>
      <c r="AG5" s="77">
        <f t="shared" si="12"/>
        <v>32</v>
      </c>
      <c r="AH5" s="77">
        <f t="shared" si="12"/>
        <v>33</v>
      </c>
      <c r="AI5" s="77">
        <v>0</v>
      </c>
      <c r="AJ5" s="77">
        <f t="shared" si="12"/>
        <v>1</v>
      </c>
      <c r="AK5" s="77">
        <f t="shared" si="7"/>
        <v>2</v>
      </c>
      <c r="AL5" s="77">
        <f t="shared" si="7"/>
        <v>3</v>
      </c>
      <c r="AM5" s="77">
        <f t="shared" si="7"/>
        <v>4</v>
      </c>
      <c r="AN5" s="77">
        <f t="shared" si="7"/>
        <v>5</v>
      </c>
      <c r="AO5" s="77">
        <f t="shared" si="7"/>
        <v>6</v>
      </c>
      <c r="AP5" s="77">
        <f t="shared" si="7"/>
        <v>7</v>
      </c>
      <c r="AQ5" s="77">
        <f t="shared" si="7"/>
        <v>8</v>
      </c>
      <c r="AR5" s="77">
        <f t="shared" si="7"/>
        <v>9</v>
      </c>
      <c r="AS5" s="77">
        <f t="shared" si="13"/>
        <v>10</v>
      </c>
      <c r="AT5" s="77">
        <f t="shared" si="13"/>
        <v>11</v>
      </c>
      <c r="AU5" s="77">
        <f t="shared" si="13"/>
        <v>12</v>
      </c>
      <c r="AV5" s="77">
        <f t="shared" si="13"/>
        <v>13</v>
      </c>
      <c r="AW5" s="77">
        <f t="shared" si="13"/>
        <v>14</v>
      </c>
      <c r="AX5" s="77">
        <f t="shared" si="13"/>
        <v>15</v>
      </c>
      <c r="AY5" s="77">
        <f t="shared" si="13"/>
        <v>16</v>
      </c>
      <c r="AZ5" s="77">
        <f t="shared" si="13"/>
        <v>17</v>
      </c>
      <c r="BA5" s="77">
        <v>0</v>
      </c>
      <c r="BB5" s="77">
        <f t="shared" si="13"/>
        <v>1</v>
      </c>
      <c r="BC5" s="77">
        <f t="shared" si="13"/>
        <v>2</v>
      </c>
      <c r="BD5" s="77">
        <f t="shared" si="13"/>
        <v>3</v>
      </c>
      <c r="BE5" s="77">
        <f t="shared" si="13"/>
        <v>4</v>
      </c>
      <c r="BF5" s="77">
        <f t="shared" si="13"/>
        <v>5</v>
      </c>
      <c r="BG5" s="77">
        <f t="shared" si="13"/>
        <v>6</v>
      </c>
      <c r="BH5" s="77">
        <f t="shared" si="13"/>
        <v>7</v>
      </c>
      <c r="BI5" s="77">
        <f t="shared" si="13"/>
        <v>8</v>
      </c>
      <c r="BJ5" s="77">
        <f t="shared" si="13"/>
        <v>9</v>
      </c>
      <c r="BK5" s="77">
        <f t="shared" si="13"/>
        <v>10</v>
      </c>
      <c r="BL5" s="77">
        <f t="shared" si="13"/>
        <v>11</v>
      </c>
      <c r="BM5" s="77">
        <f t="shared" si="13"/>
        <v>12</v>
      </c>
      <c r="BN5" s="77">
        <f t="shared" si="13"/>
        <v>13</v>
      </c>
      <c r="BO5" s="77">
        <f t="shared" si="13"/>
        <v>14</v>
      </c>
      <c r="BP5" s="77">
        <f t="shared" si="13"/>
        <v>15</v>
      </c>
      <c r="BQ5" s="77">
        <f t="shared" si="13"/>
        <v>16</v>
      </c>
      <c r="BR5" s="77">
        <f t="shared" si="13"/>
        <v>17</v>
      </c>
      <c r="BS5" s="77">
        <f t="shared" si="13"/>
        <v>18</v>
      </c>
      <c r="BT5" s="77">
        <f t="shared" si="13"/>
        <v>19</v>
      </c>
      <c r="BU5" s="77">
        <f t="shared" si="13"/>
        <v>20</v>
      </c>
      <c r="BV5" s="77">
        <f t="shared" si="13"/>
        <v>21</v>
      </c>
      <c r="BW5" s="77">
        <f t="shared" si="13"/>
        <v>22</v>
      </c>
      <c r="BX5" s="77">
        <f t="shared" si="13"/>
        <v>23</v>
      </c>
      <c r="BY5" s="77">
        <f t="shared" si="13"/>
        <v>24</v>
      </c>
      <c r="BZ5" s="77">
        <f t="shared" si="13"/>
        <v>25</v>
      </c>
      <c r="CA5" s="77">
        <f t="shared" si="13"/>
        <v>26</v>
      </c>
      <c r="CB5" s="77">
        <f t="shared" si="13"/>
        <v>27</v>
      </c>
      <c r="CC5" s="77">
        <f t="shared" si="13"/>
        <v>28</v>
      </c>
      <c r="CD5" s="77">
        <f t="shared" si="13"/>
        <v>29</v>
      </c>
      <c r="CE5" s="77">
        <f t="shared" si="13"/>
        <v>30</v>
      </c>
      <c r="CF5" s="77">
        <f t="shared" si="13"/>
        <v>31</v>
      </c>
      <c r="CG5" s="77">
        <f t="shared" si="13"/>
        <v>32</v>
      </c>
      <c r="CH5" s="77">
        <f t="shared" si="13"/>
        <v>33</v>
      </c>
      <c r="CI5" s="77">
        <f t="shared" si="13"/>
        <v>34</v>
      </c>
      <c r="CJ5" s="77">
        <f t="shared" si="13"/>
        <v>35</v>
      </c>
      <c r="CK5" s="77">
        <f t="shared" si="9"/>
        <v>36</v>
      </c>
      <c r="CL5" s="77">
        <f t="shared" si="9"/>
        <v>37</v>
      </c>
      <c r="CM5" s="77">
        <f t="shared" si="9"/>
        <v>38</v>
      </c>
      <c r="CN5" s="77">
        <f t="shared" si="9"/>
        <v>39</v>
      </c>
      <c r="CO5" s="77">
        <f t="shared" si="9"/>
        <v>40</v>
      </c>
      <c r="CP5" s="77">
        <f t="shared" si="9"/>
        <v>41</v>
      </c>
      <c r="CQ5" s="77">
        <f t="shared" si="9"/>
        <v>42</v>
      </c>
      <c r="CR5" s="77">
        <f t="shared" si="9"/>
        <v>43</v>
      </c>
      <c r="CS5" s="77">
        <f t="shared" si="9"/>
        <v>44</v>
      </c>
      <c r="CT5" s="77">
        <f t="shared" si="9"/>
        <v>45</v>
      </c>
      <c r="CU5" s="77">
        <f t="shared" si="9"/>
        <v>46</v>
      </c>
      <c r="CV5" s="77">
        <f t="shared" si="9"/>
        <v>47</v>
      </c>
      <c r="CW5" s="77">
        <f t="shared" si="9"/>
        <v>48</v>
      </c>
      <c r="CX5" s="77">
        <f t="shared" si="9"/>
        <v>49</v>
      </c>
      <c r="CY5" s="77">
        <f t="shared" si="9"/>
        <v>50</v>
      </c>
      <c r="CZ5" s="77">
        <f t="shared" si="9"/>
        <v>51</v>
      </c>
      <c r="DA5" s="77">
        <f t="shared" si="9"/>
        <v>52</v>
      </c>
      <c r="DB5" s="77">
        <f t="shared" si="9"/>
        <v>53</v>
      </c>
      <c r="DC5" s="77">
        <f t="shared" si="9"/>
        <v>54</v>
      </c>
      <c r="DD5" s="77">
        <f t="shared" si="9"/>
        <v>55</v>
      </c>
      <c r="DE5" s="77">
        <f t="shared" si="9"/>
        <v>56</v>
      </c>
      <c r="DF5" s="77">
        <f t="shared" si="9"/>
        <v>57</v>
      </c>
      <c r="DG5" s="77">
        <f t="shared" si="9"/>
        <v>58</v>
      </c>
      <c r="DH5" s="77">
        <f t="shared" si="9"/>
        <v>59</v>
      </c>
      <c r="DI5" s="77">
        <f t="shared" si="9"/>
        <v>60</v>
      </c>
      <c r="DJ5" s="77">
        <f t="shared" si="9"/>
        <v>61</v>
      </c>
      <c r="DK5" s="77">
        <f t="shared" si="9"/>
        <v>62</v>
      </c>
      <c r="DL5" s="77">
        <f t="shared" si="9"/>
        <v>63</v>
      </c>
      <c r="DM5" s="77">
        <f t="shared" si="9"/>
        <v>64</v>
      </c>
      <c r="DN5" s="77">
        <f t="shared" si="9"/>
        <v>65</v>
      </c>
      <c r="DO5" s="77">
        <f t="shared" si="9"/>
        <v>66</v>
      </c>
      <c r="DP5" s="77">
        <f t="shared" si="9"/>
        <v>67</v>
      </c>
      <c r="DQ5" s="77">
        <f t="shared" si="9"/>
        <v>68</v>
      </c>
      <c r="DR5" s="77">
        <f t="shared" si="9"/>
        <v>69</v>
      </c>
      <c r="DS5" s="77">
        <f t="shared" si="9"/>
        <v>70</v>
      </c>
      <c r="DT5" s="77">
        <f t="shared" si="9"/>
        <v>71</v>
      </c>
      <c r="DU5" s="77">
        <f t="shared" si="9"/>
        <v>72</v>
      </c>
      <c r="DV5" s="77">
        <f t="shared" si="9"/>
        <v>73</v>
      </c>
      <c r="DW5" s="77">
        <f t="shared" si="9"/>
        <v>74</v>
      </c>
      <c r="DX5" s="77">
        <f t="shared" si="9"/>
        <v>75</v>
      </c>
      <c r="DY5" s="77">
        <f t="shared" si="9"/>
        <v>76</v>
      </c>
      <c r="DZ5" s="77">
        <f t="shared" si="9"/>
        <v>77</v>
      </c>
      <c r="EA5" s="77">
        <f t="shared" si="9"/>
        <v>78</v>
      </c>
      <c r="EB5" s="77">
        <f t="shared" si="9"/>
        <v>79</v>
      </c>
      <c r="EC5" s="77">
        <f t="shared" si="9"/>
        <v>80</v>
      </c>
      <c r="ED5" s="77">
        <f t="shared" si="9"/>
        <v>81</v>
      </c>
      <c r="EE5" s="77">
        <f t="shared" si="9"/>
        <v>82</v>
      </c>
      <c r="EF5" s="77">
        <f t="shared" si="9"/>
        <v>83</v>
      </c>
      <c r="EG5" s="77">
        <f t="shared" si="9"/>
        <v>84</v>
      </c>
      <c r="EH5" s="77">
        <f t="shared" si="9"/>
        <v>85</v>
      </c>
      <c r="EI5" s="77">
        <f t="shared" si="9"/>
        <v>86</v>
      </c>
      <c r="EJ5" s="77">
        <f t="shared" si="9"/>
        <v>87</v>
      </c>
      <c r="EK5" s="77">
        <f t="shared" si="9"/>
        <v>88</v>
      </c>
      <c r="EL5" s="77">
        <f t="shared" si="9"/>
        <v>89</v>
      </c>
      <c r="EM5" s="77">
        <f t="shared" si="9"/>
        <v>90</v>
      </c>
      <c r="EN5" s="77">
        <f t="shared" si="9"/>
        <v>91</v>
      </c>
      <c r="EO5" s="77">
        <f t="shared" si="9"/>
        <v>92</v>
      </c>
      <c r="EP5" s="77">
        <f t="shared" si="9"/>
        <v>93</v>
      </c>
      <c r="EQ5" s="77">
        <f t="shared" si="9"/>
        <v>94</v>
      </c>
      <c r="ER5" s="77">
        <f t="shared" si="9"/>
        <v>95</v>
      </c>
      <c r="ES5" s="77">
        <f t="shared" si="9"/>
        <v>96</v>
      </c>
      <c r="ET5" s="77">
        <f t="shared" si="9"/>
        <v>97</v>
      </c>
      <c r="EU5" s="77">
        <f t="shared" si="9"/>
        <v>98</v>
      </c>
      <c r="EV5" s="77">
        <f t="shared" ref="EV5:GX9" si="14">IF(EU5="","",EU5+1)</f>
        <v>99</v>
      </c>
      <c r="EW5" s="77">
        <f t="shared" si="14"/>
        <v>100</v>
      </c>
      <c r="EX5" s="77">
        <f t="shared" si="14"/>
        <v>101</v>
      </c>
      <c r="EY5" s="77">
        <f t="shared" si="14"/>
        <v>102</v>
      </c>
      <c r="EZ5" s="77">
        <f t="shared" si="14"/>
        <v>103</v>
      </c>
      <c r="FA5" s="77">
        <f t="shared" si="14"/>
        <v>104</v>
      </c>
      <c r="FB5" s="77">
        <f t="shared" si="14"/>
        <v>105</v>
      </c>
      <c r="FC5" s="77">
        <f t="shared" si="14"/>
        <v>106</v>
      </c>
      <c r="FD5" s="77">
        <f t="shared" si="14"/>
        <v>107</v>
      </c>
      <c r="FE5" s="77">
        <f t="shared" si="14"/>
        <v>108</v>
      </c>
      <c r="FF5" s="77">
        <f t="shared" si="14"/>
        <v>109</v>
      </c>
      <c r="FG5" s="77">
        <f t="shared" si="14"/>
        <v>110</v>
      </c>
      <c r="FH5" s="77">
        <f t="shared" si="14"/>
        <v>111</v>
      </c>
      <c r="FI5" s="77">
        <f t="shared" si="14"/>
        <v>112</v>
      </c>
      <c r="FJ5" s="77">
        <f t="shared" si="14"/>
        <v>113</v>
      </c>
      <c r="FK5" s="77">
        <f t="shared" si="14"/>
        <v>114</v>
      </c>
      <c r="FL5" s="77">
        <f t="shared" si="14"/>
        <v>115</v>
      </c>
      <c r="FM5" s="77">
        <f t="shared" si="14"/>
        <v>116</v>
      </c>
      <c r="FN5" s="77">
        <f t="shared" si="14"/>
        <v>117</v>
      </c>
      <c r="FO5" s="77">
        <f t="shared" si="14"/>
        <v>118</v>
      </c>
      <c r="FP5" s="77">
        <f t="shared" si="14"/>
        <v>119</v>
      </c>
      <c r="FQ5" s="77">
        <f t="shared" si="14"/>
        <v>120</v>
      </c>
      <c r="FR5" s="77">
        <f t="shared" si="14"/>
        <v>121</v>
      </c>
      <c r="FS5" s="77">
        <f t="shared" si="14"/>
        <v>122</v>
      </c>
      <c r="FT5" s="77">
        <f t="shared" si="14"/>
        <v>123</v>
      </c>
      <c r="FU5" s="77">
        <f t="shared" si="14"/>
        <v>124</v>
      </c>
      <c r="FV5" s="77">
        <f t="shared" si="14"/>
        <v>125</v>
      </c>
      <c r="FW5" s="77">
        <f t="shared" si="14"/>
        <v>126</v>
      </c>
      <c r="FX5" s="77">
        <f t="shared" si="14"/>
        <v>127</v>
      </c>
      <c r="FY5" s="77">
        <f t="shared" si="14"/>
        <v>128</v>
      </c>
      <c r="FZ5" s="77">
        <f t="shared" si="14"/>
        <v>129</v>
      </c>
      <c r="GA5" s="77">
        <f t="shared" si="14"/>
        <v>130</v>
      </c>
      <c r="GB5" s="77">
        <f t="shared" si="14"/>
        <v>131</v>
      </c>
      <c r="GC5" s="77">
        <f t="shared" si="14"/>
        <v>132</v>
      </c>
      <c r="GD5" s="77">
        <f t="shared" si="14"/>
        <v>133</v>
      </c>
      <c r="GE5" s="77">
        <f t="shared" si="14"/>
        <v>134</v>
      </c>
      <c r="GF5" s="77">
        <f t="shared" si="14"/>
        <v>135</v>
      </c>
      <c r="GG5" s="77">
        <f t="shared" si="14"/>
        <v>136</v>
      </c>
      <c r="GH5" s="77">
        <f t="shared" si="14"/>
        <v>137</v>
      </c>
      <c r="GI5" s="77">
        <f t="shared" si="14"/>
        <v>138</v>
      </c>
      <c r="GJ5" s="77">
        <f t="shared" si="14"/>
        <v>139</v>
      </c>
      <c r="GK5" s="77">
        <f t="shared" si="14"/>
        <v>140</v>
      </c>
      <c r="GL5" s="77">
        <f t="shared" si="14"/>
        <v>141</v>
      </c>
      <c r="GM5" s="77">
        <f t="shared" si="14"/>
        <v>142</v>
      </c>
      <c r="GN5" s="77">
        <f t="shared" si="14"/>
        <v>143</v>
      </c>
      <c r="GO5" s="77">
        <f t="shared" si="14"/>
        <v>144</v>
      </c>
      <c r="GP5" s="77">
        <f t="shared" si="14"/>
        <v>145</v>
      </c>
      <c r="GQ5" s="77">
        <f t="shared" si="14"/>
        <v>146</v>
      </c>
      <c r="GR5" s="77">
        <f t="shared" si="14"/>
        <v>147</v>
      </c>
      <c r="GS5" s="77">
        <f t="shared" si="14"/>
        <v>148</v>
      </c>
      <c r="GT5" s="77">
        <f t="shared" si="14"/>
        <v>149</v>
      </c>
      <c r="GU5" s="77">
        <f t="shared" si="14"/>
        <v>150</v>
      </c>
      <c r="GV5" s="77">
        <f t="shared" si="14"/>
        <v>151</v>
      </c>
      <c r="GW5" s="77">
        <f t="shared" si="14"/>
        <v>152</v>
      </c>
      <c r="GX5" s="77">
        <f t="shared" si="14"/>
        <v>153</v>
      </c>
    </row>
    <row r="6" spans="1:206" ht="15" customHeight="1" x14ac:dyDescent="0.2">
      <c r="A6" s="22" t="s">
        <v>68</v>
      </c>
      <c r="B6" s="22">
        <v>1</v>
      </c>
      <c r="C6" s="22" t="s">
        <v>69</v>
      </c>
      <c r="D6" s="22">
        <v>5</v>
      </c>
      <c r="E6" s="22" t="s">
        <v>83</v>
      </c>
      <c r="F6" s="22" t="s">
        <v>81</v>
      </c>
      <c r="G6" s="22" t="s">
        <v>82</v>
      </c>
      <c r="H6" s="22">
        <v>2009</v>
      </c>
      <c r="I6" s="22">
        <v>17</v>
      </c>
      <c r="J6" s="22">
        <v>43.08</v>
      </c>
      <c r="K6" s="22">
        <v>0</v>
      </c>
      <c r="L6" s="22">
        <v>5950</v>
      </c>
      <c r="M6" s="22">
        <v>5950</v>
      </c>
      <c r="N6" s="22" t="s">
        <v>73</v>
      </c>
      <c r="O6" s="22" t="s">
        <v>74</v>
      </c>
      <c r="P6" s="22" t="s">
        <v>75</v>
      </c>
      <c r="Q6" s="108">
        <f>IF(R6="","",'Dashboard Ciclos'!$B$2-R6)</f>
        <v>46234</v>
      </c>
      <c r="R6" s="22">
        <f>IF($E6="","",IFERROR(INDEX($W6:$GX6,MATCH('Dashboard Ciclos'!$B$2,$W$1:$GX$1,0)),""))</f>
        <v>15</v>
      </c>
      <c r="S6" s="22" t="str">
        <f t="shared" si="11"/>
        <v>Vencido 1-5 d</v>
      </c>
      <c r="T6" s="22" t="str">
        <f t="shared" si="3"/>
        <v>Fuera de ciclo</v>
      </c>
      <c r="U6" s="22">
        <f t="shared" si="4"/>
        <v>-3</v>
      </c>
      <c r="V6" s="23">
        <f t="shared" si="5"/>
        <v>46246</v>
      </c>
      <c r="W6" s="77">
        <f t="shared" si="6"/>
        <v>21</v>
      </c>
      <c r="X6" s="77">
        <f t="shared" si="6"/>
        <v>22</v>
      </c>
      <c r="Y6" s="77">
        <f t="shared" si="6"/>
        <v>23</v>
      </c>
      <c r="Z6" s="77">
        <f t="shared" si="6"/>
        <v>24</v>
      </c>
      <c r="AA6" s="77">
        <v>25</v>
      </c>
      <c r="AB6" s="77">
        <f t="shared" si="12"/>
        <v>26</v>
      </c>
      <c r="AC6" s="77">
        <f t="shared" si="12"/>
        <v>27</v>
      </c>
      <c r="AD6" s="77">
        <f t="shared" si="12"/>
        <v>28</v>
      </c>
      <c r="AE6" s="77">
        <f t="shared" si="12"/>
        <v>29</v>
      </c>
      <c r="AF6" s="77">
        <f t="shared" si="12"/>
        <v>30</v>
      </c>
      <c r="AG6" s="77">
        <f t="shared" si="12"/>
        <v>31</v>
      </c>
      <c r="AH6" s="77">
        <f t="shared" si="12"/>
        <v>32</v>
      </c>
      <c r="AI6" s="77">
        <f t="shared" si="12"/>
        <v>33</v>
      </c>
      <c r="AJ6" s="77">
        <f t="shared" si="12"/>
        <v>34</v>
      </c>
      <c r="AK6" s="77">
        <v>0</v>
      </c>
      <c r="AL6" s="77">
        <f t="shared" si="7"/>
        <v>1</v>
      </c>
      <c r="AM6" s="77">
        <f t="shared" si="7"/>
        <v>2</v>
      </c>
      <c r="AN6" s="77">
        <f t="shared" si="7"/>
        <v>3</v>
      </c>
      <c r="AO6" s="77">
        <f t="shared" si="7"/>
        <v>4</v>
      </c>
      <c r="AP6" s="77">
        <f t="shared" si="7"/>
        <v>5</v>
      </c>
      <c r="AQ6" s="77">
        <f t="shared" si="7"/>
        <v>6</v>
      </c>
      <c r="AR6" s="77">
        <f t="shared" si="7"/>
        <v>7</v>
      </c>
      <c r="AS6" s="77">
        <f t="shared" si="13"/>
        <v>8</v>
      </c>
      <c r="AT6" s="77">
        <f t="shared" si="13"/>
        <v>9</v>
      </c>
      <c r="AU6" s="77">
        <f t="shared" si="13"/>
        <v>10</v>
      </c>
      <c r="AV6" s="77">
        <f t="shared" si="13"/>
        <v>11</v>
      </c>
      <c r="AW6" s="77">
        <f t="shared" si="13"/>
        <v>12</v>
      </c>
      <c r="AX6" s="77">
        <f t="shared" si="13"/>
        <v>13</v>
      </c>
      <c r="AY6" s="77">
        <f t="shared" si="13"/>
        <v>14</v>
      </c>
      <c r="AZ6" s="77">
        <f t="shared" si="13"/>
        <v>15</v>
      </c>
      <c r="BA6" s="77">
        <v>0</v>
      </c>
      <c r="BB6" s="77">
        <f t="shared" si="13"/>
        <v>1</v>
      </c>
      <c r="BC6" s="77">
        <f t="shared" si="13"/>
        <v>2</v>
      </c>
      <c r="BD6" s="77">
        <f t="shared" si="13"/>
        <v>3</v>
      </c>
      <c r="BE6" s="77">
        <f t="shared" si="13"/>
        <v>4</v>
      </c>
      <c r="BF6" s="77">
        <f t="shared" si="13"/>
        <v>5</v>
      </c>
      <c r="BG6" s="77">
        <f t="shared" si="13"/>
        <v>6</v>
      </c>
      <c r="BH6" s="77">
        <f t="shared" si="13"/>
        <v>7</v>
      </c>
      <c r="BI6" s="77">
        <f t="shared" si="13"/>
        <v>8</v>
      </c>
      <c r="BJ6" s="77">
        <f t="shared" si="13"/>
        <v>9</v>
      </c>
      <c r="BK6" s="77">
        <f t="shared" si="13"/>
        <v>10</v>
      </c>
      <c r="BL6" s="77">
        <f t="shared" si="13"/>
        <v>11</v>
      </c>
      <c r="BM6" s="77">
        <f t="shared" si="13"/>
        <v>12</v>
      </c>
      <c r="BN6" s="77">
        <f t="shared" si="13"/>
        <v>13</v>
      </c>
      <c r="BO6" s="77">
        <f t="shared" si="13"/>
        <v>14</v>
      </c>
      <c r="BP6" s="77">
        <f t="shared" si="13"/>
        <v>15</v>
      </c>
      <c r="BQ6" s="77">
        <f t="shared" si="13"/>
        <v>16</v>
      </c>
      <c r="BR6" s="77">
        <f t="shared" si="13"/>
        <v>17</v>
      </c>
      <c r="BS6" s="77">
        <f t="shared" si="13"/>
        <v>18</v>
      </c>
      <c r="BT6" s="77">
        <f t="shared" si="13"/>
        <v>19</v>
      </c>
      <c r="BU6" s="77">
        <f t="shared" si="13"/>
        <v>20</v>
      </c>
      <c r="BV6" s="77">
        <f t="shared" si="13"/>
        <v>21</v>
      </c>
      <c r="BW6" s="77">
        <f t="shared" si="13"/>
        <v>22</v>
      </c>
      <c r="BX6" s="77">
        <f t="shared" si="13"/>
        <v>23</v>
      </c>
      <c r="BY6" s="77">
        <f t="shared" si="13"/>
        <v>24</v>
      </c>
      <c r="BZ6" s="77">
        <f t="shared" si="13"/>
        <v>25</v>
      </c>
      <c r="CA6" s="77">
        <f t="shared" si="13"/>
        <v>26</v>
      </c>
      <c r="CB6" s="77">
        <f t="shared" si="13"/>
        <v>27</v>
      </c>
      <c r="CC6" s="77">
        <f t="shared" si="13"/>
        <v>28</v>
      </c>
      <c r="CD6" s="77">
        <f t="shared" si="13"/>
        <v>29</v>
      </c>
      <c r="CE6" s="77">
        <f t="shared" si="13"/>
        <v>30</v>
      </c>
      <c r="CF6" s="77">
        <f t="shared" si="13"/>
        <v>31</v>
      </c>
      <c r="CG6" s="77">
        <f t="shared" si="13"/>
        <v>32</v>
      </c>
      <c r="CH6" s="77">
        <f t="shared" si="13"/>
        <v>33</v>
      </c>
      <c r="CI6" s="77">
        <f t="shared" si="13"/>
        <v>34</v>
      </c>
      <c r="CJ6" s="77">
        <f t="shared" si="13"/>
        <v>35</v>
      </c>
      <c r="CK6" s="77">
        <f t="shared" ref="CK6:EV21" si="15">IF(CJ6="","",CJ6+1)</f>
        <v>36</v>
      </c>
      <c r="CL6" s="77">
        <f t="shared" si="15"/>
        <v>37</v>
      </c>
      <c r="CM6" s="77">
        <f t="shared" si="15"/>
        <v>38</v>
      </c>
      <c r="CN6" s="77">
        <f t="shared" si="15"/>
        <v>39</v>
      </c>
      <c r="CO6" s="77">
        <f t="shared" si="15"/>
        <v>40</v>
      </c>
      <c r="CP6" s="77">
        <f t="shared" si="15"/>
        <v>41</v>
      </c>
      <c r="CQ6" s="77">
        <f t="shared" si="15"/>
        <v>42</v>
      </c>
      <c r="CR6" s="77">
        <f t="shared" si="15"/>
        <v>43</v>
      </c>
      <c r="CS6" s="77">
        <f t="shared" si="15"/>
        <v>44</v>
      </c>
      <c r="CT6" s="77">
        <f t="shared" si="15"/>
        <v>45</v>
      </c>
      <c r="CU6" s="77">
        <f t="shared" si="15"/>
        <v>46</v>
      </c>
      <c r="CV6" s="77">
        <f t="shared" si="15"/>
        <v>47</v>
      </c>
      <c r="CW6" s="77">
        <f t="shared" si="15"/>
        <v>48</v>
      </c>
      <c r="CX6" s="77">
        <f t="shared" si="15"/>
        <v>49</v>
      </c>
      <c r="CY6" s="77">
        <f t="shared" si="15"/>
        <v>50</v>
      </c>
      <c r="CZ6" s="77">
        <f t="shared" si="15"/>
        <v>51</v>
      </c>
      <c r="DA6" s="77">
        <f t="shared" si="15"/>
        <v>52</v>
      </c>
      <c r="DB6" s="77">
        <f t="shared" si="15"/>
        <v>53</v>
      </c>
      <c r="DC6" s="77">
        <f t="shared" si="15"/>
        <v>54</v>
      </c>
      <c r="DD6" s="77">
        <f t="shared" si="15"/>
        <v>55</v>
      </c>
      <c r="DE6" s="77">
        <f t="shared" si="15"/>
        <v>56</v>
      </c>
      <c r="DF6" s="77">
        <f t="shared" si="15"/>
        <v>57</v>
      </c>
      <c r="DG6" s="77">
        <f t="shared" si="15"/>
        <v>58</v>
      </c>
      <c r="DH6" s="77">
        <f t="shared" si="15"/>
        <v>59</v>
      </c>
      <c r="DI6" s="77">
        <f t="shared" si="15"/>
        <v>60</v>
      </c>
      <c r="DJ6" s="77">
        <f t="shared" si="15"/>
        <v>61</v>
      </c>
      <c r="DK6" s="77">
        <f t="shared" si="15"/>
        <v>62</v>
      </c>
      <c r="DL6" s="77">
        <f t="shared" si="15"/>
        <v>63</v>
      </c>
      <c r="DM6" s="77">
        <f t="shared" si="15"/>
        <v>64</v>
      </c>
      <c r="DN6" s="77">
        <f t="shared" si="15"/>
        <v>65</v>
      </c>
      <c r="DO6" s="77">
        <f t="shared" si="15"/>
        <v>66</v>
      </c>
      <c r="DP6" s="77">
        <f t="shared" si="15"/>
        <v>67</v>
      </c>
      <c r="DQ6" s="77">
        <f t="shared" si="15"/>
        <v>68</v>
      </c>
      <c r="DR6" s="77">
        <f t="shared" si="15"/>
        <v>69</v>
      </c>
      <c r="DS6" s="77">
        <f t="shared" si="15"/>
        <v>70</v>
      </c>
      <c r="DT6" s="77">
        <f t="shared" si="15"/>
        <v>71</v>
      </c>
      <c r="DU6" s="77">
        <f t="shared" si="15"/>
        <v>72</v>
      </c>
      <c r="DV6" s="77">
        <f t="shared" si="15"/>
        <v>73</v>
      </c>
      <c r="DW6" s="77">
        <f t="shared" si="15"/>
        <v>74</v>
      </c>
      <c r="DX6" s="77">
        <f t="shared" si="15"/>
        <v>75</v>
      </c>
      <c r="DY6" s="77">
        <f t="shared" si="15"/>
        <v>76</v>
      </c>
      <c r="DZ6" s="77">
        <f t="shared" si="15"/>
        <v>77</v>
      </c>
      <c r="EA6" s="77">
        <f t="shared" si="15"/>
        <v>78</v>
      </c>
      <c r="EB6" s="77">
        <f t="shared" si="15"/>
        <v>79</v>
      </c>
      <c r="EC6" s="77">
        <f t="shared" si="15"/>
        <v>80</v>
      </c>
      <c r="ED6" s="77">
        <f t="shared" si="15"/>
        <v>81</v>
      </c>
      <c r="EE6" s="77">
        <f t="shared" si="15"/>
        <v>82</v>
      </c>
      <c r="EF6" s="77">
        <f t="shared" si="15"/>
        <v>83</v>
      </c>
      <c r="EG6" s="77">
        <f t="shared" si="15"/>
        <v>84</v>
      </c>
      <c r="EH6" s="77">
        <f t="shared" si="15"/>
        <v>85</v>
      </c>
      <c r="EI6" s="77">
        <f t="shared" si="15"/>
        <v>86</v>
      </c>
      <c r="EJ6" s="77">
        <f t="shared" si="15"/>
        <v>87</v>
      </c>
      <c r="EK6" s="77">
        <f t="shared" si="15"/>
        <v>88</v>
      </c>
      <c r="EL6" s="77">
        <f t="shared" si="15"/>
        <v>89</v>
      </c>
      <c r="EM6" s="77">
        <f t="shared" si="15"/>
        <v>90</v>
      </c>
      <c r="EN6" s="77">
        <f t="shared" si="15"/>
        <v>91</v>
      </c>
      <c r="EO6" s="77">
        <f t="shared" si="15"/>
        <v>92</v>
      </c>
      <c r="EP6" s="77">
        <f t="shared" si="15"/>
        <v>93</v>
      </c>
      <c r="EQ6" s="77">
        <f t="shared" si="15"/>
        <v>94</v>
      </c>
      <c r="ER6" s="77">
        <f t="shared" si="15"/>
        <v>95</v>
      </c>
      <c r="ES6" s="77">
        <f t="shared" si="15"/>
        <v>96</v>
      </c>
      <c r="ET6" s="77">
        <f t="shared" si="15"/>
        <v>97</v>
      </c>
      <c r="EU6" s="77">
        <f t="shared" si="15"/>
        <v>98</v>
      </c>
      <c r="EV6" s="77">
        <f t="shared" si="15"/>
        <v>99</v>
      </c>
      <c r="EW6" s="77">
        <f t="shared" si="14"/>
        <v>100</v>
      </c>
      <c r="EX6" s="77">
        <f t="shared" si="14"/>
        <v>101</v>
      </c>
      <c r="EY6" s="77">
        <f t="shared" si="14"/>
        <v>102</v>
      </c>
      <c r="EZ6" s="77">
        <f t="shared" si="14"/>
        <v>103</v>
      </c>
      <c r="FA6" s="77">
        <f t="shared" si="14"/>
        <v>104</v>
      </c>
      <c r="FB6" s="77">
        <f t="shared" si="14"/>
        <v>105</v>
      </c>
      <c r="FC6" s="77">
        <f t="shared" si="14"/>
        <v>106</v>
      </c>
      <c r="FD6" s="77">
        <f t="shared" si="14"/>
        <v>107</v>
      </c>
      <c r="FE6" s="77">
        <f t="shared" si="14"/>
        <v>108</v>
      </c>
      <c r="FF6" s="77">
        <f t="shared" si="14"/>
        <v>109</v>
      </c>
      <c r="FG6" s="77">
        <f t="shared" si="14"/>
        <v>110</v>
      </c>
      <c r="FH6" s="77">
        <f t="shared" si="14"/>
        <v>111</v>
      </c>
      <c r="FI6" s="77">
        <f t="shared" si="14"/>
        <v>112</v>
      </c>
      <c r="FJ6" s="77">
        <f t="shared" si="14"/>
        <v>113</v>
      </c>
      <c r="FK6" s="77">
        <f t="shared" si="14"/>
        <v>114</v>
      </c>
      <c r="FL6" s="77">
        <f t="shared" si="14"/>
        <v>115</v>
      </c>
      <c r="FM6" s="77">
        <f t="shared" si="14"/>
        <v>116</v>
      </c>
      <c r="FN6" s="77">
        <f t="shared" si="14"/>
        <v>117</v>
      </c>
      <c r="FO6" s="77">
        <f t="shared" si="14"/>
        <v>118</v>
      </c>
      <c r="FP6" s="77">
        <f t="shared" si="14"/>
        <v>119</v>
      </c>
      <c r="FQ6" s="77">
        <f t="shared" si="14"/>
        <v>120</v>
      </c>
      <c r="FR6" s="77">
        <f t="shared" si="14"/>
        <v>121</v>
      </c>
      <c r="FS6" s="77">
        <f t="shared" si="14"/>
        <v>122</v>
      </c>
      <c r="FT6" s="77">
        <f t="shared" si="14"/>
        <v>123</v>
      </c>
      <c r="FU6" s="77">
        <f t="shared" si="14"/>
        <v>124</v>
      </c>
      <c r="FV6" s="77">
        <f t="shared" si="14"/>
        <v>125</v>
      </c>
      <c r="FW6" s="77">
        <f t="shared" si="14"/>
        <v>126</v>
      </c>
      <c r="FX6" s="77">
        <f t="shared" si="14"/>
        <v>127</v>
      </c>
      <c r="FY6" s="77">
        <f t="shared" si="14"/>
        <v>128</v>
      </c>
      <c r="FZ6" s="77">
        <f t="shared" si="14"/>
        <v>129</v>
      </c>
      <c r="GA6" s="77">
        <f t="shared" si="14"/>
        <v>130</v>
      </c>
      <c r="GB6" s="77">
        <f t="shared" si="14"/>
        <v>131</v>
      </c>
      <c r="GC6" s="77">
        <f t="shared" si="14"/>
        <v>132</v>
      </c>
      <c r="GD6" s="77">
        <f t="shared" si="14"/>
        <v>133</v>
      </c>
      <c r="GE6" s="77">
        <f t="shared" si="14"/>
        <v>134</v>
      </c>
      <c r="GF6" s="77">
        <f t="shared" si="14"/>
        <v>135</v>
      </c>
      <c r="GG6" s="77">
        <f t="shared" si="14"/>
        <v>136</v>
      </c>
      <c r="GH6" s="77">
        <f t="shared" si="14"/>
        <v>137</v>
      </c>
      <c r="GI6" s="77">
        <f t="shared" si="14"/>
        <v>138</v>
      </c>
      <c r="GJ6" s="77">
        <f t="shared" si="14"/>
        <v>139</v>
      </c>
      <c r="GK6" s="77">
        <f t="shared" si="14"/>
        <v>140</v>
      </c>
      <c r="GL6" s="77">
        <f t="shared" si="14"/>
        <v>141</v>
      </c>
      <c r="GM6" s="77">
        <f t="shared" si="14"/>
        <v>142</v>
      </c>
      <c r="GN6" s="77">
        <f t="shared" si="14"/>
        <v>143</v>
      </c>
      <c r="GO6" s="77">
        <f t="shared" si="14"/>
        <v>144</v>
      </c>
      <c r="GP6" s="77">
        <f t="shared" si="14"/>
        <v>145</v>
      </c>
      <c r="GQ6" s="77">
        <f t="shared" si="14"/>
        <v>146</v>
      </c>
      <c r="GR6" s="77">
        <f t="shared" si="14"/>
        <v>147</v>
      </c>
      <c r="GS6" s="77">
        <f t="shared" si="14"/>
        <v>148</v>
      </c>
      <c r="GT6" s="77">
        <f t="shared" si="14"/>
        <v>149</v>
      </c>
      <c r="GU6" s="77">
        <f t="shared" si="14"/>
        <v>150</v>
      </c>
      <c r="GV6" s="77">
        <f t="shared" si="14"/>
        <v>151</v>
      </c>
      <c r="GW6" s="77">
        <f t="shared" si="14"/>
        <v>152</v>
      </c>
      <c r="GX6" s="77">
        <f t="shared" si="14"/>
        <v>153</v>
      </c>
    </row>
    <row r="7" spans="1:206" ht="15" customHeight="1" x14ac:dyDescent="0.2">
      <c r="A7" s="22" t="s">
        <v>68</v>
      </c>
      <c r="B7" s="22">
        <v>1</v>
      </c>
      <c r="C7" s="22" t="s">
        <v>69</v>
      </c>
      <c r="D7" s="22">
        <v>6</v>
      </c>
      <c r="E7" s="22" t="s">
        <v>84</v>
      </c>
      <c r="F7" s="22" t="s">
        <v>71</v>
      </c>
      <c r="G7" s="22" t="s">
        <v>72</v>
      </c>
      <c r="H7" s="22">
        <v>2009</v>
      </c>
      <c r="I7" s="22">
        <v>17</v>
      </c>
      <c r="J7" s="22">
        <v>39.67</v>
      </c>
      <c r="K7" s="22">
        <v>0</v>
      </c>
      <c r="L7" s="22">
        <v>5599</v>
      </c>
      <c r="M7" s="22">
        <v>5599</v>
      </c>
      <c r="N7" s="22" t="s">
        <v>73</v>
      </c>
      <c r="O7" s="22" t="s">
        <v>74</v>
      </c>
      <c r="P7" s="22" t="s">
        <v>75</v>
      </c>
      <c r="Q7" s="108">
        <f>IF(R7="","",'Dashboard Ciclos'!$B$2-R7)</f>
        <v>46235</v>
      </c>
      <c r="R7" s="22">
        <f>IF($E7="","",IFERROR(INDEX($W7:$GX7,MATCH('Dashboard Ciclos'!$B$2,$W$1:$GX$1,0)),""))</f>
        <v>14</v>
      </c>
      <c r="S7" s="22" t="str">
        <f t="shared" si="11"/>
        <v>Vencido 1-5 d</v>
      </c>
      <c r="T7" s="22" t="str">
        <f t="shared" si="3"/>
        <v>Fuera de ciclo</v>
      </c>
      <c r="U7" s="22">
        <f t="shared" si="4"/>
        <v>-2</v>
      </c>
      <c r="V7" s="23">
        <f t="shared" si="5"/>
        <v>46247</v>
      </c>
      <c r="W7" s="77">
        <f t="shared" si="6"/>
        <v>20</v>
      </c>
      <c r="X7" s="77">
        <f t="shared" si="6"/>
        <v>21</v>
      </c>
      <c r="Y7" s="77">
        <f t="shared" si="6"/>
        <v>22</v>
      </c>
      <c r="Z7" s="77">
        <f t="shared" si="6"/>
        <v>23</v>
      </c>
      <c r="AA7" s="77">
        <v>24</v>
      </c>
      <c r="AB7" s="77">
        <f t="shared" si="12"/>
        <v>25</v>
      </c>
      <c r="AC7" s="77">
        <f t="shared" si="12"/>
        <v>26</v>
      </c>
      <c r="AD7" s="77">
        <f t="shared" si="12"/>
        <v>27</v>
      </c>
      <c r="AE7" s="77">
        <f t="shared" si="12"/>
        <v>28</v>
      </c>
      <c r="AF7" s="77">
        <f t="shared" si="12"/>
        <v>29</v>
      </c>
      <c r="AG7" s="77">
        <f t="shared" si="12"/>
        <v>30</v>
      </c>
      <c r="AH7" s="77">
        <f t="shared" si="12"/>
        <v>31</v>
      </c>
      <c r="AI7" s="77">
        <f t="shared" si="12"/>
        <v>32</v>
      </c>
      <c r="AJ7" s="77">
        <f t="shared" si="12"/>
        <v>33</v>
      </c>
      <c r="AK7" s="77">
        <f t="shared" si="7"/>
        <v>34</v>
      </c>
      <c r="AL7" s="77">
        <v>0</v>
      </c>
      <c r="AM7" s="77">
        <f t="shared" si="7"/>
        <v>1</v>
      </c>
      <c r="AN7" s="77">
        <f t="shared" si="7"/>
        <v>2</v>
      </c>
      <c r="AO7" s="77">
        <f t="shared" si="7"/>
        <v>3</v>
      </c>
      <c r="AP7" s="77">
        <f t="shared" si="7"/>
        <v>4</v>
      </c>
      <c r="AQ7" s="77">
        <f t="shared" si="7"/>
        <v>5</v>
      </c>
      <c r="AR7" s="77">
        <f t="shared" si="7"/>
        <v>6</v>
      </c>
      <c r="AS7" s="77">
        <f t="shared" si="13"/>
        <v>7</v>
      </c>
      <c r="AT7" s="77">
        <f t="shared" si="13"/>
        <v>8</v>
      </c>
      <c r="AU7" s="77">
        <f t="shared" si="13"/>
        <v>9</v>
      </c>
      <c r="AV7" s="77">
        <f t="shared" si="13"/>
        <v>10</v>
      </c>
      <c r="AW7" s="77">
        <f t="shared" si="13"/>
        <v>11</v>
      </c>
      <c r="AX7" s="77">
        <f t="shared" si="13"/>
        <v>12</v>
      </c>
      <c r="AY7" s="77">
        <f t="shared" si="13"/>
        <v>13</v>
      </c>
      <c r="AZ7" s="77">
        <f t="shared" si="13"/>
        <v>14</v>
      </c>
      <c r="BA7" s="77">
        <f t="shared" si="13"/>
        <v>15</v>
      </c>
      <c r="BB7" s="77">
        <v>0</v>
      </c>
      <c r="BC7" s="77">
        <f t="shared" si="13"/>
        <v>1</v>
      </c>
      <c r="BD7" s="77">
        <f t="shared" si="13"/>
        <v>2</v>
      </c>
      <c r="BE7" s="77">
        <f t="shared" si="13"/>
        <v>3</v>
      </c>
      <c r="BF7" s="77">
        <f t="shared" si="13"/>
        <v>4</v>
      </c>
      <c r="BG7" s="77">
        <f t="shared" si="13"/>
        <v>5</v>
      </c>
      <c r="BH7" s="77">
        <f t="shared" si="13"/>
        <v>6</v>
      </c>
      <c r="BI7" s="77">
        <f t="shared" si="13"/>
        <v>7</v>
      </c>
      <c r="BJ7" s="77">
        <f t="shared" si="13"/>
        <v>8</v>
      </c>
      <c r="BK7" s="77">
        <f t="shared" si="13"/>
        <v>9</v>
      </c>
      <c r="BL7" s="77">
        <f t="shared" si="13"/>
        <v>10</v>
      </c>
      <c r="BM7" s="77">
        <f t="shared" si="13"/>
        <v>11</v>
      </c>
      <c r="BN7" s="77">
        <f t="shared" si="13"/>
        <v>12</v>
      </c>
      <c r="BO7" s="77">
        <f t="shared" si="13"/>
        <v>13</v>
      </c>
      <c r="BP7" s="77">
        <f t="shared" si="13"/>
        <v>14</v>
      </c>
      <c r="BQ7" s="77">
        <f t="shared" si="13"/>
        <v>15</v>
      </c>
      <c r="BR7" s="77">
        <f t="shared" si="13"/>
        <v>16</v>
      </c>
      <c r="BS7" s="77">
        <f t="shared" si="13"/>
        <v>17</v>
      </c>
      <c r="BT7" s="77">
        <f t="shared" si="13"/>
        <v>18</v>
      </c>
      <c r="BU7" s="77">
        <f t="shared" si="13"/>
        <v>19</v>
      </c>
      <c r="BV7" s="77">
        <f t="shared" si="13"/>
        <v>20</v>
      </c>
      <c r="BW7" s="77">
        <f t="shared" si="13"/>
        <v>21</v>
      </c>
      <c r="BX7" s="77">
        <f t="shared" si="13"/>
        <v>22</v>
      </c>
      <c r="BY7" s="77">
        <f t="shared" si="13"/>
        <v>23</v>
      </c>
      <c r="BZ7" s="77">
        <f t="shared" si="13"/>
        <v>24</v>
      </c>
      <c r="CA7" s="77">
        <f t="shared" si="13"/>
        <v>25</v>
      </c>
      <c r="CB7" s="77">
        <f t="shared" si="13"/>
        <v>26</v>
      </c>
      <c r="CC7" s="77">
        <f t="shared" si="13"/>
        <v>27</v>
      </c>
      <c r="CD7" s="77">
        <f t="shared" si="13"/>
        <v>28</v>
      </c>
      <c r="CE7" s="77">
        <f t="shared" si="13"/>
        <v>29</v>
      </c>
      <c r="CF7" s="77">
        <f t="shared" si="13"/>
        <v>30</v>
      </c>
      <c r="CG7" s="77">
        <f t="shared" si="13"/>
        <v>31</v>
      </c>
      <c r="CH7" s="77">
        <f t="shared" si="13"/>
        <v>32</v>
      </c>
      <c r="CI7" s="77">
        <f t="shared" si="13"/>
        <v>33</v>
      </c>
      <c r="CJ7" s="77">
        <f t="shared" ref="CJ7:EU10" si="16">IF(CI7="","",CI7+1)</f>
        <v>34</v>
      </c>
      <c r="CK7" s="77">
        <f t="shared" si="16"/>
        <v>35</v>
      </c>
      <c r="CL7" s="77">
        <f t="shared" si="16"/>
        <v>36</v>
      </c>
      <c r="CM7" s="77">
        <f t="shared" si="16"/>
        <v>37</v>
      </c>
      <c r="CN7" s="77">
        <f t="shared" si="16"/>
        <v>38</v>
      </c>
      <c r="CO7" s="77">
        <f t="shared" si="16"/>
        <v>39</v>
      </c>
      <c r="CP7" s="77">
        <f t="shared" si="16"/>
        <v>40</v>
      </c>
      <c r="CQ7" s="77">
        <f t="shared" si="16"/>
        <v>41</v>
      </c>
      <c r="CR7" s="77">
        <f t="shared" si="16"/>
        <v>42</v>
      </c>
      <c r="CS7" s="77">
        <f t="shared" si="16"/>
        <v>43</v>
      </c>
      <c r="CT7" s="77">
        <f t="shared" si="16"/>
        <v>44</v>
      </c>
      <c r="CU7" s="77">
        <f t="shared" si="16"/>
        <v>45</v>
      </c>
      <c r="CV7" s="77">
        <f t="shared" si="16"/>
        <v>46</v>
      </c>
      <c r="CW7" s="77">
        <f t="shared" si="16"/>
        <v>47</v>
      </c>
      <c r="CX7" s="77">
        <f t="shared" si="16"/>
        <v>48</v>
      </c>
      <c r="CY7" s="77">
        <f t="shared" si="16"/>
        <v>49</v>
      </c>
      <c r="CZ7" s="77">
        <f t="shared" si="16"/>
        <v>50</v>
      </c>
      <c r="DA7" s="77">
        <f t="shared" si="16"/>
        <v>51</v>
      </c>
      <c r="DB7" s="77">
        <f t="shared" si="16"/>
        <v>52</v>
      </c>
      <c r="DC7" s="77">
        <f t="shared" si="16"/>
        <v>53</v>
      </c>
      <c r="DD7" s="77">
        <f t="shared" si="16"/>
        <v>54</v>
      </c>
      <c r="DE7" s="77">
        <f t="shared" si="16"/>
        <v>55</v>
      </c>
      <c r="DF7" s="77">
        <f t="shared" si="16"/>
        <v>56</v>
      </c>
      <c r="DG7" s="77">
        <f t="shared" si="16"/>
        <v>57</v>
      </c>
      <c r="DH7" s="77">
        <f t="shared" si="16"/>
        <v>58</v>
      </c>
      <c r="DI7" s="77">
        <f t="shared" si="16"/>
        <v>59</v>
      </c>
      <c r="DJ7" s="77">
        <f t="shared" si="16"/>
        <v>60</v>
      </c>
      <c r="DK7" s="77">
        <f t="shared" si="16"/>
        <v>61</v>
      </c>
      <c r="DL7" s="77">
        <f t="shared" si="16"/>
        <v>62</v>
      </c>
      <c r="DM7" s="77">
        <f t="shared" si="16"/>
        <v>63</v>
      </c>
      <c r="DN7" s="77">
        <f t="shared" si="16"/>
        <v>64</v>
      </c>
      <c r="DO7" s="77">
        <f t="shared" si="16"/>
        <v>65</v>
      </c>
      <c r="DP7" s="77">
        <f t="shared" si="16"/>
        <v>66</v>
      </c>
      <c r="DQ7" s="77">
        <f t="shared" si="16"/>
        <v>67</v>
      </c>
      <c r="DR7" s="77">
        <f t="shared" si="16"/>
        <v>68</v>
      </c>
      <c r="DS7" s="77">
        <f t="shared" si="16"/>
        <v>69</v>
      </c>
      <c r="DT7" s="77">
        <f t="shared" si="16"/>
        <v>70</v>
      </c>
      <c r="DU7" s="77">
        <f t="shared" si="16"/>
        <v>71</v>
      </c>
      <c r="DV7" s="77">
        <f t="shared" si="16"/>
        <v>72</v>
      </c>
      <c r="DW7" s="77">
        <f t="shared" si="16"/>
        <v>73</v>
      </c>
      <c r="DX7" s="77">
        <f t="shared" si="16"/>
        <v>74</v>
      </c>
      <c r="DY7" s="77">
        <f t="shared" si="16"/>
        <v>75</v>
      </c>
      <c r="DZ7" s="77">
        <f t="shared" si="16"/>
        <v>76</v>
      </c>
      <c r="EA7" s="77">
        <f t="shared" si="16"/>
        <v>77</v>
      </c>
      <c r="EB7" s="77">
        <f t="shared" si="16"/>
        <v>78</v>
      </c>
      <c r="EC7" s="77">
        <f t="shared" si="16"/>
        <v>79</v>
      </c>
      <c r="ED7" s="77">
        <f t="shared" si="16"/>
        <v>80</v>
      </c>
      <c r="EE7" s="77">
        <f t="shared" si="16"/>
        <v>81</v>
      </c>
      <c r="EF7" s="77">
        <f t="shared" si="16"/>
        <v>82</v>
      </c>
      <c r="EG7" s="77">
        <f t="shared" si="16"/>
        <v>83</v>
      </c>
      <c r="EH7" s="77">
        <f t="shared" si="16"/>
        <v>84</v>
      </c>
      <c r="EI7" s="77">
        <f t="shared" si="16"/>
        <v>85</v>
      </c>
      <c r="EJ7" s="77">
        <f t="shared" si="16"/>
        <v>86</v>
      </c>
      <c r="EK7" s="77">
        <f t="shared" si="16"/>
        <v>87</v>
      </c>
      <c r="EL7" s="77">
        <f t="shared" si="16"/>
        <v>88</v>
      </c>
      <c r="EM7" s="77">
        <f t="shared" si="16"/>
        <v>89</v>
      </c>
      <c r="EN7" s="77">
        <f t="shared" si="16"/>
        <v>90</v>
      </c>
      <c r="EO7" s="77">
        <f t="shared" si="16"/>
        <v>91</v>
      </c>
      <c r="EP7" s="77">
        <f t="shared" si="16"/>
        <v>92</v>
      </c>
      <c r="EQ7" s="77">
        <f t="shared" si="16"/>
        <v>93</v>
      </c>
      <c r="ER7" s="77">
        <f t="shared" si="16"/>
        <v>94</v>
      </c>
      <c r="ES7" s="77">
        <f t="shared" si="16"/>
        <v>95</v>
      </c>
      <c r="ET7" s="77">
        <f t="shared" si="16"/>
        <v>96</v>
      </c>
      <c r="EU7" s="77">
        <f t="shared" si="16"/>
        <v>97</v>
      </c>
      <c r="EV7" s="77">
        <f t="shared" si="15"/>
        <v>98</v>
      </c>
      <c r="EW7" s="77">
        <f t="shared" si="14"/>
        <v>99</v>
      </c>
      <c r="EX7" s="77">
        <f t="shared" si="14"/>
        <v>100</v>
      </c>
      <c r="EY7" s="77">
        <f t="shared" si="14"/>
        <v>101</v>
      </c>
      <c r="EZ7" s="77">
        <f t="shared" si="14"/>
        <v>102</v>
      </c>
      <c r="FA7" s="77">
        <f t="shared" si="14"/>
        <v>103</v>
      </c>
      <c r="FB7" s="77">
        <f t="shared" si="14"/>
        <v>104</v>
      </c>
      <c r="FC7" s="77">
        <f t="shared" si="14"/>
        <v>105</v>
      </c>
      <c r="FD7" s="77">
        <f t="shared" si="14"/>
        <v>106</v>
      </c>
      <c r="FE7" s="77">
        <f t="shared" si="14"/>
        <v>107</v>
      </c>
      <c r="FF7" s="77">
        <f t="shared" si="14"/>
        <v>108</v>
      </c>
      <c r="FG7" s="77">
        <f t="shared" si="14"/>
        <v>109</v>
      </c>
      <c r="FH7" s="77">
        <f t="shared" si="14"/>
        <v>110</v>
      </c>
      <c r="FI7" s="77">
        <f t="shared" si="14"/>
        <v>111</v>
      </c>
      <c r="FJ7" s="77">
        <f t="shared" si="14"/>
        <v>112</v>
      </c>
      <c r="FK7" s="77">
        <f t="shared" si="14"/>
        <v>113</v>
      </c>
      <c r="FL7" s="77">
        <f t="shared" si="14"/>
        <v>114</v>
      </c>
      <c r="FM7" s="77">
        <f t="shared" si="14"/>
        <v>115</v>
      </c>
      <c r="FN7" s="77">
        <f t="shared" si="14"/>
        <v>116</v>
      </c>
      <c r="FO7" s="77">
        <f t="shared" si="14"/>
        <v>117</v>
      </c>
      <c r="FP7" s="77">
        <f t="shared" si="14"/>
        <v>118</v>
      </c>
      <c r="FQ7" s="77">
        <f t="shared" si="14"/>
        <v>119</v>
      </c>
      <c r="FR7" s="77">
        <f t="shared" si="14"/>
        <v>120</v>
      </c>
      <c r="FS7" s="77">
        <f t="shared" si="14"/>
        <v>121</v>
      </c>
      <c r="FT7" s="77">
        <f t="shared" si="14"/>
        <v>122</v>
      </c>
      <c r="FU7" s="77">
        <f t="shared" si="14"/>
        <v>123</v>
      </c>
      <c r="FV7" s="77">
        <f t="shared" si="14"/>
        <v>124</v>
      </c>
      <c r="FW7" s="77">
        <f t="shared" si="14"/>
        <v>125</v>
      </c>
      <c r="FX7" s="77">
        <f t="shared" si="14"/>
        <v>126</v>
      </c>
      <c r="FY7" s="77">
        <f t="shared" si="14"/>
        <v>127</v>
      </c>
      <c r="FZ7" s="77">
        <f t="shared" si="14"/>
        <v>128</v>
      </c>
      <c r="GA7" s="77">
        <f t="shared" si="14"/>
        <v>129</v>
      </c>
      <c r="GB7" s="77">
        <f t="shared" si="14"/>
        <v>130</v>
      </c>
      <c r="GC7" s="77">
        <f t="shared" si="14"/>
        <v>131</v>
      </c>
      <c r="GD7" s="77">
        <f t="shared" si="14"/>
        <v>132</v>
      </c>
      <c r="GE7" s="77">
        <f t="shared" si="14"/>
        <v>133</v>
      </c>
      <c r="GF7" s="77">
        <f t="shared" si="14"/>
        <v>134</v>
      </c>
      <c r="GG7" s="77">
        <f t="shared" si="14"/>
        <v>135</v>
      </c>
      <c r="GH7" s="77">
        <f t="shared" si="14"/>
        <v>136</v>
      </c>
      <c r="GI7" s="77">
        <f t="shared" si="14"/>
        <v>137</v>
      </c>
      <c r="GJ7" s="77">
        <f t="shared" si="14"/>
        <v>138</v>
      </c>
      <c r="GK7" s="77">
        <f t="shared" si="14"/>
        <v>139</v>
      </c>
      <c r="GL7" s="77">
        <f t="shared" si="14"/>
        <v>140</v>
      </c>
      <c r="GM7" s="77">
        <f t="shared" si="14"/>
        <v>141</v>
      </c>
      <c r="GN7" s="77">
        <f t="shared" si="14"/>
        <v>142</v>
      </c>
      <c r="GO7" s="77">
        <f t="shared" si="14"/>
        <v>143</v>
      </c>
      <c r="GP7" s="77">
        <f t="shared" si="14"/>
        <v>144</v>
      </c>
      <c r="GQ7" s="77">
        <f t="shared" si="14"/>
        <v>145</v>
      </c>
      <c r="GR7" s="77">
        <f t="shared" si="14"/>
        <v>146</v>
      </c>
      <c r="GS7" s="77">
        <f t="shared" si="14"/>
        <v>147</v>
      </c>
      <c r="GT7" s="77">
        <f t="shared" si="14"/>
        <v>148</v>
      </c>
      <c r="GU7" s="77">
        <f t="shared" si="14"/>
        <v>149</v>
      </c>
      <c r="GV7" s="77">
        <f t="shared" si="14"/>
        <v>150</v>
      </c>
      <c r="GW7" s="77">
        <f t="shared" si="14"/>
        <v>151</v>
      </c>
      <c r="GX7" s="77">
        <f t="shared" si="14"/>
        <v>152</v>
      </c>
    </row>
    <row r="8" spans="1:206" ht="15" customHeight="1" x14ac:dyDescent="0.2">
      <c r="A8" s="22" t="s">
        <v>68</v>
      </c>
      <c r="B8" s="22">
        <v>1</v>
      </c>
      <c r="C8" s="22" t="s">
        <v>69</v>
      </c>
      <c r="D8" s="22">
        <v>7</v>
      </c>
      <c r="E8" s="22" t="s">
        <v>85</v>
      </c>
      <c r="F8" s="22" t="s">
        <v>81</v>
      </c>
      <c r="G8" s="22" t="s">
        <v>82</v>
      </c>
      <c r="H8" s="22">
        <v>2009</v>
      </c>
      <c r="I8" s="22">
        <v>17</v>
      </c>
      <c r="J8" s="22">
        <v>21.52</v>
      </c>
      <c r="K8" s="22">
        <v>67</v>
      </c>
      <c r="L8" s="22">
        <v>2977</v>
      </c>
      <c r="M8" s="22">
        <v>2910</v>
      </c>
      <c r="N8" s="22" t="s">
        <v>73</v>
      </c>
      <c r="O8" s="22" t="s">
        <v>74</v>
      </c>
      <c r="P8" s="22" t="s">
        <v>75</v>
      </c>
      <c r="Q8" s="108">
        <f>IF(R8="","",'Dashboard Ciclos'!$B$2-R8)</f>
        <v>46237</v>
      </c>
      <c r="R8" s="22">
        <f>IF($E8="","",IFERROR(INDEX($W8:$GX8,MATCH('Dashboard Ciclos'!$B$2,$W$1:$GX$1,0)),""))</f>
        <v>12</v>
      </c>
      <c r="S8" s="22" t="str">
        <f t="shared" si="11"/>
        <v>En ciclo</v>
      </c>
      <c r="T8" s="22" t="str">
        <f t="shared" si="3"/>
        <v>En ciclo</v>
      </c>
      <c r="U8" s="22">
        <f t="shared" si="4"/>
        <v>0</v>
      </c>
      <c r="V8" s="23">
        <f t="shared" si="5"/>
        <v>46249</v>
      </c>
      <c r="W8" s="77">
        <f t="shared" si="6"/>
        <v>18</v>
      </c>
      <c r="X8" s="77">
        <f t="shared" si="6"/>
        <v>19</v>
      </c>
      <c r="Y8" s="77">
        <f t="shared" si="6"/>
        <v>20</v>
      </c>
      <c r="Z8" s="77">
        <f t="shared" si="6"/>
        <v>21</v>
      </c>
      <c r="AA8" s="77">
        <v>22</v>
      </c>
      <c r="AB8" s="77">
        <f t="shared" si="12"/>
        <v>23</v>
      </c>
      <c r="AC8" s="77">
        <f t="shared" si="12"/>
        <v>24</v>
      </c>
      <c r="AD8" s="77">
        <f t="shared" si="12"/>
        <v>25</v>
      </c>
      <c r="AE8" s="77">
        <f t="shared" si="12"/>
        <v>26</v>
      </c>
      <c r="AF8" s="77">
        <f t="shared" si="12"/>
        <v>27</v>
      </c>
      <c r="AG8" s="77">
        <f t="shared" si="12"/>
        <v>28</v>
      </c>
      <c r="AH8" s="77">
        <f t="shared" si="12"/>
        <v>29</v>
      </c>
      <c r="AI8" s="77">
        <f t="shared" si="12"/>
        <v>30</v>
      </c>
      <c r="AJ8" s="77">
        <f t="shared" si="12"/>
        <v>31</v>
      </c>
      <c r="AK8" s="77">
        <f t="shared" si="7"/>
        <v>32</v>
      </c>
      <c r="AL8" s="77">
        <f t="shared" si="7"/>
        <v>33</v>
      </c>
      <c r="AM8" s="77">
        <v>0</v>
      </c>
      <c r="AN8" s="77">
        <f t="shared" si="7"/>
        <v>1</v>
      </c>
      <c r="AO8" s="77">
        <f t="shared" si="7"/>
        <v>2</v>
      </c>
      <c r="AP8" s="77">
        <f t="shared" si="7"/>
        <v>3</v>
      </c>
      <c r="AQ8" s="77">
        <f t="shared" si="7"/>
        <v>4</v>
      </c>
      <c r="AR8" s="77">
        <f t="shared" si="7"/>
        <v>5</v>
      </c>
      <c r="AS8" s="77">
        <f t="shared" ref="AS8:CJ11" si="17">IF(AR8="","",AR8+1)</f>
        <v>6</v>
      </c>
      <c r="AT8" s="77">
        <f t="shared" si="17"/>
        <v>7</v>
      </c>
      <c r="AU8" s="77">
        <f t="shared" si="17"/>
        <v>8</v>
      </c>
      <c r="AV8" s="77">
        <f t="shared" si="17"/>
        <v>9</v>
      </c>
      <c r="AW8" s="77">
        <f t="shared" si="17"/>
        <v>10</v>
      </c>
      <c r="AX8" s="77">
        <f t="shared" si="17"/>
        <v>11</v>
      </c>
      <c r="AY8" s="77">
        <f t="shared" si="17"/>
        <v>12</v>
      </c>
      <c r="AZ8" s="77">
        <f t="shared" si="17"/>
        <v>13</v>
      </c>
      <c r="BA8" s="77">
        <f t="shared" si="17"/>
        <v>14</v>
      </c>
      <c r="BB8" s="77">
        <f t="shared" si="17"/>
        <v>15</v>
      </c>
      <c r="BC8" s="77">
        <f t="shared" si="17"/>
        <v>16</v>
      </c>
      <c r="BD8" s="77">
        <v>0</v>
      </c>
      <c r="BE8" s="77">
        <f t="shared" si="17"/>
        <v>1</v>
      </c>
      <c r="BF8" s="77">
        <f t="shared" si="17"/>
        <v>2</v>
      </c>
      <c r="BG8" s="77">
        <f t="shared" si="17"/>
        <v>3</v>
      </c>
      <c r="BH8" s="77">
        <f t="shared" si="17"/>
        <v>4</v>
      </c>
      <c r="BI8" s="77">
        <f t="shared" si="17"/>
        <v>5</v>
      </c>
      <c r="BJ8" s="77">
        <f t="shared" si="17"/>
        <v>6</v>
      </c>
      <c r="BK8" s="77">
        <f t="shared" si="17"/>
        <v>7</v>
      </c>
      <c r="BL8" s="77">
        <f t="shared" si="17"/>
        <v>8</v>
      </c>
      <c r="BM8" s="77">
        <f t="shared" si="17"/>
        <v>9</v>
      </c>
      <c r="BN8" s="77">
        <f t="shared" si="17"/>
        <v>10</v>
      </c>
      <c r="BO8" s="77">
        <f t="shared" si="17"/>
        <v>11</v>
      </c>
      <c r="BP8" s="77">
        <f t="shared" si="17"/>
        <v>12</v>
      </c>
      <c r="BQ8" s="77">
        <f t="shared" si="17"/>
        <v>13</v>
      </c>
      <c r="BR8" s="77">
        <f t="shared" si="17"/>
        <v>14</v>
      </c>
      <c r="BS8" s="77">
        <f t="shared" si="17"/>
        <v>15</v>
      </c>
      <c r="BT8" s="77">
        <f t="shared" si="17"/>
        <v>16</v>
      </c>
      <c r="BU8" s="77">
        <f t="shared" si="17"/>
        <v>17</v>
      </c>
      <c r="BV8" s="77">
        <f t="shared" si="17"/>
        <v>18</v>
      </c>
      <c r="BW8" s="77">
        <f t="shared" si="17"/>
        <v>19</v>
      </c>
      <c r="BX8" s="77">
        <f t="shared" si="17"/>
        <v>20</v>
      </c>
      <c r="BY8" s="77">
        <f t="shared" si="17"/>
        <v>21</v>
      </c>
      <c r="BZ8" s="77">
        <f t="shared" si="17"/>
        <v>22</v>
      </c>
      <c r="CA8" s="77">
        <f t="shared" si="17"/>
        <v>23</v>
      </c>
      <c r="CB8" s="77">
        <f t="shared" si="17"/>
        <v>24</v>
      </c>
      <c r="CC8" s="77">
        <f t="shared" si="17"/>
        <v>25</v>
      </c>
      <c r="CD8" s="77">
        <f t="shared" si="17"/>
        <v>26</v>
      </c>
      <c r="CE8" s="77">
        <f t="shared" si="17"/>
        <v>27</v>
      </c>
      <c r="CF8" s="77">
        <f t="shared" si="17"/>
        <v>28</v>
      </c>
      <c r="CG8" s="77">
        <f t="shared" si="17"/>
        <v>29</v>
      </c>
      <c r="CH8" s="77">
        <f t="shared" si="17"/>
        <v>30</v>
      </c>
      <c r="CI8" s="77">
        <f t="shared" si="17"/>
        <v>31</v>
      </c>
      <c r="CJ8" s="77">
        <f t="shared" si="17"/>
        <v>32</v>
      </c>
      <c r="CK8" s="77">
        <f t="shared" si="16"/>
        <v>33</v>
      </c>
      <c r="CL8" s="77">
        <f t="shared" si="16"/>
        <v>34</v>
      </c>
      <c r="CM8" s="77">
        <f t="shared" si="16"/>
        <v>35</v>
      </c>
      <c r="CN8" s="77">
        <f t="shared" si="16"/>
        <v>36</v>
      </c>
      <c r="CO8" s="77">
        <f t="shared" si="16"/>
        <v>37</v>
      </c>
      <c r="CP8" s="77">
        <f t="shared" si="16"/>
        <v>38</v>
      </c>
      <c r="CQ8" s="77">
        <f t="shared" si="16"/>
        <v>39</v>
      </c>
      <c r="CR8" s="77">
        <f t="shared" si="16"/>
        <v>40</v>
      </c>
      <c r="CS8" s="77">
        <f t="shared" si="16"/>
        <v>41</v>
      </c>
      <c r="CT8" s="77">
        <f t="shared" si="16"/>
        <v>42</v>
      </c>
      <c r="CU8" s="77">
        <f t="shared" si="16"/>
        <v>43</v>
      </c>
      <c r="CV8" s="77">
        <f t="shared" si="16"/>
        <v>44</v>
      </c>
      <c r="CW8" s="77">
        <f t="shared" si="16"/>
        <v>45</v>
      </c>
      <c r="CX8" s="77">
        <f t="shared" si="16"/>
        <v>46</v>
      </c>
      <c r="CY8" s="77">
        <f t="shared" si="16"/>
        <v>47</v>
      </c>
      <c r="CZ8" s="77">
        <f t="shared" si="16"/>
        <v>48</v>
      </c>
      <c r="DA8" s="77">
        <f t="shared" si="16"/>
        <v>49</v>
      </c>
      <c r="DB8" s="77">
        <f t="shared" si="16"/>
        <v>50</v>
      </c>
      <c r="DC8" s="77">
        <f t="shared" si="16"/>
        <v>51</v>
      </c>
      <c r="DD8" s="77">
        <f t="shared" si="16"/>
        <v>52</v>
      </c>
      <c r="DE8" s="77">
        <f t="shared" si="16"/>
        <v>53</v>
      </c>
      <c r="DF8" s="77">
        <f t="shared" si="16"/>
        <v>54</v>
      </c>
      <c r="DG8" s="77">
        <f t="shared" si="16"/>
        <v>55</v>
      </c>
      <c r="DH8" s="77">
        <f t="shared" si="16"/>
        <v>56</v>
      </c>
      <c r="DI8" s="77">
        <f t="shared" si="16"/>
        <v>57</v>
      </c>
      <c r="DJ8" s="77">
        <f t="shared" si="16"/>
        <v>58</v>
      </c>
      <c r="DK8" s="77">
        <f t="shared" si="16"/>
        <v>59</v>
      </c>
      <c r="DL8" s="77">
        <f t="shared" si="16"/>
        <v>60</v>
      </c>
      <c r="DM8" s="77">
        <f t="shared" si="16"/>
        <v>61</v>
      </c>
      <c r="DN8" s="77">
        <f t="shared" si="16"/>
        <v>62</v>
      </c>
      <c r="DO8" s="77">
        <f t="shared" si="16"/>
        <v>63</v>
      </c>
      <c r="DP8" s="77">
        <f t="shared" si="16"/>
        <v>64</v>
      </c>
      <c r="DQ8" s="77">
        <f t="shared" si="16"/>
        <v>65</v>
      </c>
      <c r="DR8" s="77">
        <f t="shared" si="16"/>
        <v>66</v>
      </c>
      <c r="DS8" s="77">
        <f t="shared" si="16"/>
        <v>67</v>
      </c>
      <c r="DT8" s="77">
        <f t="shared" si="16"/>
        <v>68</v>
      </c>
      <c r="DU8" s="77">
        <f t="shared" si="16"/>
        <v>69</v>
      </c>
      <c r="DV8" s="77">
        <f t="shared" si="16"/>
        <v>70</v>
      </c>
      <c r="DW8" s="77">
        <f t="shared" si="16"/>
        <v>71</v>
      </c>
      <c r="DX8" s="77">
        <f t="shared" si="16"/>
        <v>72</v>
      </c>
      <c r="DY8" s="77">
        <f t="shared" si="16"/>
        <v>73</v>
      </c>
      <c r="DZ8" s="77">
        <f t="shared" si="16"/>
        <v>74</v>
      </c>
      <c r="EA8" s="77">
        <f t="shared" si="16"/>
        <v>75</v>
      </c>
      <c r="EB8" s="77">
        <f t="shared" si="16"/>
        <v>76</v>
      </c>
      <c r="EC8" s="77">
        <f t="shared" si="16"/>
        <v>77</v>
      </c>
      <c r="ED8" s="77">
        <f t="shared" si="16"/>
        <v>78</v>
      </c>
      <c r="EE8" s="77">
        <f t="shared" si="16"/>
        <v>79</v>
      </c>
      <c r="EF8" s="77">
        <f t="shared" si="16"/>
        <v>80</v>
      </c>
      <c r="EG8" s="77">
        <f t="shared" si="16"/>
        <v>81</v>
      </c>
      <c r="EH8" s="77">
        <f t="shared" si="16"/>
        <v>82</v>
      </c>
      <c r="EI8" s="77">
        <f t="shared" si="16"/>
        <v>83</v>
      </c>
      <c r="EJ8" s="77">
        <f t="shared" si="16"/>
        <v>84</v>
      </c>
      <c r="EK8" s="77">
        <f t="shared" si="16"/>
        <v>85</v>
      </c>
      <c r="EL8" s="77">
        <f t="shared" si="16"/>
        <v>86</v>
      </c>
      <c r="EM8" s="77">
        <f t="shared" si="16"/>
        <v>87</v>
      </c>
      <c r="EN8" s="77">
        <f t="shared" si="16"/>
        <v>88</v>
      </c>
      <c r="EO8" s="77">
        <f t="shared" si="16"/>
        <v>89</v>
      </c>
      <c r="EP8" s="77">
        <f t="shared" si="16"/>
        <v>90</v>
      </c>
      <c r="EQ8" s="77">
        <f t="shared" si="16"/>
        <v>91</v>
      </c>
      <c r="ER8" s="77">
        <f t="shared" si="16"/>
        <v>92</v>
      </c>
      <c r="ES8" s="77">
        <f t="shared" si="16"/>
        <v>93</v>
      </c>
      <c r="ET8" s="77">
        <f t="shared" si="16"/>
        <v>94</v>
      </c>
      <c r="EU8" s="77">
        <f t="shared" si="16"/>
        <v>95</v>
      </c>
      <c r="EV8" s="77">
        <f t="shared" si="15"/>
        <v>96</v>
      </c>
      <c r="EW8" s="77">
        <f t="shared" si="14"/>
        <v>97</v>
      </c>
      <c r="EX8" s="77">
        <f t="shared" si="14"/>
        <v>98</v>
      </c>
      <c r="EY8" s="77">
        <f t="shared" si="14"/>
        <v>99</v>
      </c>
      <c r="EZ8" s="77">
        <f t="shared" si="14"/>
        <v>100</v>
      </c>
      <c r="FA8" s="77">
        <f t="shared" si="14"/>
        <v>101</v>
      </c>
      <c r="FB8" s="77">
        <f t="shared" si="14"/>
        <v>102</v>
      </c>
      <c r="FC8" s="77">
        <f t="shared" si="14"/>
        <v>103</v>
      </c>
      <c r="FD8" s="77">
        <f t="shared" si="14"/>
        <v>104</v>
      </c>
      <c r="FE8" s="77">
        <f t="shared" si="14"/>
        <v>105</v>
      </c>
      <c r="FF8" s="77">
        <f t="shared" si="14"/>
        <v>106</v>
      </c>
      <c r="FG8" s="77">
        <f t="shared" si="14"/>
        <v>107</v>
      </c>
      <c r="FH8" s="77">
        <f t="shared" si="14"/>
        <v>108</v>
      </c>
      <c r="FI8" s="77">
        <f t="shared" si="14"/>
        <v>109</v>
      </c>
      <c r="FJ8" s="77">
        <f t="shared" si="14"/>
        <v>110</v>
      </c>
      <c r="FK8" s="77">
        <f t="shared" si="14"/>
        <v>111</v>
      </c>
      <c r="FL8" s="77">
        <f t="shared" si="14"/>
        <v>112</v>
      </c>
      <c r="FM8" s="77">
        <f t="shared" si="14"/>
        <v>113</v>
      </c>
      <c r="FN8" s="77">
        <f t="shared" si="14"/>
        <v>114</v>
      </c>
      <c r="FO8" s="77">
        <f t="shared" si="14"/>
        <v>115</v>
      </c>
      <c r="FP8" s="77">
        <f t="shared" si="14"/>
        <v>116</v>
      </c>
      <c r="FQ8" s="77">
        <f t="shared" si="14"/>
        <v>117</v>
      </c>
      <c r="FR8" s="77">
        <f t="shared" si="14"/>
        <v>118</v>
      </c>
      <c r="FS8" s="77">
        <f t="shared" si="14"/>
        <v>119</v>
      </c>
      <c r="FT8" s="77">
        <f t="shared" si="14"/>
        <v>120</v>
      </c>
      <c r="FU8" s="77">
        <f t="shared" si="14"/>
        <v>121</v>
      </c>
      <c r="FV8" s="77">
        <f t="shared" si="14"/>
        <v>122</v>
      </c>
      <c r="FW8" s="77">
        <f t="shared" si="14"/>
        <v>123</v>
      </c>
      <c r="FX8" s="77">
        <f t="shared" si="14"/>
        <v>124</v>
      </c>
      <c r="FY8" s="77">
        <f t="shared" si="14"/>
        <v>125</v>
      </c>
      <c r="FZ8" s="77">
        <f t="shared" si="14"/>
        <v>126</v>
      </c>
      <c r="GA8" s="77">
        <f t="shared" si="14"/>
        <v>127</v>
      </c>
      <c r="GB8" s="77">
        <f t="shared" si="14"/>
        <v>128</v>
      </c>
      <c r="GC8" s="77">
        <f t="shared" si="14"/>
        <v>129</v>
      </c>
      <c r="GD8" s="77">
        <f t="shared" si="14"/>
        <v>130</v>
      </c>
      <c r="GE8" s="77">
        <f t="shared" si="14"/>
        <v>131</v>
      </c>
      <c r="GF8" s="77">
        <f t="shared" si="14"/>
        <v>132</v>
      </c>
      <c r="GG8" s="77">
        <f t="shared" si="14"/>
        <v>133</v>
      </c>
      <c r="GH8" s="77">
        <f t="shared" si="14"/>
        <v>134</v>
      </c>
      <c r="GI8" s="77">
        <f t="shared" si="14"/>
        <v>135</v>
      </c>
      <c r="GJ8" s="77">
        <f t="shared" si="14"/>
        <v>136</v>
      </c>
      <c r="GK8" s="77">
        <f t="shared" si="14"/>
        <v>137</v>
      </c>
      <c r="GL8" s="77">
        <f t="shared" si="14"/>
        <v>138</v>
      </c>
      <c r="GM8" s="77">
        <f t="shared" si="14"/>
        <v>139</v>
      </c>
      <c r="GN8" s="77">
        <f t="shared" si="14"/>
        <v>140</v>
      </c>
      <c r="GO8" s="77">
        <f t="shared" si="14"/>
        <v>141</v>
      </c>
      <c r="GP8" s="77">
        <f t="shared" si="14"/>
        <v>142</v>
      </c>
      <c r="GQ8" s="77">
        <f t="shared" si="14"/>
        <v>143</v>
      </c>
      <c r="GR8" s="77">
        <f t="shared" si="14"/>
        <v>144</v>
      </c>
      <c r="GS8" s="77">
        <f t="shared" si="14"/>
        <v>145</v>
      </c>
      <c r="GT8" s="77">
        <f t="shared" si="14"/>
        <v>146</v>
      </c>
      <c r="GU8" s="77">
        <f t="shared" si="14"/>
        <v>147</v>
      </c>
      <c r="GV8" s="77">
        <f t="shared" si="14"/>
        <v>148</v>
      </c>
      <c r="GW8" s="77">
        <f t="shared" si="14"/>
        <v>149</v>
      </c>
      <c r="GX8" s="77">
        <f t="shared" si="14"/>
        <v>150</v>
      </c>
    </row>
    <row r="9" spans="1:206" ht="15" customHeight="1" x14ac:dyDescent="0.2">
      <c r="A9" s="22" t="s">
        <v>68</v>
      </c>
      <c r="B9" s="22">
        <v>1</v>
      </c>
      <c r="C9" s="22" t="s">
        <v>69</v>
      </c>
      <c r="D9" s="22">
        <v>8</v>
      </c>
      <c r="E9" s="22" t="s">
        <v>86</v>
      </c>
      <c r="F9" s="22" t="s">
        <v>71</v>
      </c>
      <c r="G9" s="22" t="s">
        <v>72</v>
      </c>
      <c r="H9" s="22">
        <v>2009</v>
      </c>
      <c r="I9" s="22">
        <v>17</v>
      </c>
      <c r="J9" s="22">
        <v>61.86</v>
      </c>
      <c r="K9" s="22">
        <v>297</v>
      </c>
      <c r="L9" s="22">
        <v>8475</v>
      </c>
      <c r="M9" s="22">
        <v>8178</v>
      </c>
      <c r="N9" s="22" t="s">
        <v>87</v>
      </c>
      <c r="O9" s="22" t="s">
        <v>74</v>
      </c>
      <c r="P9" s="22" t="s">
        <v>75</v>
      </c>
      <c r="Q9" s="108">
        <f>IF(R9="","",'Dashboard Ciclos'!$B$2-R9)</f>
        <v>46244</v>
      </c>
      <c r="R9" s="22">
        <f>IF($E9="","",IFERROR(INDEX($W9:$GX9,MATCH('Dashboard Ciclos'!$B$2,$W$1:$GX$1,0)),""))</f>
        <v>5</v>
      </c>
      <c r="S9" s="22" t="str">
        <f t="shared" si="11"/>
        <v>En ciclo</v>
      </c>
      <c r="T9" s="22" t="str">
        <f t="shared" si="3"/>
        <v>En ciclo</v>
      </c>
      <c r="U9" s="22">
        <f t="shared" si="4"/>
        <v>7</v>
      </c>
      <c r="V9" s="23">
        <f t="shared" si="5"/>
        <v>46256</v>
      </c>
      <c r="W9" s="77">
        <f t="shared" si="6"/>
        <v>18</v>
      </c>
      <c r="X9" s="77">
        <f t="shared" si="6"/>
        <v>19</v>
      </c>
      <c r="Y9" s="77">
        <f t="shared" si="6"/>
        <v>20</v>
      </c>
      <c r="Z9" s="77">
        <f t="shared" si="6"/>
        <v>21</v>
      </c>
      <c r="AA9" s="77">
        <v>22</v>
      </c>
      <c r="AB9" s="77">
        <f t="shared" si="12"/>
        <v>23</v>
      </c>
      <c r="AC9" s="77">
        <f t="shared" si="12"/>
        <v>24</v>
      </c>
      <c r="AD9" s="77">
        <f t="shared" si="12"/>
        <v>25</v>
      </c>
      <c r="AE9" s="77">
        <f t="shared" si="12"/>
        <v>26</v>
      </c>
      <c r="AF9" s="77">
        <f t="shared" si="12"/>
        <v>27</v>
      </c>
      <c r="AG9" s="77">
        <f t="shared" si="12"/>
        <v>28</v>
      </c>
      <c r="AH9" s="77">
        <f t="shared" si="12"/>
        <v>29</v>
      </c>
      <c r="AI9" s="77">
        <f t="shared" si="12"/>
        <v>30</v>
      </c>
      <c r="AJ9" s="77">
        <f t="shared" si="12"/>
        <v>31</v>
      </c>
      <c r="AK9" s="77">
        <f t="shared" si="7"/>
        <v>32</v>
      </c>
      <c r="AL9" s="77">
        <f t="shared" si="7"/>
        <v>33</v>
      </c>
      <c r="AM9" s="77">
        <f t="shared" si="7"/>
        <v>34</v>
      </c>
      <c r="AN9" s="77">
        <f t="shared" si="7"/>
        <v>35</v>
      </c>
      <c r="AO9" s="77">
        <f t="shared" si="7"/>
        <v>36</v>
      </c>
      <c r="AP9" s="77">
        <f t="shared" si="7"/>
        <v>37</v>
      </c>
      <c r="AQ9" s="77">
        <v>0</v>
      </c>
      <c r="AR9" s="77">
        <f t="shared" si="7"/>
        <v>1</v>
      </c>
      <c r="AS9" s="77">
        <f t="shared" si="17"/>
        <v>2</v>
      </c>
      <c r="AT9" s="77">
        <f t="shared" si="17"/>
        <v>3</v>
      </c>
      <c r="AU9" s="77">
        <f t="shared" si="17"/>
        <v>4</v>
      </c>
      <c r="AV9" s="77">
        <f t="shared" si="17"/>
        <v>5</v>
      </c>
      <c r="AW9" s="77">
        <f t="shared" si="17"/>
        <v>6</v>
      </c>
      <c r="AX9" s="77">
        <f t="shared" si="17"/>
        <v>7</v>
      </c>
      <c r="AY9" s="77">
        <f t="shared" si="17"/>
        <v>8</v>
      </c>
      <c r="AZ9" s="77">
        <f t="shared" si="17"/>
        <v>9</v>
      </c>
      <c r="BA9" s="77">
        <f t="shared" si="17"/>
        <v>10</v>
      </c>
      <c r="BB9" s="77">
        <f t="shared" si="17"/>
        <v>11</v>
      </c>
      <c r="BC9" s="77">
        <f t="shared" si="17"/>
        <v>12</v>
      </c>
      <c r="BD9" s="77">
        <f t="shared" si="17"/>
        <v>13</v>
      </c>
      <c r="BE9" s="77">
        <f t="shared" si="17"/>
        <v>14</v>
      </c>
      <c r="BF9" s="77">
        <f t="shared" si="17"/>
        <v>15</v>
      </c>
      <c r="BG9" s="77">
        <f t="shared" si="17"/>
        <v>16</v>
      </c>
      <c r="BH9" s="77">
        <f t="shared" si="17"/>
        <v>17</v>
      </c>
      <c r="BI9" s="77">
        <f t="shared" si="17"/>
        <v>18</v>
      </c>
      <c r="BJ9" s="77">
        <f t="shared" si="17"/>
        <v>19</v>
      </c>
      <c r="BK9" s="77">
        <v>0</v>
      </c>
      <c r="BL9" s="77">
        <f t="shared" si="17"/>
        <v>1</v>
      </c>
      <c r="BM9" s="77">
        <f t="shared" si="17"/>
        <v>2</v>
      </c>
      <c r="BN9" s="77">
        <f t="shared" si="17"/>
        <v>3</v>
      </c>
      <c r="BO9" s="77">
        <f t="shared" si="17"/>
        <v>4</v>
      </c>
      <c r="BP9" s="77">
        <f t="shared" si="17"/>
        <v>5</v>
      </c>
      <c r="BQ9" s="77">
        <f t="shared" si="17"/>
        <v>6</v>
      </c>
      <c r="BR9" s="77">
        <f t="shared" si="17"/>
        <v>7</v>
      </c>
      <c r="BS9" s="77">
        <f t="shared" si="17"/>
        <v>8</v>
      </c>
      <c r="BT9" s="77">
        <f t="shared" si="17"/>
        <v>9</v>
      </c>
      <c r="BU9" s="77">
        <f t="shared" si="17"/>
        <v>10</v>
      </c>
      <c r="BV9" s="77">
        <f t="shared" si="17"/>
        <v>11</v>
      </c>
      <c r="BW9" s="77">
        <f t="shared" si="17"/>
        <v>12</v>
      </c>
      <c r="BX9" s="77">
        <f t="shared" si="17"/>
        <v>13</v>
      </c>
      <c r="BY9" s="77">
        <f t="shared" si="17"/>
        <v>14</v>
      </c>
      <c r="BZ9" s="77">
        <f t="shared" si="17"/>
        <v>15</v>
      </c>
      <c r="CA9" s="77">
        <f t="shared" si="17"/>
        <v>16</v>
      </c>
      <c r="CB9" s="77">
        <f t="shared" si="17"/>
        <v>17</v>
      </c>
      <c r="CC9" s="77">
        <f t="shared" si="17"/>
        <v>18</v>
      </c>
      <c r="CD9" s="77">
        <f t="shared" si="17"/>
        <v>19</v>
      </c>
      <c r="CE9" s="77">
        <f t="shared" si="17"/>
        <v>20</v>
      </c>
      <c r="CF9" s="77">
        <f t="shared" si="17"/>
        <v>21</v>
      </c>
      <c r="CG9" s="77">
        <f t="shared" si="17"/>
        <v>22</v>
      </c>
      <c r="CH9" s="77">
        <f t="shared" si="17"/>
        <v>23</v>
      </c>
      <c r="CI9" s="77">
        <f t="shared" si="17"/>
        <v>24</v>
      </c>
      <c r="CJ9" s="77">
        <f t="shared" si="17"/>
        <v>25</v>
      </c>
      <c r="CK9" s="77">
        <f t="shared" si="16"/>
        <v>26</v>
      </c>
      <c r="CL9" s="77">
        <f t="shared" si="16"/>
        <v>27</v>
      </c>
      <c r="CM9" s="77">
        <f t="shared" si="16"/>
        <v>28</v>
      </c>
      <c r="CN9" s="77">
        <f t="shared" si="16"/>
        <v>29</v>
      </c>
      <c r="CO9" s="77">
        <f t="shared" si="16"/>
        <v>30</v>
      </c>
      <c r="CP9" s="77">
        <f t="shared" si="16"/>
        <v>31</v>
      </c>
      <c r="CQ9" s="77">
        <f t="shared" si="16"/>
        <v>32</v>
      </c>
      <c r="CR9" s="77">
        <f t="shared" si="16"/>
        <v>33</v>
      </c>
      <c r="CS9" s="77">
        <f t="shared" si="16"/>
        <v>34</v>
      </c>
      <c r="CT9" s="77">
        <f t="shared" si="16"/>
        <v>35</v>
      </c>
      <c r="CU9" s="77">
        <f t="shared" si="16"/>
        <v>36</v>
      </c>
      <c r="CV9" s="77">
        <f t="shared" si="16"/>
        <v>37</v>
      </c>
      <c r="CW9" s="77">
        <f t="shared" si="16"/>
        <v>38</v>
      </c>
      <c r="CX9" s="77">
        <f t="shared" si="16"/>
        <v>39</v>
      </c>
      <c r="CY9" s="77">
        <f t="shared" si="16"/>
        <v>40</v>
      </c>
      <c r="CZ9" s="77">
        <f t="shared" si="16"/>
        <v>41</v>
      </c>
      <c r="DA9" s="77">
        <f t="shared" si="16"/>
        <v>42</v>
      </c>
      <c r="DB9" s="77">
        <f t="shared" si="16"/>
        <v>43</v>
      </c>
      <c r="DC9" s="77">
        <f t="shared" si="16"/>
        <v>44</v>
      </c>
      <c r="DD9" s="77">
        <f t="shared" si="16"/>
        <v>45</v>
      </c>
      <c r="DE9" s="77">
        <f t="shared" si="16"/>
        <v>46</v>
      </c>
      <c r="DF9" s="77">
        <f t="shared" si="16"/>
        <v>47</v>
      </c>
      <c r="DG9" s="77">
        <f t="shared" si="16"/>
        <v>48</v>
      </c>
      <c r="DH9" s="77">
        <f t="shared" si="16"/>
        <v>49</v>
      </c>
      <c r="DI9" s="77">
        <f t="shared" si="16"/>
        <v>50</v>
      </c>
      <c r="DJ9" s="77">
        <f t="shared" si="16"/>
        <v>51</v>
      </c>
      <c r="DK9" s="77">
        <f t="shared" si="16"/>
        <v>52</v>
      </c>
      <c r="DL9" s="77">
        <f t="shared" si="16"/>
        <v>53</v>
      </c>
      <c r="DM9" s="77">
        <f t="shared" si="16"/>
        <v>54</v>
      </c>
      <c r="DN9" s="77">
        <f t="shared" si="16"/>
        <v>55</v>
      </c>
      <c r="DO9" s="77">
        <f t="shared" si="16"/>
        <v>56</v>
      </c>
      <c r="DP9" s="77">
        <f t="shared" si="16"/>
        <v>57</v>
      </c>
      <c r="DQ9" s="77">
        <f t="shared" si="16"/>
        <v>58</v>
      </c>
      <c r="DR9" s="77">
        <f t="shared" si="16"/>
        <v>59</v>
      </c>
      <c r="DS9" s="77">
        <f t="shared" si="16"/>
        <v>60</v>
      </c>
      <c r="DT9" s="77">
        <f t="shared" si="16"/>
        <v>61</v>
      </c>
      <c r="DU9" s="77">
        <f t="shared" si="16"/>
        <v>62</v>
      </c>
      <c r="DV9" s="77">
        <f t="shared" si="16"/>
        <v>63</v>
      </c>
      <c r="DW9" s="77">
        <f t="shared" si="16"/>
        <v>64</v>
      </c>
      <c r="DX9" s="77">
        <f t="shared" si="16"/>
        <v>65</v>
      </c>
      <c r="DY9" s="77">
        <f t="shared" si="16"/>
        <v>66</v>
      </c>
      <c r="DZ9" s="77">
        <f t="shared" si="16"/>
        <v>67</v>
      </c>
      <c r="EA9" s="77">
        <f t="shared" si="16"/>
        <v>68</v>
      </c>
      <c r="EB9" s="77">
        <f t="shared" si="16"/>
        <v>69</v>
      </c>
      <c r="EC9" s="77">
        <f t="shared" si="16"/>
        <v>70</v>
      </c>
      <c r="ED9" s="77">
        <f t="shared" si="16"/>
        <v>71</v>
      </c>
      <c r="EE9" s="77">
        <f t="shared" si="16"/>
        <v>72</v>
      </c>
      <c r="EF9" s="77">
        <f t="shared" si="16"/>
        <v>73</v>
      </c>
      <c r="EG9" s="77">
        <f t="shared" si="16"/>
        <v>74</v>
      </c>
      <c r="EH9" s="77">
        <f t="shared" si="16"/>
        <v>75</v>
      </c>
      <c r="EI9" s="77">
        <f t="shared" si="16"/>
        <v>76</v>
      </c>
      <c r="EJ9" s="77">
        <f t="shared" si="16"/>
        <v>77</v>
      </c>
      <c r="EK9" s="77">
        <f t="shared" si="16"/>
        <v>78</v>
      </c>
      <c r="EL9" s="77">
        <f t="shared" si="16"/>
        <v>79</v>
      </c>
      <c r="EM9" s="77">
        <f t="shared" si="16"/>
        <v>80</v>
      </c>
      <c r="EN9" s="77">
        <f t="shared" si="16"/>
        <v>81</v>
      </c>
      <c r="EO9" s="77">
        <f t="shared" si="16"/>
        <v>82</v>
      </c>
      <c r="EP9" s="77">
        <f t="shared" si="16"/>
        <v>83</v>
      </c>
      <c r="EQ9" s="77">
        <f t="shared" si="16"/>
        <v>84</v>
      </c>
      <c r="ER9" s="77">
        <f t="shared" si="16"/>
        <v>85</v>
      </c>
      <c r="ES9" s="77">
        <f t="shared" si="16"/>
        <v>86</v>
      </c>
      <c r="ET9" s="77">
        <f t="shared" si="16"/>
        <v>87</v>
      </c>
      <c r="EU9" s="77">
        <f t="shared" si="16"/>
        <v>88</v>
      </c>
      <c r="EV9" s="77">
        <f t="shared" si="15"/>
        <v>89</v>
      </c>
      <c r="EW9" s="77">
        <f t="shared" si="14"/>
        <v>90</v>
      </c>
      <c r="EX9" s="77">
        <f t="shared" si="14"/>
        <v>91</v>
      </c>
      <c r="EY9" s="77">
        <f t="shared" si="14"/>
        <v>92</v>
      </c>
      <c r="EZ9" s="77">
        <f t="shared" si="14"/>
        <v>93</v>
      </c>
      <c r="FA9" s="77">
        <f t="shared" si="14"/>
        <v>94</v>
      </c>
      <c r="FB9" s="77">
        <f t="shared" si="14"/>
        <v>95</v>
      </c>
      <c r="FC9" s="77">
        <f t="shared" si="14"/>
        <v>96</v>
      </c>
      <c r="FD9" s="77">
        <f t="shared" si="14"/>
        <v>97</v>
      </c>
      <c r="FE9" s="77">
        <f t="shared" si="14"/>
        <v>98</v>
      </c>
      <c r="FF9" s="77">
        <f t="shared" si="14"/>
        <v>99</v>
      </c>
      <c r="FG9" s="77">
        <f t="shared" si="14"/>
        <v>100</v>
      </c>
      <c r="FH9" s="77">
        <f t="shared" si="14"/>
        <v>101</v>
      </c>
      <c r="FI9" s="77">
        <f t="shared" si="14"/>
        <v>102</v>
      </c>
      <c r="FJ9" s="77">
        <f t="shared" si="14"/>
        <v>103</v>
      </c>
      <c r="FK9" s="77">
        <f t="shared" si="14"/>
        <v>104</v>
      </c>
      <c r="FL9" s="77">
        <f t="shared" si="14"/>
        <v>105</v>
      </c>
      <c r="FM9" s="77">
        <f t="shared" si="14"/>
        <v>106</v>
      </c>
      <c r="FN9" s="77">
        <f t="shared" si="14"/>
        <v>107</v>
      </c>
      <c r="FO9" s="77">
        <f t="shared" si="14"/>
        <v>108</v>
      </c>
      <c r="FP9" s="77">
        <f t="shared" si="14"/>
        <v>109</v>
      </c>
      <c r="FQ9" s="77">
        <f t="shared" si="14"/>
        <v>110</v>
      </c>
      <c r="FR9" s="77">
        <f t="shared" si="14"/>
        <v>111</v>
      </c>
      <c r="FS9" s="77">
        <f t="shared" si="14"/>
        <v>112</v>
      </c>
      <c r="FT9" s="77">
        <f t="shared" si="14"/>
        <v>113</v>
      </c>
      <c r="FU9" s="77">
        <f t="shared" si="14"/>
        <v>114</v>
      </c>
      <c r="FV9" s="77">
        <f t="shared" si="14"/>
        <v>115</v>
      </c>
      <c r="FW9" s="77">
        <f t="shared" si="14"/>
        <v>116</v>
      </c>
      <c r="FX9" s="77">
        <f t="shared" si="14"/>
        <v>117</v>
      </c>
      <c r="FY9" s="77">
        <f t="shared" si="14"/>
        <v>118</v>
      </c>
      <c r="FZ9" s="77">
        <f t="shared" si="14"/>
        <v>119</v>
      </c>
      <c r="GA9" s="77">
        <f t="shared" si="14"/>
        <v>120</v>
      </c>
      <c r="GB9" s="77">
        <f t="shared" si="14"/>
        <v>121</v>
      </c>
      <c r="GC9" s="77">
        <f t="shared" si="14"/>
        <v>122</v>
      </c>
      <c r="GD9" s="77">
        <f t="shared" si="14"/>
        <v>123</v>
      </c>
      <c r="GE9" s="77">
        <f t="shared" si="14"/>
        <v>124</v>
      </c>
      <c r="GF9" s="77">
        <f t="shared" si="14"/>
        <v>125</v>
      </c>
      <c r="GG9" s="77">
        <f t="shared" si="14"/>
        <v>126</v>
      </c>
      <c r="GH9" s="77">
        <f t="shared" si="14"/>
        <v>127</v>
      </c>
      <c r="GI9" s="77">
        <f t="shared" ref="GI9:GX9" si="18">IF(GH9="","",GH9+1)</f>
        <v>128</v>
      </c>
      <c r="GJ9" s="77">
        <f t="shared" si="18"/>
        <v>129</v>
      </c>
      <c r="GK9" s="77">
        <f t="shared" si="18"/>
        <v>130</v>
      </c>
      <c r="GL9" s="77">
        <f t="shared" si="18"/>
        <v>131</v>
      </c>
      <c r="GM9" s="77">
        <f t="shared" si="18"/>
        <v>132</v>
      </c>
      <c r="GN9" s="77">
        <f t="shared" si="18"/>
        <v>133</v>
      </c>
      <c r="GO9" s="77">
        <f t="shared" si="18"/>
        <v>134</v>
      </c>
      <c r="GP9" s="77">
        <f t="shared" si="18"/>
        <v>135</v>
      </c>
      <c r="GQ9" s="77">
        <f t="shared" si="18"/>
        <v>136</v>
      </c>
      <c r="GR9" s="77">
        <f t="shared" si="18"/>
        <v>137</v>
      </c>
      <c r="GS9" s="77">
        <f t="shared" si="18"/>
        <v>138</v>
      </c>
      <c r="GT9" s="77">
        <f t="shared" si="18"/>
        <v>139</v>
      </c>
      <c r="GU9" s="77">
        <f t="shared" si="18"/>
        <v>140</v>
      </c>
      <c r="GV9" s="77">
        <f t="shared" si="18"/>
        <v>141</v>
      </c>
      <c r="GW9" s="77">
        <f t="shared" si="18"/>
        <v>142</v>
      </c>
      <c r="GX9" s="77">
        <f t="shared" si="18"/>
        <v>143</v>
      </c>
    </row>
    <row r="10" spans="1:206" ht="15" customHeight="1" x14ac:dyDescent="0.2">
      <c r="A10" s="22" t="s">
        <v>68</v>
      </c>
      <c r="B10" s="22">
        <v>1</v>
      </c>
      <c r="C10" s="22" t="s">
        <v>69</v>
      </c>
      <c r="D10" s="22">
        <v>9</v>
      </c>
      <c r="E10" s="22" t="s">
        <v>88</v>
      </c>
      <c r="F10" s="22" t="s">
        <v>71</v>
      </c>
      <c r="G10" s="22" t="s">
        <v>72</v>
      </c>
      <c r="H10" s="22">
        <v>2009</v>
      </c>
      <c r="I10" s="22">
        <v>17</v>
      </c>
      <c r="J10" s="22">
        <v>46.31</v>
      </c>
      <c r="K10" s="22">
        <v>0</v>
      </c>
      <c r="L10" s="22">
        <v>6536</v>
      </c>
      <c r="M10" s="22">
        <v>6536</v>
      </c>
      <c r="N10" s="22" t="s">
        <v>87</v>
      </c>
      <c r="O10" s="22" t="s">
        <v>74</v>
      </c>
      <c r="P10" s="22" t="s">
        <v>75</v>
      </c>
      <c r="Q10" s="108">
        <f>IF(R10="","",'Dashboard Ciclos'!$B$2-R10)</f>
        <v>46245</v>
      </c>
      <c r="R10" s="22">
        <f>IF($E10="","",IFERROR(INDEX($W10:$GX10,MATCH('Dashboard Ciclos'!$B$2,$W$1:$GX$1,0)),""))</f>
        <v>4</v>
      </c>
      <c r="S10" s="22" t="str">
        <f t="shared" si="11"/>
        <v>En ciclo</v>
      </c>
      <c r="T10" s="22" t="str">
        <f t="shared" si="3"/>
        <v>Recién cortado</v>
      </c>
      <c r="U10" s="22">
        <f t="shared" si="4"/>
        <v>8</v>
      </c>
      <c r="V10" s="23">
        <f t="shared" si="5"/>
        <v>46257</v>
      </c>
      <c r="W10" s="77">
        <f t="shared" si="6"/>
        <v>14</v>
      </c>
      <c r="X10" s="77">
        <f t="shared" si="6"/>
        <v>15</v>
      </c>
      <c r="Y10" s="77">
        <f t="shared" si="6"/>
        <v>16</v>
      </c>
      <c r="Z10" s="77">
        <f t="shared" si="6"/>
        <v>17</v>
      </c>
      <c r="AA10" s="77">
        <v>18</v>
      </c>
      <c r="AB10" s="77">
        <f t="shared" si="12"/>
        <v>19</v>
      </c>
      <c r="AC10" s="77">
        <f t="shared" si="12"/>
        <v>20</v>
      </c>
      <c r="AD10" s="77">
        <f t="shared" si="12"/>
        <v>21</v>
      </c>
      <c r="AE10" s="77">
        <f t="shared" si="12"/>
        <v>22</v>
      </c>
      <c r="AF10" s="77">
        <f t="shared" si="12"/>
        <v>23</v>
      </c>
      <c r="AG10" s="77">
        <f t="shared" si="12"/>
        <v>24</v>
      </c>
      <c r="AH10" s="77">
        <f t="shared" si="12"/>
        <v>25</v>
      </c>
      <c r="AI10" s="77">
        <f t="shared" si="12"/>
        <v>26</v>
      </c>
      <c r="AJ10" s="77">
        <f t="shared" si="12"/>
        <v>27</v>
      </c>
      <c r="AK10" s="77">
        <f t="shared" si="7"/>
        <v>28</v>
      </c>
      <c r="AL10" s="77">
        <f t="shared" si="7"/>
        <v>29</v>
      </c>
      <c r="AM10" s="77">
        <f t="shared" si="7"/>
        <v>30</v>
      </c>
      <c r="AN10" s="77">
        <f t="shared" si="7"/>
        <v>31</v>
      </c>
      <c r="AO10" s="77">
        <f t="shared" si="7"/>
        <v>32</v>
      </c>
      <c r="AP10" s="77">
        <f t="shared" si="7"/>
        <v>33</v>
      </c>
      <c r="AQ10" s="77">
        <f t="shared" si="7"/>
        <v>34</v>
      </c>
      <c r="AR10" s="77">
        <v>0</v>
      </c>
      <c r="AS10" s="77">
        <f t="shared" si="17"/>
        <v>1</v>
      </c>
      <c r="AT10" s="77">
        <f t="shared" si="17"/>
        <v>2</v>
      </c>
      <c r="AU10" s="77">
        <f t="shared" si="17"/>
        <v>3</v>
      </c>
      <c r="AV10" s="77">
        <f t="shared" si="17"/>
        <v>4</v>
      </c>
      <c r="AW10" s="77">
        <f t="shared" si="17"/>
        <v>5</v>
      </c>
      <c r="AX10" s="77">
        <f t="shared" si="17"/>
        <v>6</v>
      </c>
      <c r="AY10" s="77">
        <f t="shared" si="17"/>
        <v>7</v>
      </c>
      <c r="AZ10" s="77">
        <f t="shared" si="17"/>
        <v>8</v>
      </c>
      <c r="BA10" s="77">
        <f t="shared" si="17"/>
        <v>9</v>
      </c>
      <c r="BB10" s="77">
        <f t="shared" si="17"/>
        <v>10</v>
      </c>
      <c r="BC10" s="77">
        <f t="shared" si="17"/>
        <v>11</v>
      </c>
      <c r="BD10" s="77">
        <f t="shared" si="17"/>
        <v>12</v>
      </c>
      <c r="BE10" s="77">
        <f t="shared" si="17"/>
        <v>13</v>
      </c>
      <c r="BF10" s="77">
        <f t="shared" si="17"/>
        <v>14</v>
      </c>
      <c r="BG10" s="77">
        <f t="shared" si="17"/>
        <v>15</v>
      </c>
      <c r="BH10" s="77">
        <f t="shared" si="17"/>
        <v>16</v>
      </c>
      <c r="BI10" s="77">
        <f t="shared" si="17"/>
        <v>17</v>
      </c>
      <c r="BJ10" s="77">
        <f t="shared" si="17"/>
        <v>18</v>
      </c>
      <c r="BK10" s="77">
        <f t="shared" si="17"/>
        <v>19</v>
      </c>
      <c r="BL10" s="77">
        <v>0</v>
      </c>
      <c r="BM10" s="77">
        <f t="shared" si="17"/>
        <v>1</v>
      </c>
      <c r="BN10" s="77">
        <f t="shared" si="17"/>
        <v>2</v>
      </c>
      <c r="BO10" s="77">
        <f t="shared" si="17"/>
        <v>3</v>
      </c>
      <c r="BP10" s="77">
        <f t="shared" si="17"/>
        <v>4</v>
      </c>
      <c r="BQ10" s="77">
        <f t="shared" si="17"/>
        <v>5</v>
      </c>
      <c r="BR10" s="77">
        <f t="shared" si="17"/>
        <v>6</v>
      </c>
      <c r="BS10" s="77">
        <f t="shared" si="17"/>
        <v>7</v>
      </c>
      <c r="BT10" s="77">
        <f t="shared" si="17"/>
        <v>8</v>
      </c>
      <c r="BU10" s="77">
        <f t="shared" si="17"/>
        <v>9</v>
      </c>
      <c r="BV10" s="77">
        <f t="shared" si="17"/>
        <v>10</v>
      </c>
      <c r="BW10" s="77">
        <f t="shared" si="17"/>
        <v>11</v>
      </c>
      <c r="BX10" s="77">
        <f t="shared" si="17"/>
        <v>12</v>
      </c>
      <c r="BY10" s="77">
        <f t="shared" si="17"/>
        <v>13</v>
      </c>
      <c r="BZ10" s="77">
        <f t="shared" si="17"/>
        <v>14</v>
      </c>
      <c r="CA10" s="77">
        <f t="shared" si="17"/>
        <v>15</v>
      </c>
      <c r="CB10" s="77">
        <f t="shared" si="17"/>
        <v>16</v>
      </c>
      <c r="CC10" s="77">
        <f t="shared" si="17"/>
        <v>17</v>
      </c>
      <c r="CD10" s="77">
        <f t="shared" si="17"/>
        <v>18</v>
      </c>
      <c r="CE10" s="77">
        <f t="shared" si="17"/>
        <v>19</v>
      </c>
      <c r="CF10" s="77">
        <f t="shared" si="17"/>
        <v>20</v>
      </c>
      <c r="CG10" s="77">
        <f t="shared" si="17"/>
        <v>21</v>
      </c>
      <c r="CH10" s="77">
        <f t="shared" si="17"/>
        <v>22</v>
      </c>
      <c r="CI10" s="77">
        <f t="shared" si="17"/>
        <v>23</v>
      </c>
      <c r="CJ10" s="77">
        <f t="shared" si="17"/>
        <v>24</v>
      </c>
      <c r="CK10" s="77">
        <f t="shared" si="16"/>
        <v>25</v>
      </c>
      <c r="CL10" s="77">
        <f t="shared" si="16"/>
        <v>26</v>
      </c>
      <c r="CM10" s="77">
        <f t="shared" si="16"/>
        <v>27</v>
      </c>
      <c r="CN10" s="77">
        <f t="shared" si="16"/>
        <v>28</v>
      </c>
      <c r="CO10" s="77">
        <f t="shared" si="16"/>
        <v>29</v>
      </c>
      <c r="CP10" s="77">
        <f t="shared" si="16"/>
        <v>30</v>
      </c>
      <c r="CQ10" s="77">
        <f t="shared" si="16"/>
        <v>31</v>
      </c>
      <c r="CR10" s="77">
        <f t="shared" si="16"/>
        <v>32</v>
      </c>
      <c r="CS10" s="77">
        <f t="shared" si="16"/>
        <v>33</v>
      </c>
      <c r="CT10" s="77">
        <f t="shared" si="16"/>
        <v>34</v>
      </c>
      <c r="CU10" s="77">
        <f t="shared" si="16"/>
        <v>35</v>
      </c>
      <c r="CV10" s="77">
        <f t="shared" si="16"/>
        <v>36</v>
      </c>
      <c r="CW10" s="77">
        <f t="shared" si="16"/>
        <v>37</v>
      </c>
      <c r="CX10" s="77">
        <f t="shared" si="16"/>
        <v>38</v>
      </c>
      <c r="CY10" s="77">
        <f t="shared" si="16"/>
        <v>39</v>
      </c>
      <c r="CZ10" s="77">
        <f t="shared" si="16"/>
        <v>40</v>
      </c>
      <c r="DA10" s="77">
        <f t="shared" si="16"/>
        <v>41</v>
      </c>
      <c r="DB10" s="77">
        <f t="shared" si="16"/>
        <v>42</v>
      </c>
      <c r="DC10" s="77">
        <f t="shared" si="16"/>
        <v>43</v>
      </c>
      <c r="DD10" s="77">
        <f t="shared" si="16"/>
        <v>44</v>
      </c>
      <c r="DE10" s="77">
        <f t="shared" si="16"/>
        <v>45</v>
      </c>
      <c r="DF10" s="77">
        <f t="shared" si="16"/>
        <v>46</v>
      </c>
      <c r="DG10" s="77">
        <f t="shared" si="16"/>
        <v>47</v>
      </c>
      <c r="DH10" s="77">
        <f t="shared" si="16"/>
        <v>48</v>
      </c>
      <c r="DI10" s="77">
        <f t="shared" si="16"/>
        <v>49</v>
      </c>
      <c r="DJ10" s="77">
        <f t="shared" si="16"/>
        <v>50</v>
      </c>
      <c r="DK10" s="77">
        <f t="shared" si="16"/>
        <v>51</v>
      </c>
      <c r="DL10" s="77">
        <f t="shared" si="16"/>
        <v>52</v>
      </c>
      <c r="DM10" s="77">
        <f t="shared" si="16"/>
        <v>53</v>
      </c>
      <c r="DN10" s="77">
        <f t="shared" si="16"/>
        <v>54</v>
      </c>
      <c r="DO10" s="77">
        <f t="shared" si="16"/>
        <v>55</v>
      </c>
      <c r="DP10" s="77">
        <f t="shared" si="16"/>
        <v>56</v>
      </c>
      <c r="DQ10" s="77">
        <f t="shared" si="16"/>
        <v>57</v>
      </c>
      <c r="DR10" s="77">
        <f t="shared" si="16"/>
        <v>58</v>
      </c>
      <c r="DS10" s="77">
        <f t="shared" si="16"/>
        <v>59</v>
      </c>
      <c r="DT10" s="77">
        <f t="shared" si="16"/>
        <v>60</v>
      </c>
      <c r="DU10" s="77">
        <f t="shared" si="16"/>
        <v>61</v>
      </c>
      <c r="DV10" s="77">
        <f t="shared" si="16"/>
        <v>62</v>
      </c>
      <c r="DW10" s="77">
        <f t="shared" si="16"/>
        <v>63</v>
      </c>
      <c r="DX10" s="77">
        <f t="shared" si="16"/>
        <v>64</v>
      </c>
      <c r="DY10" s="77">
        <f t="shared" si="16"/>
        <v>65</v>
      </c>
      <c r="DZ10" s="77">
        <f t="shared" si="16"/>
        <v>66</v>
      </c>
      <c r="EA10" s="77">
        <f t="shared" si="16"/>
        <v>67</v>
      </c>
      <c r="EB10" s="77">
        <f t="shared" si="16"/>
        <v>68</v>
      </c>
      <c r="EC10" s="77">
        <f t="shared" si="16"/>
        <v>69</v>
      </c>
      <c r="ED10" s="77">
        <f t="shared" si="16"/>
        <v>70</v>
      </c>
      <c r="EE10" s="77">
        <f t="shared" si="16"/>
        <v>71</v>
      </c>
      <c r="EF10" s="77">
        <f t="shared" si="16"/>
        <v>72</v>
      </c>
      <c r="EG10" s="77">
        <f t="shared" si="16"/>
        <v>73</v>
      </c>
      <c r="EH10" s="77">
        <f t="shared" si="16"/>
        <v>74</v>
      </c>
      <c r="EI10" s="77">
        <f t="shared" si="16"/>
        <v>75</v>
      </c>
      <c r="EJ10" s="77">
        <f t="shared" si="16"/>
        <v>76</v>
      </c>
      <c r="EK10" s="77">
        <f t="shared" si="16"/>
        <v>77</v>
      </c>
      <c r="EL10" s="77">
        <f t="shared" si="16"/>
        <v>78</v>
      </c>
      <c r="EM10" s="77">
        <f t="shared" si="16"/>
        <v>79</v>
      </c>
      <c r="EN10" s="77">
        <f t="shared" si="16"/>
        <v>80</v>
      </c>
      <c r="EO10" s="77">
        <f t="shared" si="16"/>
        <v>81</v>
      </c>
      <c r="EP10" s="77">
        <f t="shared" si="16"/>
        <v>82</v>
      </c>
      <c r="EQ10" s="77">
        <f t="shared" si="16"/>
        <v>83</v>
      </c>
      <c r="ER10" s="77">
        <f t="shared" si="16"/>
        <v>84</v>
      </c>
      <c r="ES10" s="77">
        <f t="shared" si="16"/>
        <v>85</v>
      </c>
      <c r="ET10" s="77">
        <f t="shared" si="16"/>
        <v>86</v>
      </c>
      <c r="EU10" s="77">
        <f t="shared" si="16"/>
        <v>87</v>
      </c>
      <c r="EV10" s="77">
        <f t="shared" si="15"/>
        <v>88</v>
      </c>
      <c r="EW10" s="77">
        <f t="shared" ref="EW10:GX14" si="19">IF(EV10="","",EV10+1)</f>
        <v>89</v>
      </c>
      <c r="EX10" s="77">
        <f t="shared" si="19"/>
        <v>90</v>
      </c>
      <c r="EY10" s="77">
        <f t="shared" si="19"/>
        <v>91</v>
      </c>
      <c r="EZ10" s="77">
        <f t="shared" si="19"/>
        <v>92</v>
      </c>
      <c r="FA10" s="77">
        <f t="shared" si="19"/>
        <v>93</v>
      </c>
      <c r="FB10" s="77">
        <f t="shared" si="19"/>
        <v>94</v>
      </c>
      <c r="FC10" s="77">
        <f t="shared" si="19"/>
        <v>95</v>
      </c>
      <c r="FD10" s="77">
        <f t="shared" si="19"/>
        <v>96</v>
      </c>
      <c r="FE10" s="77">
        <f t="shared" si="19"/>
        <v>97</v>
      </c>
      <c r="FF10" s="77">
        <f t="shared" si="19"/>
        <v>98</v>
      </c>
      <c r="FG10" s="77">
        <f t="shared" si="19"/>
        <v>99</v>
      </c>
      <c r="FH10" s="77">
        <f t="shared" si="19"/>
        <v>100</v>
      </c>
      <c r="FI10" s="77">
        <f t="shared" si="19"/>
        <v>101</v>
      </c>
      <c r="FJ10" s="77">
        <f t="shared" si="19"/>
        <v>102</v>
      </c>
      <c r="FK10" s="77">
        <f t="shared" si="19"/>
        <v>103</v>
      </c>
      <c r="FL10" s="77">
        <f t="shared" si="19"/>
        <v>104</v>
      </c>
      <c r="FM10" s="77">
        <f t="shared" si="19"/>
        <v>105</v>
      </c>
      <c r="FN10" s="77">
        <f t="shared" si="19"/>
        <v>106</v>
      </c>
      <c r="FO10" s="77">
        <f t="shared" si="19"/>
        <v>107</v>
      </c>
      <c r="FP10" s="77">
        <f t="shared" si="19"/>
        <v>108</v>
      </c>
      <c r="FQ10" s="77">
        <f t="shared" si="19"/>
        <v>109</v>
      </c>
      <c r="FR10" s="77">
        <f t="shared" si="19"/>
        <v>110</v>
      </c>
      <c r="FS10" s="77">
        <f t="shared" si="19"/>
        <v>111</v>
      </c>
      <c r="FT10" s="77">
        <f t="shared" si="19"/>
        <v>112</v>
      </c>
      <c r="FU10" s="77">
        <f t="shared" si="19"/>
        <v>113</v>
      </c>
      <c r="FV10" s="77">
        <f t="shared" si="19"/>
        <v>114</v>
      </c>
      <c r="FW10" s="77">
        <f t="shared" si="19"/>
        <v>115</v>
      </c>
      <c r="FX10" s="77">
        <f t="shared" si="19"/>
        <v>116</v>
      </c>
      <c r="FY10" s="77">
        <f t="shared" si="19"/>
        <v>117</v>
      </c>
      <c r="FZ10" s="77">
        <f t="shared" si="19"/>
        <v>118</v>
      </c>
      <c r="GA10" s="77">
        <f t="shared" si="19"/>
        <v>119</v>
      </c>
      <c r="GB10" s="77">
        <f t="shared" si="19"/>
        <v>120</v>
      </c>
      <c r="GC10" s="77">
        <f t="shared" si="19"/>
        <v>121</v>
      </c>
      <c r="GD10" s="77">
        <f t="shared" si="19"/>
        <v>122</v>
      </c>
      <c r="GE10" s="77">
        <f t="shared" si="19"/>
        <v>123</v>
      </c>
      <c r="GF10" s="77">
        <f t="shared" si="19"/>
        <v>124</v>
      </c>
      <c r="GG10" s="77">
        <f t="shared" si="19"/>
        <v>125</v>
      </c>
      <c r="GH10" s="77">
        <f t="shared" si="19"/>
        <v>126</v>
      </c>
      <c r="GI10" s="77">
        <f t="shared" si="19"/>
        <v>127</v>
      </c>
      <c r="GJ10" s="77">
        <f t="shared" si="19"/>
        <v>128</v>
      </c>
      <c r="GK10" s="77">
        <f t="shared" si="19"/>
        <v>129</v>
      </c>
      <c r="GL10" s="77">
        <f t="shared" si="19"/>
        <v>130</v>
      </c>
      <c r="GM10" s="77">
        <f t="shared" si="19"/>
        <v>131</v>
      </c>
      <c r="GN10" s="77">
        <f t="shared" si="19"/>
        <v>132</v>
      </c>
      <c r="GO10" s="77">
        <f t="shared" si="19"/>
        <v>133</v>
      </c>
      <c r="GP10" s="77">
        <f t="shared" si="19"/>
        <v>134</v>
      </c>
      <c r="GQ10" s="77">
        <f t="shared" si="19"/>
        <v>135</v>
      </c>
      <c r="GR10" s="77">
        <f t="shared" si="19"/>
        <v>136</v>
      </c>
      <c r="GS10" s="77">
        <f t="shared" si="19"/>
        <v>137</v>
      </c>
      <c r="GT10" s="77">
        <f t="shared" si="19"/>
        <v>138</v>
      </c>
      <c r="GU10" s="77">
        <f t="shared" si="19"/>
        <v>139</v>
      </c>
      <c r="GV10" s="77">
        <f t="shared" si="19"/>
        <v>140</v>
      </c>
      <c r="GW10" s="77">
        <f t="shared" si="19"/>
        <v>141</v>
      </c>
      <c r="GX10" s="77">
        <f t="shared" si="19"/>
        <v>142</v>
      </c>
    </row>
    <row r="11" spans="1:206" ht="15" customHeight="1" x14ac:dyDescent="0.2">
      <c r="A11" s="22" t="s">
        <v>68</v>
      </c>
      <c r="B11" s="22">
        <v>1</v>
      </c>
      <c r="C11" s="22" t="s">
        <v>69</v>
      </c>
      <c r="D11" s="22">
        <v>10</v>
      </c>
      <c r="E11" s="22" t="s">
        <v>89</v>
      </c>
      <c r="F11" s="22" t="s">
        <v>71</v>
      </c>
      <c r="G11" s="22" t="s">
        <v>72</v>
      </c>
      <c r="H11" s="22">
        <v>2009</v>
      </c>
      <c r="I11" s="22">
        <v>17</v>
      </c>
      <c r="J11" s="22">
        <v>50.1</v>
      </c>
      <c r="K11" s="22">
        <v>207</v>
      </c>
      <c r="L11" s="22">
        <v>7081</v>
      </c>
      <c r="M11" s="22">
        <v>6874</v>
      </c>
      <c r="N11" s="22" t="s">
        <v>87</v>
      </c>
      <c r="O11" s="22" t="s">
        <v>74</v>
      </c>
      <c r="P11" s="22" t="s">
        <v>75</v>
      </c>
      <c r="Q11" s="108">
        <f>IF(R11="","",'Dashboard Ciclos'!$B$2-R11)</f>
        <v>46246</v>
      </c>
      <c r="R11" s="22">
        <f>IF($E11="","",IFERROR(INDEX($W11:$GX11,MATCH('Dashboard Ciclos'!$B$2,$W$1:$GX$1,0)),""))</f>
        <v>3</v>
      </c>
      <c r="S11" s="22" t="str">
        <f t="shared" si="11"/>
        <v>En ciclo</v>
      </c>
      <c r="T11" s="22" t="str">
        <f t="shared" si="3"/>
        <v>Recién cortado</v>
      </c>
      <c r="U11" s="22">
        <f t="shared" si="4"/>
        <v>9</v>
      </c>
      <c r="V11" s="23">
        <f t="shared" si="5"/>
        <v>46258</v>
      </c>
      <c r="W11" s="77">
        <f t="shared" si="6"/>
        <v>11</v>
      </c>
      <c r="X11" s="77">
        <f t="shared" si="6"/>
        <v>12</v>
      </c>
      <c r="Y11" s="77">
        <f t="shared" si="6"/>
        <v>13</v>
      </c>
      <c r="Z11" s="77">
        <f t="shared" si="6"/>
        <v>14</v>
      </c>
      <c r="AA11" s="77">
        <v>15</v>
      </c>
      <c r="AB11" s="77">
        <f t="shared" si="12"/>
        <v>16</v>
      </c>
      <c r="AC11" s="77">
        <f t="shared" si="12"/>
        <v>17</v>
      </c>
      <c r="AD11" s="77">
        <f t="shared" si="12"/>
        <v>18</v>
      </c>
      <c r="AE11" s="77">
        <f t="shared" si="12"/>
        <v>19</v>
      </c>
      <c r="AF11" s="77">
        <f t="shared" si="12"/>
        <v>20</v>
      </c>
      <c r="AG11" s="77">
        <f t="shared" si="12"/>
        <v>21</v>
      </c>
      <c r="AH11" s="77">
        <f t="shared" si="12"/>
        <v>22</v>
      </c>
      <c r="AI11" s="77">
        <f t="shared" si="12"/>
        <v>23</v>
      </c>
      <c r="AJ11" s="77">
        <f t="shared" si="12"/>
        <v>24</v>
      </c>
      <c r="AK11" s="77">
        <f t="shared" si="7"/>
        <v>25</v>
      </c>
      <c r="AL11" s="77">
        <f t="shared" si="7"/>
        <v>26</v>
      </c>
      <c r="AM11" s="77">
        <f t="shared" si="7"/>
        <v>27</v>
      </c>
      <c r="AN11" s="77">
        <f t="shared" si="7"/>
        <v>28</v>
      </c>
      <c r="AO11" s="77">
        <f t="shared" si="7"/>
        <v>29</v>
      </c>
      <c r="AP11" s="77">
        <f t="shared" si="7"/>
        <v>30</v>
      </c>
      <c r="AQ11" s="77">
        <f t="shared" si="7"/>
        <v>31</v>
      </c>
      <c r="AR11" s="77">
        <f t="shared" si="7"/>
        <v>32</v>
      </c>
      <c r="AS11" s="77">
        <v>0</v>
      </c>
      <c r="AT11" s="77">
        <f t="shared" si="17"/>
        <v>1</v>
      </c>
      <c r="AU11" s="77">
        <f t="shared" si="17"/>
        <v>2</v>
      </c>
      <c r="AV11" s="77">
        <f t="shared" si="17"/>
        <v>3</v>
      </c>
      <c r="AW11" s="77">
        <f t="shared" si="17"/>
        <v>4</v>
      </c>
      <c r="AX11" s="77">
        <f t="shared" si="17"/>
        <v>5</v>
      </c>
      <c r="AY11" s="77">
        <f t="shared" si="17"/>
        <v>6</v>
      </c>
      <c r="AZ11" s="77">
        <f t="shared" si="17"/>
        <v>7</v>
      </c>
      <c r="BA11" s="77">
        <f t="shared" si="17"/>
        <v>8</v>
      </c>
      <c r="BB11" s="77">
        <f t="shared" si="17"/>
        <v>9</v>
      </c>
      <c r="BC11" s="77">
        <f t="shared" si="17"/>
        <v>10</v>
      </c>
      <c r="BD11" s="77">
        <f t="shared" si="17"/>
        <v>11</v>
      </c>
      <c r="BE11" s="77">
        <f t="shared" si="17"/>
        <v>12</v>
      </c>
      <c r="BF11" s="77">
        <f t="shared" si="17"/>
        <v>13</v>
      </c>
      <c r="BG11" s="77">
        <f t="shared" si="17"/>
        <v>14</v>
      </c>
      <c r="BH11" s="77">
        <f t="shared" si="17"/>
        <v>15</v>
      </c>
      <c r="BI11" s="77">
        <f t="shared" si="17"/>
        <v>16</v>
      </c>
      <c r="BJ11" s="77">
        <f t="shared" si="17"/>
        <v>17</v>
      </c>
      <c r="BK11" s="77">
        <f t="shared" si="17"/>
        <v>18</v>
      </c>
      <c r="BL11" s="77">
        <f t="shared" si="17"/>
        <v>19</v>
      </c>
      <c r="BM11" s="77">
        <v>0</v>
      </c>
      <c r="BN11" s="77">
        <f t="shared" si="17"/>
        <v>1</v>
      </c>
      <c r="BO11" s="77">
        <f t="shared" si="17"/>
        <v>2</v>
      </c>
      <c r="BP11" s="77">
        <f t="shared" si="17"/>
        <v>3</v>
      </c>
      <c r="BQ11" s="77">
        <f t="shared" si="17"/>
        <v>4</v>
      </c>
      <c r="BR11" s="77">
        <f t="shared" si="17"/>
        <v>5</v>
      </c>
      <c r="BS11" s="77">
        <f t="shared" si="17"/>
        <v>6</v>
      </c>
      <c r="BT11" s="77">
        <f t="shared" si="17"/>
        <v>7</v>
      </c>
      <c r="BU11" s="77">
        <f t="shared" si="17"/>
        <v>8</v>
      </c>
      <c r="BV11" s="77">
        <f t="shared" si="17"/>
        <v>9</v>
      </c>
      <c r="BW11" s="77">
        <f t="shared" si="17"/>
        <v>10</v>
      </c>
      <c r="BX11" s="77">
        <f t="shared" si="17"/>
        <v>11</v>
      </c>
      <c r="BY11" s="77">
        <f t="shared" si="17"/>
        <v>12</v>
      </c>
      <c r="BZ11" s="77">
        <f t="shared" si="17"/>
        <v>13</v>
      </c>
      <c r="CA11" s="77">
        <f t="shared" si="17"/>
        <v>14</v>
      </c>
      <c r="CB11" s="77">
        <f t="shared" si="17"/>
        <v>15</v>
      </c>
      <c r="CC11" s="77">
        <f t="shared" si="17"/>
        <v>16</v>
      </c>
      <c r="CD11" s="77">
        <f t="shared" si="17"/>
        <v>17</v>
      </c>
      <c r="CE11" s="77">
        <f t="shared" si="17"/>
        <v>18</v>
      </c>
      <c r="CF11" s="77">
        <f t="shared" si="17"/>
        <v>19</v>
      </c>
      <c r="CG11" s="77">
        <f t="shared" si="17"/>
        <v>20</v>
      </c>
      <c r="CH11" s="77">
        <f t="shared" si="17"/>
        <v>21</v>
      </c>
      <c r="CI11" s="77">
        <f t="shared" si="17"/>
        <v>22</v>
      </c>
      <c r="CJ11" s="77">
        <f t="shared" ref="CJ11:EU14" si="20">IF(CI11="","",CI11+1)</f>
        <v>23</v>
      </c>
      <c r="CK11" s="77">
        <f t="shared" si="20"/>
        <v>24</v>
      </c>
      <c r="CL11" s="77">
        <f t="shared" si="20"/>
        <v>25</v>
      </c>
      <c r="CM11" s="77">
        <f t="shared" si="20"/>
        <v>26</v>
      </c>
      <c r="CN11" s="77">
        <f t="shared" si="20"/>
        <v>27</v>
      </c>
      <c r="CO11" s="77">
        <f t="shared" si="20"/>
        <v>28</v>
      </c>
      <c r="CP11" s="77">
        <f t="shared" si="20"/>
        <v>29</v>
      </c>
      <c r="CQ11" s="77">
        <f t="shared" si="20"/>
        <v>30</v>
      </c>
      <c r="CR11" s="77">
        <f t="shared" si="20"/>
        <v>31</v>
      </c>
      <c r="CS11" s="77">
        <f t="shared" si="20"/>
        <v>32</v>
      </c>
      <c r="CT11" s="77">
        <f t="shared" si="20"/>
        <v>33</v>
      </c>
      <c r="CU11" s="77">
        <f t="shared" si="20"/>
        <v>34</v>
      </c>
      <c r="CV11" s="77">
        <f t="shared" si="20"/>
        <v>35</v>
      </c>
      <c r="CW11" s="77">
        <f t="shared" si="20"/>
        <v>36</v>
      </c>
      <c r="CX11" s="77">
        <f t="shared" si="20"/>
        <v>37</v>
      </c>
      <c r="CY11" s="77">
        <f t="shared" si="20"/>
        <v>38</v>
      </c>
      <c r="CZ11" s="77">
        <f t="shared" si="20"/>
        <v>39</v>
      </c>
      <c r="DA11" s="77">
        <f t="shared" si="20"/>
        <v>40</v>
      </c>
      <c r="DB11" s="77">
        <f t="shared" si="20"/>
        <v>41</v>
      </c>
      <c r="DC11" s="77">
        <f t="shared" si="20"/>
        <v>42</v>
      </c>
      <c r="DD11" s="77">
        <f t="shared" si="20"/>
        <v>43</v>
      </c>
      <c r="DE11" s="77">
        <f t="shared" si="20"/>
        <v>44</v>
      </c>
      <c r="DF11" s="77">
        <f t="shared" si="20"/>
        <v>45</v>
      </c>
      <c r="DG11" s="77">
        <f t="shared" si="20"/>
        <v>46</v>
      </c>
      <c r="DH11" s="77">
        <f t="shared" si="20"/>
        <v>47</v>
      </c>
      <c r="DI11" s="77">
        <f t="shared" si="20"/>
        <v>48</v>
      </c>
      <c r="DJ11" s="77">
        <f t="shared" si="20"/>
        <v>49</v>
      </c>
      <c r="DK11" s="77">
        <f t="shared" si="20"/>
        <v>50</v>
      </c>
      <c r="DL11" s="77">
        <f t="shared" si="20"/>
        <v>51</v>
      </c>
      <c r="DM11" s="77">
        <f t="shared" si="20"/>
        <v>52</v>
      </c>
      <c r="DN11" s="77">
        <f t="shared" si="20"/>
        <v>53</v>
      </c>
      <c r="DO11" s="77">
        <f t="shared" si="20"/>
        <v>54</v>
      </c>
      <c r="DP11" s="77">
        <f t="shared" si="20"/>
        <v>55</v>
      </c>
      <c r="DQ11" s="77">
        <f t="shared" si="20"/>
        <v>56</v>
      </c>
      <c r="DR11" s="77">
        <f t="shared" si="20"/>
        <v>57</v>
      </c>
      <c r="DS11" s="77">
        <f t="shared" si="20"/>
        <v>58</v>
      </c>
      <c r="DT11" s="77">
        <f t="shared" si="20"/>
        <v>59</v>
      </c>
      <c r="DU11" s="77">
        <f t="shared" si="20"/>
        <v>60</v>
      </c>
      <c r="DV11" s="77">
        <f t="shared" si="20"/>
        <v>61</v>
      </c>
      <c r="DW11" s="77">
        <f t="shared" si="20"/>
        <v>62</v>
      </c>
      <c r="DX11" s="77">
        <f t="shared" si="20"/>
        <v>63</v>
      </c>
      <c r="DY11" s="77">
        <f t="shared" si="20"/>
        <v>64</v>
      </c>
      <c r="DZ11" s="77">
        <f t="shared" si="20"/>
        <v>65</v>
      </c>
      <c r="EA11" s="77">
        <f t="shared" si="20"/>
        <v>66</v>
      </c>
      <c r="EB11" s="77">
        <f t="shared" si="20"/>
        <v>67</v>
      </c>
      <c r="EC11" s="77">
        <f t="shared" si="20"/>
        <v>68</v>
      </c>
      <c r="ED11" s="77">
        <f t="shared" si="20"/>
        <v>69</v>
      </c>
      <c r="EE11" s="77">
        <f t="shared" si="20"/>
        <v>70</v>
      </c>
      <c r="EF11" s="77">
        <f t="shared" si="20"/>
        <v>71</v>
      </c>
      <c r="EG11" s="77">
        <f t="shared" si="20"/>
        <v>72</v>
      </c>
      <c r="EH11" s="77">
        <f t="shared" si="20"/>
        <v>73</v>
      </c>
      <c r="EI11" s="77">
        <f t="shared" si="20"/>
        <v>74</v>
      </c>
      <c r="EJ11" s="77">
        <f t="shared" si="20"/>
        <v>75</v>
      </c>
      <c r="EK11" s="77">
        <f t="shared" si="20"/>
        <v>76</v>
      </c>
      <c r="EL11" s="77">
        <f t="shared" si="20"/>
        <v>77</v>
      </c>
      <c r="EM11" s="77">
        <f t="shared" si="20"/>
        <v>78</v>
      </c>
      <c r="EN11" s="77">
        <f t="shared" si="20"/>
        <v>79</v>
      </c>
      <c r="EO11" s="77">
        <f t="shared" si="20"/>
        <v>80</v>
      </c>
      <c r="EP11" s="77">
        <f t="shared" si="20"/>
        <v>81</v>
      </c>
      <c r="EQ11" s="77">
        <f t="shared" si="20"/>
        <v>82</v>
      </c>
      <c r="ER11" s="77">
        <f t="shared" si="20"/>
        <v>83</v>
      </c>
      <c r="ES11" s="77">
        <f t="shared" si="20"/>
        <v>84</v>
      </c>
      <c r="ET11" s="77">
        <f t="shared" si="20"/>
        <v>85</v>
      </c>
      <c r="EU11" s="77">
        <f t="shared" si="20"/>
        <v>86</v>
      </c>
      <c r="EV11" s="77">
        <f t="shared" si="15"/>
        <v>87</v>
      </c>
      <c r="EW11" s="77">
        <f t="shared" si="19"/>
        <v>88</v>
      </c>
      <c r="EX11" s="77">
        <f t="shared" si="19"/>
        <v>89</v>
      </c>
      <c r="EY11" s="77">
        <f t="shared" si="19"/>
        <v>90</v>
      </c>
      <c r="EZ11" s="77">
        <f t="shared" si="19"/>
        <v>91</v>
      </c>
      <c r="FA11" s="77">
        <f t="shared" si="19"/>
        <v>92</v>
      </c>
      <c r="FB11" s="77">
        <f t="shared" si="19"/>
        <v>93</v>
      </c>
      <c r="FC11" s="77">
        <f t="shared" si="19"/>
        <v>94</v>
      </c>
      <c r="FD11" s="77">
        <f t="shared" si="19"/>
        <v>95</v>
      </c>
      <c r="FE11" s="77">
        <f t="shared" si="19"/>
        <v>96</v>
      </c>
      <c r="FF11" s="77">
        <f t="shared" si="19"/>
        <v>97</v>
      </c>
      <c r="FG11" s="77">
        <f t="shared" si="19"/>
        <v>98</v>
      </c>
      <c r="FH11" s="77">
        <f t="shared" si="19"/>
        <v>99</v>
      </c>
      <c r="FI11" s="77">
        <f t="shared" si="19"/>
        <v>100</v>
      </c>
      <c r="FJ11" s="77">
        <f t="shared" si="19"/>
        <v>101</v>
      </c>
      <c r="FK11" s="77">
        <f t="shared" si="19"/>
        <v>102</v>
      </c>
      <c r="FL11" s="77">
        <f t="shared" si="19"/>
        <v>103</v>
      </c>
      <c r="FM11" s="77">
        <f t="shared" si="19"/>
        <v>104</v>
      </c>
      <c r="FN11" s="77">
        <f t="shared" si="19"/>
        <v>105</v>
      </c>
      <c r="FO11" s="77">
        <f t="shared" si="19"/>
        <v>106</v>
      </c>
      <c r="FP11" s="77">
        <f t="shared" si="19"/>
        <v>107</v>
      </c>
      <c r="FQ11" s="77">
        <f t="shared" si="19"/>
        <v>108</v>
      </c>
      <c r="FR11" s="77">
        <f t="shared" si="19"/>
        <v>109</v>
      </c>
      <c r="FS11" s="77">
        <f t="shared" si="19"/>
        <v>110</v>
      </c>
      <c r="FT11" s="77">
        <f t="shared" si="19"/>
        <v>111</v>
      </c>
      <c r="FU11" s="77">
        <f t="shared" si="19"/>
        <v>112</v>
      </c>
      <c r="FV11" s="77">
        <f t="shared" si="19"/>
        <v>113</v>
      </c>
      <c r="FW11" s="77">
        <f t="shared" si="19"/>
        <v>114</v>
      </c>
      <c r="FX11" s="77">
        <f t="shared" si="19"/>
        <v>115</v>
      </c>
      <c r="FY11" s="77">
        <f t="shared" si="19"/>
        <v>116</v>
      </c>
      <c r="FZ11" s="77">
        <f t="shared" si="19"/>
        <v>117</v>
      </c>
      <c r="GA11" s="77">
        <f t="shared" si="19"/>
        <v>118</v>
      </c>
      <c r="GB11" s="77">
        <f t="shared" si="19"/>
        <v>119</v>
      </c>
      <c r="GC11" s="77">
        <f t="shared" si="19"/>
        <v>120</v>
      </c>
      <c r="GD11" s="77">
        <f t="shared" si="19"/>
        <v>121</v>
      </c>
      <c r="GE11" s="77">
        <f t="shared" si="19"/>
        <v>122</v>
      </c>
      <c r="GF11" s="77">
        <f t="shared" si="19"/>
        <v>123</v>
      </c>
      <c r="GG11" s="77">
        <f t="shared" si="19"/>
        <v>124</v>
      </c>
      <c r="GH11" s="77">
        <f t="shared" si="19"/>
        <v>125</v>
      </c>
      <c r="GI11" s="77">
        <f t="shared" si="19"/>
        <v>126</v>
      </c>
      <c r="GJ11" s="77">
        <f t="shared" si="19"/>
        <v>127</v>
      </c>
      <c r="GK11" s="77">
        <f t="shared" si="19"/>
        <v>128</v>
      </c>
      <c r="GL11" s="77">
        <f t="shared" si="19"/>
        <v>129</v>
      </c>
      <c r="GM11" s="77">
        <f t="shared" si="19"/>
        <v>130</v>
      </c>
      <c r="GN11" s="77">
        <f t="shared" si="19"/>
        <v>131</v>
      </c>
      <c r="GO11" s="77">
        <f t="shared" si="19"/>
        <v>132</v>
      </c>
      <c r="GP11" s="77">
        <f t="shared" si="19"/>
        <v>133</v>
      </c>
      <c r="GQ11" s="77">
        <f t="shared" si="19"/>
        <v>134</v>
      </c>
      <c r="GR11" s="77">
        <f t="shared" si="19"/>
        <v>135</v>
      </c>
      <c r="GS11" s="77">
        <f t="shared" si="19"/>
        <v>136</v>
      </c>
      <c r="GT11" s="77">
        <f t="shared" si="19"/>
        <v>137</v>
      </c>
      <c r="GU11" s="77">
        <f t="shared" si="19"/>
        <v>138</v>
      </c>
      <c r="GV11" s="77">
        <f t="shared" si="19"/>
        <v>139</v>
      </c>
      <c r="GW11" s="77">
        <f t="shared" si="19"/>
        <v>140</v>
      </c>
      <c r="GX11" s="77">
        <f t="shared" si="19"/>
        <v>141</v>
      </c>
    </row>
    <row r="12" spans="1:206" ht="15" customHeight="1" x14ac:dyDescent="0.2">
      <c r="A12" s="22" t="s">
        <v>68</v>
      </c>
      <c r="B12" s="22">
        <v>1</v>
      </c>
      <c r="C12" s="22" t="s">
        <v>69</v>
      </c>
      <c r="D12" s="22">
        <v>11</v>
      </c>
      <c r="E12" s="22" t="s">
        <v>90</v>
      </c>
      <c r="F12" s="22" t="s">
        <v>71</v>
      </c>
      <c r="G12" s="22" t="s">
        <v>72</v>
      </c>
      <c r="H12" s="22">
        <v>2009</v>
      </c>
      <c r="I12" s="22">
        <v>17</v>
      </c>
      <c r="J12" s="22">
        <v>36.5</v>
      </c>
      <c r="K12" s="22">
        <v>145</v>
      </c>
      <c r="L12" s="22">
        <v>5172</v>
      </c>
      <c r="M12" s="22">
        <v>5027</v>
      </c>
      <c r="N12" s="22" t="s">
        <v>87</v>
      </c>
      <c r="O12" s="22" t="s">
        <v>74</v>
      </c>
      <c r="P12" s="22" t="s">
        <v>75</v>
      </c>
      <c r="Q12" s="108">
        <f>IF(R12="","",'Dashboard Ciclos'!$B$2-R12)</f>
        <v>46248</v>
      </c>
      <c r="R12" s="22">
        <f>IF($E12="","",IFERROR(INDEX($W12:$GX12,MATCH('Dashboard Ciclos'!$B$2,$W$1:$GX$1,0)),""))</f>
        <v>1</v>
      </c>
      <c r="S12" s="22" t="str">
        <f t="shared" si="11"/>
        <v>En ciclo</v>
      </c>
      <c r="T12" s="22" t="str">
        <f t="shared" si="3"/>
        <v>Recién cortado</v>
      </c>
      <c r="U12" s="22">
        <f t="shared" si="4"/>
        <v>11</v>
      </c>
      <c r="V12" s="23">
        <f t="shared" si="5"/>
        <v>46260</v>
      </c>
      <c r="W12" s="77">
        <f t="shared" si="6"/>
        <v>8</v>
      </c>
      <c r="X12" s="77">
        <f t="shared" si="6"/>
        <v>9</v>
      </c>
      <c r="Y12" s="77">
        <f t="shared" si="6"/>
        <v>10</v>
      </c>
      <c r="Z12" s="77">
        <f t="shared" si="6"/>
        <v>11</v>
      </c>
      <c r="AA12" s="77">
        <v>12</v>
      </c>
      <c r="AB12" s="77">
        <f t="shared" si="12"/>
        <v>13</v>
      </c>
      <c r="AC12" s="77">
        <f t="shared" si="12"/>
        <v>14</v>
      </c>
      <c r="AD12" s="77">
        <f t="shared" si="12"/>
        <v>15</v>
      </c>
      <c r="AE12" s="77">
        <f t="shared" si="12"/>
        <v>16</v>
      </c>
      <c r="AF12" s="77">
        <f t="shared" si="12"/>
        <v>17</v>
      </c>
      <c r="AG12" s="77">
        <f t="shared" si="12"/>
        <v>18</v>
      </c>
      <c r="AH12" s="77">
        <f t="shared" si="12"/>
        <v>19</v>
      </c>
      <c r="AI12" s="77">
        <f t="shared" si="12"/>
        <v>20</v>
      </c>
      <c r="AJ12" s="77">
        <f t="shared" si="12"/>
        <v>21</v>
      </c>
      <c r="AK12" s="77">
        <f t="shared" si="7"/>
        <v>22</v>
      </c>
      <c r="AL12" s="77">
        <f t="shared" si="7"/>
        <v>23</v>
      </c>
      <c r="AM12" s="77">
        <f t="shared" si="7"/>
        <v>24</v>
      </c>
      <c r="AN12" s="77">
        <f t="shared" si="7"/>
        <v>25</v>
      </c>
      <c r="AO12" s="77">
        <f t="shared" si="7"/>
        <v>26</v>
      </c>
      <c r="AP12" s="77">
        <f t="shared" si="7"/>
        <v>27</v>
      </c>
      <c r="AQ12" s="77">
        <f t="shared" si="7"/>
        <v>28</v>
      </c>
      <c r="AR12" s="77">
        <f t="shared" si="7"/>
        <v>29</v>
      </c>
      <c r="AS12" s="77">
        <f t="shared" ref="AS12:CJ15" si="21">IF(AR12="","",AR12+1)</f>
        <v>30</v>
      </c>
      <c r="AT12" s="77">
        <f t="shared" si="21"/>
        <v>31</v>
      </c>
      <c r="AU12" s="77">
        <v>0</v>
      </c>
      <c r="AV12" s="77">
        <f t="shared" si="21"/>
        <v>1</v>
      </c>
      <c r="AW12" s="77">
        <f t="shared" si="21"/>
        <v>2</v>
      </c>
      <c r="AX12" s="77">
        <f t="shared" si="21"/>
        <v>3</v>
      </c>
      <c r="AY12" s="77">
        <f t="shared" si="21"/>
        <v>4</v>
      </c>
      <c r="AZ12" s="77">
        <f t="shared" si="21"/>
        <v>5</v>
      </c>
      <c r="BA12" s="77">
        <f t="shared" si="21"/>
        <v>6</v>
      </c>
      <c r="BB12" s="77">
        <f t="shared" si="21"/>
        <v>7</v>
      </c>
      <c r="BC12" s="77">
        <f t="shared" si="21"/>
        <v>8</v>
      </c>
      <c r="BD12" s="77">
        <f t="shared" si="21"/>
        <v>9</v>
      </c>
      <c r="BE12" s="77">
        <f t="shared" si="21"/>
        <v>10</v>
      </c>
      <c r="BF12" s="77">
        <f t="shared" si="21"/>
        <v>11</v>
      </c>
      <c r="BG12" s="77">
        <f t="shared" si="21"/>
        <v>12</v>
      </c>
      <c r="BH12" s="77">
        <f t="shared" si="21"/>
        <v>13</v>
      </c>
      <c r="BI12" s="77">
        <f t="shared" si="21"/>
        <v>14</v>
      </c>
      <c r="BJ12" s="77">
        <f t="shared" si="21"/>
        <v>15</v>
      </c>
      <c r="BK12" s="77">
        <f t="shared" si="21"/>
        <v>16</v>
      </c>
      <c r="BL12" s="77">
        <f t="shared" si="21"/>
        <v>17</v>
      </c>
      <c r="BM12" s="77">
        <f t="shared" si="21"/>
        <v>18</v>
      </c>
      <c r="BN12" s="77">
        <f t="shared" si="21"/>
        <v>19</v>
      </c>
      <c r="BO12" s="77">
        <v>0</v>
      </c>
      <c r="BP12" s="77">
        <f t="shared" si="21"/>
        <v>1</v>
      </c>
      <c r="BQ12" s="77">
        <f t="shared" si="21"/>
        <v>2</v>
      </c>
      <c r="BR12" s="77">
        <f t="shared" si="21"/>
        <v>3</v>
      </c>
      <c r="BS12" s="77">
        <f t="shared" si="21"/>
        <v>4</v>
      </c>
      <c r="BT12" s="77">
        <f t="shared" si="21"/>
        <v>5</v>
      </c>
      <c r="BU12" s="77">
        <f t="shared" si="21"/>
        <v>6</v>
      </c>
      <c r="BV12" s="77">
        <f t="shared" si="21"/>
        <v>7</v>
      </c>
      <c r="BW12" s="77">
        <f t="shared" si="21"/>
        <v>8</v>
      </c>
      <c r="BX12" s="77">
        <f t="shared" si="21"/>
        <v>9</v>
      </c>
      <c r="BY12" s="77">
        <f t="shared" si="21"/>
        <v>10</v>
      </c>
      <c r="BZ12" s="77">
        <f t="shared" si="21"/>
        <v>11</v>
      </c>
      <c r="CA12" s="77">
        <f t="shared" si="21"/>
        <v>12</v>
      </c>
      <c r="CB12" s="77">
        <f t="shared" si="21"/>
        <v>13</v>
      </c>
      <c r="CC12" s="77">
        <f t="shared" si="21"/>
        <v>14</v>
      </c>
      <c r="CD12" s="77">
        <f t="shared" si="21"/>
        <v>15</v>
      </c>
      <c r="CE12" s="77">
        <f t="shared" si="21"/>
        <v>16</v>
      </c>
      <c r="CF12" s="77">
        <f t="shared" si="21"/>
        <v>17</v>
      </c>
      <c r="CG12" s="77">
        <f t="shared" si="21"/>
        <v>18</v>
      </c>
      <c r="CH12" s="77">
        <f t="shared" si="21"/>
        <v>19</v>
      </c>
      <c r="CI12" s="77">
        <f t="shared" si="21"/>
        <v>20</v>
      </c>
      <c r="CJ12" s="77">
        <f t="shared" si="21"/>
        <v>21</v>
      </c>
      <c r="CK12" s="77">
        <f t="shared" si="20"/>
        <v>22</v>
      </c>
      <c r="CL12" s="77">
        <f t="shared" si="20"/>
        <v>23</v>
      </c>
      <c r="CM12" s="77">
        <f t="shared" si="20"/>
        <v>24</v>
      </c>
      <c r="CN12" s="77">
        <f t="shared" si="20"/>
        <v>25</v>
      </c>
      <c r="CO12" s="77">
        <f t="shared" si="20"/>
        <v>26</v>
      </c>
      <c r="CP12" s="77">
        <f t="shared" si="20"/>
        <v>27</v>
      </c>
      <c r="CQ12" s="77">
        <f t="shared" si="20"/>
        <v>28</v>
      </c>
      <c r="CR12" s="77">
        <f t="shared" si="20"/>
        <v>29</v>
      </c>
      <c r="CS12" s="77">
        <f t="shared" si="20"/>
        <v>30</v>
      </c>
      <c r="CT12" s="77">
        <f t="shared" si="20"/>
        <v>31</v>
      </c>
      <c r="CU12" s="77">
        <f t="shared" si="20"/>
        <v>32</v>
      </c>
      <c r="CV12" s="77">
        <f t="shared" si="20"/>
        <v>33</v>
      </c>
      <c r="CW12" s="77">
        <f t="shared" si="20"/>
        <v>34</v>
      </c>
      <c r="CX12" s="77">
        <f t="shared" si="20"/>
        <v>35</v>
      </c>
      <c r="CY12" s="77">
        <f t="shared" si="20"/>
        <v>36</v>
      </c>
      <c r="CZ12" s="77">
        <f t="shared" si="20"/>
        <v>37</v>
      </c>
      <c r="DA12" s="77">
        <f t="shared" si="20"/>
        <v>38</v>
      </c>
      <c r="DB12" s="77">
        <f t="shared" si="20"/>
        <v>39</v>
      </c>
      <c r="DC12" s="77">
        <f t="shared" si="20"/>
        <v>40</v>
      </c>
      <c r="DD12" s="77">
        <f t="shared" si="20"/>
        <v>41</v>
      </c>
      <c r="DE12" s="77">
        <f t="shared" si="20"/>
        <v>42</v>
      </c>
      <c r="DF12" s="77">
        <f t="shared" si="20"/>
        <v>43</v>
      </c>
      <c r="DG12" s="77">
        <f t="shared" si="20"/>
        <v>44</v>
      </c>
      <c r="DH12" s="77">
        <f t="shared" si="20"/>
        <v>45</v>
      </c>
      <c r="DI12" s="77">
        <f t="shared" si="20"/>
        <v>46</v>
      </c>
      <c r="DJ12" s="77">
        <f t="shared" si="20"/>
        <v>47</v>
      </c>
      <c r="DK12" s="77">
        <f t="shared" si="20"/>
        <v>48</v>
      </c>
      <c r="DL12" s="77">
        <f t="shared" si="20"/>
        <v>49</v>
      </c>
      <c r="DM12" s="77">
        <f t="shared" si="20"/>
        <v>50</v>
      </c>
      <c r="DN12" s="77">
        <f t="shared" si="20"/>
        <v>51</v>
      </c>
      <c r="DO12" s="77">
        <f t="shared" si="20"/>
        <v>52</v>
      </c>
      <c r="DP12" s="77">
        <f t="shared" si="20"/>
        <v>53</v>
      </c>
      <c r="DQ12" s="77">
        <f t="shared" si="20"/>
        <v>54</v>
      </c>
      <c r="DR12" s="77">
        <f t="shared" si="20"/>
        <v>55</v>
      </c>
      <c r="DS12" s="77">
        <f t="shared" si="20"/>
        <v>56</v>
      </c>
      <c r="DT12" s="77">
        <f t="shared" si="20"/>
        <v>57</v>
      </c>
      <c r="DU12" s="77">
        <f t="shared" si="20"/>
        <v>58</v>
      </c>
      <c r="DV12" s="77">
        <f t="shared" si="20"/>
        <v>59</v>
      </c>
      <c r="DW12" s="77">
        <f t="shared" si="20"/>
        <v>60</v>
      </c>
      <c r="DX12" s="77">
        <f t="shared" si="20"/>
        <v>61</v>
      </c>
      <c r="DY12" s="77">
        <f t="shared" si="20"/>
        <v>62</v>
      </c>
      <c r="DZ12" s="77">
        <f t="shared" si="20"/>
        <v>63</v>
      </c>
      <c r="EA12" s="77">
        <f t="shared" si="20"/>
        <v>64</v>
      </c>
      <c r="EB12" s="77">
        <f t="shared" si="20"/>
        <v>65</v>
      </c>
      <c r="EC12" s="77">
        <f t="shared" si="20"/>
        <v>66</v>
      </c>
      <c r="ED12" s="77">
        <f t="shared" si="20"/>
        <v>67</v>
      </c>
      <c r="EE12" s="77">
        <f t="shared" si="20"/>
        <v>68</v>
      </c>
      <c r="EF12" s="77">
        <f t="shared" si="20"/>
        <v>69</v>
      </c>
      <c r="EG12" s="77">
        <f t="shared" si="20"/>
        <v>70</v>
      </c>
      <c r="EH12" s="77">
        <f t="shared" si="20"/>
        <v>71</v>
      </c>
      <c r="EI12" s="77">
        <f t="shared" si="20"/>
        <v>72</v>
      </c>
      <c r="EJ12" s="77">
        <f t="shared" si="20"/>
        <v>73</v>
      </c>
      <c r="EK12" s="77">
        <f t="shared" si="20"/>
        <v>74</v>
      </c>
      <c r="EL12" s="77">
        <f t="shared" si="20"/>
        <v>75</v>
      </c>
      <c r="EM12" s="77">
        <f t="shared" si="20"/>
        <v>76</v>
      </c>
      <c r="EN12" s="77">
        <f t="shared" si="20"/>
        <v>77</v>
      </c>
      <c r="EO12" s="77">
        <f t="shared" si="20"/>
        <v>78</v>
      </c>
      <c r="EP12" s="77">
        <f t="shared" si="20"/>
        <v>79</v>
      </c>
      <c r="EQ12" s="77">
        <f t="shared" si="20"/>
        <v>80</v>
      </c>
      <c r="ER12" s="77">
        <f t="shared" si="20"/>
        <v>81</v>
      </c>
      <c r="ES12" s="77">
        <f t="shared" si="20"/>
        <v>82</v>
      </c>
      <c r="ET12" s="77">
        <f t="shared" si="20"/>
        <v>83</v>
      </c>
      <c r="EU12" s="77">
        <f t="shared" si="20"/>
        <v>84</v>
      </c>
      <c r="EV12" s="77">
        <f t="shared" si="15"/>
        <v>85</v>
      </c>
      <c r="EW12" s="77">
        <f t="shared" si="19"/>
        <v>86</v>
      </c>
      <c r="EX12" s="77">
        <f t="shared" si="19"/>
        <v>87</v>
      </c>
      <c r="EY12" s="77">
        <f t="shared" si="19"/>
        <v>88</v>
      </c>
      <c r="EZ12" s="77">
        <f t="shared" si="19"/>
        <v>89</v>
      </c>
      <c r="FA12" s="77">
        <f t="shared" si="19"/>
        <v>90</v>
      </c>
      <c r="FB12" s="77">
        <f t="shared" si="19"/>
        <v>91</v>
      </c>
      <c r="FC12" s="77">
        <f t="shared" si="19"/>
        <v>92</v>
      </c>
      <c r="FD12" s="77">
        <f t="shared" si="19"/>
        <v>93</v>
      </c>
      <c r="FE12" s="77">
        <f t="shared" si="19"/>
        <v>94</v>
      </c>
      <c r="FF12" s="77">
        <f t="shared" si="19"/>
        <v>95</v>
      </c>
      <c r="FG12" s="77">
        <f t="shared" si="19"/>
        <v>96</v>
      </c>
      <c r="FH12" s="77">
        <f t="shared" si="19"/>
        <v>97</v>
      </c>
      <c r="FI12" s="77">
        <f t="shared" si="19"/>
        <v>98</v>
      </c>
      <c r="FJ12" s="77">
        <f t="shared" si="19"/>
        <v>99</v>
      </c>
      <c r="FK12" s="77">
        <f t="shared" si="19"/>
        <v>100</v>
      </c>
      <c r="FL12" s="77">
        <f t="shared" si="19"/>
        <v>101</v>
      </c>
      <c r="FM12" s="77">
        <f t="shared" si="19"/>
        <v>102</v>
      </c>
      <c r="FN12" s="77">
        <f t="shared" si="19"/>
        <v>103</v>
      </c>
      <c r="FO12" s="77">
        <f t="shared" si="19"/>
        <v>104</v>
      </c>
      <c r="FP12" s="77">
        <f t="shared" si="19"/>
        <v>105</v>
      </c>
      <c r="FQ12" s="77">
        <f t="shared" si="19"/>
        <v>106</v>
      </c>
      <c r="FR12" s="77">
        <f t="shared" si="19"/>
        <v>107</v>
      </c>
      <c r="FS12" s="77">
        <f t="shared" si="19"/>
        <v>108</v>
      </c>
      <c r="FT12" s="77">
        <f t="shared" si="19"/>
        <v>109</v>
      </c>
      <c r="FU12" s="77">
        <f t="shared" si="19"/>
        <v>110</v>
      </c>
      <c r="FV12" s="77">
        <f t="shared" si="19"/>
        <v>111</v>
      </c>
      <c r="FW12" s="77">
        <f t="shared" si="19"/>
        <v>112</v>
      </c>
      <c r="FX12" s="77">
        <f t="shared" si="19"/>
        <v>113</v>
      </c>
      <c r="FY12" s="77">
        <f t="shared" si="19"/>
        <v>114</v>
      </c>
      <c r="FZ12" s="77">
        <f t="shared" si="19"/>
        <v>115</v>
      </c>
      <c r="GA12" s="77">
        <f t="shared" si="19"/>
        <v>116</v>
      </c>
      <c r="GB12" s="77">
        <f t="shared" si="19"/>
        <v>117</v>
      </c>
      <c r="GC12" s="77">
        <f t="shared" si="19"/>
        <v>118</v>
      </c>
      <c r="GD12" s="77">
        <f t="shared" si="19"/>
        <v>119</v>
      </c>
      <c r="GE12" s="77">
        <f t="shared" si="19"/>
        <v>120</v>
      </c>
      <c r="GF12" s="77">
        <f t="shared" si="19"/>
        <v>121</v>
      </c>
      <c r="GG12" s="77">
        <f t="shared" si="19"/>
        <v>122</v>
      </c>
      <c r="GH12" s="77">
        <f t="shared" si="19"/>
        <v>123</v>
      </c>
      <c r="GI12" s="77">
        <f t="shared" si="19"/>
        <v>124</v>
      </c>
      <c r="GJ12" s="77">
        <f t="shared" si="19"/>
        <v>125</v>
      </c>
      <c r="GK12" s="77">
        <f t="shared" si="19"/>
        <v>126</v>
      </c>
      <c r="GL12" s="77">
        <f t="shared" si="19"/>
        <v>127</v>
      </c>
      <c r="GM12" s="77">
        <f t="shared" si="19"/>
        <v>128</v>
      </c>
      <c r="GN12" s="77">
        <f t="shared" si="19"/>
        <v>129</v>
      </c>
      <c r="GO12" s="77">
        <f t="shared" si="19"/>
        <v>130</v>
      </c>
      <c r="GP12" s="77">
        <f t="shared" si="19"/>
        <v>131</v>
      </c>
      <c r="GQ12" s="77">
        <f t="shared" si="19"/>
        <v>132</v>
      </c>
      <c r="GR12" s="77">
        <f t="shared" si="19"/>
        <v>133</v>
      </c>
      <c r="GS12" s="77">
        <f t="shared" si="19"/>
        <v>134</v>
      </c>
      <c r="GT12" s="77">
        <f t="shared" si="19"/>
        <v>135</v>
      </c>
      <c r="GU12" s="77">
        <f t="shared" si="19"/>
        <v>136</v>
      </c>
      <c r="GV12" s="77">
        <f t="shared" si="19"/>
        <v>137</v>
      </c>
      <c r="GW12" s="77">
        <f t="shared" si="19"/>
        <v>138</v>
      </c>
      <c r="GX12" s="77">
        <f t="shared" si="19"/>
        <v>139</v>
      </c>
    </row>
    <row r="13" spans="1:206" ht="15" customHeight="1" x14ac:dyDescent="0.2">
      <c r="A13" s="22" t="s">
        <v>68</v>
      </c>
      <c r="B13" s="22">
        <v>1</v>
      </c>
      <c r="C13" s="22" t="s">
        <v>69</v>
      </c>
      <c r="D13" s="22">
        <v>12</v>
      </c>
      <c r="E13" s="22" t="s">
        <v>91</v>
      </c>
      <c r="F13" s="22" t="s">
        <v>71</v>
      </c>
      <c r="G13" s="22" t="s">
        <v>72</v>
      </c>
      <c r="H13" s="22">
        <v>2009</v>
      </c>
      <c r="I13" s="22">
        <v>17</v>
      </c>
      <c r="J13" s="22">
        <v>18.89</v>
      </c>
      <c r="K13" s="22">
        <v>0</v>
      </c>
      <c r="L13" s="22">
        <v>2664</v>
      </c>
      <c r="M13" s="22">
        <v>2664</v>
      </c>
      <c r="N13" s="22" t="s">
        <v>87</v>
      </c>
      <c r="O13" s="22" t="s">
        <v>74</v>
      </c>
      <c r="P13" s="22" t="s">
        <v>75</v>
      </c>
      <c r="Q13" s="108">
        <f>IF(R13="","",'Dashboard Ciclos'!$B$2-R13)</f>
        <v>46230</v>
      </c>
      <c r="R13" s="22">
        <f>IF($E13="","",IFERROR(INDEX($W13:$GX13,MATCH('Dashboard Ciclos'!$B$2,$W$1:$GX$1,0)),""))</f>
        <v>19</v>
      </c>
      <c r="S13" s="22" t="str">
        <f t="shared" si="11"/>
        <v>Vencido 6-10 d</v>
      </c>
      <c r="T13" s="22" t="str">
        <f t="shared" si="3"/>
        <v>Fuera de ciclo</v>
      </c>
      <c r="U13" s="22">
        <f t="shared" si="4"/>
        <v>-7</v>
      </c>
      <c r="V13" s="23">
        <f t="shared" si="5"/>
        <v>46242</v>
      </c>
      <c r="W13" s="77">
        <f t="shared" si="6"/>
        <v>5</v>
      </c>
      <c r="X13" s="77">
        <f t="shared" si="6"/>
        <v>6</v>
      </c>
      <c r="Y13" s="77">
        <f t="shared" si="6"/>
        <v>7</v>
      </c>
      <c r="Z13" s="77">
        <f t="shared" si="6"/>
        <v>8</v>
      </c>
      <c r="AA13" s="77">
        <v>9</v>
      </c>
      <c r="AB13" s="77">
        <f t="shared" si="12"/>
        <v>10</v>
      </c>
      <c r="AC13" s="77">
        <f t="shared" si="12"/>
        <v>11</v>
      </c>
      <c r="AD13" s="77">
        <f t="shared" si="12"/>
        <v>12</v>
      </c>
      <c r="AE13" s="77">
        <f t="shared" si="12"/>
        <v>13</v>
      </c>
      <c r="AF13" s="77">
        <f t="shared" si="12"/>
        <v>14</v>
      </c>
      <c r="AG13" s="77">
        <f t="shared" si="12"/>
        <v>15</v>
      </c>
      <c r="AH13" s="77">
        <f t="shared" si="12"/>
        <v>16</v>
      </c>
      <c r="AI13" s="77">
        <f t="shared" si="12"/>
        <v>17</v>
      </c>
      <c r="AJ13" s="77">
        <f t="shared" si="12"/>
        <v>18</v>
      </c>
      <c r="AK13" s="77">
        <f t="shared" si="7"/>
        <v>19</v>
      </c>
      <c r="AL13" s="77">
        <f t="shared" si="7"/>
        <v>20</v>
      </c>
      <c r="AM13" s="77">
        <f t="shared" si="7"/>
        <v>21</v>
      </c>
      <c r="AN13" s="77">
        <f t="shared" si="7"/>
        <v>22</v>
      </c>
      <c r="AO13" s="77">
        <f t="shared" si="7"/>
        <v>23</v>
      </c>
      <c r="AP13" s="77">
        <f t="shared" si="7"/>
        <v>24</v>
      </c>
      <c r="AQ13" s="77">
        <f t="shared" si="7"/>
        <v>25</v>
      </c>
      <c r="AR13" s="77">
        <f t="shared" si="7"/>
        <v>26</v>
      </c>
      <c r="AS13" s="77">
        <f t="shared" si="21"/>
        <v>27</v>
      </c>
      <c r="AT13" s="77">
        <f t="shared" si="21"/>
        <v>28</v>
      </c>
      <c r="AU13" s="77">
        <f t="shared" si="21"/>
        <v>29</v>
      </c>
      <c r="AV13" s="77">
        <f t="shared" si="21"/>
        <v>30</v>
      </c>
      <c r="AW13" s="77">
        <v>0</v>
      </c>
      <c r="AX13" s="77">
        <f t="shared" si="21"/>
        <v>1</v>
      </c>
      <c r="AY13" s="77">
        <f t="shared" si="21"/>
        <v>2</v>
      </c>
      <c r="AZ13" s="77">
        <f t="shared" si="21"/>
        <v>3</v>
      </c>
      <c r="BA13" s="77">
        <f t="shared" si="21"/>
        <v>4</v>
      </c>
      <c r="BB13" s="77">
        <f t="shared" si="21"/>
        <v>5</v>
      </c>
      <c r="BC13" s="77">
        <f t="shared" si="21"/>
        <v>6</v>
      </c>
      <c r="BD13" s="77">
        <f t="shared" si="21"/>
        <v>7</v>
      </c>
      <c r="BE13" s="77">
        <f t="shared" si="21"/>
        <v>8</v>
      </c>
      <c r="BF13" s="77">
        <f t="shared" si="21"/>
        <v>9</v>
      </c>
      <c r="BG13" s="77">
        <f t="shared" si="21"/>
        <v>10</v>
      </c>
      <c r="BH13" s="77">
        <f t="shared" si="21"/>
        <v>11</v>
      </c>
      <c r="BI13" s="77">
        <f t="shared" si="21"/>
        <v>12</v>
      </c>
      <c r="BJ13" s="77">
        <f t="shared" si="21"/>
        <v>13</v>
      </c>
      <c r="BK13" s="77">
        <f t="shared" si="21"/>
        <v>14</v>
      </c>
      <c r="BL13" s="77">
        <f t="shared" si="21"/>
        <v>15</v>
      </c>
      <c r="BM13" s="77">
        <f t="shared" si="21"/>
        <v>16</v>
      </c>
      <c r="BN13" s="77">
        <f t="shared" si="21"/>
        <v>17</v>
      </c>
      <c r="BO13" s="77">
        <f t="shared" si="21"/>
        <v>18</v>
      </c>
      <c r="BP13" s="77">
        <f t="shared" si="21"/>
        <v>19</v>
      </c>
      <c r="BQ13" s="77">
        <f t="shared" si="21"/>
        <v>20</v>
      </c>
      <c r="BR13" s="77">
        <f t="shared" si="21"/>
        <v>21</v>
      </c>
      <c r="BS13" s="77">
        <f t="shared" si="21"/>
        <v>22</v>
      </c>
      <c r="BT13" s="77">
        <f t="shared" si="21"/>
        <v>23</v>
      </c>
      <c r="BU13" s="77">
        <f t="shared" si="21"/>
        <v>24</v>
      </c>
      <c r="BV13" s="77">
        <f t="shared" si="21"/>
        <v>25</v>
      </c>
      <c r="BW13" s="77">
        <f t="shared" si="21"/>
        <v>26</v>
      </c>
      <c r="BX13" s="77">
        <f t="shared" si="21"/>
        <v>27</v>
      </c>
      <c r="BY13" s="77">
        <f t="shared" si="21"/>
        <v>28</v>
      </c>
      <c r="BZ13" s="77">
        <f t="shared" si="21"/>
        <v>29</v>
      </c>
      <c r="CA13" s="77">
        <f t="shared" si="21"/>
        <v>30</v>
      </c>
      <c r="CB13" s="77">
        <f t="shared" si="21"/>
        <v>31</v>
      </c>
      <c r="CC13" s="77">
        <f t="shared" si="21"/>
        <v>32</v>
      </c>
      <c r="CD13" s="77">
        <f t="shared" si="21"/>
        <v>33</v>
      </c>
      <c r="CE13" s="77">
        <f t="shared" si="21"/>
        <v>34</v>
      </c>
      <c r="CF13" s="77">
        <f t="shared" si="21"/>
        <v>35</v>
      </c>
      <c r="CG13" s="77">
        <f t="shared" si="21"/>
        <v>36</v>
      </c>
      <c r="CH13" s="77">
        <f t="shared" si="21"/>
        <v>37</v>
      </c>
      <c r="CI13" s="77">
        <f t="shared" si="21"/>
        <v>38</v>
      </c>
      <c r="CJ13" s="77">
        <f t="shared" si="21"/>
        <v>39</v>
      </c>
      <c r="CK13" s="77">
        <f t="shared" si="20"/>
        <v>40</v>
      </c>
      <c r="CL13" s="77">
        <f t="shared" si="20"/>
        <v>41</v>
      </c>
      <c r="CM13" s="77">
        <f t="shared" si="20"/>
        <v>42</v>
      </c>
      <c r="CN13" s="77">
        <f t="shared" si="20"/>
        <v>43</v>
      </c>
      <c r="CO13" s="77">
        <f t="shared" si="20"/>
        <v>44</v>
      </c>
      <c r="CP13" s="77">
        <f t="shared" si="20"/>
        <v>45</v>
      </c>
      <c r="CQ13" s="77">
        <f t="shared" si="20"/>
        <v>46</v>
      </c>
      <c r="CR13" s="77">
        <f t="shared" si="20"/>
        <v>47</v>
      </c>
      <c r="CS13" s="77">
        <f t="shared" si="20"/>
        <v>48</v>
      </c>
      <c r="CT13" s="77">
        <f t="shared" si="20"/>
        <v>49</v>
      </c>
      <c r="CU13" s="77">
        <f t="shared" si="20"/>
        <v>50</v>
      </c>
      <c r="CV13" s="77">
        <f t="shared" si="20"/>
        <v>51</v>
      </c>
      <c r="CW13" s="77">
        <f t="shared" si="20"/>
        <v>52</v>
      </c>
      <c r="CX13" s="77">
        <f t="shared" si="20"/>
        <v>53</v>
      </c>
      <c r="CY13" s="77">
        <f t="shared" si="20"/>
        <v>54</v>
      </c>
      <c r="CZ13" s="77">
        <f t="shared" si="20"/>
        <v>55</v>
      </c>
      <c r="DA13" s="77">
        <f t="shared" si="20"/>
        <v>56</v>
      </c>
      <c r="DB13" s="77">
        <f t="shared" si="20"/>
        <v>57</v>
      </c>
      <c r="DC13" s="77">
        <f t="shared" si="20"/>
        <v>58</v>
      </c>
      <c r="DD13" s="77">
        <f t="shared" si="20"/>
        <v>59</v>
      </c>
      <c r="DE13" s="77">
        <f t="shared" si="20"/>
        <v>60</v>
      </c>
      <c r="DF13" s="77">
        <f t="shared" si="20"/>
        <v>61</v>
      </c>
      <c r="DG13" s="77">
        <f t="shared" si="20"/>
        <v>62</v>
      </c>
      <c r="DH13" s="77">
        <f t="shared" si="20"/>
        <v>63</v>
      </c>
      <c r="DI13" s="77">
        <f t="shared" si="20"/>
        <v>64</v>
      </c>
      <c r="DJ13" s="77">
        <f t="shared" si="20"/>
        <v>65</v>
      </c>
      <c r="DK13" s="77">
        <f t="shared" si="20"/>
        <v>66</v>
      </c>
      <c r="DL13" s="77">
        <f t="shared" si="20"/>
        <v>67</v>
      </c>
      <c r="DM13" s="77">
        <f t="shared" si="20"/>
        <v>68</v>
      </c>
      <c r="DN13" s="77">
        <f t="shared" si="20"/>
        <v>69</v>
      </c>
      <c r="DO13" s="77">
        <f t="shared" si="20"/>
        <v>70</v>
      </c>
      <c r="DP13" s="77">
        <f t="shared" si="20"/>
        <v>71</v>
      </c>
      <c r="DQ13" s="77">
        <f t="shared" si="20"/>
        <v>72</v>
      </c>
      <c r="DR13" s="77">
        <f t="shared" si="20"/>
        <v>73</v>
      </c>
      <c r="DS13" s="77">
        <f t="shared" si="20"/>
        <v>74</v>
      </c>
      <c r="DT13" s="77">
        <f t="shared" si="20"/>
        <v>75</v>
      </c>
      <c r="DU13" s="77">
        <f t="shared" si="20"/>
        <v>76</v>
      </c>
      <c r="DV13" s="77">
        <f t="shared" si="20"/>
        <v>77</v>
      </c>
      <c r="DW13" s="77">
        <f t="shared" si="20"/>
        <v>78</v>
      </c>
      <c r="DX13" s="77">
        <f t="shared" si="20"/>
        <v>79</v>
      </c>
      <c r="DY13" s="77">
        <f t="shared" si="20"/>
        <v>80</v>
      </c>
      <c r="DZ13" s="77">
        <f t="shared" si="20"/>
        <v>81</v>
      </c>
      <c r="EA13" s="77">
        <f t="shared" si="20"/>
        <v>82</v>
      </c>
      <c r="EB13" s="77">
        <f t="shared" si="20"/>
        <v>83</v>
      </c>
      <c r="EC13" s="77">
        <f t="shared" si="20"/>
        <v>84</v>
      </c>
      <c r="ED13" s="77">
        <f t="shared" si="20"/>
        <v>85</v>
      </c>
      <c r="EE13" s="77">
        <f t="shared" si="20"/>
        <v>86</v>
      </c>
      <c r="EF13" s="77">
        <f t="shared" si="20"/>
        <v>87</v>
      </c>
      <c r="EG13" s="77">
        <f t="shared" si="20"/>
        <v>88</v>
      </c>
      <c r="EH13" s="77">
        <f t="shared" si="20"/>
        <v>89</v>
      </c>
      <c r="EI13" s="77">
        <f t="shared" si="20"/>
        <v>90</v>
      </c>
      <c r="EJ13" s="77">
        <f t="shared" si="20"/>
        <v>91</v>
      </c>
      <c r="EK13" s="77">
        <f t="shared" si="20"/>
        <v>92</v>
      </c>
      <c r="EL13" s="77">
        <f t="shared" si="20"/>
        <v>93</v>
      </c>
      <c r="EM13" s="77">
        <f t="shared" si="20"/>
        <v>94</v>
      </c>
      <c r="EN13" s="77">
        <f t="shared" si="20"/>
        <v>95</v>
      </c>
      <c r="EO13" s="77">
        <f t="shared" si="20"/>
        <v>96</v>
      </c>
      <c r="EP13" s="77">
        <f t="shared" si="20"/>
        <v>97</v>
      </c>
      <c r="EQ13" s="77">
        <f t="shared" si="20"/>
        <v>98</v>
      </c>
      <c r="ER13" s="77">
        <f t="shared" si="20"/>
        <v>99</v>
      </c>
      <c r="ES13" s="77">
        <f t="shared" si="20"/>
        <v>100</v>
      </c>
      <c r="ET13" s="77">
        <f t="shared" si="20"/>
        <v>101</v>
      </c>
      <c r="EU13" s="77">
        <f t="shared" si="20"/>
        <v>102</v>
      </c>
      <c r="EV13" s="77">
        <f t="shared" si="15"/>
        <v>103</v>
      </c>
      <c r="EW13" s="77">
        <f t="shared" si="19"/>
        <v>104</v>
      </c>
      <c r="EX13" s="77">
        <f t="shared" si="19"/>
        <v>105</v>
      </c>
      <c r="EY13" s="77">
        <f t="shared" si="19"/>
        <v>106</v>
      </c>
      <c r="EZ13" s="77">
        <f t="shared" si="19"/>
        <v>107</v>
      </c>
      <c r="FA13" s="77">
        <f t="shared" si="19"/>
        <v>108</v>
      </c>
      <c r="FB13" s="77">
        <f t="shared" si="19"/>
        <v>109</v>
      </c>
      <c r="FC13" s="77">
        <f t="shared" si="19"/>
        <v>110</v>
      </c>
      <c r="FD13" s="77">
        <f t="shared" si="19"/>
        <v>111</v>
      </c>
      <c r="FE13" s="77">
        <f t="shared" si="19"/>
        <v>112</v>
      </c>
      <c r="FF13" s="77">
        <f t="shared" si="19"/>
        <v>113</v>
      </c>
      <c r="FG13" s="77">
        <f t="shared" si="19"/>
        <v>114</v>
      </c>
      <c r="FH13" s="77">
        <f t="shared" si="19"/>
        <v>115</v>
      </c>
      <c r="FI13" s="77">
        <f t="shared" si="19"/>
        <v>116</v>
      </c>
      <c r="FJ13" s="77">
        <f t="shared" si="19"/>
        <v>117</v>
      </c>
      <c r="FK13" s="77">
        <f t="shared" si="19"/>
        <v>118</v>
      </c>
      <c r="FL13" s="77">
        <f t="shared" si="19"/>
        <v>119</v>
      </c>
      <c r="FM13" s="77">
        <f t="shared" si="19"/>
        <v>120</v>
      </c>
      <c r="FN13" s="77">
        <f t="shared" si="19"/>
        <v>121</v>
      </c>
      <c r="FO13" s="77">
        <f t="shared" si="19"/>
        <v>122</v>
      </c>
      <c r="FP13" s="77">
        <f t="shared" si="19"/>
        <v>123</v>
      </c>
      <c r="FQ13" s="77">
        <f t="shared" si="19"/>
        <v>124</v>
      </c>
      <c r="FR13" s="77">
        <f t="shared" si="19"/>
        <v>125</v>
      </c>
      <c r="FS13" s="77">
        <f t="shared" si="19"/>
        <v>126</v>
      </c>
      <c r="FT13" s="77">
        <f t="shared" si="19"/>
        <v>127</v>
      </c>
      <c r="FU13" s="77">
        <f t="shared" si="19"/>
        <v>128</v>
      </c>
      <c r="FV13" s="77">
        <f t="shared" si="19"/>
        <v>129</v>
      </c>
      <c r="FW13" s="77">
        <f t="shared" si="19"/>
        <v>130</v>
      </c>
      <c r="FX13" s="77">
        <f t="shared" si="19"/>
        <v>131</v>
      </c>
      <c r="FY13" s="77">
        <f t="shared" si="19"/>
        <v>132</v>
      </c>
      <c r="FZ13" s="77">
        <f t="shared" si="19"/>
        <v>133</v>
      </c>
      <c r="GA13" s="77">
        <f t="shared" si="19"/>
        <v>134</v>
      </c>
      <c r="GB13" s="77">
        <f t="shared" si="19"/>
        <v>135</v>
      </c>
      <c r="GC13" s="77">
        <f t="shared" si="19"/>
        <v>136</v>
      </c>
      <c r="GD13" s="77">
        <f t="shared" si="19"/>
        <v>137</v>
      </c>
      <c r="GE13" s="77">
        <f t="shared" si="19"/>
        <v>138</v>
      </c>
      <c r="GF13" s="77">
        <f t="shared" si="19"/>
        <v>139</v>
      </c>
      <c r="GG13" s="77">
        <f t="shared" si="19"/>
        <v>140</v>
      </c>
      <c r="GH13" s="77">
        <f t="shared" si="19"/>
        <v>141</v>
      </c>
      <c r="GI13" s="77">
        <f t="shared" si="19"/>
        <v>142</v>
      </c>
      <c r="GJ13" s="77">
        <f t="shared" si="19"/>
        <v>143</v>
      </c>
      <c r="GK13" s="77">
        <f t="shared" si="19"/>
        <v>144</v>
      </c>
      <c r="GL13" s="77">
        <f t="shared" si="19"/>
        <v>145</v>
      </c>
      <c r="GM13" s="77">
        <f t="shared" si="19"/>
        <v>146</v>
      </c>
      <c r="GN13" s="77">
        <f t="shared" si="19"/>
        <v>147</v>
      </c>
      <c r="GO13" s="77">
        <f t="shared" si="19"/>
        <v>148</v>
      </c>
      <c r="GP13" s="77">
        <f t="shared" si="19"/>
        <v>149</v>
      </c>
      <c r="GQ13" s="77">
        <f t="shared" si="19"/>
        <v>150</v>
      </c>
      <c r="GR13" s="77">
        <f t="shared" si="19"/>
        <v>151</v>
      </c>
      <c r="GS13" s="77">
        <f t="shared" si="19"/>
        <v>152</v>
      </c>
      <c r="GT13" s="77">
        <f t="shared" si="19"/>
        <v>153</v>
      </c>
      <c r="GU13" s="77">
        <f t="shared" si="19"/>
        <v>154</v>
      </c>
      <c r="GV13" s="77">
        <f t="shared" si="19"/>
        <v>155</v>
      </c>
      <c r="GW13" s="77">
        <f t="shared" si="19"/>
        <v>156</v>
      </c>
      <c r="GX13" s="77">
        <f t="shared" si="19"/>
        <v>157</v>
      </c>
    </row>
    <row r="14" spans="1:206" ht="15" customHeight="1" x14ac:dyDescent="0.2">
      <c r="A14" s="22" t="s">
        <v>68</v>
      </c>
      <c r="B14" s="22">
        <v>1</v>
      </c>
      <c r="C14" s="22" t="s">
        <v>69</v>
      </c>
      <c r="D14" s="22">
        <v>13</v>
      </c>
      <c r="E14" s="22" t="s">
        <v>92</v>
      </c>
      <c r="F14" s="22" t="s">
        <v>71</v>
      </c>
      <c r="G14" s="22" t="s">
        <v>72</v>
      </c>
      <c r="H14" s="22">
        <v>2009</v>
      </c>
      <c r="I14" s="22">
        <v>17</v>
      </c>
      <c r="J14" s="22">
        <v>46.26</v>
      </c>
      <c r="K14" s="22">
        <v>51</v>
      </c>
      <c r="L14" s="22">
        <v>6551</v>
      </c>
      <c r="M14" s="22">
        <v>6500</v>
      </c>
      <c r="N14" s="22" t="s">
        <v>87</v>
      </c>
      <c r="O14" s="22" t="s">
        <v>74</v>
      </c>
      <c r="P14" s="22" t="s">
        <v>75</v>
      </c>
      <c r="Q14" s="108">
        <f>IF(R14="","",'Dashboard Ciclos'!$B$2-R14)</f>
        <v>46230</v>
      </c>
      <c r="R14" s="22">
        <f>IF($E14="","",IFERROR(INDEX($W14:$GX14,MATCH('Dashboard Ciclos'!$B$2,$W$1:$GX$1,0)),""))</f>
        <v>19</v>
      </c>
      <c r="S14" s="22" t="str">
        <f t="shared" si="11"/>
        <v>Vencido 6-10 d</v>
      </c>
      <c r="T14" s="22" t="str">
        <f t="shared" si="3"/>
        <v>Fuera de ciclo</v>
      </c>
      <c r="U14" s="22">
        <f t="shared" si="4"/>
        <v>-7</v>
      </c>
      <c r="V14" s="23">
        <f t="shared" si="5"/>
        <v>46242</v>
      </c>
      <c r="W14" s="77">
        <f t="shared" si="6"/>
        <v>2</v>
      </c>
      <c r="X14" s="77">
        <f t="shared" si="6"/>
        <v>3</v>
      </c>
      <c r="Y14" s="77">
        <f t="shared" si="6"/>
        <v>4</v>
      </c>
      <c r="Z14" s="77">
        <f t="shared" si="6"/>
        <v>5</v>
      </c>
      <c r="AA14" s="77">
        <v>6</v>
      </c>
      <c r="AB14" s="77">
        <f t="shared" si="12"/>
        <v>7</v>
      </c>
      <c r="AC14" s="77">
        <f t="shared" si="12"/>
        <v>8</v>
      </c>
      <c r="AD14" s="77">
        <f t="shared" si="12"/>
        <v>9</v>
      </c>
      <c r="AE14" s="77">
        <f t="shared" si="12"/>
        <v>10</v>
      </c>
      <c r="AF14" s="77">
        <f t="shared" si="12"/>
        <v>11</v>
      </c>
      <c r="AG14" s="77">
        <f t="shared" si="12"/>
        <v>12</v>
      </c>
      <c r="AH14" s="77">
        <f t="shared" si="12"/>
        <v>13</v>
      </c>
      <c r="AI14" s="77">
        <f t="shared" si="12"/>
        <v>14</v>
      </c>
      <c r="AJ14" s="77">
        <f t="shared" si="12"/>
        <v>15</v>
      </c>
      <c r="AK14" s="77">
        <f t="shared" si="7"/>
        <v>16</v>
      </c>
      <c r="AL14" s="77">
        <f t="shared" si="7"/>
        <v>17</v>
      </c>
      <c r="AM14" s="77">
        <f t="shared" si="7"/>
        <v>18</v>
      </c>
      <c r="AN14" s="77">
        <f t="shared" si="7"/>
        <v>19</v>
      </c>
      <c r="AO14" s="77">
        <f t="shared" si="7"/>
        <v>20</v>
      </c>
      <c r="AP14" s="77">
        <f t="shared" si="7"/>
        <v>21</v>
      </c>
      <c r="AQ14" s="77">
        <f t="shared" si="7"/>
        <v>22</v>
      </c>
      <c r="AR14" s="77">
        <f t="shared" si="7"/>
        <v>23</v>
      </c>
      <c r="AS14" s="77">
        <f t="shared" si="21"/>
        <v>24</v>
      </c>
      <c r="AT14" s="77">
        <f t="shared" si="21"/>
        <v>25</v>
      </c>
      <c r="AU14" s="77">
        <f t="shared" si="21"/>
        <v>26</v>
      </c>
      <c r="AV14" s="77">
        <f t="shared" si="21"/>
        <v>27</v>
      </c>
      <c r="AW14" s="77">
        <v>0</v>
      </c>
      <c r="AX14" s="77">
        <f t="shared" si="21"/>
        <v>1</v>
      </c>
      <c r="AY14" s="77">
        <f t="shared" si="21"/>
        <v>2</v>
      </c>
      <c r="AZ14" s="77">
        <f t="shared" si="21"/>
        <v>3</v>
      </c>
      <c r="BA14" s="77">
        <f t="shared" si="21"/>
        <v>4</v>
      </c>
      <c r="BB14" s="77">
        <f t="shared" si="21"/>
        <v>5</v>
      </c>
      <c r="BC14" s="77">
        <f t="shared" si="21"/>
        <v>6</v>
      </c>
      <c r="BD14" s="77">
        <f t="shared" si="21"/>
        <v>7</v>
      </c>
      <c r="BE14" s="77">
        <f t="shared" si="21"/>
        <v>8</v>
      </c>
      <c r="BF14" s="77">
        <f t="shared" si="21"/>
        <v>9</v>
      </c>
      <c r="BG14" s="77">
        <f t="shared" si="21"/>
        <v>10</v>
      </c>
      <c r="BH14" s="77">
        <f t="shared" si="21"/>
        <v>11</v>
      </c>
      <c r="BI14" s="77">
        <f t="shared" si="21"/>
        <v>12</v>
      </c>
      <c r="BJ14" s="77">
        <f t="shared" si="21"/>
        <v>13</v>
      </c>
      <c r="BK14" s="77">
        <f t="shared" si="21"/>
        <v>14</v>
      </c>
      <c r="BL14" s="77">
        <f t="shared" si="21"/>
        <v>15</v>
      </c>
      <c r="BM14" s="77">
        <f t="shared" si="21"/>
        <v>16</v>
      </c>
      <c r="BN14" s="77">
        <f t="shared" si="21"/>
        <v>17</v>
      </c>
      <c r="BO14" s="77">
        <f t="shared" si="21"/>
        <v>18</v>
      </c>
      <c r="BP14" s="77">
        <f t="shared" si="21"/>
        <v>19</v>
      </c>
      <c r="BQ14" s="77">
        <f t="shared" si="21"/>
        <v>20</v>
      </c>
      <c r="BR14" s="77">
        <f t="shared" si="21"/>
        <v>21</v>
      </c>
      <c r="BS14" s="77">
        <f t="shared" si="21"/>
        <v>22</v>
      </c>
      <c r="BT14" s="77">
        <f t="shared" si="21"/>
        <v>23</v>
      </c>
      <c r="BU14" s="77">
        <f t="shared" si="21"/>
        <v>24</v>
      </c>
      <c r="BV14" s="77">
        <f t="shared" si="21"/>
        <v>25</v>
      </c>
      <c r="BW14" s="77">
        <f t="shared" si="21"/>
        <v>26</v>
      </c>
      <c r="BX14" s="77">
        <f t="shared" si="21"/>
        <v>27</v>
      </c>
      <c r="BY14" s="77">
        <f t="shared" si="21"/>
        <v>28</v>
      </c>
      <c r="BZ14" s="77">
        <f t="shared" si="21"/>
        <v>29</v>
      </c>
      <c r="CA14" s="77">
        <f t="shared" si="21"/>
        <v>30</v>
      </c>
      <c r="CB14" s="77">
        <f t="shared" si="21"/>
        <v>31</v>
      </c>
      <c r="CC14" s="77">
        <f t="shared" si="21"/>
        <v>32</v>
      </c>
      <c r="CD14" s="77">
        <f t="shared" si="21"/>
        <v>33</v>
      </c>
      <c r="CE14" s="77">
        <f t="shared" si="21"/>
        <v>34</v>
      </c>
      <c r="CF14" s="77">
        <f t="shared" si="21"/>
        <v>35</v>
      </c>
      <c r="CG14" s="77">
        <f t="shared" si="21"/>
        <v>36</v>
      </c>
      <c r="CH14" s="77">
        <f t="shared" si="21"/>
        <v>37</v>
      </c>
      <c r="CI14" s="77">
        <f t="shared" si="21"/>
        <v>38</v>
      </c>
      <c r="CJ14" s="77">
        <f t="shared" si="21"/>
        <v>39</v>
      </c>
      <c r="CK14" s="77">
        <f t="shared" si="20"/>
        <v>40</v>
      </c>
      <c r="CL14" s="77">
        <f t="shared" si="20"/>
        <v>41</v>
      </c>
      <c r="CM14" s="77">
        <f t="shared" si="20"/>
        <v>42</v>
      </c>
      <c r="CN14" s="77">
        <f t="shared" si="20"/>
        <v>43</v>
      </c>
      <c r="CO14" s="77">
        <f t="shared" si="20"/>
        <v>44</v>
      </c>
      <c r="CP14" s="77">
        <f t="shared" si="20"/>
        <v>45</v>
      </c>
      <c r="CQ14" s="77">
        <f t="shared" si="20"/>
        <v>46</v>
      </c>
      <c r="CR14" s="77">
        <f t="shared" si="20"/>
        <v>47</v>
      </c>
      <c r="CS14" s="77">
        <f t="shared" si="20"/>
        <v>48</v>
      </c>
      <c r="CT14" s="77">
        <f t="shared" si="20"/>
        <v>49</v>
      </c>
      <c r="CU14" s="77">
        <f t="shared" si="20"/>
        <v>50</v>
      </c>
      <c r="CV14" s="77">
        <f t="shared" si="20"/>
        <v>51</v>
      </c>
      <c r="CW14" s="77">
        <f t="shared" si="20"/>
        <v>52</v>
      </c>
      <c r="CX14" s="77">
        <f t="shared" si="20"/>
        <v>53</v>
      </c>
      <c r="CY14" s="77">
        <f t="shared" si="20"/>
        <v>54</v>
      </c>
      <c r="CZ14" s="77">
        <f t="shared" si="20"/>
        <v>55</v>
      </c>
      <c r="DA14" s="77">
        <f t="shared" si="20"/>
        <v>56</v>
      </c>
      <c r="DB14" s="77">
        <f t="shared" si="20"/>
        <v>57</v>
      </c>
      <c r="DC14" s="77">
        <f t="shared" si="20"/>
        <v>58</v>
      </c>
      <c r="DD14" s="77">
        <f t="shared" si="20"/>
        <v>59</v>
      </c>
      <c r="DE14" s="77">
        <f t="shared" si="20"/>
        <v>60</v>
      </c>
      <c r="DF14" s="77">
        <f t="shared" si="20"/>
        <v>61</v>
      </c>
      <c r="DG14" s="77">
        <f t="shared" si="20"/>
        <v>62</v>
      </c>
      <c r="DH14" s="77">
        <f t="shared" si="20"/>
        <v>63</v>
      </c>
      <c r="DI14" s="77">
        <f t="shared" si="20"/>
        <v>64</v>
      </c>
      <c r="DJ14" s="77">
        <f t="shared" si="20"/>
        <v>65</v>
      </c>
      <c r="DK14" s="77">
        <f t="shared" si="20"/>
        <v>66</v>
      </c>
      <c r="DL14" s="77">
        <f t="shared" si="20"/>
        <v>67</v>
      </c>
      <c r="DM14" s="77">
        <f t="shared" si="20"/>
        <v>68</v>
      </c>
      <c r="DN14" s="77">
        <f t="shared" si="20"/>
        <v>69</v>
      </c>
      <c r="DO14" s="77">
        <f t="shared" si="20"/>
        <v>70</v>
      </c>
      <c r="DP14" s="77">
        <f t="shared" si="20"/>
        <v>71</v>
      </c>
      <c r="DQ14" s="77">
        <f t="shared" si="20"/>
        <v>72</v>
      </c>
      <c r="DR14" s="77">
        <f t="shared" si="20"/>
        <v>73</v>
      </c>
      <c r="DS14" s="77">
        <f t="shared" si="20"/>
        <v>74</v>
      </c>
      <c r="DT14" s="77">
        <f t="shared" si="20"/>
        <v>75</v>
      </c>
      <c r="DU14" s="77">
        <f t="shared" si="20"/>
        <v>76</v>
      </c>
      <c r="DV14" s="77">
        <f t="shared" si="20"/>
        <v>77</v>
      </c>
      <c r="DW14" s="77">
        <f t="shared" si="20"/>
        <v>78</v>
      </c>
      <c r="DX14" s="77">
        <f t="shared" si="20"/>
        <v>79</v>
      </c>
      <c r="DY14" s="77">
        <f t="shared" si="20"/>
        <v>80</v>
      </c>
      <c r="DZ14" s="77">
        <f t="shared" si="20"/>
        <v>81</v>
      </c>
      <c r="EA14" s="77">
        <f t="shared" si="20"/>
        <v>82</v>
      </c>
      <c r="EB14" s="77">
        <f t="shared" si="20"/>
        <v>83</v>
      </c>
      <c r="EC14" s="77">
        <f t="shared" si="20"/>
        <v>84</v>
      </c>
      <c r="ED14" s="77">
        <f t="shared" si="20"/>
        <v>85</v>
      </c>
      <c r="EE14" s="77">
        <f t="shared" si="20"/>
        <v>86</v>
      </c>
      <c r="EF14" s="77">
        <f t="shared" si="20"/>
        <v>87</v>
      </c>
      <c r="EG14" s="77">
        <f t="shared" si="20"/>
        <v>88</v>
      </c>
      <c r="EH14" s="77">
        <f t="shared" si="20"/>
        <v>89</v>
      </c>
      <c r="EI14" s="77">
        <f t="shared" si="20"/>
        <v>90</v>
      </c>
      <c r="EJ14" s="77">
        <f t="shared" si="20"/>
        <v>91</v>
      </c>
      <c r="EK14" s="77">
        <f t="shared" si="20"/>
        <v>92</v>
      </c>
      <c r="EL14" s="77">
        <f t="shared" si="20"/>
        <v>93</v>
      </c>
      <c r="EM14" s="77">
        <f t="shared" si="20"/>
        <v>94</v>
      </c>
      <c r="EN14" s="77">
        <f t="shared" si="20"/>
        <v>95</v>
      </c>
      <c r="EO14" s="77">
        <f t="shared" si="20"/>
        <v>96</v>
      </c>
      <c r="EP14" s="77">
        <f t="shared" si="20"/>
        <v>97</v>
      </c>
      <c r="EQ14" s="77">
        <f t="shared" si="20"/>
        <v>98</v>
      </c>
      <c r="ER14" s="77">
        <f t="shared" si="20"/>
        <v>99</v>
      </c>
      <c r="ES14" s="77">
        <f t="shared" si="20"/>
        <v>100</v>
      </c>
      <c r="ET14" s="77">
        <f t="shared" si="20"/>
        <v>101</v>
      </c>
      <c r="EU14" s="77">
        <f t="shared" si="20"/>
        <v>102</v>
      </c>
      <c r="EV14" s="77">
        <f t="shared" si="15"/>
        <v>103</v>
      </c>
      <c r="EW14" s="77">
        <f t="shared" si="19"/>
        <v>104</v>
      </c>
      <c r="EX14" s="77">
        <f t="shared" si="19"/>
        <v>105</v>
      </c>
      <c r="EY14" s="77">
        <f t="shared" si="19"/>
        <v>106</v>
      </c>
      <c r="EZ14" s="77">
        <f t="shared" si="19"/>
        <v>107</v>
      </c>
      <c r="FA14" s="77">
        <f t="shared" si="19"/>
        <v>108</v>
      </c>
      <c r="FB14" s="77">
        <f t="shared" si="19"/>
        <v>109</v>
      </c>
      <c r="FC14" s="77">
        <f t="shared" si="19"/>
        <v>110</v>
      </c>
      <c r="FD14" s="77">
        <f t="shared" si="19"/>
        <v>111</v>
      </c>
      <c r="FE14" s="77">
        <f t="shared" si="19"/>
        <v>112</v>
      </c>
      <c r="FF14" s="77">
        <f t="shared" si="19"/>
        <v>113</v>
      </c>
      <c r="FG14" s="77">
        <f t="shared" si="19"/>
        <v>114</v>
      </c>
      <c r="FH14" s="77">
        <f t="shared" si="19"/>
        <v>115</v>
      </c>
      <c r="FI14" s="77">
        <f t="shared" si="19"/>
        <v>116</v>
      </c>
      <c r="FJ14" s="77">
        <f t="shared" si="19"/>
        <v>117</v>
      </c>
      <c r="FK14" s="77">
        <f t="shared" si="19"/>
        <v>118</v>
      </c>
      <c r="FL14" s="77">
        <f t="shared" si="19"/>
        <v>119</v>
      </c>
      <c r="FM14" s="77">
        <f t="shared" si="19"/>
        <v>120</v>
      </c>
      <c r="FN14" s="77">
        <f t="shared" si="19"/>
        <v>121</v>
      </c>
      <c r="FO14" s="77">
        <f t="shared" si="19"/>
        <v>122</v>
      </c>
      <c r="FP14" s="77">
        <f t="shared" si="19"/>
        <v>123</v>
      </c>
      <c r="FQ14" s="77">
        <f t="shared" si="19"/>
        <v>124</v>
      </c>
      <c r="FR14" s="77">
        <f t="shared" si="19"/>
        <v>125</v>
      </c>
      <c r="FS14" s="77">
        <f t="shared" si="19"/>
        <v>126</v>
      </c>
      <c r="FT14" s="77">
        <f t="shared" si="19"/>
        <v>127</v>
      </c>
      <c r="FU14" s="77">
        <f t="shared" si="19"/>
        <v>128</v>
      </c>
      <c r="FV14" s="77">
        <f t="shared" si="19"/>
        <v>129</v>
      </c>
      <c r="FW14" s="77">
        <f t="shared" si="19"/>
        <v>130</v>
      </c>
      <c r="FX14" s="77">
        <f t="shared" si="19"/>
        <v>131</v>
      </c>
      <c r="FY14" s="77">
        <f t="shared" si="19"/>
        <v>132</v>
      </c>
      <c r="FZ14" s="77">
        <f t="shared" si="19"/>
        <v>133</v>
      </c>
      <c r="GA14" s="77">
        <f t="shared" si="19"/>
        <v>134</v>
      </c>
      <c r="GB14" s="77">
        <f t="shared" si="19"/>
        <v>135</v>
      </c>
      <c r="GC14" s="77">
        <f t="shared" si="19"/>
        <v>136</v>
      </c>
      <c r="GD14" s="77">
        <f t="shared" si="19"/>
        <v>137</v>
      </c>
      <c r="GE14" s="77">
        <f t="shared" si="19"/>
        <v>138</v>
      </c>
      <c r="GF14" s="77">
        <f t="shared" si="19"/>
        <v>139</v>
      </c>
      <c r="GG14" s="77">
        <f t="shared" si="19"/>
        <v>140</v>
      </c>
      <c r="GH14" s="77">
        <f t="shared" si="19"/>
        <v>141</v>
      </c>
      <c r="GI14" s="77">
        <f t="shared" si="19"/>
        <v>142</v>
      </c>
      <c r="GJ14" s="77">
        <f t="shared" ref="GJ14:GX14" si="22">IF(GI14="","",GI14+1)</f>
        <v>143</v>
      </c>
      <c r="GK14" s="77">
        <f t="shared" si="22"/>
        <v>144</v>
      </c>
      <c r="GL14" s="77">
        <f t="shared" si="22"/>
        <v>145</v>
      </c>
      <c r="GM14" s="77">
        <f t="shared" si="22"/>
        <v>146</v>
      </c>
      <c r="GN14" s="77">
        <f t="shared" si="22"/>
        <v>147</v>
      </c>
      <c r="GO14" s="77">
        <f t="shared" si="22"/>
        <v>148</v>
      </c>
      <c r="GP14" s="77">
        <f t="shared" si="22"/>
        <v>149</v>
      </c>
      <c r="GQ14" s="77">
        <f t="shared" si="22"/>
        <v>150</v>
      </c>
      <c r="GR14" s="77">
        <f t="shared" si="22"/>
        <v>151</v>
      </c>
      <c r="GS14" s="77">
        <f t="shared" si="22"/>
        <v>152</v>
      </c>
      <c r="GT14" s="77">
        <f t="shared" si="22"/>
        <v>153</v>
      </c>
      <c r="GU14" s="77">
        <f t="shared" si="22"/>
        <v>154</v>
      </c>
      <c r="GV14" s="77">
        <f t="shared" si="22"/>
        <v>155</v>
      </c>
      <c r="GW14" s="77">
        <f t="shared" si="22"/>
        <v>156</v>
      </c>
      <c r="GX14" s="77">
        <f t="shared" si="22"/>
        <v>157</v>
      </c>
    </row>
    <row r="15" spans="1:206" ht="15" customHeight="1" x14ac:dyDescent="0.2">
      <c r="A15" s="22" t="s">
        <v>68</v>
      </c>
      <c r="B15" s="22">
        <v>2</v>
      </c>
      <c r="C15" s="22" t="s">
        <v>93</v>
      </c>
      <c r="D15" s="22">
        <v>14</v>
      </c>
      <c r="E15" s="22" t="s">
        <v>94</v>
      </c>
      <c r="F15" s="22" t="s">
        <v>71</v>
      </c>
      <c r="G15" s="22" t="s">
        <v>72</v>
      </c>
      <c r="H15" s="22">
        <v>2009</v>
      </c>
      <c r="I15" s="22">
        <v>17</v>
      </c>
      <c r="J15" s="22">
        <v>45.18</v>
      </c>
      <c r="K15" s="22">
        <v>61</v>
      </c>
      <c r="L15" s="22">
        <v>6215</v>
      </c>
      <c r="M15" s="22">
        <v>6154</v>
      </c>
      <c r="N15" s="22" t="s">
        <v>95</v>
      </c>
      <c r="O15" s="22" t="s">
        <v>96</v>
      </c>
      <c r="P15" s="22" t="s">
        <v>75</v>
      </c>
      <c r="Q15" s="108">
        <f>IF(R15="","",'Dashboard Ciclos'!$B$2-R15)</f>
        <v>46239</v>
      </c>
      <c r="R15" s="22">
        <f>IF($E15="","",IFERROR(INDEX($W15:$GX15,MATCH('Dashboard Ciclos'!$B$2,$W$1:$GX$1,0)),""))</f>
        <v>10</v>
      </c>
      <c r="S15" s="22" t="str">
        <f t="shared" si="11"/>
        <v>En ciclo</v>
      </c>
      <c r="T15" s="22" t="str">
        <f t="shared" si="3"/>
        <v>En ciclo</v>
      </c>
      <c r="U15" s="22">
        <f t="shared" si="4"/>
        <v>2</v>
      </c>
      <c r="V15" s="23">
        <f t="shared" si="5"/>
        <v>46251</v>
      </c>
      <c r="W15" s="77">
        <f t="shared" si="6"/>
        <v>13</v>
      </c>
      <c r="X15" s="77">
        <f t="shared" si="6"/>
        <v>14</v>
      </c>
      <c r="Y15" s="77">
        <f t="shared" si="6"/>
        <v>15</v>
      </c>
      <c r="Z15" s="77">
        <f t="shared" si="6"/>
        <v>16</v>
      </c>
      <c r="AA15" s="77">
        <v>17</v>
      </c>
      <c r="AB15" s="77">
        <f t="shared" si="12"/>
        <v>18</v>
      </c>
      <c r="AC15" s="77">
        <f t="shared" si="12"/>
        <v>19</v>
      </c>
      <c r="AD15" s="77">
        <f t="shared" si="12"/>
        <v>20</v>
      </c>
      <c r="AE15" s="77">
        <f t="shared" si="12"/>
        <v>21</v>
      </c>
      <c r="AF15" s="77">
        <f t="shared" si="12"/>
        <v>22</v>
      </c>
      <c r="AG15" s="77">
        <f t="shared" si="12"/>
        <v>23</v>
      </c>
      <c r="AH15" s="77">
        <f t="shared" si="12"/>
        <v>24</v>
      </c>
      <c r="AI15" s="77">
        <f t="shared" si="12"/>
        <v>25</v>
      </c>
      <c r="AJ15" s="77">
        <f t="shared" si="12"/>
        <v>26</v>
      </c>
      <c r="AK15" s="77">
        <f t="shared" si="7"/>
        <v>27</v>
      </c>
      <c r="AL15" s="77">
        <f t="shared" si="7"/>
        <v>28</v>
      </c>
      <c r="AM15" s="77">
        <f t="shared" si="7"/>
        <v>29</v>
      </c>
      <c r="AN15" s="77">
        <f t="shared" si="7"/>
        <v>30</v>
      </c>
      <c r="AO15" s="77">
        <f t="shared" si="7"/>
        <v>31</v>
      </c>
      <c r="AP15" s="77">
        <f t="shared" si="7"/>
        <v>32</v>
      </c>
      <c r="AQ15" s="77">
        <f t="shared" si="7"/>
        <v>33</v>
      </c>
      <c r="AR15" s="77">
        <v>0</v>
      </c>
      <c r="AS15" s="77">
        <f t="shared" si="21"/>
        <v>1</v>
      </c>
      <c r="AT15" s="77">
        <f t="shared" si="21"/>
        <v>2</v>
      </c>
      <c r="AU15" s="77">
        <f t="shared" si="21"/>
        <v>3</v>
      </c>
      <c r="AV15" s="77">
        <f t="shared" si="21"/>
        <v>4</v>
      </c>
      <c r="AW15" s="77">
        <f t="shared" si="21"/>
        <v>5</v>
      </c>
      <c r="AX15" s="77">
        <f t="shared" si="21"/>
        <v>6</v>
      </c>
      <c r="AY15" s="77">
        <f t="shared" si="21"/>
        <v>7</v>
      </c>
      <c r="AZ15" s="77">
        <f t="shared" si="21"/>
        <v>8</v>
      </c>
      <c r="BA15" s="77">
        <f t="shared" si="21"/>
        <v>9</v>
      </c>
      <c r="BB15" s="77">
        <f t="shared" si="21"/>
        <v>10</v>
      </c>
      <c r="BC15" s="77">
        <f t="shared" si="21"/>
        <v>11</v>
      </c>
      <c r="BD15" s="77">
        <f t="shared" si="21"/>
        <v>12</v>
      </c>
      <c r="BE15" s="77">
        <f t="shared" si="21"/>
        <v>13</v>
      </c>
      <c r="BF15" s="77">
        <v>0</v>
      </c>
      <c r="BG15" s="77">
        <f t="shared" si="21"/>
        <v>1</v>
      </c>
      <c r="BH15" s="77">
        <f t="shared" si="21"/>
        <v>2</v>
      </c>
      <c r="BI15" s="77">
        <f t="shared" si="21"/>
        <v>3</v>
      </c>
      <c r="BJ15" s="77">
        <f t="shared" si="21"/>
        <v>4</v>
      </c>
      <c r="BK15" s="77">
        <f t="shared" si="21"/>
        <v>5</v>
      </c>
      <c r="BL15" s="77">
        <f t="shared" si="21"/>
        <v>6</v>
      </c>
      <c r="BM15" s="77">
        <f t="shared" si="21"/>
        <v>7</v>
      </c>
      <c r="BN15" s="77">
        <f t="shared" si="21"/>
        <v>8</v>
      </c>
      <c r="BO15" s="77">
        <f t="shared" si="21"/>
        <v>9</v>
      </c>
      <c r="BP15" s="77">
        <f t="shared" si="21"/>
        <v>10</v>
      </c>
      <c r="BQ15" s="77">
        <f t="shared" si="21"/>
        <v>11</v>
      </c>
      <c r="BR15" s="77">
        <f t="shared" si="21"/>
        <v>12</v>
      </c>
      <c r="BS15" s="77">
        <f t="shared" si="21"/>
        <v>13</v>
      </c>
      <c r="BT15" s="77">
        <f t="shared" si="21"/>
        <v>14</v>
      </c>
      <c r="BU15" s="77">
        <f t="shared" si="21"/>
        <v>15</v>
      </c>
      <c r="BV15" s="77">
        <f t="shared" si="21"/>
        <v>16</v>
      </c>
      <c r="BW15" s="77">
        <f t="shared" si="21"/>
        <v>17</v>
      </c>
      <c r="BX15" s="77">
        <f t="shared" si="21"/>
        <v>18</v>
      </c>
      <c r="BY15" s="77">
        <f t="shared" si="21"/>
        <v>19</v>
      </c>
      <c r="BZ15" s="77">
        <f t="shared" si="21"/>
        <v>20</v>
      </c>
      <c r="CA15" s="77">
        <f t="shared" si="21"/>
        <v>21</v>
      </c>
      <c r="CB15" s="77">
        <f t="shared" si="21"/>
        <v>22</v>
      </c>
      <c r="CC15" s="77">
        <f t="shared" si="21"/>
        <v>23</v>
      </c>
      <c r="CD15" s="77">
        <f t="shared" si="21"/>
        <v>24</v>
      </c>
      <c r="CE15" s="77">
        <f t="shared" si="21"/>
        <v>25</v>
      </c>
      <c r="CF15" s="77">
        <f t="shared" si="21"/>
        <v>26</v>
      </c>
      <c r="CG15" s="77">
        <f t="shared" si="21"/>
        <v>27</v>
      </c>
      <c r="CH15" s="77">
        <f t="shared" si="21"/>
        <v>28</v>
      </c>
      <c r="CI15" s="77">
        <f t="shared" si="21"/>
        <v>29</v>
      </c>
      <c r="CJ15" s="77">
        <f t="shared" ref="CJ15:EU18" si="23">IF(CI15="","",CI15+1)</f>
        <v>30</v>
      </c>
      <c r="CK15" s="77">
        <f t="shared" si="23"/>
        <v>31</v>
      </c>
      <c r="CL15" s="77">
        <f t="shared" si="23"/>
        <v>32</v>
      </c>
      <c r="CM15" s="77">
        <f t="shared" si="23"/>
        <v>33</v>
      </c>
      <c r="CN15" s="77">
        <f t="shared" si="23"/>
        <v>34</v>
      </c>
      <c r="CO15" s="77">
        <f t="shared" si="23"/>
        <v>35</v>
      </c>
      <c r="CP15" s="77">
        <f t="shared" si="23"/>
        <v>36</v>
      </c>
      <c r="CQ15" s="77">
        <f t="shared" si="23"/>
        <v>37</v>
      </c>
      <c r="CR15" s="77">
        <f t="shared" si="23"/>
        <v>38</v>
      </c>
      <c r="CS15" s="77">
        <f t="shared" si="23"/>
        <v>39</v>
      </c>
      <c r="CT15" s="77">
        <f t="shared" si="23"/>
        <v>40</v>
      </c>
      <c r="CU15" s="77">
        <f t="shared" si="23"/>
        <v>41</v>
      </c>
      <c r="CV15" s="77">
        <f t="shared" si="23"/>
        <v>42</v>
      </c>
      <c r="CW15" s="77">
        <f t="shared" si="23"/>
        <v>43</v>
      </c>
      <c r="CX15" s="77">
        <f t="shared" si="23"/>
        <v>44</v>
      </c>
      <c r="CY15" s="77">
        <f t="shared" si="23"/>
        <v>45</v>
      </c>
      <c r="CZ15" s="77">
        <f t="shared" si="23"/>
        <v>46</v>
      </c>
      <c r="DA15" s="77">
        <f t="shared" si="23"/>
        <v>47</v>
      </c>
      <c r="DB15" s="77">
        <f t="shared" si="23"/>
        <v>48</v>
      </c>
      <c r="DC15" s="77">
        <f t="shared" si="23"/>
        <v>49</v>
      </c>
      <c r="DD15" s="77">
        <f t="shared" si="23"/>
        <v>50</v>
      </c>
      <c r="DE15" s="77">
        <f t="shared" si="23"/>
        <v>51</v>
      </c>
      <c r="DF15" s="77">
        <f t="shared" si="23"/>
        <v>52</v>
      </c>
      <c r="DG15" s="77">
        <f t="shared" si="23"/>
        <v>53</v>
      </c>
      <c r="DH15" s="77">
        <f t="shared" si="23"/>
        <v>54</v>
      </c>
      <c r="DI15" s="77">
        <f t="shared" si="23"/>
        <v>55</v>
      </c>
      <c r="DJ15" s="77">
        <f t="shared" si="23"/>
        <v>56</v>
      </c>
      <c r="DK15" s="77">
        <f t="shared" si="23"/>
        <v>57</v>
      </c>
      <c r="DL15" s="77">
        <f t="shared" si="23"/>
        <v>58</v>
      </c>
      <c r="DM15" s="77">
        <f t="shared" si="23"/>
        <v>59</v>
      </c>
      <c r="DN15" s="77">
        <f t="shared" si="23"/>
        <v>60</v>
      </c>
      <c r="DO15" s="77">
        <f t="shared" si="23"/>
        <v>61</v>
      </c>
      <c r="DP15" s="77">
        <f t="shared" si="23"/>
        <v>62</v>
      </c>
      <c r="DQ15" s="77">
        <f t="shared" si="23"/>
        <v>63</v>
      </c>
      <c r="DR15" s="77">
        <f t="shared" si="23"/>
        <v>64</v>
      </c>
      <c r="DS15" s="77">
        <f t="shared" si="23"/>
        <v>65</v>
      </c>
      <c r="DT15" s="77">
        <f t="shared" si="23"/>
        <v>66</v>
      </c>
      <c r="DU15" s="77">
        <f t="shared" si="23"/>
        <v>67</v>
      </c>
      <c r="DV15" s="77">
        <f t="shared" si="23"/>
        <v>68</v>
      </c>
      <c r="DW15" s="77">
        <f t="shared" si="23"/>
        <v>69</v>
      </c>
      <c r="DX15" s="77">
        <f t="shared" si="23"/>
        <v>70</v>
      </c>
      <c r="DY15" s="77">
        <f t="shared" si="23"/>
        <v>71</v>
      </c>
      <c r="DZ15" s="77">
        <f t="shared" si="23"/>
        <v>72</v>
      </c>
      <c r="EA15" s="77">
        <f t="shared" si="23"/>
        <v>73</v>
      </c>
      <c r="EB15" s="77">
        <f t="shared" si="23"/>
        <v>74</v>
      </c>
      <c r="EC15" s="77">
        <f t="shared" si="23"/>
        <v>75</v>
      </c>
      <c r="ED15" s="77">
        <f t="shared" si="23"/>
        <v>76</v>
      </c>
      <c r="EE15" s="77">
        <f t="shared" si="23"/>
        <v>77</v>
      </c>
      <c r="EF15" s="77">
        <f t="shared" si="23"/>
        <v>78</v>
      </c>
      <c r="EG15" s="77">
        <f t="shared" si="23"/>
        <v>79</v>
      </c>
      <c r="EH15" s="77">
        <f t="shared" si="23"/>
        <v>80</v>
      </c>
      <c r="EI15" s="77">
        <f t="shared" si="23"/>
        <v>81</v>
      </c>
      <c r="EJ15" s="77">
        <f t="shared" si="23"/>
        <v>82</v>
      </c>
      <c r="EK15" s="77">
        <f t="shared" si="23"/>
        <v>83</v>
      </c>
      <c r="EL15" s="77">
        <f t="shared" si="23"/>
        <v>84</v>
      </c>
      <c r="EM15" s="77">
        <f t="shared" si="23"/>
        <v>85</v>
      </c>
      <c r="EN15" s="77">
        <f t="shared" si="23"/>
        <v>86</v>
      </c>
      <c r="EO15" s="77">
        <f t="shared" si="23"/>
        <v>87</v>
      </c>
      <c r="EP15" s="77">
        <f t="shared" si="23"/>
        <v>88</v>
      </c>
      <c r="EQ15" s="77">
        <f t="shared" si="23"/>
        <v>89</v>
      </c>
      <c r="ER15" s="77">
        <f t="shared" si="23"/>
        <v>90</v>
      </c>
      <c r="ES15" s="77">
        <f t="shared" si="23"/>
        <v>91</v>
      </c>
      <c r="ET15" s="77">
        <f t="shared" si="23"/>
        <v>92</v>
      </c>
      <c r="EU15" s="77">
        <f t="shared" si="23"/>
        <v>93</v>
      </c>
      <c r="EV15" s="77">
        <f t="shared" si="15"/>
        <v>94</v>
      </c>
      <c r="EW15" s="77">
        <f t="shared" ref="EW15:GX19" si="24">IF(EV15="","",EV15+1)</f>
        <v>95</v>
      </c>
      <c r="EX15" s="77">
        <f t="shared" si="24"/>
        <v>96</v>
      </c>
      <c r="EY15" s="77">
        <f t="shared" si="24"/>
        <v>97</v>
      </c>
      <c r="EZ15" s="77">
        <f t="shared" si="24"/>
        <v>98</v>
      </c>
      <c r="FA15" s="77">
        <f t="shared" si="24"/>
        <v>99</v>
      </c>
      <c r="FB15" s="77">
        <f t="shared" si="24"/>
        <v>100</v>
      </c>
      <c r="FC15" s="77">
        <f t="shared" si="24"/>
        <v>101</v>
      </c>
      <c r="FD15" s="77">
        <f t="shared" si="24"/>
        <v>102</v>
      </c>
      <c r="FE15" s="77">
        <f t="shared" si="24"/>
        <v>103</v>
      </c>
      <c r="FF15" s="77">
        <f t="shared" si="24"/>
        <v>104</v>
      </c>
      <c r="FG15" s="77">
        <f t="shared" si="24"/>
        <v>105</v>
      </c>
      <c r="FH15" s="77">
        <f t="shared" si="24"/>
        <v>106</v>
      </c>
      <c r="FI15" s="77">
        <f t="shared" si="24"/>
        <v>107</v>
      </c>
      <c r="FJ15" s="77">
        <f t="shared" si="24"/>
        <v>108</v>
      </c>
      <c r="FK15" s="77">
        <f t="shared" si="24"/>
        <v>109</v>
      </c>
      <c r="FL15" s="77">
        <f t="shared" si="24"/>
        <v>110</v>
      </c>
      <c r="FM15" s="77">
        <f t="shared" si="24"/>
        <v>111</v>
      </c>
      <c r="FN15" s="77">
        <f t="shared" si="24"/>
        <v>112</v>
      </c>
      <c r="FO15" s="77">
        <f t="shared" si="24"/>
        <v>113</v>
      </c>
      <c r="FP15" s="77">
        <f t="shared" si="24"/>
        <v>114</v>
      </c>
      <c r="FQ15" s="77">
        <f t="shared" si="24"/>
        <v>115</v>
      </c>
      <c r="FR15" s="77">
        <f t="shared" si="24"/>
        <v>116</v>
      </c>
      <c r="FS15" s="77">
        <f t="shared" si="24"/>
        <v>117</v>
      </c>
      <c r="FT15" s="77">
        <f t="shared" si="24"/>
        <v>118</v>
      </c>
      <c r="FU15" s="77">
        <f t="shared" si="24"/>
        <v>119</v>
      </c>
      <c r="FV15" s="77">
        <f t="shared" si="24"/>
        <v>120</v>
      </c>
      <c r="FW15" s="77">
        <f t="shared" si="24"/>
        <v>121</v>
      </c>
      <c r="FX15" s="77">
        <f t="shared" si="24"/>
        <v>122</v>
      </c>
      <c r="FY15" s="77">
        <f t="shared" si="24"/>
        <v>123</v>
      </c>
      <c r="FZ15" s="77">
        <f t="shared" si="24"/>
        <v>124</v>
      </c>
      <c r="GA15" s="77">
        <f t="shared" si="24"/>
        <v>125</v>
      </c>
      <c r="GB15" s="77">
        <f t="shared" si="24"/>
        <v>126</v>
      </c>
      <c r="GC15" s="77">
        <f t="shared" si="24"/>
        <v>127</v>
      </c>
      <c r="GD15" s="77">
        <f t="shared" si="24"/>
        <v>128</v>
      </c>
      <c r="GE15" s="77">
        <f t="shared" si="24"/>
        <v>129</v>
      </c>
      <c r="GF15" s="77">
        <f t="shared" si="24"/>
        <v>130</v>
      </c>
      <c r="GG15" s="77">
        <f t="shared" si="24"/>
        <v>131</v>
      </c>
      <c r="GH15" s="77">
        <f t="shared" si="24"/>
        <v>132</v>
      </c>
      <c r="GI15" s="77">
        <f t="shared" si="24"/>
        <v>133</v>
      </c>
      <c r="GJ15" s="77">
        <f t="shared" si="24"/>
        <v>134</v>
      </c>
      <c r="GK15" s="77">
        <f t="shared" si="24"/>
        <v>135</v>
      </c>
      <c r="GL15" s="77">
        <f t="shared" si="24"/>
        <v>136</v>
      </c>
      <c r="GM15" s="77">
        <f t="shared" si="24"/>
        <v>137</v>
      </c>
      <c r="GN15" s="77">
        <f t="shared" si="24"/>
        <v>138</v>
      </c>
      <c r="GO15" s="77">
        <f t="shared" si="24"/>
        <v>139</v>
      </c>
      <c r="GP15" s="77">
        <f t="shared" si="24"/>
        <v>140</v>
      </c>
      <c r="GQ15" s="77">
        <f t="shared" si="24"/>
        <v>141</v>
      </c>
      <c r="GR15" s="77">
        <f t="shared" si="24"/>
        <v>142</v>
      </c>
      <c r="GS15" s="77">
        <f t="shared" si="24"/>
        <v>143</v>
      </c>
      <c r="GT15" s="77">
        <f t="shared" si="24"/>
        <v>144</v>
      </c>
      <c r="GU15" s="77">
        <f t="shared" si="24"/>
        <v>145</v>
      </c>
      <c r="GV15" s="77">
        <f t="shared" si="24"/>
        <v>146</v>
      </c>
      <c r="GW15" s="77">
        <f t="shared" si="24"/>
        <v>147</v>
      </c>
      <c r="GX15" s="77">
        <f t="shared" si="24"/>
        <v>148</v>
      </c>
    </row>
    <row r="16" spans="1:206" ht="15" customHeight="1" x14ac:dyDescent="0.2">
      <c r="A16" s="22" t="s">
        <v>68</v>
      </c>
      <c r="B16" s="22">
        <v>2</v>
      </c>
      <c r="C16" s="22" t="s">
        <v>93</v>
      </c>
      <c r="D16" s="22">
        <v>15</v>
      </c>
      <c r="E16" s="22" t="s">
        <v>97</v>
      </c>
      <c r="F16" s="22" t="s">
        <v>78</v>
      </c>
      <c r="G16" s="22" t="s">
        <v>79</v>
      </c>
      <c r="H16" s="22">
        <v>2009</v>
      </c>
      <c r="I16" s="22">
        <v>17</v>
      </c>
      <c r="J16" s="22">
        <v>39.979999999999997</v>
      </c>
      <c r="K16" s="22">
        <v>107</v>
      </c>
      <c r="L16" s="22">
        <v>5352</v>
      </c>
      <c r="M16" s="22">
        <v>5245</v>
      </c>
      <c r="N16" s="22" t="s">
        <v>95</v>
      </c>
      <c r="O16" s="22" t="s">
        <v>96</v>
      </c>
      <c r="P16" s="22" t="s">
        <v>75</v>
      </c>
      <c r="Q16" s="108">
        <f>IF(R16="","",'Dashboard Ciclos'!$B$2-R16)</f>
        <v>46239</v>
      </c>
      <c r="R16" s="22">
        <f>IF($E16="","",IFERROR(INDEX($W16:$GX16,MATCH('Dashboard Ciclos'!$B$2,$W$1:$GX$1,0)),""))</f>
        <v>10</v>
      </c>
      <c r="S16" s="22" t="str">
        <f t="shared" si="11"/>
        <v>En ciclo</v>
      </c>
      <c r="T16" s="22" t="str">
        <f t="shared" si="3"/>
        <v>En ciclo</v>
      </c>
      <c r="U16" s="22">
        <f t="shared" si="4"/>
        <v>2</v>
      </c>
      <c r="V16" s="23">
        <f t="shared" si="5"/>
        <v>46251</v>
      </c>
      <c r="W16" s="77">
        <f t="shared" si="6"/>
        <v>14</v>
      </c>
      <c r="X16" s="77">
        <f t="shared" si="6"/>
        <v>15</v>
      </c>
      <c r="Y16" s="77">
        <f t="shared" si="6"/>
        <v>16</v>
      </c>
      <c r="Z16" s="77">
        <f t="shared" si="6"/>
        <v>17</v>
      </c>
      <c r="AA16" s="77">
        <v>18</v>
      </c>
      <c r="AB16" s="77">
        <f t="shared" si="12"/>
        <v>19</v>
      </c>
      <c r="AC16" s="77">
        <f t="shared" si="12"/>
        <v>20</v>
      </c>
      <c r="AD16" s="77">
        <f t="shared" si="12"/>
        <v>21</v>
      </c>
      <c r="AE16" s="77">
        <f t="shared" si="12"/>
        <v>22</v>
      </c>
      <c r="AF16" s="77">
        <f t="shared" si="12"/>
        <v>23</v>
      </c>
      <c r="AG16" s="77">
        <f t="shared" si="12"/>
        <v>24</v>
      </c>
      <c r="AH16" s="77">
        <f t="shared" si="12"/>
        <v>25</v>
      </c>
      <c r="AI16" s="77">
        <f t="shared" si="12"/>
        <v>26</v>
      </c>
      <c r="AJ16" s="77">
        <f t="shared" si="12"/>
        <v>27</v>
      </c>
      <c r="AK16" s="77">
        <f t="shared" si="7"/>
        <v>28</v>
      </c>
      <c r="AL16" s="77">
        <f t="shared" si="7"/>
        <v>29</v>
      </c>
      <c r="AM16" s="77">
        <f t="shared" si="7"/>
        <v>30</v>
      </c>
      <c r="AN16" s="77">
        <f t="shared" si="7"/>
        <v>31</v>
      </c>
      <c r="AO16" s="77">
        <f t="shared" si="7"/>
        <v>32</v>
      </c>
      <c r="AP16" s="77">
        <f t="shared" si="7"/>
        <v>33</v>
      </c>
      <c r="AQ16" s="77">
        <f t="shared" si="7"/>
        <v>34</v>
      </c>
      <c r="AR16" s="77">
        <v>0</v>
      </c>
      <c r="AS16" s="77">
        <f t="shared" ref="AS16:CJ19" si="25">IF(AR16="","",AR16+1)</f>
        <v>1</v>
      </c>
      <c r="AT16" s="77">
        <f t="shared" si="25"/>
        <v>2</v>
      </c>
      <c r="AU16" s="77">
        <f t="shared" si="25"/>
        <v>3</v>
      </c>
      <c r="AV16" s="77">
        <f t="shared" si="25"/>
        <v>4</v>
      </c>
      <c r="AW16" s="77">
        <f t="shared" si="25"/>
        <v>5</v>
      </c>
      <c r="AX16" s="77">
        <f t="shared" si="25"/>
        <v>6</v>
      </c>
      <c r="AY16" s="77">
        <f t="shared" si="25"/>
        <v>7</v>
      </c>
      <c r="AZ16" s="77">
        <f t="shared" si="25"/>
        <v>8</v>
      </c>
      <c r="BA16" s="77">
        <f t="shared" si="25"/>
        <v>9</v>
      </c>
      <c r="BB16" s="77">
        <f t="shared" si="25"/>
        <v>10</v>
      </c>
      <c r="BC16" s="77">
        <f t="shared" si="25"/>
        <v>11</v>
      </c>
      <c r="BD16" s="77">
        <f t="shared" si="25"/>
        <v>12</v>
      </c>
      <c r="BE16" s="77">
        <f t="shared" si="25"/>
        <v>13</v>
      </c>
      <c r="BF16" s="77">
        <v>0</v>
      </c>
      <c r="BG16" s="77">
        <f t="shared" si="25"/>
        <v>1</v>
      </c>
      <c r="BH16" s="77">
        <f t="shared" si="25"/>
        <v>2</v>
      </c>
      <c r="BI16" s="77">
        <f t="shared" si="25"/>
        <v>3</v>
      </c>
      <c r="BJ16" s="77">
        <f t="shared" si="25"/>
        <v>4</v>
      </c>
      <c r="BK16" s="77">
        <f t="shared" si="25"/>
        <v>5</v>
      </c>
      <c r="BL16" s="77">
        <f t="shared" si="25"/>
        <v>6</v>
      </c>
      <c r="BM16" s="77">
        <f t="shared" si="25"/>
        <v>7</v>
      </c>
      <c r="BN16" s="77">
        <f t="shared" si="25"/>
        <v>8</v>
      </c>
      <c r="BO16" s="77">
        <f t="shared" si="25"/>
        <v>9</v>
      </c>
      <c r="BP16" s="77">
        <f t="shared" si="25"/>
        <v>10</v>
      </c>
      <c r="BQ16" s="77">
        <f t="shared" si="25"/>
        <v>11</v>
      </c>
      <c r="BR16" s="77">
        <f t="shared" si="25"/>
        <v>12</v>
      </c>
      <c r="BS16" s="77">
        <f t="shared" si="25"/>
        <v>13</v>
      </c>
      <c r="BT16" s="77">
        <f t="shared" si="25"/>
        <v>14</v>
      </c>
      <c r="BU16" s="77">
        <f t="shared" si="25"/>
        <v>15</v>
      </c>
      <c r="BV16" s="77">
        <f t="shared" si="25"/>
        <v>16</v>
      </c>
      <c r="BW16" s="77">
        <f t="shared" si="25"/>
        <v>17</v>
      </c>
      <c r="BX16" s="77">
        <f t="shared" si="25"/>
        <v>18</v>
      </c>
      <c r="BY16" s="77">
        <f t="shared" si="25"/>
        <v>19</v>
      </c>
      <c r="BZ16" s="77">
        <f t="shared" si="25"/>
        <v>20</v>
      </c>
      <c r="CA16" s="77">
        <f t="shared" si="25"/>
        <v>21</v>
      </c>
      <c r="CB16" s="77">
        <f t="shared" si="25"/>
        <v>22</v>
      </c>
      <c r="CC16" s="77">
        <f t="shared" si="25"/>
        <v>23</v>
      </c>
      <c r="CD16" s="77">
        <f t="shared" si="25"/>
        <v>24</v>
      </c>
      <c r="CE16" s="77">
        <f t="shared" si="25"/>
        <v>25</v>
      </c>
      <c r="CF16" s="77">
        <f t="shared" si="25"/>
        <v>26</v>
      </c>
      <c r="CG16" s="77">
        <f t="shared" si="25"/>
        <v>27</v>
      </c>
      <c r="CH16" s="77">
        <f t="shared" si="25"/>
        <v>28</v>
      </c>
      <c r="CI16" s="77">
        <f t="shared" si="25"/>
        <v>29</v>
      </c>
      <c r="CJ16" s="77">
        <f t="shared" si="25"/>
        <v>30</v>
      </c>
      <c r="CK16" s="77">
        <f t="shared" si="23"/>
        <v>31</v>
      </c>
      <c r="CL16" s="77">
        <f t="shared" si="23"/>
        <v>32</v>
      </c>
      <c r="CM16" s="77">
        <f t="shared" si="23"/>
        <v>33</v>
      </c>
      <c r="CN16" s="77">
        <f t="shared" si="23"/>
        <v>34</v>
      </c>
      <c r="CO16" s="77">
        <f t="shared" si="23"/>
        <v>35</v>
      </c>
      <c r="CP16" s="77">
        <f t="shared" si="23"/>
        <v>36</v>
      </c>
      <c r="CQ16" s="77">
        <f t="shared" si="23"/>
        <v>37</v>
      </c>
      <c r="CR16" s="77">
        <f t="shared" si="23"/>
        <v>38</v>
      </c>
      <c r="CS16" s="77">
        <f t="shared" si="23"/>
        <v>39</v>
      </c>
      <c r="CT16" s="77">
        <f t="shared" si="23"/>
        <v>40</v>
      </c>
      <c r="CU16" s="77">
        <f t="shared" si="23"/>
        <v>41</v>
      </c>
      <c r="CV16" s="77">
        <f t="shared" si="23"/>
        <v>42</v>
      </c>
      <c r="CW16" s="77">
        <f t="shared" si="23"/>
        <v>43</v>
      </c>
      <c r="CX16" s="77">
        <f t="shared" si="23"/>
        <v>44</v>
      </c>
      <c r="CY16" s="77">
        <f t="shared" si="23"/>
        <v>45</v>
      </c>
      <c r="CZ16" s="77">
        <f t="shared" si="23"/>
        <v>46</v>
      </c>
      <c r="DA16" s="77">
        <f t="shared" si="23"/>
        <v>47</v>
      </c>
      <c r="DB16" s="77">
        <f t="shared" si="23"/>
        <v>48</v>
      </c>
      <c r="DC16" s="77">
        <f t="shared" si="23"/>
        <v>49</v>
      </c>
      <c r="DD16" s="77">
        <f t="shared" si="23"/>
        <v>50</v>
      </c>
      <c r="DE16" s="77">
        <f t="shared" si="23"/>
        <v>51</v>
      </c>
      <c r="DF16" s="77">
        <f t="shared" si="23"/>
        <v>52</v>
      </c>
      <c r="DG16" s="77">
        <f t="shared" si="23"/>
        <v>53</v>
      </c>
      <c r="DH16" s="77">
        <f t="shared" si="23"/>
        <v>54</v>
      </c>
      <c r="DI16" s="77">
        <f t="shared" si="23"/>
        <v>55</v>
      </c>
      <c r="DJ16" s="77">
        <f t="shared" si="23"/>
        <v>56</v>
      </c>
      <c r="DK16" s="77">
        <f t="shared" si="23"/>
        <v>57</v>
      </c>
      <c r="DL16" s="77">
        <f t="shared" si="23"/>
        <v>58</v>
      </c>
      <c r="DM16" s="77">
        <f t="shared" si="23"/>
        <v>59</v>
      </c>
      <c r="DN16" s="77">
        <f t="shared" si="23"/>
        <v>60</v>
      </c>
      <c r="DO16" s="77">
        <f t="shared" si="23"/>
        <v>61</v>
      </c>
      <c r="DP16" s="77">
        <f t="shared" si="23"/>
        <v>62</v>
      </c>
      <c r="DQ16" s="77">
        <f t="shared" si="23"/>
        <v>63</v>
      </c>
      <c r="DR16" s="77">
        <f t="shared" si="23"/>
        <v>64</v>
      </c>
      <c r="DS16" s="77">
        <f t="shared" si="23"/>
        <v>65</v>
      </c>
      <c r="DT16" s="77">
        <f t="shared" si="23"/>
        <v>66</v>
      </c>
      <c r="DU16" s="77">
        <f t="shared" si="23"/>
        <v>67</v>
      </c>
      <c r="DV16" s="77">
        <f t="shared" si="23"/>
        <v>68</v>
      </c>
      <c r="DW16" s="77">
        <f t="shared" si="23"/>
        <v>69</v>
      </c>
      <c r="DX16" s="77">
        <f t="shared" si="23"/>
        <v>70</v>
      </c>
      <c r="DY16" s="77">
        <f t="shared" si="23"/>
        <v>71</v>
      </c>
      <c r="DZ16" s="77">
        <f t="shared" si="23"/>
        <v>72</v>
      </c>
      <c r="EA16" s="77">
        <f t="shared" si="23"/>
        <v>73</v>
      </c>
      <c r="EB16" s="77">
        <f t="shared" si="23"/>
        <v>74</v>
      </c>
      <c r="EC16" s="77">
        <f t="shared" si="23"/>
        <v>75</v>
      </c>
      <c r="ED16" s="77">
        <f t="shared" si="23"/>
        <v>76</v>
      </c>
      <c r="EE16" s="77">
        <f t="shared" si="23"/>
        <v>77</v>
      </c>
      <c r="EF16" s="77">
        <f t="shared" si="23"/>
        <v>78</v>
      </c>
      <c r="EG16" s="77">
        <f t="shared" si="23"/>
        <v>79</v>
      </c>
      <c r="EH16" s="77">
        <f t="shared" si="23"/>
        <v>80</v>
      </c>
      <c r="EI16" s="77">
        <f t="shared" si="23"/>
        <v>81</v>
      </c>
      <c r="EJ16" s="77">
        <f t="shared" si="23"/>
        <v>82</v>
      </c>
      <c r="EK16" s="77">
        <f t="shared" si="23"/>
        <v>83</v>
      </c>
      <c r="EL16" s="77">
        <f t="shared" si="23"/>
        <v>84</v>
      </c>
      <c r="EM16" s="77">
        <f t="shared" si="23"/>
        <v>85</v>
      </c>
      <c r="EN16" s="77">
        <f t="shared" si="23"/>
        <v>86</v>
      </c>
      <c r="EO16" s="77">
        <f t="shared" si="23"/>
        <v>87</v>
      </c>
      <c r="EP16" s="77">
        <f t="shared" si="23"/>
        <v>88</v>
      </c>
      <c r="EQ16" s="77">
        <f t="shared" si="23"/>
        <v>89</v>
      </c>
      <c r="ER16" s="77">
        <f t="shared" si="23"/>
        <v>90</v>
      </c>
      <c r="ES16" s="77">
        <f t="shared" si="23"/>
        <v>91</v>
      </c>
      <c r="ET16" s="77">
        <f t="shared" si="23"/>
        <v>92</v>
      </c>
      <c r="EU16" s="77">
        <f t="shared" si="23"/>
        <v>93</v>
      </c>
      <c r="EV16" s="77">
        <f t="shared" si="15"/>
        <v>94</v>
      </c>
      <c r="EW16" s="77">
        <f t="shared" si="24"/>
        <v>95</v>
      </c>
      <c r="EX16" s="77">
        <f t="shared" si="24"/>
        <v>96</v>
      </c>
      <c r="EY16" s="77">
        <f t="shared" si="24"/>
        <v>97</v>
      </c>
      <c r="EZ16" s="77">
        <f t="shared" si="24"/>
        <v>98</v>
      </c>
      <c r="FA16" s="77">
        <f t="shared" si="24"/>
        <v>99</v>
      </c>
      <c r="FB16" s="77">
        <f t="shared" si="24"/>
        <v>100</v>
      </c>
      <c r="FC16" s="77">
        <f t="shared" si="24"/>
        <v>101</v>
      </c>
      <c r="FD16" s="77">
        <f t="shared" si="24"/>
        <v>102</v>
      </c>
      <c r="FE16" s="77">
        <f t="shared" si="24"/>
        <v>103</v>
      </c>
      <c r="FF16" s="77">
        <f t="shared" si="24"/>
        <v>104</v>
      </c>
      <c r="FG16" s="77">
        <f t="shared" si="24"/>
        <v>105</v>
      </c>
      <c r="FH16" s="77">
        <f t="shared" si="24"/>
        <v>106</v>
      </c>
      <c r="FI16" s="77">
        <f t="shared" si="24"/>
        <v>107</v>
      </c>
      <c r="FJ16" s="77">
        <f t="shared" si="24"/>
        <v>108</v>
      </c>
      <c r="FK16" s="77">
        <f t="shared" si="24"/>
        <v>109</v>
      </c>
      <c r="FL16" s="77">
        <f t="shared" si="24"/>
        <v>110</v>
      </c>
      <c r="FM16" s="77">
        <f t="shared" si="24"/>
        <v>111</v>
      </c>
      <c r="FN16" s="77">
        <f t="shared" si="24"/>
        <v>112</v>
      </c>
      <c r="FO16" s="77">
        <f t="shared" si="24"/>
        <v>113</v>
      </c>
      <c r="FP16" s="77">
        <f t="shared" si="24"/>
        <v>114</v>
      </c>
      <c r="FQ16" s="77">
        <f t="shared" si="24"/>
        <v>115</v>
      </c>
      <c r="FR16" s="77">
        <f t="shared" si="24"/>
        <v>116</v>
      </c>
      <c r="FS16" s="77">
        <f t="shared" si="24"/>
        <v>117</v>
      </c>
      <c r="FT16" s="77">
        <f t="shared" si="24"/>
        <v>118</v>
      </c>
      <c r="FU16" s="77">
        <f t="shared" si="24"/>
        <v>119</v>
      </c>
      <c r="FV16" s="77">
        <f t="shared" si="24"/>
        <v>120</v>
      </c>
      <c r="FW16" s="77">
        <f t="shared" si="24"/>
        <v>121</v>
      </c>
      <c r="FX16" s="77">
        <f t="shared" si="24"/>
        <v>122</v>
      </c>
      <c r="FY16" s="77">
        <f t="shared" si="24"/>
        <v>123</v>
      </c>
      <c r="FZ16" s="77">
        <f t="shared" si="24"/>
        <v>124</v>
      </c>
      <c r="GA16" s="77">
        <f t="shared" si="24"/>
        <v>125</v>
      </c>
      <c r="GB16" s="77">
        <f t="shared" si="24"/>
        <v>126</v>
      </c>
      <c r="GC16" s="77">
        <f t="shared" si="24"/>
        <v>127</v>
      </c>
      <c r="GD16" s="77">
        <f t="shared" si="24"/>
        <v>128</v>
      </c>
      <c r="GE16" s="77">
        <f t="shared" si="24"/>
        <v>129</v>
      </c>
      <c r="GF16" s="77">
        <f t="shared" si="24"/>
        <v>130</v>
      </c>
      <c r="GG16" s="77">
        <f t="shared" si="24"/>
        <v>131</v>
      </c>
      <c r="GH16" s="77">
        <f t="shared" si="24"/>
        <v>132</v>
      </c>
      <c r="GI16" s="77">
        <f t="shared" si="24"/>
        <v>133</v>
      </c>
      <c r="GJ16" s="77">
        <f t="shared" si="24"/>
        <v>134</v>
      </c>
      <c r="GK16" s="77">
        <f t="shared" si="24"/>
        <v>135</v>
      </c>
      <c r="GL16" s="77">
        <f t="shared" si="24"/>
        <v>136</v>
      </c>
      <c r="GM16" s="77">
        <f t="shared" si="24"/>
        <v>137</v>
      </c>
      <c r="GN16" s="77">
        <f t="shared" si="24"/>
        <v>138</v>
      </c>
      <c r="GO16" s="77">
        <f t="shared" si="24"/>
        <v>139</v>
      </c>
      <c r="GP16" s="77">
        <f t="shared" si="24"/>
        <v>140</v>
      </c>
      <c r="GQ16" s="77">
        <f t="shared" si="24"/>
        <v>141</v>
      </c>
      <c r="GR16" s="77">
        <f t="shared" si="24"/>
        <v>142</v>
      </c>
      <c r="GS16" s="77">
        <f t="shared" si="24"/>
        <v>143</v>
      </c>
      <c r="GT16" s="77">
        <f t="shared" si="24"/>
        <v>144</v>
      </c>
      <c r="GU16" s="77">
        <f t="shared" si="24"/>
        <v>145</v>
      </c>
      <c r="GV16" s="77">
        <f t="shared" si="24"/>
        <v>146</v>
      </c>
      <c r="GW16" s="77">
        <f t="shared" si="24"/>
        <v>147</v>
      </c>
      <c r="GX16" s="77">
        <f t="shared" si="24"/>
        <v>148</v>
      </c>
    </row>
    <row r="17" spans="1:206" ht="15" customHeight="1" x14ac:dyDescent="0.2">
      <c r="A17" s="22" t="s">
        <v>68</v>
      </c>
      <c r="B17" s="22">
        <v>2</v>
      </c>
      <c r="C17" s="22" t="s">
        <v>93</v>
      </c>
      <c r="D17" s="22">
        <v>16</v>
      </c>
      <c r="E17" s="22" t="s">
        <v>98</v>
      </c>
      <c r="F17" s="22" t="s">
        <v>71</v>
      </c>
      <c r="G17" s="22" t="s">
        <v>72</v>
      </c>
      <c r="H17" s="22">
        <v>2009</v>
      </c>
      <c r="I17" s="22">
        <v>17</v>
      </c>
      <c r="J17" s="22">
        <v>13.11</v>
      </c>
      <c r="K17" s="22">
        <v>32</v>
      </c>
      <c r="L17" s="22">
        <v>1803</v>
      </c>
      <c r="M17" s="22">
        <v>1771</v>
      </c>
      <c r="N17" s="22" t="s">
        <v>95</v>
      </c>
      <c r="O17" s="22" t="s">
        <v>96</v>
      </c>
      <c r="P17" s="22" t="s">
        <v>75</v>
      </c>
      <c r="Q17" s="108">
        <f>IF(R17="","",'Dashboard Ciclos'!$B$2-R17)</f>
        <v>46239</v>
      </c>
      <c r="R17" s="22">
        <f>IF($E17="","",IFERROR(INDEX($W17:$GX17,MATCH('Dashboard Ciclos'!$B$2,$W$1:$GX$1,0)),""))</f>
        <v>10</v>
      </c>
      <c r="S17" s="22" t="str">
        <f t="shared" si="11"/>
        <v>En ciclo</v>
      </c>
      <c r="T17" s="22" t="str">
        <f t="shared" si="3"/>
        <v>En ciclo</v>
      </c>
      <c r="U17" s="22">
        <f t="shared" si="4"/>
        <v>2</v>
      </c>
      <c r="V17" s="23">
        <f t="shared" si="5"/>
        <v>46251</v>
      </c>
      <c r="W17" s="77">
        <f t="shared" si="6"/>
        <v>14</v>
      </c>
      <c r="X17" s="77">
        <f t="shared" si="6"/>
        <v>15</v>
      </c>
      <c r="Y17" s="77">
        <f t="shared" si="6"/>
        <v>16</v>
      </c>
      <c r="Z17" s="77">
        <f t="shared" si="6"/>
        <v>17</v>
      </c>
      <c r="AA17" s="77">
        <v>18</v>
      </c>
      <c r="AB17" s="77">
        <f t="shared" si="12"/>
        <v>19</v>
      </c>
      <c r="AC17" s="77">
        <f t="shared" si="12"/>
        <v>20</v>
      </c>
      <c r="AD17" s="77">
        <f t="shared" si="12"/>
        <v>21</v>
      </c>
      <c r="AE17" s="77">
        <f t="shared" si="12"/>
        <v>22</v>
      </c>
      <c r="AF17" s="77">
        <f t="shared" si="12"/>
        <v>23</v>
      </c>
      <c r="AG17" s="77">
        <f t="shared" si="12"/>
        <v>24</v>
      </c>
      <c r="AH17" s="77">
        <f t="shared" si="12"/>
        <v>25</v>
      </c>
      <c r="AI17" s="77">
        <f t="shared" si="12"/>
        <v>26</v>
      </c>
      <c r="AJ17" s="77">
        <f t="shared" si="12"/>
        <v>27</v>
      </c>
      <c r="AK17" s="77">
        <f t="shared" si="7"/>
        <v>28</v>
      </c>
      <c r="AL17" s="77">
        <f t="shared" si="7"/>
        <v>29</v>
      </c>
      <c r="AM17" s="77">
        <f t="shared" si="7"/>
        <v>30</v>
      </c>
      <c r="AN17" s="77">
        <f t="shared" si="7"/>
        <v>31</v>
      </c>
      <c r="AO17" s="77">
        <f t="shared" si="7"/>
        <v>32</v>
      </c>
      <c r="AP17" s="77">
        <v>0</v>
      </c>
      <c r="AQ17" s="77">
        <f t="shared" si="7"/>
        <v>1</v>
      </c>
      <c r="AR17" s="77">
        <f t="shared" si="7"/>
        <v>2</v>
      </c>
      <c r="AS17" s="77">
        <f t="shared" si="25"/>
        <v>3</v>
      </c>
      <c r="AT17" s="77">
        <f t="shared" si="25"/>
        <v>4</v>
      </c>
      <c r="AU17" s="77">
        <f t="shared" si="25"/>
        <v>5</v>
      </c>
      <c r="AV17" s="77">
        <f t="shared" si="25"/>
        <v>6</v>
      </c>
      <c r="AW17" s="77">
        <f t="shared" si="25"/>
        <v>7</v>
      </c>
      <c r="AX17" s="77">
        <f t="shared" si="25"/>
        <v>8</v>
      </c>
      <c r="AY17" s="77">
        <f t="shared" si="25"/>
        <v>9</v>
      </c>
      <c r="AZ17" s="77">
        <f t="shared" si="25"/>
        <v>10</v>
      </c>
      <c r="BA17" s="77">
        <f t="shared" si="25"/>
        <v>11</v>
      </c>
      <c r="BB17" s="77">
        <f t="shared" si="25"/>
        <v>12</v>
      </c>
      <c r="BC17" s="77">
        <f t="shared" si="25"/>
        <v>13</v>
      </c>
      <c r="BD17" s="77">
        <f t="shared" si="25"/>
        <v>14</v>
      </c>
      <c r="BE17" s="77">
        <f t="shared" si="25"/>
        <v>15</v>
      </c>
      <c r="BF17" s="77">
        <v>0</v>
      </c>
      <c r="BG17" s="77">
        <f t="shared" si="25"/>
        <v>1</v>
      </c>
      <c r="BH17" s="77">
        <f t="shared" si="25"/>
        <v>2</v>
      </c>
      <c r="BI17" s="77">
        <f t="shared" si="25"/>
        <v>3</v>
      </c>
      <c r="BJ17" s="77">
        <f t="shared" si="25"/>
        <v>4</v>
      </c>
      <c r="BK17" s="77">
        <f t="shared" si="25"/>
        <v>5</v>
      </c>
      <c r="BL17" s="77">
        <f t="shared" si="25"/>
        <v>6</v>
      </c>
      <c r="BM17" s="77">
        <f t="shared" si="25"/>
        <v>7</v>
      </c>
      <c r="BN17" s="77">
        <f t="shared" si="25"/>
        <v>8</v>
      </c>
      <c r="BO17" s="77">
        <f t="shared" si="25"/>
        <v>9</v>
      </c>
      <c r="BP17" s="77">
        <f t="shared" si="25"/>
        <v>10</v>
      </c>
      <c r="BQ17" s="77">
        <f t="shared" si="25"/>
        <v>11</v>
      </c>
      <c r="BR17" s="77">
        <f t="shared" si="25"/>
        <v>12</v>
      </c>
      <c r="BS17" s="77">
        <f t="shared" si="25"/>
        <v>13</v>
      </c>
      <c r="BT17" s="77">
        <f t="shared" si="25"/>
        <v>14</v>
      </c>
      <c r="BU17" s="77">
        <f t="shared" si="25"/>
        <v>15</v>
      </c>
      <c r="BV17" s="77">
        <f t="shared" si="25"/>
        <v>16</v>
      </c>
      <c r="BW17" s="77">
        <f t="shared" si="25"/>
        <v>17</v>
      </c>
      <c r="BX17" s="77">
        <f t="shared" si="25"/>
        <v>18</v>
      </c>
      <c r="BY17" s="77">
        <f t="shared" si="25"/>
        <v>19</v>
      </c>
      <c r="BZ17" s="77">
        <f t="shared" si="25"/>
        <v>20</v>
      </c>
      <c r="CA17" s="77">
        <f t="shared" si="25"/>
        <v>21</v>
      </c>
      <c r="CB17" s="77">
        <f t="shared" si="25"/>
        <v>22</v>
      </c>
      <c r="CC17" s="77">
        <f t="shared" si="25"/>
        <v>23</v>
      </c>
      <c r="CD17" s="77">
        <f t="shared" si="25"/>
        <v>24</v>
      </c>
      <c r="CE17" s="77">
        <f t="shared" si="25"/>
        <v>25</v>
      </c>
      <c r="CF17" s="77">
        <f t="shared" si="25"/>
        <v>26</v>
      </c>
      <c r="CG17" s="77">
        <f t="shared" si="25"/>
        <v>27</v>
      </c>
      <c r="CH17" s="77">
        <f t="shared" si="25"/>
        <v>28</v>
      </c>
      <c r="CI17" s="77">
        <f t="shared" si="25"/>
        <v>29</v>
      </c>
      <c r="CJ17" s="77">
        <f t="shared" si="25"/>
        <v>30</v>
      </c>
      <c r="CK17" s="77">
        <f t="shared" si="23"/>
        <v>31</v>
      </c>
      <c r="CL17" s="77">
        <f t="shared" si="23"/>
        <v>32</v>
      </c>
      <c r="CM17" s="77">
        <f t="shared" si="23"/>
        <v>33</v>
      </c>
      <c r="CN17" s="77">
        <f t="shared" si="23"/>
        <v>34</v>
      </c>
      <c r="CO17" s="77">
        <f t="shared" si="23"/>
        <v>35</v>
      </c>
      <c r="CP17" s="77">
        <f t="shared" si="23"/>
        <v>36</v>
      </c>
      <c r="CQ17" s="77">
        <f t="shared" si="23"/>
        <v>37</v>
      </c>
      <c r="CR17" s="77">
        <f t="shared" si="23"/>
        <v>38</v>
      </c>
      <c r="CS17" s="77">
        <f t="shared" si="23"/>
        <v>39</v>
      </c>
      <c r="CT17" s="77">
        <f t="shared" si="23"/>
        <v>40</v>
      </c>
      <c r="CU17" s="77">
        <f t="shared" si="23"/>
        <v>41</v>
      </c>
      <c r="CV17" s="77">
        <f t="shared" si="23"/>
        <v>42</v>
      </c>
      <c r="CW17" s="77">
        <f t="shared" si="23"/>
        <v>43</v>
      </c>
      <c r="CX17" s="77">
        <f t="shared" si="23"/>
        <v>44</v>
      </c>
      <c r="CY17" s="77">
        <f t="shared" si="23"/>
        <v>45</v>
      </c>
      <c r="CZ17" s="77">
        <f t="shared" si="23"/>
        <v>46</v>
      </c>
      <c r="DA17" s="77">
        <f t="shared" si="23"/>
        <v>47</v>
      </c>
      <c r="DB17" s="77">
        <f t="shared" si="23"/>
        <v>48</v>
      </c>
      <c r="DC17" s="77">
        <f t="shared" si="23"/>
        <v>49</v>
      </c>
      <c r="DD17" s="77">
        <f t="shared" si="23"/>
        <v>50</v>
      </c>
      <c r="DE17" s="77">
        <f t="shared" si="23"/>
        <v>51</v>
      </c>
      <c r="DF17" s="77">
        <f t="shared" si="23"/>
        <v>52</v>
      </c>
      <c r="DG17" s="77">
        <f t="shared" si="23"/>
        <v>53</v>
      </c>
      <c r="DH17" s="77">
        <f t="shared" si="23"/>
        <v>54</v>
      </c>
      <c r="DI17" s="77">
        <f t="shared" si="23"/>
        <v>55</v>
      </c>
      <c r="DJ17" s="77">
        <f t="shared" si="23"/>
        <v>56</v>
      </c>
      <c r="DK17" s="77">
        <f t="shared" si="23"/>
        <v>57</v>
      </c>
      <c r="DL17" s="77">
        <f t="shared" si="23"/>
        <v>58</v>
      </c>
      <c r="DM17" s="77">
        <f t="shared" si="23"/>
        <v>59</v>
      </c>
      <c r="DN17" s="77">
        <f t="shared" si="23"/>
        <v>60</v>
      </c>
      <c r="DO17" s="77">
        <f t="shared" si="23"/>
        <v>61</v>
      </c>
      <c r="DP17" s="77">
        <f t="shared" si="23"/>
        <v>62</v>
      </c>
      <c r="DQ17" s="77">
        <f t="shared" si="23"/>
        <v>63</v>
      </c>
      <c r="DR17" s="77">
        <f t="shared" si="23"/>
        <v>64</v>
      </c>
      <c r="DS17" s="77">
        <f t="shared" si="23"/>
        <v>65</v>
      </c>
      <c r="DT17" s="77">
        <f t="shared" si="23"/>
        <v>66</v>
      </c>
      <c r="DU17" s="77">
        <f t="shared" si="23"/>
        <v>67</v>
      </c>
      <c r="DV17" s="77">
        <f t="shared" si="23"/>
        <v>68</v>
      </c>
      <c r="DW17" s="77">
        <f t="shared" si="23"/>
        <v>69</v>
      </c>
      <c r="DX17" s="77">
        <f t="shared" si="23"/>
        <v>70</v>
      </c>
      <c r="DY17" s="77">
        <f t="shared" si="23"/>
        <v>71</v>
      </c>
      <c r="DZ17" s="77">
        <f t="shared" si="23"/>
        <v>72</v>
      </c>
      <c r="EA17" s="77">
        <f t="shared" si="23"/>
        <v>73</v>
      </c>
      <c r="EB17" s="77">
        <f t="shared" si="23"/>
        <v>74</v>
      </c>
      <c r="EC17" s="77">
        <f t="shared" si="23"/>
        <v>75</v>
      </c>
      <c r="ED17" s="77">
        <f t="shared" si="23"/>
        <v>76</v>
      </c>
      <c r="EE17" s="77">
        <f t="shared" si="23"/>
        <v>77</v>
      </c>
      <c r="EF17" s="77">
        <f t="shared" si="23"/>
        <v>78</v>
      </c>
      <c r="EG17" s="77">
        <f t="shared" si="23"/>
        <v>79</v>
      </c>
      <c r="EH17" s="77">
        <f t="shared" si="23"/>
        <v>80</v>
      </c>
      <c r="EI17" s="77">
        <f t="shared" si="23"/>
        <v>81</v>
      </c>
      <c r="EJ17" s="77">
        <f t="shared" si="23"/>
        <v>82</v>
      </c>
      <c r="EK17" s="77">
        <f t="shared" si="23"/>
        <v>83</v>
      </c>
      <c r="EL17" s="77">
        <f t="shared" si="23"/>
        <v>84</v>
      </c>
      <c r="EM17" s="77">
        <f t="shared" si="23"/>
        <v>85</v>
      </c>
      <c r="EN17" s="77">
        <f t="shared" si="23"/>
        <v>86</v>
      </c>
      <c r="EO17" s="77">
        <f t="shared" si="23"/>
        <v>87</v>
      </c>
      <c r="EP17" s="77">
        <f t="shared" si="23"/>
        <v>88</v>
      </c>
      <c r="EQ17" s="77">
        <f t="shared" si="23"/>
        <v>89</v>
      </c>
      <c r="ER17" s="77">
        <f t="shared" si="23"/>
        <v>90</v>
      </c>
      <c r="ES17" s="77">
        <f t="shared" si="23"/>
        <v>91</v>
      </c>
      <c r="ET17" s="77">
        <f t="shared" si="23"/>
        <v>92</v>
      </c>
      <c r="EU17" s="77">
        <f t="shared" si="23"/>
        <v>93</v>
      </c>
      <c r="EV17" s="77">
        <f t="shared" si="15"/>
        <v>94</v>
      </c>
      <c r="EW17" s="77">
        <f t="shared" si="24"/>
        <v>95</v>
      </c>
      <c r="EX17" s="77">
        <f t="shared" si="24"/>
        <v>96</v>
      </c>
      <c r="EY17" s="77">
        <f t="shared" si="24"/>
        <v>97</v>
      </c>
      <c r="EZ17" s="77">
        <f t="shared" si="24"/>
        <v>98</v>
      </c>
      <c r="FA17" s="77">
        <f t="shared" si="24"/>
        <v>99</v>
      </c>
      <c r="FB17" s="77">
        <f t="shared" si="24"/>
        <v>100</v>
      </c>
      <c r="FC17" s="77">
        <f t="shared" si="24"/>
        <v>101</v>
      </c>
      <c r="FD17" s="77">
        <f t="shared" si="24"/>
        <v>102</v>
      </c>
      <c r="FE17" s="77">
        <f t="shared" si="24"/>
        <v>103</v>
      </c>
      <c r="FF17" s="77">
        <f t="shared" si="24"/>
        <v>104</v>
      </c>
      <c r="FG17" s="77">
        <f t="shared" si="24"/>
        <v>105</v>
      </c>
      <c r="FH17" s="77">
        <f t="shared" si="24"/>
        <v>106</v>
      </c>
      <c r="FI17" s="77">
        <f t="shared" si="24"/>
        <v>107</v>
      </c>
      <c r="FJ17" s="77">
        <f t="shared" si="24"/>
        <v>108</v>
      </c>
      <c r="FK17" s="77">
        <f t="shared" si="24"/>
        <v>109</v>
      </c>
      <c r="FL17" s="77">
        <f t="shared" si="24"/>
        <v>110</v>
      </c>
      <c r="FM17" s="77">
        <f t="shared" si="24"/>
        <v>111</v>
      </c>
      <c r="FN17" s="77">
        <f t="shared" si="24"/>
        <v>112</v>
      </c>
      <c r="FO17" s="77">
        <f t="shared" si="24"/>
        <v>113</v>
      </c>
      <c r="FP17" s="77">
        <f t="shared" si="24"/>
        <v>114</v>
      </c>
      <c r="FQ17" s="77">
        <f t="shared" si="24"/>
        <v>115</v>
      </c>
      <c r="FR17" s="77">
        <f t="shared" si="24"/>
        <v>116</v>
      </c>
      <c r="FS17" s="77">
        <f t="shared" si="24"/>
        <v>117</v>
      </c>
      <c r="FT17" s="77">
        <f t="shared" si="24"/>
        <v>118</v>
      </c>
      <c r="FU17" s="77">
        <f t="shared" si="24"/>
        <v>119</v>
      </c>
      <c r="FV17" s="77">
        <f t="shared" si="24"/>
        <v>120</v>
      </c>
      <c r="FW17" s="77">
        <f t="shared" si="24"/>
        <v>121</v>
      </c>
      <c r="FX17" s="77">
        <f t="shared" si="24"/>
        <v>122</v>
      </c>
      <c r="FY17" s="77">
        <f t="shared" si="24"/>
        <v>123</v>
      </c>
      <c r="FZ17" s="77">
        <f t="shared" si="24"/>
        <v>124</v>
      </c>
      <c r="GA17" s="77">
        <f t="shared" si="24"/>
        <v>125</v>
      </c>
      <c r="GB17" s="77">
        <f t="shared" si="24"/>
        <v>126</v>
      </c>
      <c r="GC17" s="77">
        <f t="shared" si="24"/>
        <v>127</v>
      </c>
      <c r="GD17" s="77">
        <f t="shared" si="24"/>
        <v>128</v>
      </c>
      <c r="GE17" s="77">
        <f t="shared" si="24"/>
        <v>129</v>
      </c>
      <c r="GF17" s="77">
        <f t="shared" si="24"/>
        <v>130</v>
      </c>
      <c r="GG17" s="77">
        <f t="shared" si="24"/>
        <v>131</v>
      </c>
      <c r="GH17" s="77">
        <f t="shared" si="24"/>
        <v>132</v>
      </c>
      <c r="GI17" s="77">
        <f t="shared" si="24"/>
        <v>133</v>
      </c>
      <c r="GJ17" s="77">
        <f t="shared" si="24"/>
        <v>134</v>
      </c>
      <c r="GK17" s="77">
        <f t="shared" si="24"/>
        <v>135</v>
      </c>
      <c r="GL17" s="77">
        <f t="shared" si="24"/>
        <v>136</v>
      </c>
      <c r="GM17" s="77">
        <f t="shared" si="24"/>
        <v>137</v>
      </c>
      <c r="GN17" s="77">
        <f t="shared" si="24"/>
        <v>138</v>
      </c>
      <c r="GO17" s="77">
        <f t="shared" si="24"/>
        <v>139</v>
      </c>
      <c r="GP17" s="77">
        <f t="shared" si="24"/>
        <v>140</v>
      </c>
      <c r="GQ17" s="77">
        <f t="shared" si="24"/>
        <v>141</v>
      </c>
      <c r="GR17" s="77">
        <f t="shared" si="24"/>
        <v>142</v>
      </c>
      <c r="GS17" s="77">
        <f t="shared" si="24"/>
        <v>143</v>
      </c>
      <c r="GT17" s="77">
        <f t="shared" si="24"/>
        <v>144</v>
      </c>
      <c r="GU17" s="77">
        <f t="shared" si="24"/>
        <v>145</v>
      </c>
      <c r="GV17" s="77">
        <f t="shared" si="24"/>
        <v>146</v>
      </c>
      <c r="GW17" s="77">
        <f t="shared" si="24"/>
        <v>147</v>
      </c>
      <c r="GX17" s="77">
        <f t="shared" si="24"/>
        <v>148</v>
      </c>
    </row>
    <row r="18" spans="1:206" ht="15" customHeight="1" x14ac:dyDescent="0.2">
      <c r="A18" s="22" t="s">
        <v>68</v>
      </c>
      <c r="B18" s="22">
        <v>2</v>
      </c>
      <c r="C18" s="22" t="s">
        <v>93</v>
      </c>
      <c r="D18" s="22">
        <v>17</v>
      </c>
      <c r="E18" s="22" t="s">
        <v>99</v>
      </c>
      <c r="F18" s="22" t="s">
        <v>71</v>
      </c>
      <c r="G18" s="22" t="s">
        <v>72</v>
      </c>
      <c r="H18" s="22">
        <v>2009</v>
      </c>
      <c r="I18" s="22">
        <v>17</v>
      </c>
      <c r="J18" s="22">
        <v>27.44</v>
      </c>
      <c r="K18" s="22">
        <v>152</v>
      </c>
      <c r="L18" s="22">
        <v>3745</v>
      </c>
      <c r="M18" s="22">
        <v>3593</v>
      </c>
      <c r="N18" s="22" t="s">
        <v>95</v>
      </c>
      <c r="O18" s="22" t="s">
        <v>96</v>
      </c>
      <c r="P18" s="22" t="s">
        <v>75</v>
      </c>
      <c r="Q18" s="108">
        <f>IF(R18="","",'Dashboard Ciclos'!$B$2-R18)</f>
        <v>46238</v>
      </c>
      <c r="R18" s="22">
        <f>IF($E18="","",IFERROR(INDEX($W18:$GX18,MATCH('Dashboard Ciclos'!$B$2,$W$1:$GX$1,0)),""))</f>
        <v>11</v>
      </c>
      <c r="S18" s="22" t="str">
        <f t="shared" si="11"/>
        <v>En ciclo</v>
      </c>
      <c r="T18" s="22" t="str">
        <f t="shared" si="3"/>
        <v>En ciclo</v>
      </c>
      <c r="U18" s="22">
        <f t="shared" si="4"/>
        <v>1</v>
      </c>
      <c r="V18" s="23">
        <f t="shared" si="5"/>
        <v>46250</v>
      </c>
      <c r="W18" s="77">
        <f t="shared" ref="W18:Z33" si="26">+X18-1</f>
        <v>18</v>
      </c>
      <c r="X18" s="77">
        <f t="shared" si="26"/>
        <v>19</v>
      </c>
      <c r="Y18" s="77">
        <f t="shared" si="26"/>
        <v>20</v>
      </c>
      <c r="Z18" s="77">
        <f t="shared" si="26"/>
        <v>21</v>
      </c>
      <c r="AA18" s="77">
        <v>22</v>
      </c>
      <c r="AB18" s="77">
        <f t="shared" si="12"/>
        <v>23</v>
      </c>
      <c r="AC18" s="77">
        <f t="shared" si="12"/>
        <v>24</v>
      </c>
      <c r="AD18" s="77">
        <f t="shared" si="12"/>
        <v>25</v>
      </c>
      <c r="AE18" s="77">
        <f t="shared" si="12"/>
        <v>26</v>
      </c>
      <c r="AF18" s="77">
        <f t="shared" si="12"/>
        <v>27</v>
      </c>
      <c r="AG18" s="77">
        <f t="shared" si="12"/>
        <v>28</v>
      </c>
      <c r="AH18" s="77">
        <f t="shared" si="12"/>
        <v>29</v>
      </c>
      <c r="AI18" s="77">
        <f t="shared" si="12"/>
        <v>30</v>
      </c>
      <c r="AJ18" s="77">
        <f t="shared" si="12"/>
        <v>31</v>
      </c>
      <c r="AK18" s="77">
        <f t="shared" si="12"/>
        <v>32</v>
      </c>
      <c r="AL18" s="77">
        <f t="shared" si="12"/>
        <v>33</v>
      </c>
      <c r="AM18" s="77">
        <f t="shared" si="12"/>
        <v>34</v>
      </c>
      <c r="AN18" s="77">
        <v>0</v>
      </c>
      <c r="AO18" s="77">
        <f t="shared" si="12"/>
        <v>1</v>
      </c>
      <c r="AP18" s="77">
        <f t="shared" si="12"/>
        <v>2</v>
      </c>
      <c r="AQ18" s="77">
        <f t="shared" si="12"/>
        <v>3</v>
      </c>
      <c r="AR18" s="77">
        <f t="shared" ref="AR18:AR60" si="27">IF(AQ18="","",AQ18+1)</f>
        <v>4</v>
      </c>
      <c r="AS18" s="77">
        <f t="shared" si="25"/>
        <v>5</v>
      </c>
      <c r="AT18" s="77">
        <f t="shared" si="25"/>
        <v>6</v>
      </c>
      <c r="AU18" s="77">
        <f t="shared" si="25"/>
        <v>7</v>
      </c>
      <c r="AV18" s="77">
        <f t="shared" si="25"/>
        <v>8</v>
      </c>
      <c r="AW18" s="77">
        <f t="shared" si="25"/>
        <v>9</v>
      </c>
      <c r="AX18" s="77">
        <f t="shared" si="25"/>
        <v>10</v>
      </c>
      <c r="AY18" s="77">
        <f t="shared" si="25"/>
        <v>11</v>
      </c>
      <c r="AZ18" s="77">
        <f t="shared" si="25"/>
        <v>12</v>
      </c>
      <c r="BA18" s="77">
        <f t="shared" si="25"/>
        <v>13</v>
      </c>
      <c r="BB18" s="77">
        <f t="shared" si="25"/>
        <v>14</v>
      </c>
      <c r="BC18" s="77">
        <f t="shared" si="25"/>
        <v>15</v>
      </c>
      <c r="BD18" s="77">
        <f t="shared" si="25"/>
        <v>16</v>
      </c>
      <c r="BE18" s="77">
        <v>0</v>
      </c>
      <c r="BF18" s="77">
        <f t="shared" si="25"/>
        <v>1</v>
      </c>
      <c r="BG18" s="77">
        <f t="shared" si="25"/>
        <v>2</v>
      </c>
      <c r="BH18" s="77">
        <f t="shared" si="25"/>
        <v>3</v>
      </c>
      <c r="BI18" s="77">
        <f t="shared" si="25"/>
        <v>4</v>
      </c>
      <c r="BJ18" s="77">
        <f t="shared" si="25"/>
        <v>5</v>
      </c>
      <c r="BK18" s="77">
        <f t="shared" si="25"/>
        <v>6</v>
      </c>
      <c r="BL18" s="77">
        <f t="shared" si="25"/>
        <v>7</v>
      </c>
      <c r="BM18" s="77">
        <f t="shared" si="25"/>
        <v>8</v>
      </c>
      <c r="BN18" s="77">
        <f t="shared" si="25"/>
        <v>9</v>
      </c>
      <c r="BO18" s="77">
        <f t="shared" si="25"/>
        <v>10</v>
      </c>
      <c r="BP18" s="77">
        <f t="shared" si="25"/>
        <v>11</v>
      </c>
      <c r="BQ18" s="77">
        <f t="shared" si="25"/>
        <v>12</v>
      </c>
      <c r="BR18" s="77">
        <f t="shared" si="25"/>
        <v>13</v>
      </c>
      <c r="BS18" s="77">
        <f t="shared" si="25"/>
        <v>14</v>
      </c>
      <c r="BT18" s="77">
        <f t="shared" si="25"/>
        <v>15</v>
      </c>
      <c r="BU18" s="77">
        <f t="shared" si="25"/>
        <v>16</v>
      </c>
      <c r="BV18" s="77">
        <f t="shared" si="25"/>
        <v>17</v>
      </c>
      <c r="BW18" s="77">
        <f t="shared" si="25"/>
        <v>18</v>
      </c>
      <c r="BX18" s="77">
        <f t="shared" si="25"/>
        <v>19</v>
      </c>
      <c r="BY18" s="77">
        <f t="shared" si="25"/>
        <v>20</v>
      </c>
      <c r="BZ18" s="77">
        <f t="shared" si="25"/>
        <v>21</v>
      </c>
      <c r="CA18" s="77">
        <f t="shared" si="25"/>
        <v>22</v>
      </c>
      <c r="CB18" s="77">
        <f t="shared" si="25"/>
        <v>23</v>
      </c>
      <c r="CC18" s="77">
        <f t="shared" si="25"/>
        <v>24</v>
      </c>
      <c r="CD18" s="77">
        <f t="shared" si="25"/>
        <v>25</v>
      </c>
      <c r="CE18" s="77">
        <f t="shared" si="25"/>
        <v>26</v>
      </c>
      <c r="CF18" s="77">
        <f t="shared" si="25"/>
        <v>27</v>
      </c>
      <c r="CG18" s="77">
        <f t="shared" si="25"/>
        <v>28</v>
      </c>
      <c r="CH18" s="77">
        <f t="shared" si="25"/>
        <v>29</v>
      </c>
      <c r="CI18" s="77">
        <f t="shared" si="25"/>
        <v>30</v>
      </c>
      <c r="CJ18" s="77">
        <f t="shared" si="25"/>
        <v>31</v>
      </c>
      <c r="CK18" s="77">
        <f t="shared" si="23"/>
        <v>32</v>
      </c>
      <c r="CL18" s="77">
        <f t="shared" si="23"/>
        <v>33</v>
      </c>
      <c r="CM18" s="77">
        <f t="shared" si="23"/>
        <v>34</v>
      </c>
      <c r="CN18" s="77">
        <f t="shared" si="23"/>
        <v>35</v>
      </c>
      <c r="CO18" s="77">
        <f t="shared" si="23"/>
        <v>36</v>
      </c>
      <c r="CP18" s="77">
        <f t="shared" si="23"/>
        <v>37</v>
      </c>
      <c r="CQ18" s="77">
        <f t="shared" si="23"/>
        <v>38</v>
      </c>
      <c r="CR18" s="77">
        <f t="shared" si="23"/>
        <v>39</v>
      </c>
      <c r="CS18" s="77">
        <f t="shared" si="23"/>
        <v>40</v>
      </c>
      <c r="CT18" s="77">
        <f t="shared" si="23"/>
        <v>41</v>
      </c>
      <c r="CU18" s="77">
        <f t="shared" si="23"/>
        <v>42</v>
      </c>
      <c r="CV18" s="77">
        <f t="shared" si="23"/>
        <v>43</v>
      </c>
      <c r="CW18" s="77">
        <f t="shared" si="23"/>
        <v>44</v>
      </c>
      <c r="CX18" s="77">
        <f t="shared" si="23"/>
        <v>45</v>
      </c>
      <c r="CY18" s="77">
        <f t="shared" si="23"/>
        <v>46</v>
      </c>
      <c r="CZ18" s="77">
        <f t="shared" si="23"/>
        <v>47</v>
      </c>
      <c r="DA18" s="77">
        <f t="shared" si="23"/>
        <v>48</v>
      </c>
      <c r="DB18" s="77">
        <f t="shared" si="23"/>
        <v>49</v>
      </c>
      <c r="DC18" s="77">
        <f t="shared" si="23"/>
        <v>50</v>
      </c>
      <c r="DD18" s="77">
        <f t="shared" si="23"/>
        <v>51</v>
      </c>
      <c r="DE18" s="77">
        <f t="shared" si="23"/>
        <v>52</v>
      </c>
      <c r="DF18" s="77">
        <f t="shared" si="23"/>
        <v>53</v>
      </c>
      <c r="DG18" s="77">
        <f t="shared" si="23"/>
        <v>54</v>
      </c>
      <c r="DH18" s="77">
        <f t="shared" si="23"/>
        <v>55</v>
      </c>
      <c r="DI18" s="77">
        <f t="shared" si="23"/>
        <v>56</v>
      </c>
      <c r="DJ18" s="77">
        <f t="shared" si="23"/>
        <v>57</v>
      </c>
      <c r="DK18" s="77">
        <f t="shared" si="23"/>
        <v>58</v>
      </c>
      <c r="DL18" s="77">
        <f t="shared" si="23"/>
        <v>59</v>
      </c>
      <c r="DM18" s="77">
        <f t="shared" si="23"/>
        <v>60</v>
      </c>
      <c r="DN18" s="77">
        <f t="shared" si="23"/>
        <v>61</v>
      </c>
      <c r="DO18" s="77">
        <f t="shared" si="23"/>
        <v>62</v>
      </c>
      <c r="DP18" s="77">
        <f t="shared" si="23"/>
        <v>63</v>
      </c>
      <c r="DQ18" s="77">
        <f t="shared" si="23"/>
        <v>64</v>
      </c>
      <c r="DR18" s="77">
        <f t="shared" si="23"/>
        <v>65</v>
      </c>
      <c r="DS18" s="77">
        <f t="shared" si="23"/>
        <v>66</v>
      </c>
      <c r="DT18" s="77">
        <f t="shared" si="23"/>
        <v>67</v>
      </c>
      <c r="DU18" s="77">
        <f t="shared" si="23"/>
        <v>68</v>
      </c>
      <c r="DV18" s="77">
        <f t="shared" si="23"/>
        <v>69</v>
      </c>
      <c r="DW18" s="77">
        <f t="shared" si="23"/>
        <v>70</v>
      </c>
      <c r="DX18" s="77">
        <f t="shared" si="23"/>
        <v>71</v>
      </c>
      <c r="DY18" s="77">
        <f t="shared" si="23"/>
        <v>72</v>
      </c>
      <c r="DZ18" s="77">
        <f t="shared" si="23"/>
        <v>73</v>
      </c>
      <c r="EA18" s="77">
        <f t="shared" si="23"/>
        <v>74</v>
      </c>
      <c r="EB18" s="77">
        <f t="shared" si="23"/>
        <v>75</v>
      </c>
      <c r="EC18" s="77">
        <f t="shared" si="23"/>
        <v>76</v>
      </c>
      <c r="ED18" s="77">
        <f t="shared" si="23"/>
        <v>77</v>
      </c>
      <c r="EE18" s="77">
        <f t="shared" si="23"/>
        <v>78</v>
      </c>
      <c r="EF18" s="77">
        <f t="shared" si="23"/>
        <v>79</v>
      </c>
      <c r="EG18" s="77">
        <f t="shared" si="23"/>
        <v>80</v>
      </c>
      <c r="EH18" s="77">
        <f t="shared" si="23"/>
        <v>81</v>
      </c>
      <c r="EI18" s="77">
        <f t="shared" si="23"/>
        <v>82</v>
      </c>
      <c r="EJ18" s="77">
        <f t="shared" si="23"/>
        <v>83</v>
      </c>
      <c r="EK18" s="77">
        <f t="shared" si="23"/>
        <v>84</v>
      </c>
      <c r="EL18" s="77">
        <f t="shared" si="23"/>
        <v>85</v>
      </c>
      <c r="EM18" s="77">
        <f t="shared" si="23"/>
        <v>86</v>
      </c>
      <c r="EN18" s="77">
        <f t="shared" si="23"/>
        <v>87</v>
      </c>
      <c r="EO18" s="77">
        <f t="shared" si="23"/>
        <v>88</v>
      </c>
      <c r="EP18" s="77">
        <f t="shared" si="23"/>
        <v>89</v>
      </c>
      <c r="EQ18" s="77">
        <f t="shared" si="23"/>
        <v>90</v>
      </c>
      <c r="ER18" s="77">
        <f t="shared" si="23"/>
        <v>91</v>
      </c>
      <c r="ES18" s="77">
        <f t="shared" si="23"/>
        <v>92</v>
      </c>
      <c r="ET18" s="77">
        <f t="shared" si="23"/>
        <v>93</v>
      </c>
      <c r="EU18" s="77">
        <f t="shared" si="23"/>
        <v>94</v>
      </c>
      <c r="EV18" s="77">
        <f t="shared" si="15"/>
        <v>95</v>
      </c>
      <c r="EW18" s="77">
        <f t="shared" si="24"/>
        <v>96</v>
      </c>
      <c r="EX18" s="77">
        <f t="shared" si="24"/>
        <v>97</v>
      </c>
      <c r="EY18" s="77">
        <f t="shared" si="24"/>
        <v>98</v>
      </c>
      <c r="EZ18" s="77">
        <f t="shared" si="24"/>
        <v>99</v>
      </c>
      <c r="FA18" s="77">
        <f t="shared" si="24"/>
        <v>100</v>
      </c>
      <c r="FB18" s="77">
        <f t="shared" si="24"/>
        <v>101</v>
      </c>
      <c r="FC18" s="77">
        <f t="shared" si="24"/>
        <v>102</v>
      </c>
      <c r="FD18" s="77">
        <f t="shared" si="24"/>
        <v>103</v>
      </c>
      <c r="FE18" s="77">
        <f t="shared" si="24"/>
        <v>104</v>
      </c>
      <c r="FF18" s="77">
        <f t="shared" si="24"/>
        <v>105</v>
      </c>
      <c r="FG18" s="77">
        <f t="shared" si="24"/>
        <v>106</v>
      </c>
      <c r="FH18" s="77">
        <f t="shared" si="24"/>
        <v>107</v>
      </c>
      <c r="FI18" s="77">
        <f t="shared" si="24"/>
        <v>108</v>
      </c>
      <c r="FJ18" s="77">
        <f t="shared" si="24"/>
        <v>109</v>
      </c>
      <c r="FK18" s="77">
        <f t="shared" si="24"/>
        <v>110</v>
      </c>
      <c r="FL18" s="77">
        <f t="shared" si="24"/>
        <v>111</v>
      </c>
      <c r="FM18" s="77">
        <f t="shared" si="24"/>
        <v>112</v>
      </c>
      <c r="FN18" s="77">
        <f t="shared" si="24"/>
        <v>113</v>
      </c>
      <c r="FO18" s="77">
        <f t="shared" si="24"/>
        <v>114</v>
      </c>
      <c r="FP18" s="77">
        <f t="shared" si="24"/>
        <v>115</v>
      </c>
      <c r="FQ18" s="77">
        <f t="shared" si="24"/>
        <v>116</v>
      </c>
      <c r="FR18" s="77">
        <f t="shared" si="24"/>
        <v>117</v>
      </c>
      <c r="FS18" s="77">
        <f t="shared" si="24"/>
        <v>118</v>
      </c>
      <c r="FT18" s="77">
        <f t="shared" si="24"/>
        <v>119</v>
      </c>
      <c r="FU18" s="77">
        <f t="shared" si="24"/>
        <v>120</v>
      </c>
      <c r="FV18" s="77">
        <f t="shared" si="24"/>
        <v>121</v>
      </c>
      <c r="FW18" s="77">
        <f t="shared" si="24"/>
        <v>122</v>
      </c>
      <c r="FX18" s="77">
        <f t="shared" si="24"/>
        <v>123</v>
      </c>
      <c r="FY18" s="77">
        <f t="shared" si="24"/>
        <v>124</v>
      </c>
      <c r="FZ18" s="77">
        <f t="shared" si="24"/>
        <v>125</v>
      </c>
      <c r="GA18" s="77">
        <f t="shared" si="24"/>
        <v>126</v>
      </c>
      <c r="GB18" s="77">
        <f t="shared" si="24"/>
        <v>127</v>
      </c>
      <c r="GC18" s="77">
        <f t="shared" si="24"/>
        <v>128</v>
      </c>
      <c r="GD18" s="77">
        <f t="shared" si="24"/>
        <v>129</v>
      </c>
      <c r="GE18" s="77">
        <f t="shared" si="24"/>
        <v>130</v>
      </c>
      <c r="GF18" s="77">
        <f t="shared" si="24"/>
        <v>131</v>
      </c>
      <c r="GG18" s="77">
        <f t="shared" si="24"/>
        <v>132</v>
      </c>
      <c r="GH18" s="77">
        <f t="shared" si="24"/>
        <v>133</v>
      </c>
      <c r="GI18" s="77">
        <f t="shared" si="24"/>
        <v>134</v>
      </c>
      <c r="GJ18" s="77">
        <f t="shared" si="24"/>
        <v>135</v>
      </c>
      <c r="GK18" s="77">
        <f t="shared" si="24"/>
        <v>136</v>
      </c>
      <c r="GL18" s="77">
        <f t="shared" si="24"/>
        <v>137</v>
      </c>
      <c r="GM18" s="77">
        <f t="shared" si="24"/>
        <v>138</v>
      </c>
      <c r="GN18" s="77">
        <f t="shared" si="24"/>
        <v>139</v>
      </c>
      <c r="GO18" s="77">
        <f t="shared" si="24"/>
        <v>140</v>
      </c>
      <c r="GP18" s="77">
        <f t="shared" si="24"/>
        <v>141</v>
      </c>
      <c r="GQ18" s="77">
        <f t="shared" si="24"/>
        <v>142</v>
      </c>
      <c r="GR18" s="77">
        <f t="shared" si="24"/>
        <v>143</v>
      </c>
      <c r="GS18" s="77">
        <f t="shared" si="24"/>
        <v>144</v>
      </c>
      <c r="GT18" s="77">
        <f t="shared" si="24"/>
        <v>145</v>
      </c>
      <c r="GU18" s="77">
        <f t="shared" si="24"/>
        <v>146</v>
      </c>
      <c r="GV18" s="77">
        <f t="shared" si="24"/>
        <v>147</v>
      </c>
      <c r="GW18" s="77">
        <f t="shared" si="24"/>
        <v>148</v>
      </c>
      <c r="GX18" s="77">
        <f t="shared" si="24"/>
        <v>149</v>
      </c>
    </row>
    <row r="19" spans="1:206" ht="15" customHeight="1" x14ac:dyDescent="0.2">
      <c r="A19" s="22" t="s">
        <v>68</v>
      </c>
      <c r="B19" s="22">
        <v>3</v>
      </c>
      <c r="C19" s="22" t="s">
        <v>93</v>
      </c>
      <c r="D19" s="22">
        <v>18</v>
      </c>
      <c r="E19" s="22" t="s">
        <v>100</v>
      </c>
      <c r="F19" s="22" t="s">
        <v>78</v>
      </c>
      <c r="G19" s="22" t="s">
        <v>79</v>
      </c>
      <c r="H19" s="22">
        <v>2009</v>
      </c>
      <c r="I19" s="22">
        <v>17</v>
      </c>
      <c r="J19" s="22">
        <v>17.579999999999998</v>
      </c>
      <c r="K19" s="22">
        <v>130</v>
      </c>
      <c r="L19" s="22">
        <v>2330</v>
      </c>
      <c r="M19" s="22">
        <v>2200</v>
      </c>
      <c r="N19" s="22" t="s">
        <v>95</v>
      </c>
      <c r="O19" s="22" t="s">
        <v>96</v>
      </c>
      <c r="P19" s="22" t="s">
        <v>75</v>
      </c>
      <c r="Q19" s="108">
        <f>IF(R19="","",'Dashboard Ciclos'!$B$2-R19)</f>
        <v>46238</v>
      </c>
      <c r="R19" s="22">
        <f>IF($E19="","",IFERROR(INDEX($W19:$GX19,MATCH('Dashboard Ciclos'!$B$2,$W$1:$GX$1,0)),""))</f>
        <v>11</v>
      </c>
      <c r="S19" s="22" t="str">
        <f t="shared" si="11"/>
        <v>En ciclo</v>
      </c>
      <c r="T19" s="22" t="str">
        <f t="shared" si="3"/>
        <v>En ciclo</v>
      </c>
      <c r="U19" s="22">
        <f t="shared" si="4"/>
        <v>1</v>
      </c>
      <c r="V19" s="23">
        <f t="shared" si="5"/>
        <v>46250</v>
      </c>
      <c r="W19" s="77">
        <f t="shared" si="26"/>
        <v>6</v>
      </c>
      <c r="X19" s="77">
        <f t="shared" si="26"/>
        <v>7</v>
      </c>
      <c r="Y19" s="77">
        <f t="shared" si="26"/>
        <v>8</v>
      </c>
      <c r="Z19" s="77">
        <f t="shared" si="26"/>
        <v>9</v>
      </c>
      <c r="AA19" s="77">
        <v>10</v>
      </c>
      <c r="AB19" s="77">
        <f t="shared" ref="AB19:AQ34" si="28">IF(AA19="","",AA19+1)</f>
        <v>11</v>
      </c>
      <c r="AC19" s="77">
        <f t="shared" si="28"/>
        <v>12</v>
      </c>
      <c r="AD19" s="77">
        <f t="shared" si="28"/>
        <v>13</v>
      </c>
      <c r="AE19" s="77">
        <f t="shared" si="28"/>
        <v>14</v>
      </c>
      <c r="AF19" s="77">
        <f t="shared" si="28"/>
        <v>15</v>
      </c>
      <c r="AG19" s="77">
        <f t="shared" si="28"/>
        <v>16</v>
      </c>
      <c r="AH19" s="77">
        <f t="shared" si="28"/>
        <v>17</v>
      </c>
      <c r="AI19" s="77">
        <f t="shared" si="28"/>
        <v>18</v>
      </c>
      <c r="AJ19" s="77">
        <v>0</v>
      </c>
      <c r="AK19" s="77">
        <f t="shared" ref="AK19:AQ34" si="29">IF(AJ19="","",AJ19+1)</f>
        <v>1</v>
      </c>
      <c r="AL19" s="77">
        <f t="shared" si="29"/>
        <v>2</v>
      </c>
      <c r="AM19" s="77">
        <f t="shared" si="29"/>
        <v>3</v>
      </c>
      <c r="AN19" s="77">
        <f t="shared" si="29"/>
        <v>4</v>
      </c>
      <c r="AO19" s="77">
        <f t="shared" si="29"/>
        <v>5</v>
      </c>
      <c r="AP19" s="77">
        <f t="shared" si="29"/>
        <v>6</v>
      </c>
      <c r="AQ19" s="77">
        <f t="shared" si="29"/>
        <v>7</v>
      </c>
      <c r="AR19" s="77">
        <f t="shared" si="27"/>
        <v>8</v>
      </c>
      <c r="AS19" s="77">
        <f t="shared" si="25"/>
        <v>9</v>
      </c>
      <c r="AT19" s="77">
        <f t="shared" si="25"/>
        <v>10</v>
      </c>
      <c r="AU19" s="77">
        <f t="shared" si="25"/>
        <v>11</v>
      </c>
      <c r="AV19" s="77">
        <f t="shared" si="25"/>
        <v>12</v>
      </c>
      <c r="AW19" s="77">
        <f t="shared" si="25"/>
        <v>13</v>
      </c>
      <c r="AX19" s="77">
        <f t="shared" si="25"/>
        <v>14</v>
      </c>
      <c r="AY19" s="77">
        <f t="shared" si="25"/>
        <v>15</v>
      </c>
      <c r="AZ19" s="77">
        <f t="shared" si="25"/>
        <v>16</v>
      </c>
      <c r="BA19" s="77">
        <f t="shared" si="25"/>
        <v>17</v>
      </c>
      <c r="BB19" s="77">
        <f t="shared" si="25"/>
        <v>18</v>
      </c>
      <c r="BC19" s="77">
        <f t="shared" si="25"/>
        <v>19</v>
      </c>
      <c r="BD19" s="77">
        <f t="shared" si="25"/>
        <v>20</v>
      </c>
      <c r="BE19" s="77">
        <v>0</v>
      </c>
      <c r="BF19" s="77">
        <f t="shared" si="25"/>
        <v>1</v>
      </c>
      <c r="BG19" s="77">
        <f t="shared" si="25"/>
        <v>2</v>
      </c>
      <c r="BH19" s="77">
        <f t="shared" si="25"/>
        <v>3</v>
      </c>
      <c r="BI19" s="77">
        <f t="shared" si="25"/>
        <v>4</v>
      </c>
      <c r="BJ19" s="77">
        <f t="shared" si="25"/>
        <v>5</v>
      </c>
      <c r="BK19" s="77">
        <f t="shared" si="25"/>
        <v>6</v>
      </c>
      <c r="BL19" s="77">
        <f t="shared" si="25"/>
        <v>7</v>
      </c>
      <c r="BM19" s="77">
        <f t="shared" si="25"/>
        <v>8</v>
      </c>
      <c r="BN19" s="77">
        <f t="shared" si="25"/>
        <v>9</v>
      </c>
      <c r="BO19" s="77">
        <f t="shared" si="25"/>
        <v>10</v>
      </c>
      <c r="BP19" s="77">
        <f t="shared" si="25"/>
        <v>11</v>
      </c>
      <c r="BQ19" s="77">
        <f t="shared" si="25"/>
        <v>12</v>
      </c>
      <c r="BR19" s="77">
        <f t="shared" si="25"/>
        <v>13</v>
      </c>
      <c r="BS19" s="77">
        <f t="shared" si="25"/>
        <v>14</v>
      </c>
      <c r="BT19" s="77">
        <f t="shared" si="25"/>
        <v>15</v>
      </c>
      <c r="BU19" s="77">
        <f t="shared" si="25"/>
        <v>16</v>
      </c>
      <c r="BV19" s="77">
        <f t="shared" si="25"/>
        <v>17</v>
      </c>
      <c r="BW19" s="77">
        <f t="shared" si="25"/>
        <v>18</v>
      </c>
      <c r="BX19" s="77">
        <f t="shared" si="25"/>
        <v>19</v>
      </c>
      <c r="BY19" s="77">
        <f t="shared" si="25"/>
        <v>20</v>
      </c>
      <c r="BZ19" s="77">
        <f t="shared" si="25"/>
        <v>21</v>
      </c>
      <c r="CA19" s="77">
        <f t="shared" si="25"/>
        <v>22</v>
      </c>
      <c r="CB19" s="77">
        <f t="shared" si="25"/>
        <v>23</v>
      </c>
      <c r="CC19" s="77">
        <f t="shared" si="25"/>
        <v>24</v>
      </c>
      <c r="CD19" s="77">
        <f t="shared" si="25"/>
        <v>25</v>
      </c>
      <c r="CE19" s="77">
        <f t="shared" si="25"/>
        <v>26</v>
      </c>
      <c r="CF19" s="77">
        <f t="shared" si="25"/>
        <v>27</v>
      </c>
      <c r="CG19" s="77">
        <f t="shared" si="25"/>
        <v>28</v>
      </c>
      <c r="CH19" s="77">
        <f t="shared" si="25"/>
        <v>29</v>
      </c>
      <c r="CI19" s="77">
        <f t="shared" si="25"/>
        <v>30</v>
      </c>
      <c r="CJ19" s="77">
        <f t="shared" ref="CJ19:EU22" si="30">IF(CI19="","",CI19+1)</f>
        <v>31</v>
      </c>
      <c r="CK19" s="77">
        <f t="shared" si="30"/>
        <v>32</v>
      </c>
      <c r="CL19" s="77">
        <f t="shared" si="30"/>
        <v>33</v>
      </c>
      <c r="CM19" s="77">
        <f t="shared" si="30"/>
        <v>34</v>
      </c>
      <c r="CN19" s="77">
        <f t="shared" si="30"/>
        <v>35</v>
      </c>
      <c r="CO19" s="77">
        <f t="shared" si="30"/>
        <v>36</v>
      </c>
      <c r="CP19" s="77">
        <f t="shared" si="30"/>
        <v>37</v>
      </c>
      <c r="CQ19" s="77">
        <f t="shared" si="30"/>
        <v>38</v>
      </c>
      <c r="CR19" s="77">
        <f t="shared" si="30"/>
        <v>39</v>
      </c>
      <c r="CS19" s="77">
        <f t="shared" si="30"/>
        <v>40</v>
      </c>
      <c r="CT19" s="77">
        <f t="shared" si="30"/>
        <v>41</v>
      </c>
      <c r="CU19" s="77">
        <f t="shared" si="30"/>
        <v>42</v>
      </c>
      <c r="CV19" s="77">
        <f t="shared" si="30"/>
        <v>43</v>
      </c>
      <c r="CW19" s="77">
        <f t="shared" si="30"/>
        <v>44</v>
      </c>
      <c r="CX19" s="77">
        <f t="shared" si="30"/>
        <v>45</v>
      </c>
      <c r="CY19" s="77">
        <f t="shared" si="30"/>
        <v>46</v>
      </c>
      <c r="CZ19" s="77">
        <f t="shared" si="30"/>
        <v>47</v>
      </c>
      <c r="DA19" s="77">
        <f t="shared" si="30"/>
        <v>48</v>
      </c>
      <c r="DB19" s="77">
        <f t="shared" si="30"/>
        <v>49</v>
      </c>
      <c r="DC19" s="77">
        <f t="shared" si="30"/>
        <v>50</v>
      </c>
      <c r="DD19" s="77">
        <f t="shared" si="30"/>
        <v>51</v>
      </c>
      <c r="DE19" s="77">
        <f t="shared" si="30"/>
        <v>52</v>
      </c>
      <c r="DF19" s="77">
        <f t="shared" si="30"/>
        <v>53</v>
      </c>
      <c r="DG19" s="77">
        <f t="shared" si="30"/>
        <v>54</v>
      </c>
      <c r="DH19" s="77">
        <f t="shared" si="30"/>
        <v>55</v>
      </c>
      <c r="DI19" s="77">
        <f t="shared" si="30"/>
        <v>56</v>
      </c>
      <c r="DJ19" s="77">
        <f t="shared" si="30"/>
        <v>57</v>
      </c>
      <c r="DK19" s="77">
        <f t="shared" si="30"/>
        <v>58</v>
      </c>
      <c r="DL19" s="77">
        <f t="shared" si="30"/>
        <v>59</v>
      </c>
      <c r="DM19" s="77">
        <f t="shared" si="30"/>
        <v>60</v>
      </c>
      <c r="DN19" s="77">
        <f t="shared" si="30"/>
        <v>61</v>
      </c>
      <c r="DO19" s="77">
        <f t="shared" si="30"/>
        <v>62</v>
      </c>
      <c r="DP19" s="77">
        <f t="shared" si="30"/>
        <v>63</v>
      </c>
      <c r="DQ19" s="77">
        <f t="shared" si="30"/>
        <v>64</v>
      </c>
      <c r="DR19" s="77">
        <f t="shared" si="30"/>
        <v>65</v>
      </c>
      <c r="DS19" s="77">
        <f t="shared" si="30"/>
        <v>66</v>
      </c>
      <c r="DT19" s="77">
        <f t="shared" si="30"/>
        <v>67</v>
      </c>
      <c r="DU19" s="77">
        <f t="shared" si="30"/>
        <v>68</v>
      </c>
      <c r="DV19" s="77">
        <f t="shared" si="30"/>
        <v>69</v>
      </c>
      <c r="DW19" s="77">
        <f t="shared" si="30"/>
        <v>70</v>
      </c>
      <c r="DX19" s="77">
        <f t="shared" si="30"/>
        <v>71</v>
      </c>
      <c r="DY19" s="77">
        <f t="shared" si="30"/>
        <v>72</v>
      </c>
      <c r="DZ19" s="77">
        <f t="shared" si="30"/>
        <v>73</v>
      </c>
      <c r="EA19" s="77">
        <f t="shared" si="30"/>
        <v>74</v>
      </c>
      <c r="EB19" s="77">
        <f t="shared" si="30"/>
        <v>75</v>
      </c>
      <c r="EC19" s="77">
        <f t="shared" si="30"/>
        <v>76</v>
      </c>
      <c r="ED19" s="77">
        <f t="shared" si="30"/>
        <v>77</v>
      </c>
      <c r="EE19" s="77">
        <f t="shared" si="30"/>
        <v>78</v>
      </c>
      <c r="EF19" s="77">
        <f t="shared" si="30"/>
        <v>79</v>
      </c>
      <c r="EG19" s="77">
        <f t="shared" si="30"/>
        <v>80</v>
      </c>
      <c r="EH19" s="77">
        <f t="shared" si="30"/>
        <v>81</v>
      </c>
      <c r="EI19" s="77">
        <f t="shared" si="30"/>
        <v>82</v>
      </c>
      <c r="EJ19" s="77">
        <f t="shared" si="30"/>
        <v>83</v>
      </c>
      <c r="EK19" s="77">
        <f t="shared" si="30"/>
        <v>84</v>
      </c>
      <c r="EL19" s="77">
        <f t="shared" si="30"/>
        <v>85</v>
      </c>
      <c r="EM19" s="77">
        <f t="shared" si="30"/>
        <v>86</v>
      </c>
      <c r="EN19" s="77">
        <f t="shared" si="30"/>
        <v>87</v>
      </c>
      <c r="EO19" s="77">
        <f t="shared" si="30"/>
        <v>88</v>
      </c>
      <c r="EP19" s="77">
        <f t="shared" si="30"/>
        <v>89</v>
      </c>
      <c r="EQ19" s="77">
        <f t="shared" si="30"/>
        <v>90</v>
      </c>
      <c r="ER19" s="77">
        <f t="shared" si="30"/>
        <v>91</v>
      </c>
      <c r="ES19" s="77">
        <f t="shared" si="30"/>
        <v>92</v>
      </c>
      <c r="ET19" s="77">
        <f t="shared" si="30"/>
        <v>93</v>
      </c>
      <c r="EU19" s="77">
        <f t="shared" si="30"/>
        <v>94</v>
      </c>
      <c r="EV19" s="77">
        <f t="shared" si="15"/>
        <v>95</v>
      </c>
      <c r="EW19" s="77">
        <f t="shared" si="24"/>
        <v>96</v>
      </c>
      <c r="EX19" s="77">
        <f t="shared" si="24"/>
        <v>97</v>
      </c>
      <c r="EY19" s="77">
        <f t="shared" si="24"/>
        <v>98</v>
      </c>
      <c r="EZ19" s="77">
        <f t="shared" si="24"/>
        <v>99</v>
      </c>
      <c r="FA19" s="77">
        <f t="shared" si="24"/>
        <v>100</v>
      </c>
      <c r="FB19" s="77">
        <f t="shared" si="24"/>
        <v>101</v>
      </c>
      <c r="FC19" s="77">
        <f t="shared" si="24"/>
        <v>102</v>
      </c>
      <c r="FD19" s="77">
        <f t="shared" si="24"/>
        <v>103</v>
      </c>
      <c r="FE19" s="77">
        <f t="shared" si="24"/>
        <v>104</v>
      </c>
      <c r="FF19" s="77">
        <f t="shared" si="24"/>
        <v>105</v>
      </c>
      <c r="FG19" s="77">
        <f t="shared" si="24"/>
        <v>106</v>
      </c>
      <c r="FH19" s="77">
        <f t="shared" si="24"/>
        <v>107</v>
      </c>
      <c r="FI19" s="77">
        <f t="shared" si="24"/>
        <v>108</v>
      </c>
      <c r="FJ19" s="77">
        <f t="shared" si="24"/>
        <v>109</v>
      </c>
      <c r="FK19" s="77">
        <f t="shared" si="24"/>
        <v>110</v>
      </c>
      <c r="FL19" s="77">
        <f t="shared" si="24"/>
        <v>111</v>
      </c>
      <c r="FM19" s="77">
        <f t="shared" si="24"/>
        <v>112</v>
      </c>
      <c r="FN19" s="77">
        <f t="shared" si="24"/>
        <v>113</v>
      </c>
      <c r="FO19" s="77">
        <f t="shared" si="24"/>
        <v>114</v>
      </c>
      <c r="FP19" s="77">
        <f t="shared" si="24"/>
        <v>115</v>
      </c>
      <c r="FQ19" s="77">
        <f t="shared" si="24"/>
        <v>116</v>
      </c>
      <c r="FR19" s="77">
        <f t="shared" si="24"/>
        <v>117</v>
      </c>
      <c r="FS19" s="77">
        <f t="shared" si="24"/>
        <v>118</v>
      </c>
      <c r="FT19" s="77">
        <f t="shared" si="24"/>
        <v>119</v>
      </c>
      <c r="FU19" s="77">
        <f t="shared" si="24"/>
        <v>120</v>
      </c>
      <c r="FV19" s="77">
        <f t="shared" si="24"/>
        <v>121</v>
      </c>
      <c r="FW19" s="77">
        <f t="shared" si="24"/>
        <v>122</v>
      </c>
      <c r="FX19" s="77">
        <f t="shared" si="24"/>
        <v>123</v>
      </c>
      <c r="FY19" s="77">
        <f t="shared" si="24"/>
        <v>124</v>
      </c>
      <c r="FZ19" s="77">
        <f t="shared" si="24"/>
        <v>125</v>
      </c>
      <c r="GA19" s="77">
        <f t="shared" si="24"/>
        <v>126</v>
      </c>
      <c r="GB19" s="77">
        <f t="shared" si="24"/>
        <v>127</v>
      </c>
      <c r="GC19" s="77">
        <f t="shared" si="24"/>
        <v>128</v>
      </c>
      <c r="GD19" s="77">
        <f t="shared" si="24"/>
        <v>129</v>
      </c>
      <c r="GE19" s="77">
        <f t="shared" si="24"/>
        <v>130</v>
      </c>
      <c r="GF19" s="77">
        <f t="shared" si="24"/>
        <v>131</v>
      </c>
      <c r="GG19" s="77">
        <f t="shared" si="24"/>
        <v>132</v>
      </c>
      <c r="GH19" s="77">
        <f t="shared" si="24"/>
        <v>133</v>
      </c>
      <c r="GI19" s="77">
        <f t="shared" si="24"/>
        <v>134</v>
      </c>
      <c r="GJ19" s="77">
        <f t="shared" ref="GJ19:GX19" si="31">IF(GI19="","",GI19+1)</f>
        <v>135</v>
      </c>
      <c r="GK19" s="77">
        <f t="shared" si="31"/>
        <v>136</v>
      </c>
      <c r="GL19" s="77">
        <f t="shared" si="31"/>
        <v>137</v>
      </c>
      <c r="GM19" s="77">
        <f t="shared" si="31"/>
        <v>138</v>
      </c>
      <c r="GN19" s="77">
        <f t="shared" si="31"/>
        <v>139</v>
      </c>
      <c r="GO19" s="77">
        <f t="shared" si="31"/>
        <v>140</v>
      </c>
      <c r="GP19" s="77">
        <f t="shared" si="31"/>
        <v>141</v>
      </c>
      <c r="GQ19" s="77">
        <f t="shared" si="31"/>
        <v>142</v>
      </c>
      <c r="GR19" s="77">
        <f t="shared" si="31"/>
        <v>143</v>
      </c>
      <c r="GS19" s="77">
        <f t="shared" si="31"/>
        <v>144</v>
      </c>
      <c r="GT19" s="77">
        <f t="shared" si="31"/>
        <v>145</v>
      </c>
      <c r="GU19" s="77">
        <f t="shared" si="31"/>
        <v>146</v>
      </c>
      <c r="GV19" s="77">
        <f t="shared" si="31"/>
        <v>147</v>
      </c>
      <c r="GW19" s="77">
        <f t="shared" si="31"/>
        <v>148</v>
      </c>
      <c r="GX19" s="77">
        <f t="shared" si="31"/>
        <v>149</v>
      </c>
    </row>
    <row r="20" spans="1:206" ht="15" customHeight="1" x14ac:dyDescent="0.2">
      <c r="A20" s="22" t="s">
        <v>68</v>
      </c>
      <c r="B20" s="22">
        <v>2</v>
      </c>
      <c r="C20" s="22" t="s">
        <v>93</v>
      </c>
      <c r="D20" s="22">
        <v>19</v>
      </c>
      <c r="E20" s="22" t="s">
        <v>101</v>
      </c>
      <c r="F20" s="22" t="s">
        <v>81</v>
      </c>
      <c r="G20" s="22" t="s">
        <v>82</v>
      </c>
      <c r="H20" s="22">
        <v>2009</v>
      </c>
      <c r="I20" s="22">
        <v>17</v>
      </c>
      <c r="J20" s="22">
        <v>36.26</v>
      </c>
      <c r="K20" s="22">
        <v>0</v>
      </c>
      <c r="L20" s="22">
        <v>4474</v>
      </c>
      <c r="M20" s="22">
        <v>4474</v>
      </c>
      <c r="N20" s="22" t="s">
        <v>95</v>
      </c>
      <c r="O20" s="22" t="s">
        <v>96</v>
      </c>
      <c r="P20" s="22" t="s">
        <v>75</v>
      </c>
      <c r="Q20" s="108">
        <f>IF(R20="","",'Dashboard Ciclos'!$B$2-R20)</f>
        <v>46240</v>
      </c>
      <c r="R20" s="22">
        <f>IF($E20="","",IFERROR(INDEX($W20:$GX20,MATCH('Dashboard Ciclos'!$B$2,$W$1:$GX$1,0)),""))</f>
        <v>9</v>
      </c>
      <c r="S20" s="22" t="str">
        <f t="shared" si="11"/>
        <v>En ciclo</v>
      </c>
      <c r="T20" s="22" t="str">
        <f t="shared" si="3"/>
        <v>En ciclo</v>
      </c>
      <c r="U20" s="22">
        <f t="shared" si="4"/>
        <v>3</v>
      </c>
      <c r="V20" s="23">
        <f t="shared" si="5"/>
        <v>46252</v>
      </c>
      <c r="W20" s="77">
        <f t="shared" si="26"/>
        <v>12</v>
      </c>
      <c r="X20" s="77">
        <f t="shared" si="26"/>
        <v>13</v>
      </c>
      <c r="Y20" s="77">
        <f t="shared" si="26"/>
        <v>14</v>
      </c>
      <c r="Z20" s="77">
        <f t="shared" si="26"/>
        <v>15</v>
      </c>
      <c r="AA20" s="77">
        <v>16</v>
      </c>
      <c r="AB20" s="77">
        <f t="shared" si="28"/>
        <v>17</v>
      </c>
      <c r="AC20" s="77">
        <f t="shared" si="28"/>
        <v>18</v>
      </c>
      <c r="AD20" s="77">
        <f t="shared" si="28"/>
        <v>19</v>
      </c>
      <c r="AE20" s="77">
        <f t="shared" si="28"/>
        <v>20</v>
      </c>
      <c r="AF20" s="77">
        <f t="shared" si="28"/>
        <v>21</v>
      </c>
      <c r="AG20" s="77">
        <f t="shared" si="28"/>
        <v>22</v>
      </c>
      <c r="AH20" s="77">
        <f t="shared" si="28"/>
        <v>23</v>
      </c>
      <c r="AI20" s="77">
        <f t="shared" si="28"/>
        <v>24</v>
      </c>
      <c r="AJ20" s="77">
        <f t="shared" si="28"/>
        <v>25</v>
      </c>
      <c r="AK20" s="77">
        <f t="shared" si="29"/>
        <v>26</v>
      </c>
      <c r="AL20" s="77">
        <f t="shared" si="29"/>
        <v>27</v>
      </c>
      <c r="AM20" s="77">
        <f t="shared" si="29"/>
        <v>28</v>
      </c>
      <c r="AN20" s="77">
        <f t="shared" si="29"/>
        <v>29</v>
      </c>
      <c r="AO20" s="77">
        <f t="shared" si="29"/>
        <v>30</v>
      </c>
      <c r="AP20" s="77">
        <f t="shared" si="29"/>
        <v>31</v>
      </c>
      <c r="AQ20" s="77">
        <f t="shared" si="29"/>
        <v>32</v>
      </c>
      <c r="AR20" s="77">
        <f t="shared" si="27"/>
        <v>33</v>
      </c>
      <c r="AS20" s="77">
        <v>0</v>
      </c>
      <c r="AT20" s="77">
        <f t="shared" ref="AS20:CJ23" si="32">IF(AS20="","",AS20+1)</f>
        <v>1</v>
      </c>
      <c r="AU20" s="77">
        <f t="shared" si="32"/>
        <v>2</v>
      </c>
      <c r="AV20" s="77">
        <f t="shared" si="32"/>
        <v>3</v>
      </c>
      <c r="AW20" s="77">
        <f t="shared" si="32"/>
        <v>4</v>
      </c>
      <c r="AX20" s="77">
        <f t="shared" si="32"/>
        <v>5</v>
      </c>
      <c r="AY20" s="77">
        <f t="shared" si="32"/>
        <v>6</v>
      </c>
      <c r="AZ20" s="77">
        <f t="shared" si="32"/>
        <v>7</v>
      </c>
      <c r="BA20" s="77">
        <f t="shared" si="32"/>
        <v>8</v>
      </c>
      <c r="BB20" s="77">
        <f t="shared" si="32"/>
        <v>9</v>
      </c>
      <c r="BC20" s="77">
        <f t="shared" si="32"/>
        <v>10</v>
      </c>
      <c r="BD20" s="77">
        <f t="shared" si="32"/>
        <v>11</v>
      </c>
      <c r="BE20" s="77">
        <f t="shared" si="32"/>
        <v>12</v>
      </c>
      <c r="BF20" s="77">
        <f t="shared" si="32"/>
        <v>13</v>
      </c>
      <c r="BG20" s="77">
        <v>0</v>
      </c>
      <c r="BH20" s="77">
        <f t="shared" si="32"/>
        <v>1</v>
      </c>
      <c r="BI20" s="77">
        <f t="shared" si="32"/>
        <v>2</v>
      </c>
      <c r="BJ20" s="77">
        <f t="shared" si="32"/>
        <v>3</v>
      </c>
      <c r="BK20" s="77">
        <f t="shared" si="32"/>
        <v>4</v>
      </c>
      <c r="BL20" s="77">
        <f t="shared" si="32"/>
        <v>5</v>
      </c>
      <c r="BM20" s="77">
        <f t="shared" si="32"/>
        <v>6</v>
      </c>
      <c r="BN20" s="77">
        <f t="shared" si="32"/>
        <v>7</v>
      </c>
      <c r="BO20" s="77">
        <f t="shared" si="32"/>
        <v>8</v>
      </c>
      <c r="BP20" s="77">
        <f t="shared" si="32"/>
        <v>9</v>
      </c>
      <c r="BQ20" s="77">
        <f t="shared" si="32"/>
        <v>10</v>
      </c>
      <c r="BR20" s="77">
        <f t="shared" si="32"/>
        <v>11</v>
      </c>
      <c r="BS20" s="77">
        <f t="shared" si="32"/>
        <v>12</v>
      </c>
      <c r="BT20" s="77">
        <f t="shared" si="32"/>
        <v>13</v>
      </c>
      <c r="BU20" s="77">
        <f t="shared" si="32"/>
        <v>14</v>
      </c>
      <c r="BV20" s="77">
        <f t="shared" si="32"/>
        <v>15</v>
      </c>
      <c r="BW20" s="77">
        <f t="shared" si="32"/>
        <v>16</v>
      </c>
      <c r="BX20" s="77">
        <f t="shared" si="32"/>
        <v>17</v>
      </c>
      <c r="BY20" s="77">
        <f t="shared" si="32"/>
        <v>18</v>
      </c>
      <c r="BZ20" s="77">
        <f t="shared" si="32"/>
        <v>19</v>
      </c>
      <c r="CA20" s="77">
        <f t="shared" si="32"/>
        <v>20</v>
      </c>
      <c r="CB20" s="77">
        <f t="shared" si="32"/>
        <v>21</v>
      </c>
      <c r="CC20" s="77">
        <f t="shared" si="32"/>
        <v>22</v>
      </c>
      <c r="CD20" s="77">
        <f t="shared" si="32"/>
        <v>23</v>
      </c>
      <c r="CE20" s="77">
        <f t="shared" si="32"/>
        <v>24</v>
      </c>
      <c r="CF20" s="77">
        <f t="shared" si="32"/>
        <v>25</v>
      </c>
      <c r="CG20" s="77">
        <f t="shared" si="32"/>
        <v>26</v>
      </c>
      <c r="CH20" s="77">
        <f t="shared" si="32"/>
        <v>27</v>
      </c>
      <c r="CI20" s="77">
        <f t="shared" si="32"/>
        <v>28</v>
      </c>
      <c r="CJ20" s="77">
        <f t="shared" si="32"/>
        <v>29</v>
      </c>
      <c r="CK20" s="77">
        <f t="shared" si="30"/>
        <v>30</v>
      </c>
      <c r="CL20" s="77">
        <f t="shared" si="30"/>
        <v>31</v>
      </c>
      <c r="CM20" s="77">
        <f t="shared" si="30"/>
        <v>32</v>
      </c>
      <c r="CN20" s="77">
        <f t="shared" si="30"/>
        <v>33</v>
      </c>
      <c r="CO20" s="77">
        <f t="shared" si="30"/>
        <v>34</v>
      </c>
      <c r="CP20" s="77">
        <f t="shared" si="30"/>
        <v>35</v>
      </c>
      <c r="CQ20" s="77">
        <f t="shared" si="30"/>
        <v>36</v>
      </c>
      <c r="CR20" s="77">
        <f t="shared" si="30"/>
        <v>37</v>
      </c>
      <c r="CS20" s="77">
        <f t="shared" si="30"/>
        <v>38</v>
      </c>
      <c r="CT20" s="77">
        <f t="shared" si="30"/>
        <v>39</v>
      </c>
      <c r="CU20" s="77">
        <f t="shared" si="30"/>
        <v>40</v>
      </c>
      <c r="CV20" s="77">
        <f t="shared" si="30"/>
        <v>41</v>
      </c>
      <c r="CW20" s="77">
        <f t="shared" si="30"/>
        <v>42</v>
      </c>
      <c r="CX20" s="77">
        <f t="shared" si="30"/>
        <v>43</v>
      </c>
      <c r="CY20" s="77">
        <f t="shared" si="30"/>
        <v>44</v>
      </c>
      <c r="CZ20" s="77">
        <f t="shared" si="30"/>
        <v>45</v>
      </c>
      <c r="DA20" s="77">
        <f t="shared" si="30"/>
        <v>46</v>
      </c>
      <c r="DB20" s="77">
        <f t="shared" si="30"/>
        <v>47</v>
      </c>
      <c r="DC20" s="77">
        <f t="shared" si="30"/>
        <v>48</v>
      </c>
      <c r="DD20" s="77">
        <f t="shared" si="30"/>
        <v>49</v>
      </c>
      <c r="DE20" s="77">
        <f t="shared" si="30"/>
        <v>50</v>
      </c>
      <c r="DF20" s="77">
        <f t="shared" si="30"/>
        <v>51</v>
      </c>
      <c r="DG20" s="77">
        <f t="shared" si="30"/>
        <v>52</v>
      </c>
      <c r="DH20" s="77">
        <f t="shared" si="30"/>
        <v>53</v>
      </c>
      <c r="DI20" s="77">
        <f t="shared" si="30"/>
        <v>54</v>
      </c>
      <c r="DJ20" s="77">
        <f t="shared" si="30"/>
        <v>55</v>
      </c>
      <c r="DK20" s="77">
        <f t="shared" si="30"/>
        <v>56</v>
      </c>
      <c r="DL20" s="77">
        <f t="shared" si="30"/>
        <v>57</v>
      </c>
      <c r="DM20" s="77">
        <f t="shared" si="30"/>
        <v>58</v>
      </c>
      <c r="DN20" s="77">
        <f t="shared" si="30"/>
        <v>59</v>
      </c>
      <c r="DO20" s="77">
        <f t="shared" si="30"/>
        <v>60</v>
      </c>
      <c r="DP20" s="77">
        <f t="shared" si="30"/>
        <v>61</v>
      </c>
      <c r="DQ20" s="77">
        <f t="shared" si="30"/>
        <v>62</v>
      </c>
      <c r="DR20" s="77">
        <f t="shared" si="30"/>
        <v>63</v>
      </c>
      <c r="DS20" s="77">
        <f t="shared" si="30"/>
        <v>64</v>
      </c>
      <c r="DT20" s="77">
        <f t="shared" si="30"/>
        <v>65</v>
      </c>
      <c r="DU20" s="77">
        <f t="shared" si="30"/>
        <v>66</v>
      </c>
      <c r="DV20" s="77">
        <f t="shared" si="30"/>
        <v>67</v>
      </c>
      <c r="DW20" s="77">
        <f t="shared" si="30"/>
        <v>68</v>
      </c>
      <c r="DX20" s="77">
        <f t="shared" si="30"/>
        <v>69</v>
      </c>
      <c r="DY20" s="77">
        <f t="shared" si="30"/>
        <v>70</v>
      </c>
      <c r="DZ20" s="77">
        <f t="shared" si="30"/>
        <v>71</v>
      </c>
      <c r="EA20" s="77">
        <f t="shared" si="30"/>
        <v>72</v>
      </c>
      <c r="EB20" s="77">
        <f t="shared" si="30"/>
        <v>73</v>
      </c>
      <c r="EC20" s="77">
        <f t="shared" si="30"/>
        <v>74</v>
      </c>
      <c r="ED20" s="77">
        <f t="shared" si="30"/>
        <v>75</v>
      </c>
      <c r="EE20" s="77">
        <f t="shared" si="30"/>
        <v>76</v>
      </c>
      <c r="EF20" s="77">
        <f t="shared" si="30"/>
        <v>77</v>
      </c>
      <c r="EG20" s="77">
        <f t="shared" si="30"/>
        <v>78</v>
      </c>
      <c r="EH20" s="77">
        <f t="shared" si="30"/>
        <v>79</v>
      </c>
      <c r="EI20" s="77">
        <f t="shared" si="30"/>
        <v>80</v>
      </c>
      <c r="EJ20" s="77">
        <f t="shared" si="30"/>
        <v>81</v>
      </c>
      <c r="EK20" s="77">
        <f t="shared" si="30"/>
        <v>82</v>
      </c>
      <c r="EL20" s="77">
        <f t="shared" si="30"/>
        <v>83</v>
      </c>
      <c r="EM20" s="77">
        <f t="shared" si="30"/>
        <v>84</v>
      </c>
      <c r="EN20" s="77">
        <f t="shared" si="30"/>
        <v>85</v>
      </c>
      <c r="EO20" s="77">
        <f t="shared" si="30"/>
        <v>86</v>
      </c>
      <c r="EP20" s="77">
        <f t="shared" si="30"/>
        <v>87</v>
      </c>
      <c r="EQ20" s="77">
        <f t="shared" si="30"/>
        <v>88</v>
      </c>
      <c r="ER20" s="77">
        <f t="shared" si="30"/>
        <v>89</v>
      </c>
      <c r="ES20" s="77">
        <f t="shared" si="30"/>
        <v>90</v>
      </c>
      <c r="ET20" s="77">
        <f t="shared" si="30"/>
        <v>91</v>
      </c>
      <c r="EU20" s="77">
        <f t="shared" si="30"/>
        <v>92</v>
      </c>
      <c r="EV20" s="77">
        <f t="shared" si="15"/>
        <v>93</v>
      </c>
      <c r="EW20" s="77">
        <f t="shared" ref="EW20:GX21" si="33">IF(EV20="","",EV20+1)</f>
        <v>94</v>
      </c>
      <c r="EX20" s="77">
        <f t="shared" si="33"/>
        <v>95</v>
      </c>
      <c r="EY20" s="77">
        <f t="shared" si="33"/>
        <v>96</v>
      </c>
      <c r="EZ20" s="77">
        <f t="shared" si="33"/>
        <v>97</v>
      </c>
      <c r="FA20" s="77">
        <f t="shared" si="33"/>
        <v>98</v>
      </c>
      <c r="FB20" s="77">
        <f t="shared" si="33"/>
        <v>99</v>
      </c>
      <c r="FC20" s="77">
        <f t="shared" si="33"/>
        <v>100</v>
      </c>
      <c r="FD20" s="77">
        <f t="shared" si="33"/>
        <v>101</v>
      </c>
      <c r="FE20" s="77">
        <f t="shared" si="33"/>
        <v>102</v>
      </c>
      <c r="FF20" s="77">
        <f t="shared" si="33"/>
        <v>103</v>
      </c>
      <c r="FG20" s="77">
        <f t="shared" si="33"/>
        <v>104</v>
      </c>
      <c r="FH20" s="77">
        <f t="shared" si="33"/>
        <v>105</v>
      </c>
      <c r="FI20" s="77">
        <f t="shared" si="33"/>
        <v>106</v>
      </c>
      <c r="FJ20" s="77">
        <f t="shared" si="33"/>
        <v>107</v>
      </c>
      <c r="FK20" s="77">
        <f t="shared" si="33"/>
        <v>108</v>
      </c>
      <c r="FL20" s="77">
        <f t="shared" si="33"/>
        <v>109</v>
      </c>
      <c r="FM20" s="77">
        <f t="shared" si="33"/>
        <v>110</v>
      </c>
      <c r="FN20" s="77">
        <f t="shared" si="33"/>
        <v>111</v>
      </c>
      <c r="FO20" s="77">
        <f t="shared" si="33"/>
        <v>112</v>
      </c>
      <c r="FP20" s="77">
        <f t="shared" si="33"/>
        <v>113</v>
      </c>
      <c r="FQ20" s="77">
        <f t="shared" si="33"/>
        <v>114</v>
      </c>
      <c r="FR20" s="77">
        <f t="shared" si="33"/>
        <v>115</v>
      </c>
      <c r="FS20" s="77">
        <f t="shared" si="33"/>
        <v>116</v>
      </c>
      <c r="FT20" s="77">
        <f t="shared" si="33"/>
        <v>117</v>
      </c>
      <c r="FU20" s="77">
        <f t="shared" si="33"/>
        <v>118</v>
      </c>
      <c r="FV20" s="77">
        <f t="shared" si="33"/>
        <v>119</v>
      </c>
      <c r="FW20" s="77">
        <f t="shared" si="33"/>
        <v>120</v>
      </c>
      <c r="FX20" s="77">
        <f t="shared" si="33"/>
        <v>121</v>
      </c>
      <c r="FY20" s="77">
        <f t="shared" si="33"/>
        <v>122</v>
      </c>
      <c r="FZ20" s="77">
        <f t="shared" si="33"/>
        <v>123</v>
      </c>
      <c r="GA20" s="77">
        <f t="shared" si="33"/>
        <v>124</v>
      </c>
      <c r="GB20" s="77">
        <f t="shared" si="33"/>
        <v>125</v>
      </c>
      <c r="GC20" s="77">
        <f t="shared" si="33"/>
        <v>126</v>
      </c>
      <c r="GD20" s="77">
        <f t="shared" si="33"/>
        <v>127</v>
      </c>
      <c r="GE20" s="77">
        <f t="shared" si="33"/>
        <v>128</v>
      </c>
      <c r="GF20" s="77">
        <f t="shared" si="33"/>
        <v>129</v>
      </c>
      <c r="GG20" s="77">
        <f t="shared" si="33"/>
        <v>130</v>
      </c>
      <c r="GH20" s="77">
        <f t="shared" si="33"/>
        <v>131</v>
      </c>
      <c r="GI20" s="77">
        <f t="shared" si="33"/>
        <v>132</v>
      </c>
      <c r="GJ20" s="77">
        <f t="shared" si="33"/>
        <v>133</v>
      </c>
      <c r="GK20" s="77">
        <f t="shared" si="33"/>
        <v>134</v>
      </c>
      <c r="GL20" s="77">
        <f t="shared" si="33"/>
        <v>135</v>
      </c>
      <c r="GM20" s="77">
        <f t="shared" si="33"/>
        <v>136</v>
      </c>
      <c r="GN20" s="77">
        <f t="shared" si="33"/>
        <v>137</v>
      </c>
      <c r="GO20" s="77">
        <f t="shared" si="33"/>
        <v>138</v>
      </c>
      <c r="GP20" s="77">
        <f t="shared" si="33"/>
        <v>139</v>
      </c>
      <c r="GQ20" s="77">
        <f t="shared" si="33"/>
        <v>140</v>
      </c>
      <c r="GR20" s="77">
        <f t="shared" si="33"/>
        <v>141</v>
      </c>
      <c r="GS20" s="77">
        <f t="shared" si="33"/>
        <v>142</v>
      </c>
      <c r="GT20" s="77">
        <f t="shared" si="33"/>
        <v>143</v>
      </c>
      <c r="GU20" s="77">
        <f t="shared" si="33"/>
        <v>144</v>
      </c>
      <c r="GV20" s="77">
        <f t="shared" si="33"/>
        <v>145</v>
      </c>
      <c r="GW20" s="77">
        <f t="shared" si="33"/>
        <v>146</v>
      </c>
      <c r="GX20" s="77">
        <f t="shared" si="33"/>
        <v>147</v>
      </c>
    </row>
    <row r="21" spans="1:206" ht="15" customHeight="1" x14ac:dyDescent="0.2">
      <c r="A21" s="22" t="s">
        <v>68</v>
      </c>
      <c r="B21" s="22">
        <v>2</v>
      </c>
      <c r="C21" s="22" t="s">
        <v>102</v>
      </c>
      <c r="D21" s="22">
        <v>20</v>
      </c>
      <c r="E21" s="22" t="s">
        <v>103</v>
      </c>
      <c r="F21" s="22" t="s">
        <v>71</v>
      </c>
      <c r="G21" s="22" t="s">
        <v>72</v>
      </c>
      <c r="H21" s="22">
        <v>2009</v>
      </c>
      <c r="I21" s="22">
        <v>17</v>
      </c>
      <c r="J21" s="22">
        <v>23.43</v>
      </c>
      <c r="K21" s="22">
        <v>0</v>
      </c>
      <c r="L21" s="22">
        <v>3327</v>
      </c>
      <c r="M21" s="22">
        <v>3327</v>
      </c>
      <c r="N21" s="22" t="s">
        <v>95</v>
      </c>
      <c r="O21" s="22" t="s">
        <v>96</v>
      </c>
      <c r="P21" s="22" t="s">
        <v>75</v>
      </c>
      <c r="Q21" s="108">
        <f>IF(R21="","",'Dashboard Ciclos'!$B$2-R21)</f>
        <v>46240</v>
      </c>
      <c r="R21" s="22">
        <f>IF($E21="","",IFERROR(INDEX($W21:$GX21,MATCH('Dashboard Ciclos'!$B$2,$W$1:$GX$1,0)),""))</f>
        <v>9</v>
      </c>
      <c r="S21" s="22" t="str">
        <f t="shared" si="11"/>
        <v>En ciclo</v>
      </c>
      <c r="T21" s="22" t="str">
        <f t="shared" si="3"/>
        <v>En ciclo</v>
      </c>
      <c r="U21" s="22">
        <f t="shared" si="4"/>
        <v>3</v>
      </c>
      <c r="V21" s="23">
        <f t="shared" si="5"/>
        <v>46252</v>
      </c>
      <c r="W21" s="77">
        <f t="shared" si="26"/>
        <v>12</v>
      </c>
      <c r="X21" s="77">
        <f t="shared" si="26"/>
        <v>13</v>
      </c>
      <c r="Y21" s="77">
        <f t="shared" si="26"/>
        <v>14</v>
      </c>
      <c r="Z21" s="77">
        <f t="shared" si="26"/>
        <v>15</v>
      </c>
      <c r="AA21" s="77">
        <v>16</v>
      </c>
      <c r="AB21" s="77">
        <f t="shared" si="28"/>
        <v>17</v>
      </c>
      <c r="AC21" s="77">
        <f t="shared" si="28"/>
        <v>18</v>
      </c>
      <c r="AD21" s="77">
        <f t="shared" si="28"/>
        <v>19</v>
      </c>
      <c r="AE21" s="77">
        <f t="shared" si="28"/>
        <v>20</v>
      </c>
      <c r="AF21" s="77">
        <f t="shared" si="28"/>
        <v>21</v>
      </c>
      <c r="AG21" s="77">
        <f t="shared" si="28"/>
        <v>22</v>
      </c>
      <c r="AH21" s="77">
        <f t="shared" si="28"/>
        <v>23</v>
      </c>
      <c r="AI21" s="77">
        <f t="shared" si="28"/>
        <v>24</v>
      </c>
      <c r="AJ21" s="77">
        <f t="shared" si="28"/>
        <v>25</v>
      </c>
      <c r="AK21" s="77">
        <f t="shared" si="29"/>
        <v>26</v>
      </c>
      <c r="AL21" s="77">
        <f t="shared" si="29"/>
        <v>27</v>
      </c>
      <c r="AM21" s="77">
        <f t="shared" si="29"/>
        <v>28</v>
      </c>
      <c r="AN21" s="77">
        <f t="shared" si="29"/>
        <v>29</v>
      </c>
      <c r="AO21" s="77">
        <f t="shared" si="29"/>
        <v>30</v>
      </c>
      <c r="AP21" s="77">
        <f t="shared" si="29"/>
        <v>31</v>
      </c>
      <c r="AQ21" s="77">
        <f t="shared" si="29"/>
        <v>32</v>
      </c>
      <c r="AR21" s="77">
        <f t="shared" si="27"/>
        <v>33</v>
      </c>
      <c r="AS21" s="77">
        <v>0</v>
      </c>
      <c r="AT21" s="77">
        <f t="shared" si="32"/>
        <v>1</v>
      </c>
      <c r="AU21" s="77">
        <f t="shared" si="32"/>
        <v>2</v>
      </c>
      <c r="AV21" s="77">
        <f t="shared" si="32"/>
        <v>3</v>
      </c>
      <c r="AW21" s="77">
        <f t="shared" si="32"/>
        <v>4</v>
      </c>
      <c r="AX21" s="77">
        <f t="shared" si="32"/>
        <v>5</v>
      </c>
      <c r="AY21" s="77">
        <f t="shared" si="32"/>
        <v>6</v>
      </c>
      <c r="AZ21" s="77">
        <f t="shared" si="32"/>
        <v>7</v>
      </c>
      <c r="BA21" s="77">
        <f t="shared" si="32"/>
        <v>8</v>
      </c>
      <c r="BB21" s="77">
        <f t="shared" si="32"/>
        <v>9</v>
      </c>
      <c r="BC21" s="77">
        <f t="shared" si="32"/>
        <v>10</v>
      </c>
      <c r="BD21" s="77">
        <f t="shared" si="32"/>
        <v>11</v>
      </c>
      <c r="BE21" s="77">
        <f t="shared" si="32"/>
        <v>12</v>
      </c>
      <c r="BF21" s="77">
        <f t="shared" si="32"/>
        <v>13</v>
      </c>
      <c r="BG21" s="77">
        <v>0</v>
      </c>
      <c r="BH21" s="77">
        <f t="shared" si="32"/>
        <v>1</v>
      </c>
      <c r="BI21" s="77">
        <f t="shared" si="32"/>
        <v>2</v>
      </c>
      <c r="BJ21" s="77">
        <f t="shared" si="32"/>
        <v>3</v>
      </c>
      <c r="BK21" s="77">
        <f t="shared" si="32"/>
        <v>4</v>
      </c>
      <c r="BL21" s="77">
        <f t="shared" si="32"/>
        <v>5</v>
      </c>
      <c r="BM21" s="77">
        <f t="shared" si="32"/>
        <v>6</v>
      </c>
      <c r="BN21" s="77">
        <f t="shared" si="32"/>
        <v>7</v>
      </c>
      <c r="BO21" s="77">
        <f t="shared" si="32"/>
        <v>8</v>
      </c>
      <c r="BP21" s="77">
        <f t="shared" si="32"/>
        <v>9</v>
      </c>
      <c r="BQ21" s="77">
        <f t="shared" si="32"/>
        <v>10</v>
      </c>
      <c r="BR21" s="77">
        <f t="shared" si="32"/>
        <v>11</v>
      </c>
      <c r="BS21" s="77">
        <f t="shared" si="32"/>
        <v>12</v>
      </c>
      <c r="BT21" s="77">
        <f t="shared" si="32"/>
        <v>13</v>
      </c>
      <c r="BU21" s="77">
        <f t="shared" si="32"/>
        <v>14</v>
      </c>
      <c r="BV21" s="77">
        <f t="shared" si="32"/>
        <v>15</v>
      </c>
      <c r="BW21" s="77">
        <f t="shared" si="32"/>
        <v>16</v>
      </c>
      <c r="BX21" s="77">
        <f t="shared" si="32"/>
        <v>17</v>
      </c>
      <c r="BY21" s="77">
        <f t="shared" si="32"/>
        <v>18</v>
      </c>
      <c r="BZ21" s="77">
        <f t="shared" si="32"/>
        <v>19</v>
      </c>
      <c r="CA21" s="77">
        <f t="shared" si="32"/>
        <v>20</v>
      </c>
      <c r="CB21" s="77">
        <f t="shared" si="32"/>
        <v>21</v>
      </c>
      <c r="CC21" s="77">
        <f t="shared" si="32"/>
        <v>22</v>
      </c>
      <c r="CD21" s="77">
        <f t="shared" si="32"/>
        <v>23</v>
      </c>
      <c r="CE21" s="77">
        <f t="shared" si="32"/>
        <v>24</v>
      </c>
      <c r="CF21" s="77">
        <f t="shared" si="32"/>
        <v>25</v>
      </c>
      <c r="CG21" s="77">
        <f t="shared" si="32"/>
        <v>26</v>
      </c>
      <c r="CH21" s="77">
        <f t="shared" si="32"/>
        <v>27</v>
      </c>
      <c r="CI21" s="77">
        <f t="shared" si="32"/>
        <v>28</v>
      </c>
      <c r="CJ21" s="77">
        <f t="shared" si="32"/>
        <v>29</v>
      </c>
      <c r="CK21" s="77">
        <f t="shared" si="30"/>
        <v>30</v>
      </c>
      <c r="CL21" s="77">
        <f t="shared" si="30"/>
        <v>31</v>
      </c>
      <c r="CM21" s="77">
        <f t="shared" si="30"/>
        <v>32</v>
      </c>
      <c r="CN21" s="77">
        <f t="shared" si="30"/>
        <v>33</v>
      </c>
      <c r="CO21" s="77">
        <f t="shared" si="30"/>
        <v>34</v>
      </c>
      <c r="CP21" s="77">
        <f t="shared" si="30"/>
        <v>35</v>
      </c>
      <c r="CQ21" s="77">
        <f t="shared" si="30"/>
        <v>36</v>
      </c>
      <c r="CR21" s="77">
        <f t="shared" si="30"/>
        <v>37</v>
      </c>
      <c r="CS21" s="77">
        <f t="shared" si="30"/>
        <v>38</v>
      </c>
      <c r="CT21" s="77">
        <f t="shared" si="30"/>
        <v>39</v>
      </c>
      <c r="CU21" s="77">
        <f t="shared" si="30"/>
        <v>40</v>
      </c>
      <c r="CV21" s="77">
        <f t="shared" si="30"/>
        <v>41</v>
      </c>
      <c r="CW21" s="77">
        <f t="shared" si="30"/>
        <v>42</v>
      </c>
      <c r="CX21" s="77">
        <f t="shared" si="30"/>
        <v>43</v>
      </c>
      <c r="CY21" s="77">
        <f t="shared" si="30"/>
        <v>44</v>
      </c>
      <c r="CZ21" s="77">
        <f t="shared" si="30"/>
        <v>45</v>
      </c>
      <c r="DA21" s="77">
        <f t="shared" si="30"/>
        <v>46</v>
      </c>
      <c r="DB21" s="77">
        <f t="shared" si="30"/>
        <v>47</v>
      </c>
      <c r="DC21" s="77">
        <f t="shared" si="30"/>
        <v>48</v>
      </c>
      <c r="DD21" s="77">
        <f t="shared" si="30"/>
        <v>49</v>
      </c>
      <c r="DE21" s="77">
        <f t="shared" si="30"/>
        <v>50</v>
      </c>
      <c r="DF21" s="77">
        <f t="shared" si="30"/>
        <v>51</v>
      </c>
      <c r="DG21" s="77">
        <f t="shared" si="30"/>
        <v>52</v>
      </c>
      <c r="DH21" s="77">
        <f t="shared" si="30"/>
        <v>53</v>
      </c>
      <c r="DI21" s="77">
        <f t="shared" si="30"/>
        <v>54</v>
      </c>
      <c r="DJ21" s="77">
        <f t="shared" si="30"/>
        <v>55</v>
      </c>
      <c r="DK21" s="77">
        <f t="shared" si="30"/>
        <v>56</v>
      </c>
      <c r="DL21" s="77">
        <f t="shared" si="30"/>
        <v>57</v>
      </c>
      <c r="DM21" s="77">
        <f t="shared" si="30"/>
        <v>58</v>
      </c>
      <c r="DN21" s="77">
        <f t="shared" si="30"/>
        <v>59</v>
      </c>
      <c r="DO21" s="77">
        <f t="shared" si="30"/>
        <v>60</v>
      </c>
      <c r="DP21" s="77">
        <f t="shared" si="30"/>
        <v>61</v>
      </c>
      <c r="DQ21" s="77">
        <f t="shared" si="30"/>
        <v>62</v>
      </c>
      <c r="DR21" s="77">
        <f t="shared" si="30"/>
        <v>63</v>
      </c>
      <c r="DS21" s="77">
        <f t="shared" si="30"/>
        <v>64</v>
      </c>
      <c r="DT21" s="77">
        <f t="shared" si="30"/>
        <v>65</v>
      </c>
      <c r="DU21" s="77">
        <f t="shared" si="30"/>
        <v>66</v>
      </c>
      <c r="DV21" s="77">
        <f t="shared" si="30"/>
        <v>67</v>
      </c>
      <c r="DW21" s="77">
        <f t="shared" si="30"/>
        <v>68</v>
      </c>
      <c r="DX21" s="77">
        <f t="shared" si="30"/>
        <v>69</v>
      </c>
      <c r="DY21" s="77">
        <f t="shared" si="30"/>
        <v>70</v>
      </c>
      <c r="DZ21" s="77">
        <f t="shared" si="30"/>
        <v>71</v>
      </c>
      <c r="EA21" s="77">
        <f t="shared" si="30"/>
        <v>72</v>
      </c>
      <c r="EB21" s="77">
        <f t="shared" si="30"/>
        <v>73</v>
      </c>
      <c r="EC21" s="77">
        <f t="shared" si="30"/>
        <v>74</v>
      </c>
      <c r="ED21" s="77">
        <f t="shared" si="30"/>
        <v>75</v>
      </c>
      <c r="EE21" s="77">
        <f t="shared" si="30"/>
        <v>76</v>
      </c>
      <c r="EF21" s="77">
        <f t="shared" si="30"/>
        <v>77</v>
      </c>
      <c r="EG21" s="77">
        <f t="shared" si="30"/>
        <v>78</v>
      </c>
      <c r="EH21" s="77">
        <f t="shared" si="30"/>
        <v>79</v>
      </c>
      <c r="EI21" s="77">
        <f t="shared" si="30"/>
        <v>80</v>
      </c>
      <c r="EJ21" s="77">
        <f t="shared" si="30"/>
        <v>81</v>
      </c>
      <c r="EK21" s="77">
        <f t="shared" si="30"/>
        <v>82</v>
      </c>
      <c r="EL21" s="77">
        <f t="shared" si="30"/>
        <v>83</v>
      </c>
      <c r="EM21" s="77">
        <f t="shared" si="30"/>
        <v>84</v>
      </c>
      <c r="EN21" s="77">
        <f t="shared" si="30"/>
        <v>85</v>
      </c>
      <c r="EO21" s="77">
        <f t="shared" si="30"/>
        <v>86</v>
      </c>
      <c r="EP21" s="77">
        <f t="shared" si="30"/>
        <v>87</v>
      </c>
      <c r="EQ21" s="77">
        <f t="shared" si="30"/>
        <v>88</v>
      </c>
      <c r="ER21" s="77">
        <f t="shared" si="30"/>
        <v>89</v>
      </c>
      <c r="ES21" s="77">
        <f t="shared" si="30"/>
        <v>90</v>
      </c>
      <c r="ET21" s="77">
        <f t="shared" si="30"/>
        <v>91</v>
      </c>
      <c r="EU21" s="77">
        <f t="shared" si="30"/>
        <v>92</v>
      </c>
      <c r="EV21" s="77">
        <f t="shared" si="15"/>
        <v>93</v>
      </c>
      <c r="EW21" s="77">
        <f t="shared" si="33"/>
        <v>94</v>
      </c>
      <c r="EX21" s="77">
        <f t="shared" si="33"/>
        <v>95</v>
      </c>
      <c r="EY21" s="77">
        <f t="shared" si="33"/>
        <v>96</v>
      </c>
      <c r="EZ21" s="77">
        <f t="shared" si="33"/>
        <v>97</v>
      </c>
      <c r="FA21" s="77">
        <f t="shared" si="33"/>
        <v>98</v>
      </c>
      <c r="FB21" s="77">
        <f t="shared" si="33"/>
        <v>99</v>
      </c>
      <c r="FC21" s="77">
        <f t="shared" si="33"/>
        <v>100</v>
      </c>
      <c r="FD21" s="77">
        <f t="shared" si="33"/>
        <v>101</v>
      </c>
      <c r="FE21" s="77">
        <f t="shared" si="33"/>
        <v>102</v>
      </c>
      <c r="FF21" s="77">
        <f t="shared" si="33"/>
        <v>103</v>
      </c>
      <c r="FG21" s="77">
        <f t="shared" si="33"/>
        <v>104</v>
      </c>
      <c r="FH21" s="77">
        <f t="shared" si="33"/>
        <v>105</v>
      </c>
      <c r="FI21" s="77">
        <f t="shared" si="33"/>
        <v>106</v>
      </c>
      <c r="FJ21" s="77">
        <f t="shared" si="33"/>
        <v>107</v>
      </c>
      <c r="FK21" s="77">
        <f t="shared" si="33"/>
        <v>108</v>
      </c>
      <c r="FL21" s="77">
        <f t="shared" si="33"/>
        <v>109</v>
      </c>
      <c r="FM21" s="77">
        <f t="shared" si="33"/>
        <v>110</v>
      </c>
      <c r="FN21" s="77">
        <f t="shared" si="33"/>
        <v>111</v>
      </c>
      <c r="FO21" s="77">
        <f t="shared" si="33"/>
        <v>112</v>
      </c>
      <c r="FP21" s="77">
        <f t="shared" si="33"/>
        <v>113</v>
      </c>
      <c r="FQ21" s="77">
        <f t="shared" si="33"/>
        <v>114</v>
      </c>
      <c r="FR21" s="77">
        <f t="shared" si="33"/>
        <v>115</v>
      </c>
      <c r="FS21" s="77">
        <f t="shared" si="33"/>
        <v>116</v>
      </c>
      <c r="FT21" s="77">
        <f t="shared" si="33"/>
        <v>117</v>
      </c>
      <c r="FU21" s="77">
        <f t="shared" si="33"/>
        <v>118</v>
      </c>
      <c r="FV21" s="77">
        <f t="shared" si="33"/>
        <v>119</v>
      </c>
      <c r="FW21" s="77">
        <f t="shared" si="33"/>
        <v>120</v>
      </c>
      <c r="FX21" s="77">
        <f t="shared" si="33"/>
        <v>121</v>
      </c>
      <c r="FY21" s="77">
        <f t="shared" si="33"/>
        <v>122</v>
      </c>
      <c r="FZ21" s="77">
        <f t="shared" si="33"/>
        <v>123</v>
      </c>
      <c r="GA21" s="77">
        <f t="shared" si="33"/>
        <v>124</v>
      </c>
      <c r="GB21" s="77">
        <f t="shared" si="33"/>
        <v>125</v>
      </c>
      <c r="GC21" s="77">
        <f t="shared" si="33"/>
        <v>126</v>
      </c>
      <c r="GD21" s="77">
        <f t="shared" si="33"/>
        <v>127</v>
      </c>
      <c r="GE21" s="77">
        <f t="shared" si="33"/>
        <v>128</v>
      </c>
      <c r="GF21" s="77">
        <f t="shared" si="33"/>
        <v>129</v>
      </c>
      <c r="GG21" s="77">
        <f t="shared" si="33"/>
        <v>130</v>
      </c>
      <c r="GH21" s="77">
        <f t="shared" si="33"/>
        <v>131</v>
      </c>
      <c r="GI21" s="77">
        <f t="shared" si="33"/>
        <v>132</v>
      </c>
      <c r="GJ21" s="77">
        <f t="shared" si="33"/>
        <v>133</v>
      </c>
      <c r="GK21" s="77">
        <f t="shared" si="33"/>
        <v>134</v>
      </c>
      <c r="GL21" s="77">
        <f t="shared" si="33"/>
        <v>135</v>
      </c>
      <c r="GM21" s="77">
        <f t="shared" si="33"/>
        <v>136</v>
      </c>
      <c r="GN21" s="77">
        <f t="shared" si="33"/>
        <v>137</v>
      </c>
      <c r="GO21" s="77">
        <f t="shared" si="33"/>
        <v>138</v>
      </c>
      <c r="GP21" s="77">
        <f t="shared" si="33"/>
        <v>139</v>
      </c>
      <c r="GQ21" s="77">
        <f t="shared" si="33"/>
        <v>140</v>
      </c>
      <c r="GR21" s="77">
        <f t="shared" si="33"/>
        <v>141</v>
      </c>
      <c r="GS21" s="77">
        <f t="shared" si="33"/>
        <v>142</v>
      </c>
      <c r="GT21" s="77">
        <f t="shared" si="33"/>
        <v>143</v>
      </c>
      <c r="GU21" s="77">
        <f t="shared" si="33"/>
        <v>144</v>
      </c>
      <c r="GV21" s="77">
        <f t="shared" si="33"/>
        <v>145</v>
      </c>
      <c r="GW21" s="77">
        <f t="shared" si="33"/>
        <v>146</v>
      </c>
      <c r="GX21" s="77">
        <f t="shared" si="33"/>
        <v>147</v>
      </c>
    </row>
    <row r="22" spans="1:206" ht="15" customHeight="1" x14ac:dyDescent="0.2">
      <c r="A22" s="22" t="s">
        <v>68</v>
      </c>
      <c r="B22" s="22">
        <v>2</v>
      </c>
      <c r="C22" s="22" t="s">
        <v>102</v>
      </c>
      <c r="D22" s="22">
        <v>21</v>
      </c>
      <c r="E22" s="22" t="s">
        <v>104</v>
      </c>
      <c r="F22" s="22" t="s">
        <v>78</v>
      </c>
      <c r="G22" s="22" t="s">
        <v>79</v>
      </c>
      <c r="H22" s="22">
        <v>2009</v>
      </c>
      <c r="I22" s="22">
        <v>17</v>
      </c>
      <c r="J22" s="22">
        <v>43.34</v>
      </c>
      <c r="K22" s="22">
        <v>0</v>
      </c>
      <c r="L22" s="22">
        <v>6124</v>
      </c>
      <c r="M22" s="22">
        <v>6124</v>
      </c>
      <c r="N22" s="22" t="s">
        <v>95</v>
      </c>
      <c r="O22" s="22" t="s">
        <v>96</v>
      </c>
      <c r="P22" s="22" t="s">
        <v>75</v>
      </c>
      <c r="Q22" s="108">
        <f>IF(R22="","",'Dashboard Ciclos'!$B$2-R22)</f>
        <v>46241</v>
      </c>
      <c r="R22" s="22">
        <f>IF($E22="","",IFERROR(INDEX($W22:$GX22,MATCH('Dashboard Ciclos'!$B$2,$W$1:$GX$1,0)),""))</f>
        <v>8</v>
      </c>
      <c r="S22" s="22" t="str">
        <f t="shared" si="11"/>
        <v>En ciclo</v>
      </c>
      <c r="T22" s="22" t="str">
        <f t="shared" si="3"/>
        <v>En ciclo</v>
      </c>
      <c r="U22" s="22">
        <f t="shared" si="4"/>
        <v>4</v>
      </c>
      <c r="V22" s="23">
        <f t="shared" si="5"/>
        <v>46253</v>
      </c>
      <c r="W22" s="77">
        <f t="shared" si="26"/>
        <v>18</v>
      </c>
      <c r="X22" s="77">
        <f t="shared" si="26"/>
        <v>19</v>
      </c>
      <c r="Y22" s="77">
        <f t="shared" si="26"/>
        <v>20</v>
      </c>
      <c r="Z22" s="77">
        <f t="shared" si="26"/>
        <v>21</v>
      </c>
      <c r="AA22" s="77">
        <v>22</v>
      </c>
      <c r="AB22" s="77">
        <f t="shared" si="28"/>
        <v>23</v>
      </c>
      <c r="AC22" s="77">
        <f t="shared" si="28"/>
        <v>24</v>
      </c>
      <c r="AD22" s="77">
        <f t="shared" si="28"/>
        <v>25</v>
      </c>
      <c r="AE22" s="77">
        <f t="shared" si="28"/>
        <v>26</v>
      </c>
      <c r="AF22" s="77">
        <f t="shared" si="28"/>
        <v>27</v>
      </c>
      <c r="AG22" s="77">
        <f t="shared" si="28"/>
        <v>28</v>
      </c>
      <c r="AH22" s="77">
        <f t="shared" si="28"/>
        <v>29</v>
      </c>
      <c r="AI22" s="77">
        <f t="shared" si="28"/>
        <v>30</v>
      </c>
      <c r="AJ22" s="77">
        <f t="shared" si="28"/>
        <v>31</v>
      </c>
      <c r="AK22" s="77">
        <f t="shared" si="29"/>
        <v>32</v>
      </c>
      <c r="AL22" s="77">
        <f t="shared" si="29"/>
        <v>33</v>
      </c>
      <c r="AM22" s="77">
        <v>0</v>
      </c>
      <c r="AN22" s="77">
        <f t="shared" si="29"/>
        <v>1</v>
      </c>
      <c r="AO22" s="77">
        <f t="shared" si="29"/>
        <v>2</v>
      </c>
      <c r="AP22" s="77">
        <f t="shared" si="29"/>
        <v>3</v>
      </c>
      <c r="AQ22" s="77">
        <f t="shared" si="29"/>
        <v>4</v>
      </c>
      <c r="AR22" s="77">
        <f t="shared" si="27"/>
        <v>5</v>
      </c>
      <c r="AS22" s="77">
        <f t="shared" si="32"/>
        <v>6</v>
      </c>
      <c r="AT22" s="77">
        <f t="shared" si="32"/>
        <v>7</v>
      </c>
      <c r="AU22" s="77">
        <f t="shared" si="32"/>
        <v>8</v>
      </c>
      <c r="AV22" s="77">
        <f t="shared" si="32"/>
        <v>9</v>
      </c>
      <c r="AW22" s="77">
        <f t="shared" si="32"/>
        <v>10</v>
      </c>
      <c r="AX22" s="77">
        <f t="shared" si="32"/>
        <v>11</v>
      </c>
      <c r="AY22" s="77">
        <f t="shared" si="32"/>
        <v>12</v>
      </c>
      <c r="AZ22" s="77">
        <f t="shared" si="32"/>
        <v>13</v>
      </c>
      <c r="BA22" s="77">
        <f t="shared" si="32"/>
        <v>14</v>
      </c>
      <c r="BB22" s="77">
        <f t="shared" si="32"/>
        <v>15</v>
      </c>
      <c r="BC22" s="77">
        <f t="shared" si="32"/>
        <v>16</v>
      </c>
      <c r="BD22" s="77">
        <f t="shared" si="32"/>
        <v>17</v>
      </c>
      <c r="BE22" s="77">
        <f t="shared" si="32"/>
        <v>18</v>
      </c>
      <c r="BF22" s="77">
        <f t="shared" si="32"/>
        <v>19</v>
      </c>
      <c r="BG22" s="77">
        <f t="shared" si="32"/>
        <v>20</v>
      </c>
      <c r="BH22" s="77">
        <v>0</v>
      </c>
      <c r="BI22" s="77">
        <f t="shared" si="32"/>
        <v>1</v>
      </c>
      <c r="BJ22" s="77">
        <f t="shared" si="32"/>
        <v>2</v>
      </c>
      <c r="BK22" s="77">
        <f t="shared" si="32"/>
        <v>3</v>
      </c>
      <c r="BL22" s="77">
        <f t="shared" si="32"/>
        <v>4</v>
      </c>
      <c r="BM22" s="77">
        <f t="shared" si="32"/>
        <v>5</v>
      </c>
      <c r="BN22" s="77">
        <f t="shared" si="32"/>
        <v>6</v>
      </c>
      <c r="BO22" s="77">
        <f t="shared" si="32"/>
        <v>7</v>
      </c>
      <c r="BP22" s="77">
        <f t="shared" si="32"/>
        <v>8</v>
      </c>
      <c r="BQ22" s="77">
        <f t="shared" si="32"/>
        <v>9</v>
      </c>
      <c r="BR22" s="77">
        <f t="shared" si="32"/>
        <v>10</v>
      </c>
      <c r="BS22" s="77">
        <f t="shared" si="32"/>
        <v>11</v>
      </c>
      <c r="BT22" s="77">
        <f t="shared" si="32"/>
        <v>12</v>
      </c>
      <c r="BU22" s="77">
        <f t="shared" si="32"/>
        <v>13</v>
      </c>
      <c r="BV22" s="77">
        <f t="shared" si="32"/>
        <v>14</v>
      </c>
      <c r="BW22" s="77">
        <f t="shared" si="32"/>
        <v>15</v>
      </c>
      <c r="BX22" s="77">
        <f t="shared" si="32"/>
        <v>16</v>
      </c>
      <c r="BY22" s="77">
        <f t="shared" si="32"/>
        <v>17</v>
      </c>
      <c r="BZ22" s="77">
        <f t="shared" si="32"/>
        <v>18</v>
      </c>
      <c r="CA22" s="77">
        <f t="shared" si="32"/>
        <v>19</v>
      </c>
      <c r="CB22" s="77">
        <f t="shared" si="32"/>
        <v>20</v>
      </c>
      <c r="CC22" s="77">
        <f t="shared" si="32"/>
        <v>21</v>
      </c>
      <c r="CD22" s="77">
        <f t="shared" si="32"/>
        <v>22</v>
      </c>
      <c r="CE22" s="77">
        <f t="shared" si="32"/>
        <v>23</v>
      </c>
      <c r="CF22" s="77">
        <f t="shared" si="32"/>
        <v>24</v>
      </c>
      <c r="CG22" s="77">
        <f t="shared" si="32"/>
        <v>25</v>
      </c>
      <c r="CH22" s="77">
        <f t="shared" si="32"/>
        <v>26</v>
      </c>
      <c r="CI22" s="77">
        <f t="shared" si="32"/>
        <v>27</v>
      </c>
      <c r="CJ22" s="77">
        <f t="shared" si="32"/>
        <v>28</v>
      </c>
      <c r="CK22" s="77">
        <f t="shared" si="30"/>
        <v>29</v>
      </c>
      <c r="CL22" s="77">
        <f t="shared" si="30"/>
        <v>30</v>
      </c>
      <c r="CM22" s="77">
        <f t="shared" si="30"/>
        <v>31</v>
      </c>
      <c r="CN22" s="77">
        <f t="shared" si="30"/>
        <v>32</v>
      </c>
      <c r="CO22" s="77">
        <f t="shared" si="30"/>
        <v>33</v>
      </c>
      <c r="CP22" s="77">
        <f t="shared" si="30"/>
        <v>34</v>
      </c>
      <c r="CQ22" s="77">
        <f t="shared" si="30"/>
        <v>35</v>
      </c>
      <c r="CR22" s="77">
        <f t="shared" si="30"/>
        <v>36</v>
      </c>
      <c r="CS22" s="77">
        <f t="shared" si="30"/>
        <v>37</v>
      </c>
      <c r="CT22" s="77">
        <f t="shared" si="30"/>
        <v>38</v>
      </c>
      <c r="CU22" s="77">
        <f t="shared" si="30"/>
        <v>39</v>
      </c>
      <c r="CV22" s="77">
        <f t="shared" si="30"/>
        <v>40</v>
      </c>
      <c r="CW22" s="77">
        <f t="shared" si="30"/>
        <v>41</v>
      </c>
      <c r="CX22" s="77">
        <f t="shared" si="30"/>
        <v>42</v>
      </c>
      <c r="CY22" s="77">
        <f t="shared" si="30"/>
        <v>43</v>
      </c>
      <c r="CZ22" s="77">
        <f t="shared" si="30"/>
        <v>44</v>
      </c>
      <c r="DA22" s="77">
        <f t="shared" si="30"/>
        <v>45</v>
      </c>
      <c r="DB22" s="77">
        <f t="shared" si="30"/>
        <v>46</v>
      </c>
      <c r="DC22" s="77">
        <f t="shared" si="30"/>
        <v>47</v>
      </c>
      <c r="DD22" s="77">
        <f t="shared" si="30"/>
        <v>48</v>
      </c>
      <c r="DE22" s="77">
        <f t="shared" si="30"/>
        <v>49</v>
      </c>
      <c r="DF22" s="77">
        <f t="shared" si="30"/>
        <v>50</v>
      </c>
      <c r="DG22" s="77">
        <f t="shared" si="30"/>
        <v>51</v>
      </c>
      <c r="DH22" s="77">
        <f t="shared" si="30"/>
        <v>52</v>
      </c>
      <c r="DI22" s="77">
        <f t="shared" si="30"/>
        <v>53</v>
      </c>
      <c r="DJ22" s="77">
        <f t="shared" si="30"/>
        <v>54</v>
      </c>
      <c r="DK22" s="77">
        <f t="shared" si="30"/>
        <v>55</v>
      </c>
      <c r="DL22" s="77">
        <f t="shared" si="30"/>
        <v>56</v>
      </c>
      <c r="DM22" s="77">
        <f t="shared" si="30"/>
        <v>57</v>
      </c>
      <c r="DN22" s="77">
        <f t="shared" si="30"/>
        <v>58</v>
      </c>
      <c r="DO22" s="77">
        <f t="shared" si="30"/>
        <v>59</v>
      </c>
      <c r="DP22" s="77">
        <f t="shared" si="30"/>
        <v>60</v>
      </c>
      <c r="DQ22" s="77">
        <f t="shared" si="30"/>
        <v>61</v>
      </c>
      <c r="DR22" s="77">
        <f t="shared" si="30"/>
        <v>62</v>
      </c>
      <c r="DS22" s="77">
        <f t="shared" si="30"/>
        <v>63</v>
      </c>
      <c r="DT22" s="77">
        <f t="shared" si="30"/>
        <v>64</v>
      </c>
      <c r="DU22" s="77">
        <f t="shared" si="30"/>
        <v>65</v>
      </c>
      <c r="DV22" s="77">
        <f t="shared" si="30"/>
        <v>66</v>
      </c>
      <c r="DW22" s="77">
        <f t="shared" si="30"/>
        <v>67</v>
      </c>
      <c r="DX22" s="77">
        <f t="shared" si="30"/>
        <v>68</v>
      </c>
      <c r="DY22" s="77">
        <f t="shared" si="30"/>
        <v>69</v>
      </c>
      <c r="DZ22" s="77">
        <f t="shared" si="30"/>
        <v>70</v>
      </c>
      <c r="EA22" s="77">
        <f t="shared" si="30"/>
        <v>71</v>
      </c>
      <c r="EB22" s="77">
        <f t="shared" si="30"/>
        <v>72</v>
      </c>
      <c r="EC22" s="77">
        <f t="shared" si="30"/>
        <v>73</v>
      </c>
      <c r="ED22" s="77">
        <f t="shared" si="30"/>
        <v>74</v>
      </c>
      <c r="EE22" s="77">
        <f t="shared" si="30"/>
        <v>75</v>
      </c>
      <c r="EF22" s="77">
        <f t="shared" si="30"/>
        <v>76</v>
      </c>
      <c r="EG22" s="77">
        <f t="shared" si="30"/>
        <v>77</v>
      </c>
      <c r="EH22" s="77">
        <f t="shared" si="30"/>
        <v>78</v>
      </c>
      <c r="EI22" s="77">
        <f t="shared" si="30"/>
        <v>79</v>
      </c>
      <c r="EJ22" s="77">
        <f t="shared" si="30"/>
        <v>80</v>
      </c>
      <c r="EK22" s="77">
        <f t="shared" si="30"/>
        <v>81</v>
      </c>
      <c r="EL22" s="77">
        <f t="shared" si="30"/>
        <v>82</v>
      </c>
      <c r="EM22" s="77">
        <f t="shared" si="30"/>
        <v>83</v>
      </c>
      <c r="EN22" s="77">
        <f t="shared" si="30"/>
        <v>84</v>
      </c>
      <c r="EO22" s="77">
        <f t="shared" si="30"/>
        <v>85</v>
      </c>
      <c r="EP22" s="77">
        <f t="shared" si="30"/>
        <v>86</v>
      </c>
      <c r="EQ22" s="77">
        <f t="shared" si="30"/>
        <v>87</v>
      </c>
      <c r="ER22" s="77">
        <f t="shared" si="30"/>
        <v>88</v>
      </c>
      <c r="ES22" s="77">
        <f t="shared" si="30"/>
        <v>89</v>
      </c>
      <c r="ET22" s="77">
        <f t="shared" si="30"/>
        <v>90</v>
      </c>
      <c r="EU22" s="77">
        <f t="shared" si="30"/>
        <v>91</v>
      </c>
      <c r="EV22" s="77">
        <f t="shared" ref="EV22:GX26" si="34">IF(EU22="","",EU22+1)</f>
        <v>92</v>
      </c>
      <c r="EW22" s="77">
        <f t="shared" si="34"/>
        <v>93</v>
      </c>
      <c r="EX22" s="77">
        <f t="shared" si="34"/>
        <v>94</v>
      </c>
      <c r="EY22" s="77">
        <f t="shared" si="34"/>
        <v>95</v>
      </c>
      <c r="EZ22" s="77">
        <f t="shared" si="34"/>
        <v>96</v>
      </c>
      <c r="FA22" s="77">
        <f t="shared" si="34"/>
        <v>97</v>
      </c>
      <c r="FB22" s="77">
        <f t="shared" si="34"/>
        <v>98</v>
      </c>
      <c r="FC22" s="77">
        <f t="shared" si="34"/>
        <v>99</v>
      </c>
      <c r="FD22" s="77">
        <f t="shared" si="34"/>
        <v>100</v>
      </c>
      <c r="FE22" s="77">
        <f t="shared" si="34"/>
        <v>101</v>
      </c>
      <c r="FF22" s="77">
        <f t="shared" si="34"/>
        <v>102</v>
      </c>
      <c r="FG22" s="77">
        <f t="shared" si="34"/>
        <v>103</v>
      </c>
      <c r="FH22" s="77">
        <f t="shared" si="34"/>
        <v>104</v>
      </c>
      <c r="FI22" s="77">
        <f t="shared" si="34"/>
        <v>105</v>
      </c>
      <c r="FJ22" s="77">
        <f t="shared" si="34"/>
        <v>106</v>
      </c>
      <c r="FK22" s="77">
        <f t="shared" si="34"/>
        <v>107</v>
      </c>
      <c r="FL22" s="77">
        <f t="shared" si="34"/>
        <v>108</v>
      </c>
      <c r="FM22" s="77">
        <f t="shared" si="34"/>
        <v>109</v>
      </c>
      <c r="FN22" s="77">
        <f t="shared" si="34"/>
        <v>110</v>
      </c>
      <c r="FO22" s="77">
        <f t="shared" si="34"/>
        <v>111</v>
      </c>
      <c r="FP22" s="77">
        <f t="shared" si="34"/>
        <v>112</v>
      </c>
      <c r="FQ22" s="77">
        <f t="shared" si="34"/>
        <v>113</v>
      </c>
      <c r="FR22" s="77">
        <f t="shared" si="34"/>
        <v>114</v>
      </c>
      <c r="FS22" s="77">
        <f t="shared" si="34"/>
        <v>115</v>
      </c>
      <c r="FT22" s="77">
        <f t="shared" si="34"/>
        <v>116</v>
      </c>
      <c r="FU22" s="77">
        <f t="shared" si="34"/>
        <v>117</v>
      </c>
      <c r="FV22" s="77">
        <f t="shared" si="34"/>
        <v>118</v>
      </c>
      <c r="FW22" s="77">
        <f t="shared" si="34"/>
        <v>119</v>
      </c>
      <c r="FX22" s="77">
        <f t="shared" si="34"/>
        <v>120</v>
      </c>
      <c r="FY22" s="77">
        <f t="shared" si="34"/>
        <v>121</v>
      </c>
      <c r="FZ22" s="77">
        <f t="shared" si="34"/>
        <v>122</v>
      </c>
      <c r="GA22" s="77">
        <f t="shared" si="34"/>
        <v>123</v>
      </c>
      <c r="GB22" s="77">
        <f t="shared" si="34"/>
        <v>124</v>
      </c>
      <c r="GC22" s="77">
        <f t="shared" si="34"/>
        <v>125</v>
      </c>
      <c r="GD22" s="77">
        <f t="shared" si="34"/>
        <v>126</v>
      </c>
      <c r="GE22" s="77">
        <f t="shared" si="34"/>
        <v>127</v>
      </c>
      <c r="GF22" s="77">
        <f t="shared" si="34"/>
        <v>128</v>
      </c>
      <c r="GG22" s="77">
        <f t="shared" si="34"/>
        <v>129</v>
      </c>
      <c r="GH22" s="77">
        <f t="shared" si="34"/>
        <v>130</v>
      </c>
      <c r="GI22" s="77">
        <f t="shared" si="34"/>
        <v>131</v>
      </c>
      <c r="GJ22" s="77">
        <f t="shared" si="34"/>
        <v>132</v>
      </c>
      <c r="GK22" s="77">
        <f t="shared" si="34"/>
        <v>133</v>
      </c>
      <c r="GL22" s="77">
        <f t="shared" si="34"/>
        <v>134</v>
      </c>
      <c r="GM22" s="77">
        <f t="shared" si="34"/>
        <v>135</v>
      </c>
      <c r="GN22" s="77">
        <f t="shared" si="34"/>
        <v>136</v>
      </c>
      <c r="GO22" s="77">
        <f t="shared" si="34"/>
        <v>137</v>
      </c>
      <c r="GP22" s="77">
        <f t="shared" si="34"/>
        <v>138</v>
      </c>
      <c r="GQ22" s="77">
        <f t="shared" si="34"/>
        <v>139</v>
      </c>
      <c r="GR22" s="77">
        <f t="shared" si="34"/>
        <v>140</v>
      </c>
      <c r="GS22" s="77">
        <f t="shared" si="34"/>
        <v>141</v>
      </c>
      <c r="GT22" s="77">
        <f t="shared" si="34"/>
        <v>142</v>
      </c>
      <c r="GU22" s="77">
        <f t="shared" si="34"/>
        <v>143</v>
      </c>
      <c r="GV22" s="77">
        <f t="shared" si="34"/>
        <v>144</v>
      </c>
      <c r="GW22" s="77">
        <f t="shared" si="34"/>
        <v>145</v>
      </c>
      <c r="GX22" s="77">
        <f t="shared" si="34"/>
        <v>146</v>
      </c>
    </row>
    <row r="23" spans="1:206" ht="15" customHeight="1" x14ac:dyDescent="0.2">
      <c r="A23" s="22" t="s">
        <v>68</v>
      </c>
      <c r="B23" s="22">
        <v>2</v>
      </c>
      <c r="C23" s="22" t="s">
        <v>105</v>
      </c>
      <c r="D23" s="22">
        <v>22</v>
      </c>
      <c r="E23" s="22" t="s">
        <v>106</v>
      </c>
      <c r="F23" s="22" t="s">
        <v>81</v>
      </c>
      <c r="G23" s="22" t="s">
        <v>82</v>
      </c>
      <c r="H23" s="22">
        <v>2009</v>
      </c>
      <c r="I23" s="22">
        <v>17</v>
      </c>
      <c r="J23" s="22">
        <v>33.729999999999997</v>
      </c>
      <c r="K23" s="22">
        <v>0</v>
      </c>
      <c r="L23" s="22">
        <v>4743</v>
      </c>
      <c r="M23" s="22">
        <v>4743</v>
      </c>
      <c r="N23" s="22" t="s">
        <v>95</v>
      </c>
      <c r="O23" s="22" t="s">
        <v>96</v>
      </c>
      <c r="P23" s="22" t="s">
        <v>75</v>
      </c>
      <c r="Q23" s="108">
        <f>IF(R23="","",'Dashboard Ciclos'!$B$2-R23)</f>
        <v>46234</v>
      </c>
      <c r="R23" s="22">
        <f>IF($E23="","",IFERROR(INDEX($W23:$GX23,MATCH('Dashboard Ciclos'!$B$2,$W$1:$GX$1,0)),""))</f>
        <v>15</v>
      </c>
      <c r="S23" s="22" t="str">
        <f t="shared" si="11"/>
        <v>Vencido 1-5 d</v>
      </c>
      <c r="T23" s="22" t="str">
        <f t="shared" si="3"/>
        <v>Fuera de ciclo</v>
      </c>
      <c r="U23" s="22">
        <f t="shared" si="4"/>
        <v>-3</v>
      </c>
      <c r="V23" s="23">
        <f t="shared" si="5"/>
        <v>46246</v>
      </c>
      <c r="W23" s="77">
        <f t="shared" si="26"/>
        <v>25</v>
      </c>
      <c r="X23" s="77">
        <f t="shared" si="26"/>
        <v>26</v>
      </c>
      <c r="Y23" s="77">
        <f t="shared" si="26"/>
        <v>27</v>
      </c>
      <c r="Z23" s="77">
        <f t="shared" si="26"/>
        <v>28</v>
      </c>
      <c r="AA23" s="77">
        <v>29</v>
      </c>
      <c r="AB23" s="77">
        <f t="shared" si="28"/>
        <v>30</v>
      </c>
      <c r="AC23" s="77">
        <f t="shared" si="28"/>
        <v>31</v>
      </c>
      <c r="AD23" s="77">
        <f t="shared" si="28"/>
        <v>32</v>
      </c>
      <c r="AE23" s="77">
        <v>0</v>
      </c>
      <c r="AF23" s="77">
        <f t="shared" si="28"/>
        <v>1</v>
      </c>
      <c r="AG23" s="77">
        <f t="shared" si="28"/>
        <v>2</v>
      </c>
      <c r="AH23" s="77">
        <f t="shared" si="28"/>
        <v>3</v>
      </c>
      <c r="AI23" s="77">
        <f t="shared" si="28"/>
        <v>4</v>
      </c>
      <c r="AJ23" s="77">
        <f t="shared" si="28"/>
        <v>5</v>
      </c>
      <c r="AK23" s="77">
        <f t="shared" si="29"/>
        <v>6</v>
      </c>
      <c r="AL23" s="77">
        <f t="shared" si="29"/>
        <v>7</v>
      </c>
      <c r="AM23" s="77">
        <f t="shared" si="29"/>
        <v>8</v>
      </c>
      <c r="AN23" s="77">
        <f t="shared" si="29"/>
        <v>9</v>
      </c>
      <c r="AO23" s="77">
        <f t="shared" si="29"/>
        <v>10</v>
      </c>
      <c r="AP23" s="77">
        <f t="shared" si="29"/>
        <v>11</v>
      </c>
      <c r="AQ23" s="77">
        <f t="shared" si="29"/>
        <v>12</v>
      </c>
      <c r="AR23" s="77">
        <f t="shared" si="27"/>
        <v>13</v>
      </c>
      <c r="AS23" s="77">
        <f t="shared" si="32"/>
        <v>14</v>
      </c>
      <c r="AT23" s="77">
        <f t="shared" si="32"/>
        <v>15</v>
      </c>
      <c r="AU23" s="77">
        <f t="shared" si="32"/>
        <v>16</v>
      </c>
      <c r="AV23" s="77">
        <f t="shared" si="32"/>
        <v>17</v>
      </c>
      <c r="AW23" s="77">
        <f t="shared" si="32"/>
        <v>18</v>
      </c>
      <c r="AX23" s="77">
        <f t="shared" si="32"/>
        <v>19</v>
      </c>
      <c r="AY23" s="77">
        <f t="shared" si="32"/>
        <v>20</v>
      </c>
      <c r="AZ23" s="77">
        <f t="shared" si="32"/>
        <v>21</v>
      </c>
      <c r="BA23" s="77">
        <v>0</v>
      </c>
      <c r="BB23" s="77">
        <f t="shared" si="32"/>
        <v>1</v>
      </c>
      <c r="BC23" s="77">
        <f t="shared" si="32"/>
        <v>2</v>
      </c>
      <c r="BD23" s="77">
        <f t="shared" si="32"/>
        <v>3</v>
      </c>
      <c r="BE23" s="77">
        <f t="shared" si="32"/>
        <v>4</v>
      </c>
      <c r="BF23" s="77">
        <f t="shared" si="32"/>
        <v>5</v>
      </c>
      <c r="BG23" s="77">
        <f t="shared" si="32"/>
        <v>6</v>
      </c>
      <c r="BH23" s="77">
        <f t="shared" si="32"/>
        <v>7</v>
      </c>
      <c r="BI23" s="77">
        <f t="shared" si="32"/>
        <v>8</v>
      </c>
      <c r="BJ23" s="77">
        <f t="shared" si="32"/>
        <v>9</v>
      </c>
      <c r="BK23" s="77">
        <f t="shared" si="32"/>
        <v>10</v>
      </c>
      <c r="BL23" s="77">
        <f t="shared" si="32"/>
        <v>11</v>
      </c>
      <c r="BM23" s="77">
        <f t="shared" si="32"/>
        <v>12</v>
      </c>
      <c r="BN23" s="77">
        <f t="shared" si="32"/>
        <v>13</v>
      </c>
      <c r="BO23" s="77">
        <f t="shared" si="32"/>
        <v>14</v>
      </c>
      <c r="BP23" s="77">
        <f t="shared" si="32"/>
        <v>15</v>
      </c>
      <c r="BQ23" s="77">
        <f t="shared" si="32"/>
        <v>16</v>
      </c>
      <c r="BR23" s="77">
        <f t="shared" si="32"/>
        <v>17</v>
      </c>
      <c r="BS23" s="77">
        <f t="shared" si="32"/>
        <v>18</v>
      </c>
      <c r="BT23" s="77">
        <f t="shared" si="32"/>
        <v>19</v>
      </c>
      <c r="BU23" s="77">
        <f t="shared" si="32"/>
        <v>20</v>
      </c>
      <c r="BV23" s="77">
        <f t="shared" si="32"/>
        <v>21</v>
      </c>
      <c r="BW23" s="77">
        <f t="shared" si="32"/>
        <v>22</v>
      </c>
      <c r="BX23" s="77">
        <f t="shared" si="32"/>
        <v>23</v>
      </c>
      <c r="BY23" s="77">
        <f t="shared" si="32"/>
        <v>24</v>
      </c>
      <c r="BZ23" s="77">
        <f t="shared" si="32"/>
        <v>25</v>
      </c>
      <c r="CA23" s="77">
        <f t="shared" si="32"/>
        <v>26</v>
      </c>
      <c r="CB23" s="77">
        <f t="shared" si="32"/>
        <v>27</v>
      </c>
      <c r="CC23" s="77">
        <f t="shared" si="32"/>
        <v>28</v>
      </c>
      <c r="CD23" s="77">
        <f t="shared" si="32"/>
        <v>29</v>
      </c>
      <c r="CE23" s="77">
        <f t="shared" si="32"/>
        <v>30</v>
      </c>
      <c r="CF23" s="77">
        <f t="shared" si="32"/>
        <v>31</v>
      </c>
      <c r="CG23" s="77">
        <f t="shared" si="32"/>
        <v>32</v>
      </c>
      <c r="CH23" s="77">
        <f t="shared" si="32"/>
        <v>33</v>
      </c>
      <c r="CI23" s="77">
        <f t="shared" si="32"/>
        <v>34</v>
      </c>
      <c r="CJ23" s="77">
        <f t="shared" ref="CJ23:EU26" si="35">IF(CI23="","",CI23+1)</f>
        <v>35</v>
      </c>
      <c r="CK23" s="77">
        <f t="shared" si="35"/>
        <v>36</v>
      </c>
      <c r="CL23" s="77">
        <f t="shared" si="35"/>
        <v>37</v>
      </c>
      <c r="CM23" s="77">
        <f t="shared" si="35"/>
        <v>38</v>
      </c>
      <c r="CN23" s="77">
        <f t="shared" si="35"/>
        <v>39</v>
      </c>
      <c r="CO23" s="77">
        <f t="shared" si="35"/>
        <v>40</v>
      </c>
      <c r="CP23" s="77">
        <f t="shared" si="35"/>
        <v>41</v>
      </c>
      <c r="CQ23" s="77">
        <f t="shared" si="35"/>
        <v>42</v>
      </c>
      <c r="CR23" s="77">
        <f t="shared" si="35"/>
        <v>43</v>
      </c>
      <c r="CS23" s="77">
        <f t="shared" si="35"/>
        <v>44</v>
      </c>
      <c r="CT23" s="77">
        <f t="shared" si="35"/>
        <v>45</v>
      </c>
      <c r="CU23" s="77">
        <f t="shared" si="35"/>
        <v>46</v>
      </c>
      <c r="CV23" s="77">
        <f t="shared" si="35"/>
        <v>47</v>
      </c>
      <c r="CW23" s="77">
        <f t="shared" si="35"/>
        <v>48</v>
      </c>
      <c r="CX23" s="77">
        <f t="shared" si="35"/>
        <v>49</v>
      </c>
      <c r="CY23" s="77">
        <f t="shared" si="35"/>
        <v>50</v>
      </c>
      <c r="CZ23" s="77">
        <f t="shared" si="35"/>
        <v>51</v>
      </c>
      <c r="DA23" s="77">
        <f t="shared" si="35"/>
        <v>52</v>
      </c>
      <c r="DB23" s="77">
        <f t="shared" si="35"/>
        <v>53</v>
      </c>
      <c r="DC23" s="77">
        <f t="shared" si="35"/>
        <v>54</v>
      </c>
      <c r="DD23" s="77">
        <f t="shared" si="35"/>
        <v>55</v>
      </c>
      <c r="DE23" s="77">
        <f t="shared" si="35"/>
        <v>56</v>
      </c>
      <c r="DF23" s="77">
        <f t="shared" si="35"/>
        <v>57</v>
      </c>
      <c r="DG23" s="77">
        <f t="shared" si="35"/>
        <v>58</v>
      </c>
      <c r="DH23" s="77">
        <f t="shared" si="35"/>
        <v>59</v>
      </c>
      <c r="DI23" s="77">
        <f t="shared" si="35"/>
        <v>60</v>
      </c>
      <c r="DJ23" s="77">
        <f t="shared" si="35"/>
        <v>61</v>
      </c>
      <c r="DK23" s="77">
        <f t="shared" si="35"/>
        <v>62</v>
      </c>
      <c r="DL23" s="77">
        <f t="shared" si="35"/>
        <v>63</v>
      </c>
      <c r="DM23" s="77">
        <f t="shared" si="35"/>
        <v>64</v>
      </c>
      <c r="DN23" s="77">
        <f t="shared" si="35"/>
        <v>65</v>
      </c>
      <c r="DO23" s="77">
        <f t="shared" si="35"/>
        <v>66</v>
      </c>
      <c r="DP23" s="77">
        <f t="shared" si="35"/>
        <v>67</v>
      </c>
      <c r="DQ23" s="77">
        <f t="shared" si="35"/>
        <v>68</v>
      </c>
      <c r="DR23" s="77">
        <f t="shared" si="35"/>
        <v>69</v>
      </c>
      <c r="DS23" s="77">
        <f t="shared" si="35"/>
        <v>70</v>
      </c>
      <c r="DT23" s="77">
        <f t="shared" si="35"/>
        <v>71</v>
      </c>
      <c r="DU23" s="77">
        <f t="shared" si="35"/>
        <v>72</v>
      </c>
      <c r="DV23" s="77">
        <f t="shared" si="35"/>
        <v>73</v>
      </c>
      <c r="DW23" s="77">
        <f t="shared" si="35"/>
        <v>74</v>
      </c>
      <c r="DX23" s="77">
        <f t="shared" si="35"/>
        <v>75</v>
      </c>
      <c r="DY23" s="77">
        <f t="shared" si="35"/>
        <v>76</v>
      </c>
      <c r="DZ23" s="77">
        <f t="shared" si="35"/>
        <v>77</v>
      </c>
      <c r="EA23" s="77">
        <f t="shared" si="35"/>
        <v>78</v>
      </c>
      <c r="EB23" s="77">
        <f t="shared" si="35"/>
        <v>79</v>
      </c>
      <c r="EC23" s="77">
        <f t="shared" si="35"/>
        <v>80</v>
      </c>
      <c r="ED23" s="77">
        <f t="shared" si="35"/>
        <v>81</v>
      </c>
      <c r="EE23" s="77">
        <f t="shared" si="35"/>
        <v>82</v>
      </c>
      <c r="EF23" s="77">
        <f t="shared" si="35"/>
        <v>83</v>
      </c>
      <c r="EG23" s="77">
        <f t="shared" si="35"/>
        <v>84</v>
      </c>
      <c r="EH23" s="77">
        <f t="shared" si="35"/>
        <v>85</v>
      </c>
      <c r="EI23" s="77">
        <f t="shared" si="35"/>
        <v>86</v>
      </c>
      <c r="EJ23" s="77">
        <f t="shared" si="35"/>
        <v>87</v>
      </c>
      <c r="EK23" s="77">
        <f t="shared" si="35"/>
        <v>88</v>
      </c>
      <c r="EL23" s="77">
        <f t="shared" si="35"/>
        <v>89</v>
      </c>
      <c r="EM23" s="77">
        <f t="shared" si="35"/>
        <v>90</v>
      </c>
      <c r="EN23" s="77">
        <f t="shared" si="35"/>
        <v>91</v>
      </c>
      <c r="EO23" s="77">
        <f t="shared" si="35"/>
        <v>92</v>
      </c>
      <c r="EP23" s="77">
        <f t="shared" si="35"/>
        <v>93</v>
      </c>
      <c r="EQ23" s="77">
        <f t="shared" si="35"/>
        <v>94</v>
      </c>
      <c r="ER23" s="77">
        <f t="shared" si="35"/>
        <v>95</v>
      </c>
      <c r="ES23" s="77">
        <f t="shared" si="35"/>
        <v>96</v>
      </c>
      <c r="ET23" s="77">
        <f t="shared" si="35"/>
        <v>97</v>
      </c>
      <c r="EU23" s="77">
        <f t="shared" si="35"/>
        <v>98</v>
      </c>
      <c r="EV23" s="77">
        <f t="shared" si="34"/>
        <v>99</v>
      </c>
      <c r="EW23" s="77">
        <f t="shared" si="34"/>
        <v>100</v>
      </c>
      <c r="EX23" s="77">
        <f t="shared" si="34"/>
        <v>101</v>
      </c>
      <c r="EY23" s="77">
        <f t="shared" si="34"/>
        <v>102</v>
      </c>
      <c r="EZ23" s="77">
        <f t="shared" si="34"/>
        <v>103</v>
      </c>
      <c r="FA23" s="77">
        <f t="shared" si="34"/>
        <v>104</v>
      </c>
      <c r="FB23" s="77">
        <f t="shared" si="34"/>
        <v>105</v>
      </c>
      <c r="FC23" s="77">
        <f t="shared" si="34"/>
        <v>106</v>
      </c>
      <c r="FD23" s="77">
        <f t="shared" si="34"/>
        <v>107</v>
      </c>
      <c r="FE23" s="77">
        <f t="shared" si="34"/>
        <v>108</v>
      </c>
      <c r="FF23" s="77">
        <f t="shared" si="34"/>
        <v>109</v>
      </c>
      <c r="FG23" s="77">
        <f t="shared" si="34"/>
        <v>110</v>
      </c>
      <c r="FH23" s="77">
        <f t="shared" si="34"/>
        <v>111</v>
      </c>
      <c r="FI23" s="77">
        <f t="shared" si="34"/>
        <v>112</v>
      </c>
      <c r="FJ23" s="77">
        <f t="shared" si="34"/>
        <v>113</v>
      </c>
      <c r="FK23" s="77">
        <f t="shared" si="34"/>
        <v>114</v>
      </c>
      <c r="FL23" s="77">
        <f t="shared" si="34"/>
        <v>115</v>
      </c>
      <c r="FM23" s="77">
        <f t="shared" si="34"/>
        <v>116</v>
      </c>
      <c r="FN23" s="77">
        <f t="shared" si="34"/>
        <v>117</v>
      </c>
      <c r="FO23" s="77">
        <f t="shared" si="34"/>
        <v>118</v>
      </c>
      <c r="FP23" s="77">
        <f t="shared" si="34"/>
        <v>119</v>
      </c>
      <c r="FQ23" s="77">
        <f t="shared" si="34"/>
        <v>120</v>
      </c>
      <c r="FR23" s="77">
        <f t="shared" si="34"/>
        <v>121</v>
      </c>
      <c r="FS23" s="77">
        <f t="shared" si="34"/>
        <v>122</v>
      </c>
      <c r="FT23" s="77">
        <f t="shared" si="34"/>
        <v>123</v>
      </c>
      <c r="FU23" s="77">
        <f t="shared" si="34"/>
        <v>124</v>
      </c>
      <c r="FV23" s="77">
        <f t="shared" si="34"/>
        <v>125</v>
      </c>
      <c r="FW23" s="77">
        <f t="shared" si="34"/>
        <v>126</v>
      </c>
      <c r="FX23" s="77">
        <f t="shared" si="34"/>
        <v>127</v>
      </c>
      <c r="FY23" s="77">
        <f t="shared" si="34"/>
        <v>128</v>
      </c>
      <c r="FZ23" s="77">
        <f t="shared" si="34"/>
        <v>129</v>
      </c>
      <c r="GA23" s="77">
        <f t="shared" si="34"/>
        <v>130</v>
      </c>
      <c r="GB23" s="77">
        <f t="shared" si="34"/>
        <v>131</v>
      </c>
      <c r="GC23" s="77">
        <f t="shared" si="34"/>
        <v>132</v>
      </c>
      <c r="GD23" s="77">
        <f t="shared" si="34"/>
        <v>133</v>
      </c>
      <c r="GE23" s="77">
        <f t="shared" si="34"/>
        <v>134</v>
      </c>
      <c r="GF23" s="77">
        <f t="shared" si="34"/>
        <v>135</v>
      </c>
      <c r="GG23" s="77">
        <f t="shared" si="34"/>
        <v>136</v>
      </c>
      <c r="GH23" s="77">
        <f t="shared" si="34"/>
        <v>137</v>
      </c>
      <c r="GI23" s="77">
        <f t="shared" si="34"/>
        <v>138</v>
      </c>
      <c r="GJ23" s="77">
        <f t="shared" si="34"/>
        <v>139</v>
      </c>
      <c r="GK23" s="77">
        <f t="shared" si="34"/>
        <v>140</v>
      </c>
      <c r="GL23" s="77">
        <f t="shared" si="34"/>
        <v>141</v>
      </c>
      <c r="GM23" s="77">
        <f t="shared" si="34"/>
        <v>142</v>
      </c>
      <c r="GN23" s="77">
        <f t="shared" si="34"/>
        <v>143</v>
      </c>
      <c r="GO23" s="77">
        <f t="shared" si="34"/>
        <v>144</v>
      </c>
      <c r="GP23" s="77">
        <f t="shared" si="34"/>
        <v>145</v>
      </c>
      <c r="GQ23" s="77">
        <f t="shared" si="34"/>
        <v>146</v>
      </c>
      <c r="GR23" s="77">
        <f t="shared" si="34"/>
        <v>147</v>
      </c>
      <c r="GS23" s="77">
        <f t="shared" si="34"/>
        <v>148</v>
      </c>
      <c r="GT23" s="77">
        <f t="shared" si="34"/>
        <v>149</v>
      </c>
      <c r="GU23" s="77">
        <f t="shared" si="34"/>
        <v>150</v>
      </c>
      <c r="GV23" s="77">
        <f t="shared" si="34"/>
        <v>151</v>
      </c>
      <c r="GW23" s="77">
        <f t="shared" si="34"/>
        <v>152</v>
      </c>
      <c r="GX23" s="77">
        <f t="shared" si="34"/>
        <v>153</v>
      </c>
    </row>
    <row r="24" spans="1:206" ht="15" customHeight="1" x14ac:dyDescent="0.2">
      <c r="A24" s="22" t="s">
        <v>68</v>
      </c>
      <c r="B24" s="22">
        <v>3</v>
      </c>
      <c r="C24" s="22" t="s">
        <v>93</v>
      </c>
      <c r="D24" s="22">
        <v>23</v>
      </c>
      <c r="E24" s="22" t="s">
        <v>107</v>
      </c>
      <c r="F24" s="22" t="s">
        <v>71</v>
      </c>
      <c r="G24" s="22" t="s">
        <v>79</v>
      </c>
      <c r="H24" s="22">
        <v>2009</v>
      </c>
      <c r="I24" s="22">
        <v>17</v>
      </c>
      <c r="J24" s="22">
        <v>40.25</v>
      </c>
      <c r="K24" s="22">
        <v>0</v>
      </c>
      <c r="L24" s="22">
        <v>5711</v>
      </c>
      <c r="M24" s="22">
        <v>5711</v>
      </c>
      <c r="N24" s="22" t="s">
        <v>95</v>
      </c>
      <c r="O24" s="22" t="s">
        <v>96</v>
      </c>
      <c r="P24" s="22" t="s">
        <v>75</v>
      </c>
      <c r="Q24" s="108">
        <f>IF(R24="","",'Dashboard Ciclos'!$B$2-R24)</f>
        <v>46239</v>
      </c>
      <c r="R24" s="22">
        <f>IF($E24="","",IFERROR(INDEX($W24:$GX24,MATCH('Dashboard Ciclos'!$B$2,$W$1:$GX$1,0)),""))</f>
        <v>10</v>
      </c>
      <c r="S24" s="22" t="str">
        <f t="shared" si="11"/>
        <v>En ciclo</v>
      </c>
      <c r="T24" s="22" t="str">
        <f t="shared" si="3"/>
        <v>En ciclo</v>
      </c>
      <c r="U24" s="22">
        <f t="shared" si="4"/>
        <v>2</v>
      </c>
      <c r="V24" s="23">
        <f t="shared" si="5"/>
        <v>46251</v>
      </c>
      <c r="W24" s="77">
        <f t="shared" si="26"/>
        <v>5</v>
      </c>
      <c r="X24" s="77">
        <f t="shared" si="26"/>
        <v>6</v>
      </c>
      <c r="Y24" s="77">
        <f t="shared" si="26"/>
        <v>7</v>
      </c>
      <c r="Z24" s="77">
        <f t="shared" si="26"/>
        <v>8</v>
      </c>
      <c r="AA24" s="77">
        <v>9</v>
      </c>
      <c r="AB24" s="77">
        <f t="shared" si="28"/>
        <v>10</v>
      </c>
      <c r="AC24" s="77">
        <f t="shared" si="28"/>
        <v>11</v>
      </c>
      <c r="AD24" s="77">
        <f t="shared" si="28"/>
        <v>12</v>
      </c>
      <c r="AE24" s="77">
        <f t="shared" si="28"/>
        <v>13</v>
      </c>
      <c r="AF24" s="77">
        <f t="shared" si="28"/>
        <v>14</v>
      </c>
      <c r="AG24" s="77">
        <f t="shared" si="28"/>
        <v>15</v>
      </c>
      <c r="AH24" s="77">
        <f t="shared" si="28"/>
        <v>16</v>
      </c>
      <c r="AI24" s="77">
        <f t="shared" si="28"/>
        <v>17</v>
      </c>
      <c r="AJ24" s="77">
        <f t="shared" si="28"/>
        <v>18</v>
      </c>
      <c r="AK24" s="77">
        <f t="shared" si="29"/>
        <v>19</v>
      </c>
      <c r="AL24" s="77">
        <f t="shared" si="29"/>
        <v>20</v>
      </c>
      <c r="AM24" s="77">
        <v>0</v>
      </c>
      <c r="AN24" s="77">
        <f t="shared" si="29"/>
        <v>1</v>
      </c>
      <c r="AO24" s="77">
        <f t="shared" si="29"/>
        <v>2</v>
      </c>
      <c r="AP24" s="77">
        <f t="shared" si="29"/>
        <v>3</v>
      </c>
      <c r="AQ24" s="77">
        <f t="shared" si="29"/>
        <v>4</v>
      </c>
      <c r="AR24" s="77">
        <f t="shared" si="27"/>
        <v>5</v>
      </c>
      <c r="AS24" s="77">
        <f t="shared" ref="AS24:CJ27" si="36">IF(AR24="","",AR24+1)</f>
        <v>6</v>
      </c>
      <c r="AT24" s="77">
        <f t="shared" si="36"/>
        <v>7</v>
      </c>
      <c r="AU24" s="77">
        <f t="shared" si="36"/>
        <v>8</v>
      </c>
      <c r="AV24" s="77">
        <f t="shared" si="36"/>
        <v>9</v>
      </c>
      <c r="AW24" s="77">
        <f t="shared" si="36"/>
        <v>10</v>
      </c>
      <c r="AX24" s="77">
        <f t="shared" si="36"/>
        <v>11</v>
      </c>
      <c r="AY24" s="77">
        <f t="shared" si="36"/>
        <v>12</v>
      </c>
      <c r="AZ24" s="77">
        <f t="shared" si="36"/>
        <v>13</v>
      </c>
      <c r="BA24" s="77">
        <f t="shared" si="36"/>
        <v>14</v>
      </c>
      <c r="BB24" s="77">
        <f t="shared" si="36"/>
        <v>15</v>
      </c>
      <c r="BC24" s="77">
        <f t="shared" si="36"/>
        <v>16</v>
      </c>
      <c r="BD24" s="77">
        <f t="shared" si="36"/>
        <v>17</v>
      </c>
      <c r="BE24" s="77">
        <f t="shared" si="36"/>
        <v>18</v>
      </c>
      <c r="BF24" s="77">
        <v>0</v>
      </c>
      <c r="BG24" s="77">
        <f t="shared" si="36"/>
        <v>1</v>
      </c>
      <c r="BH24" s="77">
        <f t="shared" si="36"/>
        <v>2</v>
      </c>
      <c r="BI24" s="77">
        <f t="shared" si="36"/>
        <v>3</v>
      </c>
      <c r="BJ24" s="77">
        <f t="shared" si="36"/>
        <v>4</v>
      </c>
      <c r="BK24" s="77">
        <f t="shared" si="36"/>
        <v>5</v>
      </c>
      <c r="BL24" s="77">
        <f t="shared" si="36"/>
        <v>6</v>
      </c>
      <c r="BM24" s="77">
        <f t="shared" si="36"/>
        <v>7</v>
      </c>
      <c r="BN24" s="77">
        <f t="shared" si="36"/>
        <v>8</v>
      </c>
      <c r="BO24" s="77">
        <f t="shared" si="36"/>
        <v>9</v>
      </c>
      <c r="BP24" s="77">
        <f t="shared" si="36"/>
        <v>10</v>
      </c>
      <c r="BQ24" s="77">
        <f t="shared" si="36"/>
        <v>11</v>
      </c>
      <c r="BR24" s="77">
        <f t="shared" si="36"/>
        <v>12</v>
      </c>
      <c r="BS24" s="77">
        <f t="shared" si="36"/>
        <v>13</v>
      </c>
      <c r="BT24" s="77">
        <f t="shared" si="36"/>
        <v>14</v>
      </c>
      <c r="BU24" s="77">
        <f t="shared" si="36"/>
        <v>15</v>
      </c>
      <c r="BV24" s="77">
        <f t="shared" si="36"/>
        <v>16</v>
      </c>
      <c r="BW24" s="77">
        <f t="shared" si="36"/>
        <v>17</v>
      </c>
      <c r="BX24" s="77">
        <f t="shared" si="36"/>
        <v>18</v>
      </c>
      <c r="BY24" s="77">
        <f t="shared" si="36"/>
        <v>19</v>
      </c>
      <c r="BZ24" s="77">
        <f t="shared" si="36"/>
        <v>20</v>
      </c>
      <c r="CA24" s="77">
        <f t="shared" si="36"/>
        <v>21</v>
      </c>
      <c r="CB24" s="77">
        <f t="shared" si="36"/>
        <v>22</v>
      </c>
      <c r="CC24" s="77">
        <f t="shared" si="36"/>
        <v>23</v>
      </c>
      <c r="CD24" s="77">
        <f t="shared" si="36"/>
        <v>24</v>
      </c>
      <c r="CE24" s="77">
        <f t="shared" si="36"/>
        <v>25</v>
      </c>
      <c r="CF24" s="77">
        <f t="shared" si="36"/>
        <v>26</v>
      </c>
      <c r="CG24" s="77">
        <f t="shared" si="36"/>
        <v>27</v>
      </c>
      <c r="CH24" s="77">
        <f t="shared" si="36"/>
        <v>28</v>
      </c>
      <c r="CI24" s="77">
        <f t="shared" si="36"/>
        <v>29</v>
      </c>
      <c r="CJ24" s="77">
        <f t="shared" si="36"/>
        <v>30</v>
      </c>
      <c r="CK24" s="77">
        <f t="shared" si="35"/>
        <v>31</v>
      </c>
      <c r="CL24" s="77">
        <f t="shared" si="35"/>
        <v>32</v>
      </c>
      <c r="CM24" s="77">
        <f t="shared" si="35"/>
        <v>33</v>
      </c>
      <c r="CN24" s="77">
        <f t="shared" si="35"/>
        <v>34</v>
      </c>
      <c r="CO24" s="77">
        <f t="shared" si="35"/>
        <v>35</v>
      </c>
      <c r="CP24" s="77">
        <f t="shared" si="35"/>
        <v>36</v>
      </c>
      <c r="CQ24" s="77">
        <f t="shared" si="35"/>
        <v>37</v>
      </c>
      <c r="CR24" s="77">
        <f t="shared" si="35"/>
        <v>38</v>
      </c>
      <c r="CS24" s="77">
        <f t="shared" si="35"/>
        <v>39</v>
      </c>
      <c r="CT24" s="77">
        <f t="shared" si="35"/>
        <v>40</v>
      </c>
      <c r="CU24" s="77">
        <f t="shared" si="35"/>
        <v>41</v>
      </c>
      <c r="CV24" s="77">
        <f t="shared" si="35"/>
        <v>42</v>
      </c>
      <c r="CW24" s="77">
        <f t="shared" si="35"/>
        <v>43</v>
      </c>
      <c r="CX24" s="77">
        <f t="shared" si="35"/>
        <v>44</v>
      </c>
      <c r="CY24" s="77">
        <f t="shared" si="35"/>
        <v>45</v>
      </c>
      <c r="CZ24" s="77">
        <f t="shared" si="35"/>
        <v>46</v>
      </c>
      <c r="DA24" s="77">
        <f t="shared" si="35"/>
        <v>47</v>
      </c>
      <c r="DB24" s="77">
        <f t="shared" si="35"/>
        <v>48</v>
      </c>
      <c r="DC24" s="77">
        <f t="shared" si="35"/>
        <v>49</v>
      </c>
      <c r="DD24" s="77">
        <f t="shared" si="35"/>
        <v>50</v>
      </c>
      <c r="DE24" s="77">
        <f t="shared" si="35"/>
        <v>51</v>
      </c>
      <c r="DF24" s="77">
        <f t="shared" si="35"/>
        <v>52</v>
      </c>
      <c r="DG24" s="77">
        <f t="shared" si="35"/>
        <v>53</v>
      </c>
      <c r="DH24" s="77">
        <f t="shared" si="35"/>
        <v>54</v>
      </c>
      <c r="DI24" s="77">
        <f t="shared" si="35"/>
        <v>55</v>
      </c>
      <c r="DJ24" s="77">
        <f t="shared" si="35"/>
        <v>56</v>
      </c>
      <c r="DK24" s="77">
        <f t="shared" si="35"/>
        <v>57</v>
      </c>
      <c r="DL24" s="77">
        <f t="shared" si="35"/>
        <v>58</v>
      </c>
      <c r="DM24" s="77">
        <f t="shared" si="35"/>
        <v>59</v>
      </c>
      <c r="DN24" s="77">
        <f t="shared" si="35"/>
        <v>60</v>
      </c>
      <c r="DO24" s="77">
        <f t="shared" si="35"/>
        <v>61</v>
      </c>
      <c r="DP24" s="77">
        <f t="shared" si="35"/>
        <v>62</v>
      </c>
      <c r="DQ24" s="77">
        <f t="shared" si="35"/>
        <v>63</v>
      </c>
      <c r="DR24" s="77">
        <f t="shared" si="35"/>
        <v>64</v>
      </c>
      <c r="DS24" s="77">
        <f t="shared" si="35"/>
        <v>65</v>
      </c>
      <c r="DT24" s="77">
        <f t="shared" si="35"/>
        <v>66</v>
      </c>
      <c r="DU24" s="77">
        <f t="shared" si="35"/>
        <v>67</v>
      </c>
      <c r="DV24" s="77">
        <f t="shared" si="35"/>
        <v>68</v>
      </c>
      <c r="DW24" s="77">
        <f t="shared" si="35"/>
        <v>69</v>
      </c>
      <c r="DX24" s="77">
        <f t="shared" si="35"/>
        <v>70</v>
      </c>
      <c r="DY24" s="77">
        <f t="shared" si="35"/>
        <v>71</v>
      </c>
      <c r="DZ24" s="77">
        <f t="shared" si="35"/>
        <v>72</v>
      </c>
      <c r="EA24" s="77">
        <f t="shared" si="35"/>
        <v>73</v>
      </c>
      <c r="EB24" s="77">
        <f t="shared" si="35"/>
        <v>74</v>
      </c>
      <c r="EC24" s="77">
        <f t="shared" si="35"/>
        <v>75</v>
      </c>
      <c r="ED24" s="77">
        <f t="shared" si="35"/>
        <v>76</v>
      </c>
      <c r="EE24" s="77">
        <f t="shared" si="35"/>
        <v>77</v>
      </c>
      <c r="EF24" s="77">
        <f t="shared" si="35"/>
        <v>78</v>
      </c>
      <c r="EG24" s="77">
        <f t="shared" si="35"/>
        <v>79</v>
      </c>
      <c r="EH24" s="77">
        <f t="shared" si="35"/>
        <v>80</v>
      </c>
      <c r="EI24" s="77">
        <f t="shared" si="35"/>
        <v>81</v>
      </c>
      <c r="EJ24" s="77">
        <f t="shared" si="35"/>
        <v>82</v>
      </c>
      <c r="EK24" s="77">
        <f t="shared" si="35"/>
        <v>83</v>
      </c>
      <c r="EL24" s="77">
        <f t="shared" si="35"/>
        <v>84</v>
      </c>
      <c r="EM24" s="77">
        <f t="shared" si="35"/>
        <v>85</v>
      </c>
      <c r="EN24" s="77">
        <f t="shared" si="35"/>
        <v>86</v>
      </c>
      <c r="EO24" s="77">
        <f t="shared" si="35"/>
        <v>87</v>
      </c>
      <c r="EP24" s="77">
        <f t="shared" si="35"/>
        <v>88</v>
      </c>
      <c r="EQ24" s="77">
        <f t="shared" si="35"/>
        <v>89</v>
      </c>
      <c r="ER24" s="77">
        <f t="shared" si="35"/>
        <v>90</v>
      </c>
      <c r="ES24" s="77">
        <f t="shared" si="35"/>
        <v>91</v>
      </c>
      <c r="ET24" s="77">
        <f t="shared" si="35"/>
        <v>92</v>
      </c>
      <c r="EU24" s="77">
        <f t="shared" si="35"/>
        <v>93</v>
      </c>
      <c r="EV24" s="77">
        <f t="shared" si="34"/>
        <v>94</v>
      </c>
      <c r="EW24" s="77">
        <f t="shared" si="34"/>
        <v>95</v>
      </c>
      <c r="EX24" s="77">
        <f t="shared" si="34"/>
        <v>96</v>
      </c>
      <c r="EY24" s="77">
        <f t="shared" si="34"/>
        <v>97</v>
      </c>
      <c r="EZ24" s="77">
        <f t="shared" si="34"/>
        <v>98</v>
      </c>
      <c r="FA24" s="77">
        <f t="shared" si="34"/>
        <v>99</v>
      </c>
      <c r="FB24" s="77">
        <f t="shared" si="34"/>
        <v>100</v>
      </c>
      <c r="FC24" s="77">
        <f t="shared" si="34"/>
        <v>101</v>
      </c>
      <c r="FD24" s="77">
        <f t="shared" si="34"/>
        <v>102</v>
      </c>
      <c r="FE24" s="77">
        <f t="shared" si="34"/>
        <v>103</v>
      </c>
      <c r="FF24" s="77">
        <f t="shared" si="34"/>
        <v>104</v>
      </c>
      <c r="FG24" s="77">
        <f t="shared" si="34"/>
        <v>105</v>
      </c>
      <c r="FH24" s="77">
        <f t="shared" si="34"/>
        <v>106</v>
      </c>
      <c r="FI24" s="77">
        <f t="shared" si="34"/>
        <v>107</v>
      </c>
      <c r="FJ24" s="77">
        <f t="shared" si="34"/>
        <v>108</v>
      </c>
      <c r="FK24" s="77">
        <f t="shared" si="34"/>
        <v>109</v>
      </c>
      <c r="FL24" s="77">
        <f t="shared" si="34"/>
        <v>110</v>
      </c>
      <c r="FM24" s="77">
        <f t="shared" si="34"/>
        <v>111</v>
      </c>
      <c r="FN24" s="77">
        <f t="shared" si="34"/>
        <v>112</v>
      </c>
      <c r="FO24" s="77">
        <f t="shared" si="34"/>
        <v>113</v>
      </c>
      <c r="FP24" s="77">
        <f t="shared" si="34"/>
        <v>114</v>
      </c>
      <c r="FQ24" s="77">
        <f t="shared" si="34"/>
        <v>115</v>
      </c>
      <c r="FR24" s="77">
        <f t="shared" si="34"/>
        <v>116</v>
      </c>
      <c r="FS24" s="77">
        <f t="shared" si="34"/>
        <v>117</v>
      </c>
      <c r="FT24" s="77">
        <f t="shared" si="34"/>
        <v>118</v>
      </c>
      <c r="FU24" s="77">
        <f t="shared" si="34"/>
        <v>119</v>
      </c>
      <c r="FV24" s="77">
        <f t="shared" si="34"/>
        <v>120</v>
      </c>
      <c r="FW24" s="77">
        <f t="shared" si="34"/>
        <v>121</v>
      </c>
      <c r="FX24" s="77">
        <f t="shared" si="34"/>
        <v>122</v>
      </c>
      <c r="FY24" s="77">
        <f t="shared" si="34"/>
        <v>123</v>
      </c>
      <c r="FZ24" s="77">
        <f t="shared" si="34"/>
        <v>124</v>
      </c>
      <c r="GA24" s="77">
        <f t="shared" si="34"/>
        <v>125</v>
      </c>
      <c r="GB24" s="77">
        <f t="shared" si="34"/>
        <v>126</v>
      </c>
      <c r="GC24" s="77">
        <f t="shared" si="34"/>
        <v>127</v>
      </c>
      <c r="GD24" s="77">
        <f t="shared" si="34"/>
        <v>128</v>
      </c>
      <c r="GE24" s="77">
        <f t="shared" si="34"/>
        <v>129</v>
      </c>
      <c r="GF24" s="77">
        <f t="shared" si="34"/>
        <v>130</v>
      </c>
      <c r="GG24" s="77">
        <f t="shared" si="34"/>
        <v>131</v>
      </c>
      <c r="GH24" s="77">
        <f t="shared" si="34"/>
        <v>132</v>
      </c>
      <c r="GI24" s="77">
        <f t="shared" si="34"/>
        <v>133</v>
      </c>
      <c r="GJ24" s="77">
        <f t="shared" si="34"/>
        <v>134</v>
      </c>
      <c r="GK24" s="77">
        <f t="shared" si="34"/>
        <v>135</v>
      </c>
      <c r="GL24" s="77">
        <f t="shared" si="34"/>
        <v>136</v>
      </c>
      <c r="GM24" s="77">
        <f t="shared" si="34"/>
        <v>137</v>
      </c>
      <c r="GN24" s="77">
        <f t="shared" si="34"/>
        <v>138</v>
      </c>
      <c r="GO24" s="77">
        <f t="shared" si="34"/>
        <v>139</v>
      </c>
      <c r="GP24" s="77">
        <f t="shared" si="34"/>
        <v>140</v>
      </c>
      <c r="GQ24" s="77">
        <f t="shared" si="34"/>
        <v>141</v>
      </c>
      <c r="GR24" s="77">
        <f t="shared" si="34"/>
        <v>142</v>
      </c>
      <c r="GS24" s="77">
        <f t="shared" si="34"/>
        <v>143</v>
      </c>
      <c r="GT24" s="77">
        <f t="shared" si="34"/>
        <v>144</v>
      </c>
      <c r="GU24" s="77">
        <f t="shared" si="34"/>
        <v>145</v>
      </c>
      <c r="GV24" s="77">
        <f t="shared" si="34"/>
        <v>146</v>
      </c>
      <c r="GW24" s="77">
        <f t="shared" si="34"/>
        <v>147</v>
      </c>
      <c r="GX24" s="77">
        <f t="shared" si="34"/>
        <v>148</v>
      </c>
    </row>
    <row r="25" spans="1:206" ht="15" customHeight="1" x14ac:dyDescent="0.2">
      <c r="A25" s="22" t="s">
        <v>68</v>
      </c>
      <c r="B25" s="22">
        <v>3</v>
      </c>
      <c r="C25" s="22" t="s">
        <v>93</v>
      </c>
      <c r="D25" s="22">
        <v>24</v>
      </c>
      <c r="E25" s="22" t="s">
        <v>108</v>
      </c>
      <c r="F25" s="22" t="s">
        <v>78</v>
      </c>
      <c r="G25" s="22" t="s">
        <v>79</v>
      </c>
      <c r="H25" s="22">
        <v>2009</v>
      </c>
      <c r="I25" s="22">
        <v>17</v>
      </c>
      <c r="J25" s="22">
        <v>39.01</v>
      </c>
      <c r="K25" s="22">
        <v>0</v>
      </c>
      <c r="L25" s="22">
        <v>5480</v>
      </c>
      <c r="M25" s="22">
        <v>5480</v>
      </c>
      <c r="N25" s="22" t="s">
        <v>95</v>
      </c>
      <c r="O25" s="22" t="s">
        <v>96</v>
      </c>
      <c r="P25" s="22" t="s">
        <v>75</v>
      </c>
      <c r="Q25" s="108">
        <f>IF(R25="","",'Dashboard Ciclos'!$B$2-R25)</f>
        <v>46233</v>
      </c>
      <c r="R25" s="22">
        <f>IF($E25="","",IFERROR(INDEX($W25:$GX25,MATCH('Dashboard Ciclos'!$B$2,$W$1:$GX$1,0)),""))</f>
        <v>16</v>
      </c>
      <c r="S25" s="22" t="str">
        <f t="shared" si="11"/>
        <v>Vencido 1-5 d</v>
      </c>
      <c r="T25" s="22" t="str">
        <f t="shared" si="3"/>
        <v>Fuera de ciclo</v>
      </c>
      <c r="U25" s="22">
        <f t="shared" si="4"/>
        <v>-4</v>
      </c>
      <c r="V25" s="23">
        <f t="shared" si="5"/>
        <v>46245</v>
      </c>
      <c r="W25" s="77">
        <f t="shared" si="26"/>
        <v>14</v>
      </c>
      <c r="X25" s="77">
        <f t="shared" si="26"/>
        <v>15</v>
      </c>
      <c r="Y25" s="77">
        <f t="shared" si="26"/>
        <v>16</v>
      </c>
      <c r="Z25" s="77">
        <f t="shared" si="26"/>
        <v>17</v>
      </c>
      <c r="AA25" s="77">
        <v>18</v>
      </c>
      <c r="AB25" s="77">
        <f t="shared" si="28"/>
        <v>19</v>
      </c>
      <c r="AC25" s="77">
        <f t="shared" si="28"/>
        <v>20</v>
      </c>
      <c r="AD25" s="77">
        <f t="shared" si="28"/>
        <v>21</v>
      </c>
      <c r="AE25" s="77">
        <f t="shared" si="28"/>
        <v>22</v>
      </c>
      <c r="AF25" s="77">
        <f t="shared" si="28"/>
        <v>23</v>
      </c>
      <c r="AG25" s="77">
        <f t="shared" si="28"/>
        <v>24</v>
      </c>
      <c r="AH25" s="77">
        <v>0</v>
      </c>
      <c r="AI25" s="77">
        <f t="shared" si="28"/>
        <v>1</v>
      </c>
      <c r="AJ25" s="77">
        <f t="shared" si="28"/>
        <v>2</v>
      </c>
      <c r="AK25" s="77">
        <f t="shared" si="29"/>
        <v>3</v>
      </c>
      <c r="AL25" s="77">
        <f t="shared" si="29"/>
        <v>4</v>
      </c>
      <c r="AM25" s="77">
        <f t="shared" si="29"/>
        <v>5</v>
      </c>
      <c r="AN25" s="77">
        <f t="shared" si="29"/>
        <v>6</v>
      </c>
      <c r="AO25" s="77">
        <f t="shared" si="29"/>
        <v>7</v>
      </c>
      <c r="AP25" s="77">
        <f t="shared" si="29"/>
        <v>8</v>
      </c>
      <c r="AQ25" s="77">
        <f t="shared" si="29"/>
        <v>9</v>
      </c>
      <c r="AR25" s="77">
        <f t="shared" si="27"/>
        <v>10</v>
      </c>
      <c r="AS25" s="77">
        <f t="shared" si="36"/>
        <v>11</v>
      </c>
      <c r="AT25" s="77">
        <f t="shared" si="36"/>
        <v>12</v>
      </c>
      <c r="AU25" s="77">
        <f t="shared" si="36"/>
        <v>13</v>
      </c>
      <c r="AV25" s="77">
        <f t="shared" si="36"/>
        <v>14</v>
      </c>
      <c r="AW25" s="77">
        <f t="shared" si="36"/>
        <v>15</v>
      </c>
      <c r="AX25" s="77">
        <f t="shared" si="36"/>
        <v>16</v>
      </c>
      <c r="AY25" s="77">
        <f t="shared" si="36"/>
        <v>17</v>
      </c>
      <c r="AZ25" s="77">
        <v>0</v>
      </c>
      <c r="BA25" s="77">
        <f t="shared" si="36"/>
        <v>1</v>
      </c>
      <c r="BB25" s="77">
        <f t="shared" si="36"/>
        <v>2</v>
      </c>
      <c r="BC25" s="77">
        <f t="shared" si="36"/>
        <v>3</v>
      </c>
      <c r="BD25" s="77">
        <f t="shared" si="36"/>
        <v>4</v>
      </c>
      <c r="BE25" s="77">
        <f t="shared" si="36"/>
        <v>5</v>
      </c>
      <c r="BF25" s="77">
        <f t="shared" si="36"/>
        <v>6</v>
      </c>
      <c r="BG25" s="77">
        <f t="shared" si="36"/>
        <v>7</v>
      </c>
      <c r="BH25" s="77">
        <f t="shared" si="36"/>
        <v>8</v>
      </c>
      <c r="BI25" s="77">
        <f t="shared" si="36"/>
        <v>9</v>
      </c>
      <c r="BJ25" s="77">
        <f t="shared" si="36"/>
        <v>10</v>
      </c>
      <c r="BK25" s="77">
        <f t="shared" si="36"/>
        <v>11</v>
      </c>
      <c r="BL25" s="77">
        <f t="shared" si="36"/>
        <v>12</v>
      </c>
      <c r="BM25" s="77">
        <f t="shared" si="36"/>
        <v>13</v>
      </c>
      <c r="BN25" s="77">
        <f t="shared" si="36"/>
        <v>14</v>
      </c>
      <c r="BO25" s="77">
        <f t="shared" si="36"/>
        <v>15</v>
      </c>
      <c r="BP25" s="77">
        <f t="shared" si="36"/>
        <v>16</v>
      </c>
      <c r="BQ25" s="77">
        <f t="shared" si="36"/>
        <v>17</v>
      </c>
      <c r="BR25" s="77">
        <f t="shared" si="36"/>
        <v>18</v>
      </c>
      <c r="BS25" s="77">
        <f t="shared" si="36"/>
        <v>19</v>
      </c>
      <c r="BT25" s="77">
        <f t="shared" si="36"/>
        <v>20</v>
      </c>
      <c r="BU25" s="77">
        <f t="shared" si="36"/>
        <v>21</v>
      </c>
      <c r="BV25" s="77">
        <f t="shared" si="36"/>
        <v>22</v>
      </c>
      <c r="BW25" s="77">
        <f t="shared" si="36"/>
        <v>23</v>
      </c>
      <c r="BX25" s="77">
        <f t="shared" si="36"/>
        <v>24</v>
      </c>
      <c r="BY25" s="77">
        <f t="shared" si="36"/>
        <v>25</v>
      </c>
      <c r="BZ25" s="77">
        <f t="shared" si="36"/>
        <v>26</v>
      </c>
      <c r="CA25" s="77">
        <f t="shared" si="36"/>
        <v>27</v>
      </c>
      <c r="CB25" s="77">
        <f t="shared" si="36"/>
        <v>28</v>
      </c>
      <c r="CC25" s="77">
        <f t="shared" si="36"/>
        <v>29</v>
      </c>
      <c r="CD25" s="77">
        <f t="shared" si="36"/>
        <v>30</v>
      </c>
      <c r="CE25" s="77">
        <f t="shared" si="36"/>
        <v>31</v>
      </c>
      <c r="CF25" s="77">
        <f t="shared" si="36"/>
        <v>32</v>
      </c>
      <c r="CG25" s="77">
        <f t="shared" si="36"/>
        <v>33</v>
      </c>
      <c r="CH25" s="77">
        <f t="shared" si="36"/>
        <v>34</v>
      </c>
      <c r="CI25" s="77">
        <f t="shared" si="36"/>
        <v>35</v>
      </c>
      <c r="CJ25" s="77">
        <f t="shared" si="36"/>
        <v>36</v>
      </c>
      <c r="CK25" s="77">
        <f t="shared" si="35"/>
        <v>37</v>
      </c>
      <c r="CL25" s="77">
        <f t="shared" si="35"/>
        <v>38</v>
      </c>
      <c r="CM25" s="77">
        <f t="shared" si="35"/>
        <v>39</v>
      </c>
      <c r="CN25" s="77">
        <f t="shared" si="35"/>
        <v>40</v>
      </c>
      <c r="CO25" s="77">
        <f t="shared" si="35"/>
        <v>41</v>
      </c>
      <c r="CP25" s="77">
        <f t="shared" si="35"/>
        <v>42</v>
      </c>
      <c r="CQ25" s="77">
        <f t="shared" si="35"/>
        <v>43</v>
      </c>
      <c r="CR25" s="77">
        <f t="shared" si="35"/>
        <v>44</v>
      </c>
      <c r="CS25" s="77">
        <f t="shared" si="35"/>
        <v>45</v>
      </c>
      <c r="CT25" s="77">
        <f t="shared" si="35"/>
        <v>46</v>
      </c>
      <c r="CU25" s="77">
        <f t="shared" si="35"/>
        <v>47</v>
      </c>
      <c r="CV25" s="77">
        <f t="shared" si="35"/>
        <v>48</v>
      </c>
      <c r="CW25" s="77">
        <f t="shared" si="35"/>
        <v>49</v>
      </c>
      <c r="CX25" s="77">
        <f t="shared" si="35"/>
        <v>50</v>
      </c>
      <c r="CY25" s="77">
        <f t="shared" si="35"/>
        <v>51</v>
      </c>
      <c r="CZ25" s="77">
        <f t="shared" si="35"/>
        <v>52</v>
      </c>
      <c r="DA25" s="77">
        <f t="shared" si="35"/>
        <v>53</v>
      </c>
      <c r="DB25" s="77">
        <f t="shared" si="35"/>
        <v>54</v>
      </c>
      <c r="DC25" s="77">
        <f t="shared" si="35"/>
        <v>55</v>
      </c>
      <c r="DD25" s="77">
        <f t="shared" si="35"/>
        <v>56</v>
      </c>
      <c r="DE25" s="77">
        <f t="shared" si="35"/>
        <v>57</v>
      </c>
      <c r="DF25" s="77">
        <f t="shared" si="35"/>
        <v>58</v>
      </c>
      <c r="DG25" s="77">
        <f t="shared" si="35"/>
        <v>59</v>
      </c>
      <c r="DH25" s="77">
        <f t="shared" si="35"/>
        <v>60</v>
      </c>
      <c r="DI25" s="77">
        <f t="shared" si="35"/>
        <v>61</v>
      </c>
      <c r="DJ25" s="77">
        <f t="shared" si="35"/>
        <v>62</v>
      </c>
      <c r="DK25" s="77">
        <f t="shared" si="35"/>
        <v>63</v>
      </c>
      <c r="DL25" s="77">
        <f t="shared" si="35"/>
        <v>64</v>
      </c>
      <c r="DM25" s="77">
        <f t="shared" si="35"/>
        <v>65</v>
      </c>
      <c r="DN25" s="77">
        <f t="shared" si="35"/>
        <v>66</v>
      </c>
      <c r="DO25" s="77">
        <f t="shared" si="35"/>
        <v>67</v>
      </c>
      <c r="DP25" s="77">
        <f t="shared" si="35"/>
        <v>68</v>
      </c>
      <c r="DQ25" s="77">
        <f t="shared" si="35"/>
        <v>69</v>
      </c>
      <c r="DR25" s="77">
        <f t="shared" si="35"/>
        <v>70</v>
      </c>
      <c r="DS25" s="77">
        <f t="shared" si="35"/>
        <v>71</v>
      </c>
      <c r="DT25" s="77">
        <f t="shared" si="35"/>
        <v>72</v>
      </c>
      <c r="DU25" s="77">
        <f t="shared" si="35"/>
        <v>73</v>
      </c>
      <c r="DV25" s="77">
        <f t="shared" si="35"/>
        <v>74</v>
      </c>
      <c r="DW25" s="77">
        <f t="shared" si="35"/>
        <v>75</v>
      </c>
      <c r="DX25" s="77">
        <f t="shared" si="35"/>
        <v>76</v>
      </c>
      <c r="DY25" s="77">
        <f t="shared" si="35"/>
        <v>77</v>
      </c>
      <c r="DZ25" s="77">
        <f t="shared" si="35"/>
        <v>78</v>
      </c>
      <c r="EA25" s="77">
        <f t="shared" si="35"/>
        <v>79</v>
      </c>
      <c r="EB25" s="77">
        <f t="shared" si="35"/>
        <v>80</v>
      </c>
      <c r="EC25" s="77">
        <f t="shared" si="35"/>
        <v>81</v>
      </c>
      <c r="ED25" s="77">
        <f t="shared" si="35"/>
        <v>82</v>
      </c>
      <c r="EE25" s="77">
        <f t="shared" si="35"/>
        <v>83</v>
      </c>
      <c r="EF25" s="77">
        <f t="shared" si="35"/>
        <v>84</v>
      </c>
      <c r="EG25" s="77">
        <f t="shared" si="35"/>
        <v>85</v>
      </c>
      <c r="EH25" s="77">
        <f t="shared" si="35"/>
        <v>86</v>
      </c>
      <c r="EI25" s="77">
        <f t="shared" si="35"/>
        <v>87</v>
      </c>
      <c r="EJ25" s="77">
        <f t="shared" si="35"/>
        <v>88</v>
      </c>
      <c r="EK25" s="77">
        <f t="shared" si="35"/>
        <v>89</v>
      </c>
      <c r="EL25" s="77">
        <f t="shared" si="35"/>
        <v>90</v>
      </c>
      <c r="EM25" s="77">
        <f t="shared" si="35"/>
        <v>91</v>
      </c>
      <c r="EN25" s="77">
        <f t="shared" si="35"/>
        <v>92</v>
      </c>
      <c r="EO25" s="77">
        <f t="shared" si="35"/>
        <v>93</v>
      </c>
      <c r="EP25" s="77">
        <f t="shared" si="35"/>
        <v>94</v>
      </c>
      <c r="EQ25" s="77">
        <f t="shared" si="35"/>
        <v>95</v>
      </c>
      <c r="ER25" s="77">
        <f t="shared" si="35"/>
        <v>96</v>
      </c>
      <c r="ES25" s="77">
        <f t="shared" si="35"/>
        <v>97</v>
      </c>
      <c r="ET25" s="77">
        <f t="shared" si="35"/>
        <v>98</v>
      </c>
      <c r="EU25" s="77">
        <f t="shared" si="35"/>
        <v>99</v>
      </c>
      <c r="EV25" s="77">
        <f t="shared" si="34"/>
        <v>100</v>
      </c>
      <c r="EW25" s="77">
        <f t="shared" si="34"/>
        <v>101</v>
      </c>
      <c r="EX25" s="77">
        <f t="shared" si="34"/>
        <v>102</v>
      </c>
      <c r="EY25" s="77">
        <f t="shared" si="34"/>
        <v>103</v>
      </c>
      <c r="EZ25" s="77">
        <f t="shared" si="34"/>
        <v>104</v>
      </c>
      <c r="FA25" s="77">
        <f t="shared" si="34"/>
        <v>105</v>
      </c>
      <c r="FB25" s="77">
        <f t="shared" si="34"/>
        <v>106</v>
      </c>
      <c r="FC25" s="77">
        <f t="shared" si="34"/>
        <v>107</v>
      </c>
      <c r="FD25" s="77">
        <f t="shared" si="34"/>
        <v>108</v>
      </c>
      <c r="FE25" s="77">
        <f t="shared" si="34"/>
        <v>109</v>
      </c>
      <c r="FF25" s="77">
        <f t="shared" si="34"/>
        <v>110</v>
      </c>
      <c r="FG25" s="77">
        <f t="shared" si="34"/>
        <v>111</v>
      </c>
      <c r="FH25" s="77">
        <f t="shared" si="34"/>
        <v>112</v>
      </c>
      <c r="FI25" s="77">
        <f t="shared" si="34"/>
        <v>113</v>
      </c>
      <c r="FJ25" s="77">
        <f t="shared" si="34"/>
        <v>114</v>
      </c>
      <c r="FK25" s="77">
        <f t="shared" si="34"/>
        <v>115</v>
      </c>
      <c r="FL25" s="77">
        <f t="shared" si="34"/>
        <v>116</v>
      </c>
      <c r="FM25" s="77">
        <f t="shared" si="34"/>
        <v>117</v>
      </c>
      <c r="FN25" s="77">
        <f t="shared" si="34"/>
        <v>118</v>
      </c>
      <c r="FO25" s="77">
        <f t="shared" si="34"/>
        <v>119</v>
      </c>
      <c r="FP25" s="77">
        <f t="shared" si="34"/>
        <v>120</v>
      </c>
      <c r="FQ25" s="77">
        <f t="shared" si="34"/>
        <v>121</v>
      </c>
      <c r="FR25" s="77">
        <f t="shared" si="34"/>
        <v>122</v>
      </c>
      <c r="FS25" s="77">
        <f t="shared" si="34"/>
        <v>123</v>
      </c>
      <c r="FT25" s="77">
        <f t="shared" si="34"/>
        <v>124</v>
      </c>
      <c r="FU25" s="77">
        <f t="shared" si="34"/>
        <v>125</v>
      </c>
      <c r="FV25" s="77">
        <f t="shared" si="34"/>
        <v>126</v>
      </c>
      <c r="FW25" s="77">
        <f t="shared" si="34"/>
        <v>127</v>
      </c>
      <c r="FX25" s="77">
        <f t="shared" si="34"/>
        <v>128</v>
      </c>
      <c r="FY25" s="77">
        <f t="shared" si="34"/>
        <v>129</v>
      </c>
      <c r="FZ25" s="77">
        <f t="shared" si="34"/>
        <v>130</v>
      </c>
      <c r="GA25" s="77">
        <f t="shared" si="34"/>
        <v>131</v>
      </c>
      <c r="GB25" s="77">
        <f t="shared" si="34"/>
        <v>132</v>
      </c>
      <c r="GC25" s="77">
        <f t="shared" si="34"/>
        <v>133</v>
      </c>
      <c r="GD25" s="77">
        <f t="shared" si="34"/>
        <v>134</v>
      </c>
      <c r="GE25" s="77">
        <f t="shared" si="34"/>
        <v>135</v>
      </c>
      <c r="GF25" s="77">
        <f t="shared" si="34"/>
        <v>136</v>
      </c>
      <c r="GG25" s="77">
        <f t="shared" si="34"/>
        <v>137</v>
      </c>
      <c r="GH25" s="77">
        <f t="shared" si="34"/>
        <v>138</v>
      </c>
      <c r="GI25" s="77">
        <f t="shared" si="34"/>
        <v>139</v>
      </c>
      <c r="GJ25" s="77">
        <f t="shared" si="34"/>
        <v>140</v>
      </c>
      <c r="GK25" s="77">
        <f t="shared" si="34"/>
        <v>141</v>
      </c>
      <c r="GL25" s="77">
        <f t="shared" si="34"/>
        <v>142</v>
      </c>
      <c r="GM25" s="77">
        <f t="shared" si="34"/>
        <v>143</v>
      </c>
      <c r="GN25" s="77">
        <f t="shared" si="34"/>
        <v>144</v>
      </c>
      <c r="GO25" s="77">
        <f t="shared" si="34"/>
        <v>145</v>
      </c>
      <c r="GP25" s="77">
        <f t="shared" si="34"/>
        <v>146</v>
      </c>
      <c r="GQ25" s="77">
        <f t="shared" si="34"/>
        <v>147</v>
      </c>
      <c r="GR25" s="77">
        <f t="shared" si="34"/>
        <v>148</v>
      </c>
      <c r="GS25" s="77">
        <f t="shared" si="34"/>
        <v>149</v>
      </c>
      <c r="GT25" s="77">
        <f t="shared" si="34"/>
        <v>150</v>
      </c>
      <c r="GU25" s="77">
        <f t="shared" si="34"/>
        <v>151</v>
      </c>
      <c r="GV25" s="77">
        <f t="shared" si="34"/>
        <v>152</v>
      </c>
      <c r="GW25" s="77">
        <f t="shared" si="34"/>
        <v>153</v>
      </c>
      <c r="GX25" s="77">
        <f t="shared" si="34"/>
        <v>154</v>
      </c>
    </row>
    <row r="26" spans="1:206" ht="15" customHeight="1" x14ac:dyDescent="0.2">
      <c r="A26" s="22" t="s">
        <v>68</v>
      </c>
      <c r="B26" s="22">
        <v>3</v>
      </c>
      <c r="C26" s="22" t="s">
        <v>93</v>
      </c>
      <c r="D26" s="22">
        <v>25</v>
      </c>
      <c r="E26" s="22" t="s">
        <v>109</v>
      </c>
      <c r="F26" s="22" t="s">
        <v>71</v>
      </c>
      <c r="G26" s="22" t="s">
        <v>72</v>
      </c>
      <c r="H26" s="22">
        <v>2009</v>
      </c>
      <c r="I26" s="22">
        <v>17</v>
      </c>
      <c r="J26" s="22">
        <v>48.99</v>
      </c>
      <c r="K26" s="22">
        <v>41</v>
      </c>
      <c r="L26" s="22">
        <v>7024</v>
      </c>
      <c r="M26" s="22">
        <v>6983</v>
      </c>
      <c r="N26" s="22" t="s">
        <v>95</v>
      </c>
      <c r="O26" s="22" t="s">
        <v>96</v>
      </c>
      <c r="P26" s="22" t="s">
        <v>75</v>
      </c>
      <c r="Q26" s="108">
        <f>IF(R26="","",'Dashboard Ciclos'!$B$2-R26)</f>
        <v>46248</v>
      </c>
      <c r="R26" s="22">
        <f>IF($E26="","",IFERROR(INDEX($W26:$GX26,MATCH('Dashboard Ciclos'!$B$2,$W$1:$GX$1,0)),""))</f>
        <v>1</v>
      </c>
      <c r="S26" s="22" t="str">
        <f t="shared" si="11"/>
        <v>En ciclo</v>
      </c>
      <c r="T26" s="22" t="str">
        <f t="shared" si="3"/>
        <v>Recién cortado</v>
      </c>
      <c r="U26" s="22">
        <f t="shared" si="4"/>
        <v>11</v>
      </c>
      <c r="V26" s="23">
        <f t="shared" si="5"/>
        <v>46260</v>
      </c>
      <c r="W26" s="77">
        <f t="shared" si="26"/>
        <v>14</v>
      </c>
      <c r="X26" s="77">
        <f t="shared" si="26"/>
        <v>15</v>
      </c>
      <c r="Y26" s="77">
        <f t="shared" si="26"/>
        <v>16</v>
      </c>
      <c r="Z26" s="77">
        <f t="shared" si="26"/>
        <v>17</v>
      </c>
      <c r="AA26" s="77">
        <v>18</v>
      </c>
      <c r="AB26" s="77">
        <f t="shared" si="28"/>
        <v>19</v>
      </c>
      <c r="AC26" s="77">
        <f t="shared" si="28"/>
        <v>20</v>
      </c>
      <c r="AD26" s="77">
        <f t="shared" si="28"/>
        <v>21</v>
      </c>
      <c r="AE26" s="77">
        <f t="shared" si="28"/>
        <v>22</v>
      </c>
      <c r="AF26" s="77">
        <f t="shared" si="28"/>
        <v>23</v>
      </c>
      <c r="AG26" s="77">
        <f t="shared" si="28"/>
        <v>24</v>
      </c>
      <c r="AH26" s="77">
        <v>0</v>
      </c>
      <c r="AI26" s="77">
        <f t="shared" si="28"/>
        <v>1</v>
      </c>
      <c r="AJ26" s="77">
        <f t="shared" si="28"/>
        <v>2</v>
      </c>
      <c r="AK26" s="77">
        <f t="shared" si="29"/>
        <v>3</v>
      </c>
      <c r="AL26" s="77">
        <f t="shared" si="29"/>
        <v>4</v>
      </c>
      <c r="AM26" s="77">
        <f t="shared" si="29"/>
        <v>5</v>
      </c>
      <c r="AN26" s="77">
        <f t="shared" si="29"/>
        <v>6</v>
      </c>
      <c r="AO26" s="77">
        <f t="shared" si="29"/>
        <v>7</v>
      </c>
      <c r="AP26" s="77">
        <f t="shared" si="29"/>
        <v>8</v>
      </c>
      <c r="AQ26" s="77">
        <f t="shared" si="29"/>
        <v>9</v>
      </c>
      <c r="AR26" s="77">
        <f t="shared" si="27"/>
        <v>10</v>
      </c>
      <c r="AS26" s="77">
        <f t="shared" si="36"/>
        <v>11</v>
      </c>
      <c r="AT26" s="77">
        <f t="shared" si="36"/>
        <v>12</v>
      </c>
      <c r="AU26" s="77">
        <f t="shared" si="36"/>
        <v>13</v>
      </c>
      <c r="AV26" s="77">
        <f t="shared" si="36"/>
        <v>14</v>
      </c>
      <c r="AW26" s="77">
        <f t="shared" si="36"/>
        <v>15</v>
      </c>
      <c r="AX26" s="77">
        <f t="shared" si="36"/>
        <v>16</v>
      </c>
      <c r="AY26" s="77">
        <f t="shared" si="36"/>
        <v>17</v>
      </c>
      <c r="AZ26" s="77">
        <f t="shared" si="36"/>
        <v>18</v>
      </c>
      <c r="BA26" s="77">
        <v>0</v>
      </c>
      <c r="BB26" s="77">
        <f t="shared" si="36"/>
        <v>1</v>
      </c>
      <c r="BC26" s="77">
        <f t="shared" si="36"/>
        <v>2</v>
      </c>
      <c r="BD26" s="77">
        <f t="shared" si="36"/>
        <v>3</v>
      </c>
      <c r="BE26" s="77">
        <f t="shared" si="36"/>
        <v>4</v>
      </c>
      <c r="BF26" s="77">
        <f t="shared" si="36"/>
        <v>5</v>
      </c>
      <c r="BG26" s="77">
        <f t="shared" si="36"/>
        <v>6</v>
      </c>
      <c r="BH26" s="77">
        <f t="shared" si="36"/>
        <v>7</v>
      </c>
      <c r="BI26" s="77">
        <f t="shared" si="36"/>
        <v>8</v>
      </c>
      <c r="BJ26" s="77">
        <f t="shared" si="36"/>
        <v>9</v>
      </c>
      <c r="BK26" s="77">
        <f t="shared" si="36"/>
        <v>10</v>
      </c>
      <c r="BL26" s="77">
        <f t="shared" si="36"/>
        <v>11</v>
      </c>
      <c r="BM26" s="77">
        <f t="shared" si="36"/>
        <v>12</v>
      </c>
      <c r="BN26" s="77">
        <f t="shared" si="36"/>
        <v>13</v>
      </c>
      <c r="BO26" s="77">
        <v>0</v>
      </c>
      <c r="BP26" s="77">
        <f t="shared" si="36"/>
        <v>1</v>
      </c>
      <c r="BQ26" s="77">
        <f t="shared" si="36"/>
        <v>2</v>
      </c>
      <c r="BR26" s="77">
        <f t="shared" si="36"/>
        <v>3</v>
      </c>
      <c r="BS26" s="77">
        <f t="shared" si="36"/>
        <v>4</v>
      </c>
      <c r="BT26" s="77">
        <f t="shared" si="36"/>
        <v>5</v>
      </c>
      <c r="BU26" s="77">
        <f t="shared" si="36"/>
        <v>6</v>
      </c>
      <c r="BV26" s="77">
        <f t="shared" si="36"/>
        <v>7</v>
      </c>
      <c r="BW26" s="77">
        <f t="shared" si="36"/>
        <v>8</v>
      </c>
      <c r="BX26" s="77">
        <f t="shared" si="36"/>
        <v>9</v>
      </c>
      <c r="BY26" s="77">
        <f t="shared" si="36"/>
        <v>10</v>
      </c>
      <c r="BZ26" s="77">
        <f t="shared" si="36"/>
        <v>11</v>
      </c>
      <c r="CA26" s="77">
        <f t="shared" si="36"/>
        <v>12</v>
      </c>
      <c r="CB26" s="77">
        <f t="shared" si="36"/>
        <v>13</v>
      </c>
      <c r="CC26" s="77">
        <f t="shared" si="36"/>
        <v>14</v>
      </c>
      <c r="CD26" s="77">
        <f t="shared" si="36"/>
        <v>15</v>
      </c>
      <c r="CE26" s="77">
        <f t="shared" si="36"/>
        <v>16</v>
      </c>
      <c r="CF26" s="77">
        <f t="shared" si="36"/>
        <v>17</v>
      </c>
      <c r="CG26" s="77">
        <f t="shared" si="36"/>
        <v>18</v>
      </c>
      <c r="CH26" s="77">
        <f t="shared" si="36"/>
        <v>19</v>
      </c>
      <c r="CI26" s="77">
        <f t="shared" si="36"/>
        <v>20</v>
      </c>
      <c r="CJ26" s="77">
        <f t="shared" si="36"/>
        <v>21</v>
      </c>
      <c r="CK26" s="77">
        <f t="shared" si="35"/>
        <v>22</v>
      </c>
      <c r="CL26" s="77">
        <f t="shared" si="35"/>
        <v>23</v>
      </c>
      <c r="CM26" s="77">
        <f t="shared" si="35"/>
        <v>24</v>
      </c>
      <c r="CN26" s="77">
        <f t="shared" si="35"/>
        <v>25</v>
      </c>
      <c r="CO26" s="77">
        <f t="shared" si="35"/>
        <v>26</v>
      </c>
      <c r="CP26" s="77">
        <f t="shared" si="35"/>
        <v>27</v>
      </c>
      <c r="CQ26" s="77">
        <f t="shared" si="35"/>
        <v>28</v>
      </c>
      <c r="CR26" s="77">
        <f t="shared" si="35"/>
        <v>29</v>
      </c>
      <c r="CS26" s="77">
        <f t="shared" si="35"/>
        <v>30</v>
      </c>
      <c r="CT26" s="77">
        <f t="shared" si="35"/>
        <v>31</v>
      </c>
      <c r="CU26" s="77">
        <f t="shared" si="35"/>
        <v>32</v>
      </c>
      <c r="CV26" s="77">
        <f t="shared" si="35"/>
        <v>33</v>
      </c>
      <c r="CW26" s="77">
        <f t="shared" si="35"/>
        <v>34</v>
      </c>
      <c r="CX26" s="77">
        <f t="shared" si="35"/>
        <v>35</v>
      </c>
      <c r="CY26" s="77">
        <f t="shared" si="35"/>
        <v>36</v>
      </c>
      <c r="CZ26" s="77">
        <f t="shared" si="35"/>
        <v>37</v>
      </c>
      <c r="DA26" s="77">
        <f t="shared" si="35"/>
        <v>38</v>
      </c>
      <c r="DB26" s="77">
        <f t="shared" si="35"/>
        <v>39</v>
      </c>
      <c r="DC26" s="77">
        <f t="shared" si="35"/>
        <v>40</v>
      </c>
      <c r="DD26" s="77">
        <f t="shared" si="35"/>
        <v>41</v>
      </c>
      <c r="DE26" s="77">
        <f t="shared" si="35"/>
        <v>42</v>
      </c>
      <c r="DF26" s="77">
        <f t="shared" si="35"/>
        <v>43</v>
      </c>
      <c r="DG26" s="77">
        <f t="shared" si="35"/>
        <v>44</v>
      </c>
      <c r="DH26" s="77">
        <f t="shared" si="35"/>
        <v>45</v>
      </c>
      <c r="DI26" s="77">
        <f t="shared" si="35"/>
        <v>46</v>
      </c>
      <c r="DJ26" s="77">
        <f t="shared" si="35"/>
        <v>47</v>
      </c>
      <c r="DK26" s="77">
        <f t="shared" si="35"/>
        <v>48</v>
      </c>
      <c r="DL26" s="77">
        <f t="shared" si="35"/>
        <v>49</v>
      </c>
      <c r="DM26" s="77">
        <f t="shared" si="35"/>
        <v>50</v>
      </c>
      <c r="DN26" s="77">
        <f t="shared" si="35"/>
        <v>51</v>
      </c>
      <c r="DO26" s="77">
        <f t="shared" si="35"/>
        <v>52</v>
      </c>
      <c r="DP26" s="77">
        <f t="shared" si="35"/>
        <v>53</v>
      </c>
      <c r="DQ26" s="77">
        <f t="shared" si="35"/>
        <v>54</v>
      </c>
      <c r="DR26" s="77">
        <f t="shared" si="35"/>
        <v>55</v>
      </c>
      <c r="DS26" s="77">
        <f t="shared" si="35"/>
        <v>56</v>
      </c>
      <c r="DT26" s="77">
        <f t="shared" si="35"/>
        <v>57</v>
      </c>
      <c r="DU26" s="77">
        <f t="shared" si="35"/>
        <v>58</v>
      </c>
      <c r="DV26" s="77">
        <f t="shared" si="35"/>
        <v>59</v>
      </c>
      <c r="DW26" s="77">
        <f t="shared" si="35"/>
        <v>60</v>
      </c>
      <c r="DX26" s="77">
        <f t="shared" si="35"/>
        <v>61</v>
      </c>
      <c r="DY26" s="77">
        <f t="shared" si="35"/>
        <v>62</v>
      </c>
      <c r="DZ26" s="77">
        <f t="shared" si="35"/>
        <v>63</v>
      </c>
      <c r="EA26" s="77">
        <f t="shared" si="35"/>
        <v>64</v>
      </c>
      <c r="EB26" s="77">
        <f t="shared" si="35"/>
        <v>65</v>
      </c>
      <c r="EC26" s="77">
        <f t="shared" si="35"/>
        <v>66</v>
      </c>
      <c r="ED26" s="77">
        <f t="shared" si="35"/>
        <v>67</v>
      </c>
      <c r="EE26" s="77">
        <f t="shared" si="35"/>
        <v>68</v>
      </c>
      <c r="EF26" s="77">
        <f t="shared" si="35"/>
        <v>69</v>
      </c>
      <c r="EG26" s="77">
        <f t="shared" si="35"/>
        <v>70</v>
      </c>
      <c r="EH26" s="77">
        <f t="shared" si="35"/>
        <v>71</v>
      </c>
      <c r="EI26" s="77">
        <f t="shared" si="35"/>
        <v>72</v>
      </c>
      <c r="EJ26" s="77">
        <f t="shared" si="35"/>
        <v>73</v>
      </c>
      <c r="EK26" s="77">
        <f t="shared" si="35"/>
        <v>74</v>
      </c>
      <c r="EL26" s="77">
        <f t="shared" si="35"/>
        <v>75</v>
      </c>
      <c r="EM26" s="77">
        <f t="shared" si="35"/>
        <v>76</v>
      </c>
      <c r="EN26" s="77">
        <f t="shared" si="35"/>
        <v>77</v>
      </c>
      <c r="EO26" s="77">
        <f t="shared" si="35"/>
        <v>78</v>
      </c>
      <c r="EP26" s="77">
        <f t="shared" si="35"/>
        <v>79</v>
      </c>
      <c r="EQ26" s="77">
        <f t="shared" si="35"/>
        <v>80</v>
      </c>
      <c r="ER26" s="77">
        <f t="shared" si="35"/>
        <v>81</v>
      </c>
      <c r="ES26" s="77">
        <f t="shared" si="35"/>
        <v>82</v>
      </c>
      <c r="ET26" s="77">
        <f t="shared" si="35"/>
        <v>83</v>
      </c>
      <c r="EU26" s="77">
        <f t="shared" si="35"/>
        <v>84</v>
      </c>
      <c r="EV26" s="77">
        <f t="shared" si="34"/>
        <v>85</v>
      </c>
      <c r="EW26" s="77">
        <f t="shared" si="34"/>
        <v>86</v>
      </c>
      <c r="EX26" s="77">
        <f t="shared" si="34"/>
        <v>87</v>
      </c>
      <c r="EY26" s="77">
        <f t="shared" si="34"/>
        <v>88</v>
      </c>
      <c r="EZ26" s="77">
        <f t="shared" si="34"/>
        <v>89</v>
      </c>
      <c r="FA26" s="77">
        <f t="shared" si="34"/>
        <v>90</v>
      </c>
      <c r="FB26" s="77">
        <f t="shared" si="34"/>
        <v>91</v>
      </c>
      <c r="FC26" s="77">
        <f t="shared" si="34"/>
        <v>92</v>
      </c>
      <c r="FD26" s="77">
        <f t="shared" si="34"/>
        <v>93</v>
      </c>
      <c r="FE26" s="77">
        <f t="shared" si="34"/>
        <v>94</v>
      </c>
      <c r="FF26" s="77">
        <f t="shared" si="34"/>
        <v>95</v>
      </c>
      <c r="FG26" s="77">
        <f t="shared" si="34"/>
        <v>96</v>
      </c>
      <c r="FH26" s="77">
        <f t="shared" si="34"/>
        <v>97</v>
      </c>
      <c r="FI26" s="77">
        <f t="shared" si="34"/>
        <v>98</v>
      </c>
      <c r="FJ26" s="77">
        <f t="shared" si="34"/>
        <v>99</v>
      </c>
      <c r="FK26" s="77">
        <f t="shared" si="34"/>
        <v>100</v>
      </c>
      <c r="FL26" s="77">
        <f t="shared" si="34"/>
        <v>101</v>
      </c>
      <c r="FM26" s="77">
        <f t="shared" si="34"/>
        <v>102</v>
      </c>
      <c r="FN26" s="77">
        <f t="shared" si="34"/>
        <v>103</v>
      </c>
      <c r="FO26" s="77">
        <f t="shared" si="34"/>
        <v>104</v>
      </c>
      <c r="FP26" s="77">
        <f t="shared" si="34"/>
        <v>105</v>
      </c>
      <c r="FQ26" s="77">
        <f t="shared" si="34"/>
        <v>106</v>
      </c>
      <c r="FR26" s="77">
        <f t="shared" si="34"/>
        <v>107</v>
      </c>
      <c r="FS26" s="77">
        <f t="shared" si="34"/>
        <v>108</v>
      </c>
      <c r="FT26" s="77">
        <f t="shared" si="34"/>
        <v>109</v>
      </c>
      <c r="FU26" s="77">
        <f t="shared" si="34"/>
        <v>110</v>
      </c>
      <c r="FV26" s="77">
        <f t="shared" si="34"/>
        <v>111</v>
      </c>
      <c r="FW26" s="77">
        <f t="shared" si="34"/>
        <v>112</v>
      </c>
      <c r="FX26" s="77">
        <f t="shared" si="34"/>
        <v>113</v>
      </c>
      <c r="FY26" s="77">
        <f t="shared" si="34"/>
        <v>114</v>
      </c>
      <c r="FZ26" s="77">
        <f t="shared" si="34"/>
        <v>115</v>
      </c>
      <c r="GA26" s="77">
        <f t="shared" si="34"/>
        <v>116</v>
      </c>
      <c r="GB26" s="77">
        <f t="shared" si="34"/>
        <v>117</v>
      </c>
      <c r="GC26" s="77">
        <f t="shared" si="34"/>
        <v>118</v>
      </c>
      <c r="GD26" s="77">
        <f t="shared" si="34"/>
        <v>119</v>
      </c>
      <c r="GE26" s="77">
        <f t="shared" ref="GE26:GX26" si="37">IF(GD26="","",GD26+1)</f>
        <v>120</v>
      </c>
      <c r="GF26" s="77">
        <f t="shared" si="37"/>
        <v>121</v>
      </c>
      <c r="GG26" s="77">
        <f t="shared" si="37"/>
        <v>122</v>
      </c>
      <c r="GH26" s="77">
        <f t="shared" si="37"/>
        <v>123</v>
      </c>
      <c r="GI26" s="77">
        <f t="shared" si="37"/>
        <v>124</v>
      </c>
      <c r="GJ26" s="77">
        <f t="shared" si="37"/>
        <v>125</v>
      </c>
      <c r="GK26" s="77">
        <f t="shared" si="37"/>
        <v>126</v>
      </c>
      <c r="GL26" s="77">
        <f t="shared" si="37"/>
        <v>127</v>
      </c>
      <c r="GM26" s="77">
        <f t="shared" si="37"/>
        <v>128</v>
      </c>
      <c r="GN26" s="77">
        <f t="shared" si="37"/>
        <v>129</v>
      </c>
      <c r="GO26" s="77">
        <f t="shared" si="37"/>
        <v>130</v>
      </c>
      <c r="GP26" s="77">
        <f t="shared" si="37"/>
        <v>131</v>
      </c>
      <c r="GQ26" s="77">
        <f t="shared" si="37"/>
        <v>132</v>
      </c>
      <c r="GR26" s="77">
        <f t="shared" si="37"/>
        <v>133</v>
      </c>
      <c r="GS26" s="77">
        <f t="shared" si="37"/>
        <v>134</v>
      </c>
      <c r="GT26" s="77">
        <f t="shared" si="37"/>
        <v>135</v>
      </c>
      <c r="GU26" s="77">
        <f t="shared" si="37"/>
        <v>136</v>
      </c>
      <c r="GV26" s="77">
        <f t="shared" si="37"/>
        <v>137</v>
      </c>
      <c r="GW26" s="77">
        <f t="shared" si="37"/>
        <v>138</v>
      </c>
      <c r="GX26" s="77">
        <f t="shared" si="37"/>
        <v>139</v>
      </c>
    </row>
    <row r="27" spans="1:206" ht="15" customHeight="1" x14ac:dyDescent="0.2">
      <c r="A27" s="22" t="s">
        <v>68</v>
      </c>
      <c r="B27" s="22">
        <v>3</v>
      </c>
      <c r="C27" s="22" t="s">
        <v>105</v>
      </c>
      <c r="D27" s="22">
        <v>26</v>
      </c>
      <c r="E27" s="22" t="s">
        <v>110</v>
      </c>
      <c r="F27" s="22" t="s">
        <v>81</v>
      </c>
      <c r="G27" s="22" t="s">
        <v>82</v>
      </c>
      <c r="H27" s="22">
        <v>2009</v>
      </c>
      <c r="I27" s="22">
        <v>17</v>
      </c>
      <c r="J27" s="22">
        <v>39.67</v>
      </c>
      <c r="K27" s="22">
        <v>143</v>
      </c>
      <c r="L27" s="22">
        <v>5673</v>
      </c>
      <c r="M27" s="22">
        <v>5530</v>
      </c>
      <c r="N27" s="22" t="s">
        <v>95</v>
      </c>
      <c r="O27" s="22" t="s">
        <v>96</v>
      </c>
      <c r="P27" s="22" t="s">
        <v>75</v>
      </c>
      <c r="Q27" s="108">
        <f>IF(R27="","",'Dashboard Ciclos'!$B$2-R27)</f>
        <v>46239</v>
      </c>
      <c r="R27" s="22">
        <f>IF($E27="","",IFERROR(INDEX($W27:$GX27,MATCH('Dashboard Ciclos'!$B$2,$W$1:$GX$1,0)),""))</f>
        <v>10</v>
      </c>
      <c r="S27" s="22" t="str">
        <f t="shared" si="11"/>
        <v>En ciclo</v>
      </c>
      <c r="T27" s="22" t="str">
        <f t="shared" si="3"/>
        <v>En ciclo</v>
      </c>
      <c r="U27" s="22">
        <f t="shared" si="4"/>
        <v>2</v>
      </c>
      <c r="V27" s="23">
        <f t="shared" si="5"/>
        <v>46251</v>
      </c>
      <c r="W27" s="77">
        <f t="shared" si="26"/>
        <v>1</v>
      </c>
      <c r="X27" s="77">
        <f t="shared" si="26"/>
        <v>2</v>
      </c>
      <c r="Y27" s="77">
        <f t="shared" si="26"/>
        <v>3</v>
      </c>
      <c r="Z27" s="77">
        <f t="shared" si="26"/>
        <v>4</v>
      </c>
      <c r="AA27" s="77">
        <v>5</v>
      </c>
      <c r="AB27" s="77">
        <f t="shared" si="28"/>
        <v>6</v>
      </c>
      <c r="AC27" s="77">
        <f t="shared" si="28"/>
        <v>7</v>
      </c>
      <c r="AD27" s="77">
        <f t="shared" si="28"/>
        <v>8</v>
      </c>
      <c r="AE27" s="77">
        <f t="shared" si="28"/>
        <v>9</v>
      </c>
      <c r="AF27" s="77">
        <f t="shared" si="28"/>
        <v>10</v>
      </c>
      <c r="AG27" s="77">
        <f t="shared" si="28"/>
        <v>11</v>
      </c>
      <c r="AH27" s="77">
        <f t="shared" si="28"/>
        <v>12</v>
      </c>
      <c r="AI27" s="77">
        <f t="shared" si="28"/>
        <v>13</v>
      </c>
      <c r="AJ27" s="77">
        <f t="shared" si="28"/>
        <v>14</v>
      </c>
      <c r="AK27" s="77">
        <v>0</v>
      </c>
      <c r="AL27" s="77">
        <f t="shared" si="29"/>
        <v>1</v>
      </c>
      <c r="AM27" s="77">
        <f t="shared" si="29"/>
        <v>2</v>
      </c>
      <c r="AN27" s="77">
        <f t="shared" si="29"/>
        <v>3</v>
      </c>
      <c r="AO27" s="77">
        <f t="shared" si="29"/>
        <v>4</v>
      </c>
      <c r="AP27" s="77">
        <f t="shared" si="29"/>
        <v>5</v>
      </c>
      <c r="AQ27" s="77">
        <f t="shared" si="29"/>
        <v>6</v>
      </c>
      <c r="AR27" s="77">
        <f t="shared" si="27"/>
        <v>7</v>
      </c>
      <c r="AS27" s="77">
        <f t="shared" si="36"/>
        <v>8</v>
      </c>
      <c r="AT27" s="77">
        <f t="shared" si="36"/>
        <v>9</v>
      </c>
      <c r="AU27" s="77">
        <f t="shared" si="36"/>
        <v>10</v>
      </c>
      <c r="AV27" s="77">
        <f t="shared" si="36"/>
        <v>11</v>
      </c>
      <c r="AW27" s="77">
        <f t="shared" si="36"/>
        <v>12</v>
      </c>
      <c r="AX27" s="77">
        <f t="shared" si="36"/>
        <v>13</v>
      </c>
      <c r="AY27" s="77">
        <f t="shared" si="36"/>
        <v>14</v>
      </c>
      <c r="AZ27" s="77">
        <f t="shared" si="36"/>
        <v>15</v>
      </c>
      <c r="BA27" s="77">
        <f t="shared" si="36"/>
        <v>16</v>
      </c>
      <c r="BB27" s="77">
        <f t="shared" si="36"/>
        <v>17</v>
      </c>
      <c r="BC27" s="77">
        <f t="shared" si="36"/>
        <v>18</v>
      </c>
      <c r="BD27" s="77">
        <f t="shared" si="36"/>
        <v>19</v>
      </c>
      <c r="BE27" s="77">
        <f t="shared" si="36"/>
        <v>20</v>
      </c>
      <c r="BF27" s="77">
        <v>0</v>
      </c>
      <c r="BG27" s="77">
        <f t="shared" si="36"/>
        <v>1</v>
      </c>
      <c r="BH27" s="77">
        <f t="shared" si="36"/>
        <v>2</v>
      </c>
      <c r="BI27" s="77">
        <f t="shared" si="36"/>
        <v>3</v>
      </c>
      <c r="BJ27" s="77">
        <f t="shared" si="36"/>
        <v>4</v>
      </c>
      <c r="BK27" s="77">
        <f t="shared" si="36"/>
        <v>5</v>
      </c>
      <c r="BL27" s="77">
        <f t="shared" si="36"/>
        <v>6</v>
      </c>
      <c r="BM27" s="77">
        <f t="shared" si="36"/>
        <v>7</v>
      </c>
      <c r="BN27" s="77">
        <f t="shared" si="36"/>
        <v>8</v>
      </c>
      <c r="BO27" s="77">
        <f t="shared" si="36"/>
        <v>9</v>
      </c>
      <c r="BP27" s="77">
        <f t="shared" si="36"/>
        <v>10</v>
      </c>
      <c r="BQ27" s="77">
        <f t="shared" si="36"/>
        <v>11</v>
      </c>
      <c r="BR27" s="77">
        <f t="shared" si="36"/>
        <v>12</v>
      </c>
      <c r="BS27" s="77">
        <f t="shared" si="36"/>
        <v>13</v>
      </c>
      <c r="BT27" s="77">
        <f t="shared" si="36"/>
        <v>14</v>
      </c>
      <c r="BU27" s="77">
        <f t="shared" si="36"/>
        <v>15</v>
      </c>
      <c r="BV27" s="77">
        <f t="shared" si="36"/>
        <v>16</v>
      </c>
      <c r="BW27" s="77">
        <f t="shared" si="36"/>
        <v>17</v>
      </c>
      <c r="BX27" s="77">
        <f t="shared" si="36"/>
        <v>18</v>
      </c>
      <c r="BY27" s="77">
        <f t="shared" si="36"/>
        <v>19</v>
      </c>
      <c r="BZ27" s="77">
        <f t="shared" si="36"/>
        <v>20</v>
      </c>
      <c r="CA27" s="77">
        <f t="shared" si="36"/>
        <v>21</v>
      </c>
      <c r="CB27" s="77">
        <f t="shared" si="36"/>
        <v>22</v>
      </c>
      <c r="CC27" s="77">
        <f t="shared" si="36"/>
        <v>23</v>
      </c>
      <c r="CD27" s="77">
        <f t="shared" si="36"/>
        <v>24</v>
      </c>
      <c r="CE27" s="77">
        <f t="shared" si="36"/>
        <v>25</v>
      </c>
      <c r="CF27" s="77">
        <f t="shared" si="36"/>
        <v>26</v>
      </c>
      <c r="CG27" s="77">
        <f t="shared" si="36"/>
        <v>27</v>
      </c>
      <c r="CH27" s="77">
        <f t="shared" si="36"/>
        <v>28</v>
      </c>
      <c r="CI27" s="77">
        <f t="shared" si="36"/>
        <v>29</v>
      </c>
      <c r="CJ27" s="77">
        <f t="shared" ref="CJ27:EU30" si="38">IF(CI27="","",CI27+1)</f>
        <v>30</v>
      </c>
      <c r="CK27" s="77">
        <f t="shared" si="38"/>
        <v>31</v>
      </c>
      <c r="CL27" s="77">
        <f t="shared" si="38"/>
        <v>32</v>
      </c>
      <c r="CM27" s="77">
        <f t="shared" si="38"/>
        <v>33</v>
      </c>
      <c r="CN27" s="77">
        <f t="shared" si="38"/>
        <v>34</v>
      </c>
      <c r="CO27" s="77">
        <f t="shared" si="38"/>
        <v>35</v>
      </c>
      <c r="CP27" s="77">
        <f t="shared" si="38"/>
        <v>36</v>
      </c>
      <c r="CQ27" s="77">
        <f t="shared" si="38"/>
        <v>37</v>
      </c>
      <c r="CR27" s="77">
        <f t="shared" si="38"/>
        <v>38</v>
      </c>
      <c r="CS27" s="77">
        <f t="shared" si="38"/>
        <v>39</v>
      </c>
      <c r="CT27" s="77">
        <f t="shared" si="38"/>
        <v>40</v>
      </c>
      <c r="CU27" s="77">
        <f t="shared" si="38"/>
        <v>41</v>
      </c>
      <c r="CV27" s="77">
        <f t="shared" si="38"/>
        <v>42</v>
      </c>
      <c r="CW27" s="77">
        <f t="shared" si="38"/>
        <v>43</v>
      </c>
      <c r="CX27" s="77">
        <f t="shared" si="38"/>
        <v>44</v>
      </c>
      <c r="CY27" s="77">
        <f t="shared" si="38"/>
        <v>45</v>
      </c>
      <c r="CZ27" s="77">
        <f t="shared" si="38"/>
        <v>46</v>
      </c>
      <c r="DA27" s="77">
        <f t="shared" si="38"/>
        <v>47</v>
      </c>
      <c r="DB27" s="77">
        <f t="shared" si="38"/>
        <v>48</v>
      </c>
      <c r="DC27" s="77">
        <f t="shared" si="38"/>
        <v>49</v>
      </c>
      <c r="DD27" s="77">
        <f t="shared" si="38"/>
        <v>50</v>
      </c>
      <c r="DE27" s="77">
        <f t="shared" si="38"/>
        <v>51</v>
      </c>
      <c r="DF27" s="77">
        <f t="shared" si="38"/>
        <v>52</v>
      </c>
      <c r="DG27" s="77">
        <f t="shared" si="38"/>
        <v>53</v>
      </c>
      <c r="DH27" s="77">
        <f t="shared" si="38"/>
        <v>54</v>
      </c>
      <c r="DI27" s="77">
        <f t="shared" si="38"/>
        <v>55</v>
      </c>
      <c r="DJ27" s="77">
        <f t="shared" si="38"/>
        <v>56</v>
      </c>
      <c r="DK27" s="77">
        <f t="shared" si="38"/>
        <v>57</v>
      </c>
      <c r="DL27" s="77">
        <f t="shared" si="38"/>
        <v>58</v>
      </c>
      <c r="DM27" s="77">
        <f t="shared" si="38"/>
        <v>59</v>
      </c>
      <c r="DN27" s="77">
        <f t="shared" si="38"/>
        <v>60</v>
      </c>
      <c r="DO27" s="77">
        <f t="shared" si="38"/>
        <v>61</v>
      </c>
      <c r="DP27" s="77">
        <f t="shared" si="38"/>
        <v>62</v>
      </c>
      <c r="DQ27" s="77">
        <f t="shared" si="38"/>
        <v>63</v>
      </c>
      <c r="DR27" s="77">
        <f t="shared" si="38"/>
        <v>64</v>
      </c>
      <c r="DS27" s="77">
        <f t="shared" si="38"/>
        <v>65</v>
      </c>
      <c r="DT27" s="77">
        <f t="shared" si="38"/>
        <v>66</v>
      </c>
      <c r="DU27" s="77">
        <f t="shared" si="38"/>
        <v>67</v>
      </c>
      <c r="DV27" s="77">
        <f t="shared" si="38"/>
        <v>68</v>
      </c>
      <c r="DW27" s="77">
        <f t="shared" si="38"/>
        <v>69</v>
      </c>
      <c r="DX27" s="77">
        <f t="shared" si="38"/>
        <v>70</v>
      </c>
      <c r="DY27" s="77">
        <f t="shared" si="38"/>
        <v>71</v>
      </c>
      <c r="DZ27" s="77">
        <f t="shared" si="38"/>
        <v>72</v>
      </c>
      <c r="EA27" s="77">
        <f t="shared" si="38"/>
        <v>73</v>
      </c>
      <c r="EB27" s="77">
        <f t="shared" si="38"/>
        <v>74</v>
      </c>
      <c r="EC27" s="77">
        <f t="shared" si="38"/>
        <v>75</v>
      </c>
      <c r="ED27" s="77">
        <f t="shared" si="38"/>
        <v>76</v>
      </c>
      <c r="EE27" s="77">
        <f t="shared" si="38"/>
        <v>77</v>
      </c>
      <c r="EF27" s="77">
        <f t="shared" si="38"/>
        <v>78</v>
      </c>
      <c r="EG27" s="77">
        <f t="shared" si="38"/>
        <v>79</v>
      </c>
      <c r="EH27" s="77">
        <f t="shared" si="38"/>
        <v>80</v>
      </c>
      <c r="EI27" s="77">
        <f t="shared" si="38"/>
        <v>81</v>
      </c>
      <c r="EJ27" s="77">
        <f t="shared" si="38"/>
        <v>82</v>
      </c>
      <c r="EK27" s="77">
        <f t="shared" si="38"/>
        <v>83</v>
      </c>
      <c r="EL27" s="77">
        <f t="shared" si="38"/>
        <v>84</v>
      </c>
      <c r="EM27" s="77">
        <f t="shared" si="38"/>
        <v>85</v>
      </c>
      <c r="EN27" s="77">
        <f t="shared" si="38"/>
        <v>86</v>
      </c>
      <c r="EO27" s="77">
        <f t="shared" si="38"/>
        <v>87</v>
      </c>
      <c r="EP27" s="77">
        <f t="shared" si="38"/>
        <v>88</v>
      </c>
      <c r="EQ27" s="77">
        <f t="shared" si="38"/>
        <v>89</v>
      </c>
      <c r="ER27" s="77">
        <f t="shared" si="38"/>
        <v>90</v>
      </c>
      <c r="ES27" s="77">
        <f t="shared" si="38"/>
        <v>91</v>
      </c>
      <c r="ET27" s="77">
        <f t="shared" si="38"/>
        <v>92</v>
      </c>
      <c r="EU27" s="77">
        <f t="shared" si="38"/>
        <v>93</v>
      </c>
      <c r="EV27" s="77">
        <f t="shared" ref="EV27:GX31" si="39">IF(EU27="","",EU27+1)</f>
        <v>94</v>
      </c>
      <c r="EW27" s="77">
        <f t="shared" si="39"/>
        <v>95</v>
      </c>
      <c r="EX27" s="77">
        <f t="shared" si="39"/>
        <v>96</v>
      </c>
      <c r="EY27" s="77">
        <f t="shared" si="39"/>
        <v>97</v>
      </c>
      <c r="EZ27" s="77">
        <f t="shared" si="39"/>
        <v>98</v>
      </c>
      <c r="FA27" s="77">
        <f t="shared" si="39"/>
        <v>99</v>
      </c>
      <c r="FB27" s="77">
        <f t="shared" si="39"/>
        <v>100</v>
      </c>
      <c r="FC27" s="77">
        <f t="shared" si="39"/>
        <v>101</v>
      </c>
      <c r="FD27" s="77">
        <f t="shared" si="39"/>
        <v>102</v>
      </c>
      <c r="FE27" s="77">
        <f t="shared" si="39"/>
        <v>103</v>
      </c>
      <c r="FF27" s="77">
        <f t="shared" si="39"/>
        <v>104</v>
      </c>
      <c r="FG27" s="77">
        <f t="shared" si="39"/>
        <v>105</v>
      </c>
      <c r="FH27" s="77">
        <f t="shared" si="39"/>
        <v>106</v>
      </c>
      <c r="FI27" s="77">
        <f t="shared" si="39"/>
        <v>107</v>
      </c>
      <c r="FJ27" s="77">
        <f t="shared" si="39"/>
        <v>108</v>
      </c>
      <c r="FK27" s="77">
        <f t="shared" si="39"/>
        <v>109</v>
      </c>
      <c r="FL27" s="77">
        <f t="shared" si="39"/>
        <v>110</v>
      </c>
      <c r="FM27" s="77">
        <f t="shared" si="39"/>
        <v>111</v>
      </c>
      <c r="FN27" s="77">
        <f t="shared" si="39"/>
        <v>112</v>
      </c>
      <c r="FO27" s="77">
        <f t="shared" si="39"/>
        <v>113</v>
      </c>
      <c r="FP27" s="77">
        <f t="shared" si="39"/>
        <v>114</v>
      </c>
      <c r="FQ27" s="77">
        <f t="shared" si="39"/>
        <v>115</v>
      </c>
      <c r="FR27" s="77">
        <f t="shared" si="39"/>
        <v>116</v>
      </c>
      <c r="FS27" s="77">
        <f t="shared" si="39"/>
        <v>117</v>
      </c>
      <c r="FT27" s="77">
        <f t="shared" si="39"/>
        <v>118</v>
      </c>
      <c r="FU27" s="77">
        <f t="shared" si="39"/>
        <v>119</v>
      </c>
      <c r="FV27" s="77">
        <f t="shared" si="39"/>
        <v>120</v>
      </c>
      <c r="FW27" s="77">
        <f t="shared" si="39"/>
        <v>121</v>
      </c>
      <c r="FX27" s="77">
        <f t="shared" si="39"/>
        <v>122</v>
      </c>
      <c r="FY27" s="77">
        <f t="shared" si="39"/>
        <v>123</v>
      </c>
      <c r="FZ27" s="77">
        <f t="shared" si="39"/>
        <v>124</v>
      </c>
      <c r="GA27" s="77">
        <f t="shared" si="39"/>
        <v>125</v>
      </c>
      <c r="GB27" s="77">
        <f t="shared" si="39"/>
        <v>126</v>
      </c>
      <c r="GC27" s="77">
        <f t="shared" si="39"/>
        <v>127</v>
      </c>
      <c r="GD27" s="77">
        <f t="shared" si="39"/>
        <v>128</v>
      </c>
      <c r="GE27" s="77">
        <f t="shared" si="39"/>
        <v>129</v>
      </c>
      <c r="GF27" s="77">
        <f t="shared" si="39"/>
        <v>130</v>
      </c>
      <c r="GG27" s="77">
        <f t="shared" si="39"/>
        <v>131</v>
      </c>
      <c r="GH27" s="77">
        <f t="shared" si="39"/>
        <v>132</v>
      </c>
      <c r="GI27" s="77">
        <f t="shared" si="39"/>
        <v>133</v>
      </c>
      <c r="GJ27" s="77">
        <f t="shared" si="39"/>
        <v>134</v>
      </c>
      <c r="GK27" s="77">
        <f t="shared" si="39"/>
        <v>135</v>
      </c>
      <c r="GL27" s="77">
        <f t="shared" si="39"/>
        <v>136</v>
      </c>
      <c r="GM27" s="77">
        <f t="shared" si="39"/>
        <v>137</v>
      </c>
      <c r="GN27" s="77">
        <f t="shared" si="39"/>
        <v>138</v>
      </c>
      <c r="GO27" s="77">
        <f t="shared" si="39"/>
        <v>139</v>
      </c>
      <c r="GP27" s="77">
        <f t="shared" si="39"/>
        <v>140</v>
      </c>
      <c r="GQ27" s="77">
        <f t="shared" si="39"/>
        <v>141</v>
      </c>
      <c r="GR27" s="77">
        <f t="shared" si="39"/>
        <v>142</v>
      </c>
      <c r="GS27" s="77">
        <f t="shared" si="39"/>
        <v>143</v>
      </c>
      <c r="GT27" s="77">
        <f t="shared" si="39"/>
        <v>144</v>
      </c>
      <c r="GU27" s="77">
        <f t="shared" si="39"/>
        <v>145</v>
      </c>
      <c r="GV27" s="77">
        <f t="shared" si="39"/>
        <v>146</v>
      </c>
      <c r="GW27" s="77">
        <f t="shared" si="39"/>
        <v>147</v>
      </c>
      <c r="GX27" s="77">
        <f t="shared" si="39"/>
        <v>148</v>
      </c>
    </row>
    <row r="28" spans="1:206" ht="15" customHeight="1" x14ac:dyDescent="0.2">
      <c r="A28" s="22" t="s">
        <v>68</v>
      </c>
      <c r="B28" s="22">
        <v>3</v>
      </c>
      <c r="C28" s="22" t="s">
        <v>105</v>
      </c>
      <c r="D28" s="22">
        <v>27</v>
      </c>
      <c r="E28" s="22" t="s">
        <v>111</v>
      </c>
      <c r="F28" s="22" t="s">
        <v>71</v>
      </c>
      <c r="G28" s="22" t="s">
        <v>72</v>
      </c>
      <c r="H28" s="22">
        <v>2009</v>
      </c>
      <c r="I28" s="22">
        <v>17</v>
      </c>
      <c r="J28" s="22">
        <v>48.14</v>
      </c>
      <c r="K28" s="22">
        <v>161</v>
      </c>
      <c r="L28" s="22">
        <v>6907</v>
      </c>
      <c r="M28" s="22">
        <v>6746</v>
      </c>
      <c r="N28" s="22" t="s">
        <v>95</v>
      </c>
      <c r="O28" s="22" t="s">
        <v>96</v>
      </c>
      <c r="P28" s="22" t="s">
        <v>75</v>
      </c>
      <c r="Q28" s="108">
        <f>IF(R28="","",'Dashboard Ciclos'!$B$2-R28)</f>
        <v>46248</v>
      </c>
      <c r="R28" s="22">
        <f>IF($E28="","",IFERROR(INDEX($W28:$GX28,MATCH('Dashboard Ciclos'!$B$2,$W$1:$GX$1,0)),""))</f>
        <v>1</v>
      </c>
      <c r="S28" s="22" t="str">
        <f t="shared" si="11"/>
        <v>En ciclo</v>
      </c>
      <c r="T28" s="22" t="str">
        <f t="shared" si="3"/>
        <v>Recién cortado</v>
      </c>
      <c r="U28" s="22">
        <f t="shared" si="4"/>
        <v>11</v>
      </c>
      <c r="V28" s="23">
        <f t="shared" si="5"/>
        <v>46260</v>
      </c>
      <c r="W28" s="77">
        <f t="shared" si="26"/>
        <v>18</v>
      </c>
      <c r="X28" s="77">
        <f t="shared" si="26"/>
        <v>19</v>
      </c>
      <c r="Y28" s="77">
        <f t="shared" si="26"/>
        <v>20</v>
      </c>
      <c r="Z28" s="77">
        <f t="shared" si="26"/>
        <v>21</v>
      </c>
      <c r="AA28" s="77">
        <v>22</v>
      </c>
      <c r="AB28" s="77">
        <f t="shared" si="28"/>
        <v>23</v>
      </c>
      <c r="AC28" s="77">
        <f t="shared" si="28"/>
        <v>24</v>
      </c>
      <c r="AD28" s="77">
        <f t="shared" si="28"/>
        <v>25</v>
      </c>
      <c r="AE28" s="77">
        <f t="shared" si="28"/>
        <v>26</v>
      </c>
      <c r="AF28" s="77">
        <f t="shared" si="28"/>
        <v>27</v>
      </c>
      <c r="AG28" s="77">
        <v>0</v>
      </c>
      <c r="AH28" s="77">
        <f t="shared" si="28"/>
        <v>1</v>
      </c>
      <c r="AI28" s="77">
        <f t="shared" si="28"/>
        <v>2</v>
      </c>
      <c r="AJ28" s="77">
        <f t="shared" si="28"/>
        <v>3</v>
      </c>
      <c r="AK28" s="77">
        <f t="shared" si="28"/>
        <v>4</v>
      </c>
      <c r="AL28" s="77">
        <f t="shared" si="28"/>
        <v>5</v>
      </c>
      <c r="AM28" s="77">
        <f t="shared" si="28"/>
        <v>6</v>
      </c>
      <c r="AN28" s="77">
        <f t="shared" si="29"/>
        <v>7</v>
      </c>
      <c r="AO28" s="77">
        <f t="shared" si="28"/>
        <v>8</v>
      </c>
      <c r="AP28" s="77">
        <f t="shared" si="28"/>
        <v>9</v>
      </c>
      <c r="AQ28" s="77">
        <f t="shared" si="28"/>
        <v>10</v>
      </c>
      <c r="AR28" s="77">
        <f t="shared" si="27"/>
        <v>11</v>
      </c>
      <c r="AS28" s="77">
        <f t="shared" ref="AS28:CJ31" si="40">IF(AR28="","",AR28+1)</f>
        <v>12</v>
      </c>
      <c r="AT28" s="77">
        <f t="shared" si="40"/>
        <v>13</v>
      </c>
      <c r="AU28" s="77">
        <f t="shared" si="40"/>
        <v>14</v>
      </c>
      <c r="AV28" s="77">
        <f t="shared" si="40"/>
        <v>15</v>
      </c>
      <c r="AW28" s="77">
        <f t="shared" si="40"/>
        <v>16</v>
      </c>
      <c r="AX28" s="77">
        <f t="shared" si="40"/>
        <v>17</v>
      </c>
      <c r="AY28" s="77">
        <v>0</v>
      </c>
      <c r="AZ28" s="77">
        <f t="shared" si="40"/>
        <v>1</v>
      </c>
      <c r="BA28" s="77">
        <f t="shared" si="40"/>
        <v>2</v>
      </c>
      <c r="BB28" s="77">
        <f t="shared" si="40"/>
        <v>3</v>
      </c>
      <c r="BC28" s="77">
        <f t="shared" si="40"/>
        <v>4</v>
      </c>
      <c r="BD28" s="77">
        <f t="shared" si="40"/>
        <v>5</v>
      </c>
      <c r="BE28" s="77">
        <f t="shared" si="40"/>
        <v>6</v>
      </c>
      <c r="BF28" s="77">
        <f t="shared" si="40"/>
        <v>7</v>
      </c>
      <c r="BG28" s="77">
        <f t="shared" si="40"/>
        <v>8</v>
      </c>
      <c r="BH28" s="77">
        <f t="shared" si="40"/>
        <v>9</v>
      </c>
      <c r="BI28" s="77">
        <f t="shared" si="40"/>
        <v>10</v>
      </c>
      <c r="BJ28" s="77">
        <f t="shared" si="40"/>
        <v>11</v>
      </c>
      <c r="BK28" s="77">
        <f t="shared" si="40"/>
        <v>12</v>
      </c>
      <c r="BL28" s="77">
        <f t="shared" si="40"/>
        <v>13</v>
      </c>
      <c r="BM28" s="77">
        <f t="shared" si="40"/>
        <v>14</v>
      </c>
      <c r="BN28" s="77">
        <f t="shared" si="40"/>
        <v>15</v>
      </c>
      <c r="BO28" s="77">
        <v>0</v>
      </c>
      <c r="BP28" s="77">
        <f t="shared" si="40"/>
        <v>1</v>
      </c>
      <c r="BQ28" s="77">
        <f t="shared" si="40"/>
        <v>2</v>
      </c>
      <c r="BR28" s="77">
        <f t="shared" si="40"/>
        <v>3</v>
      </c>
      <c r="BS28" s="77">
        <f t="shared" si="40"/>
        <v>4</v>
      </c>
      <c r="BT28" s="77">
        <f t="shared" si="40"/>
        <v>5</v>
      </c>
      <c r="BU28" s="77">
        <f t="shared" si="40"/>
        <v>6</v>
      </c>
      <c r="BV28" s="77">
        <f t="shared" si="40"/>
        <v>7</v>
      </c>
      <c r="BW28" s="77">
        <f t="shared" si="40"/>
        <v>8</v>
      </c>
      <c r="BX28" s="77">
        <f t="shared" si="40"/>
        <v>9</v>
      </c>
      <c r="BY28" s="77">
        <f t="shared" si="40"/>
        <v>10</v>
      </c>
      <c r="BZ28" s="77">
        <f t="shared" si="40"/>
        <v>11</v>
      </c>
      <c r="CA28" s="77">
        <f t="shared" si="40"/>
        <v>12</v>
      </c>
      <c r="CB28" s="77">
        <f t="shared" si="40"/>
        <v>13</v>
      </c>
      <c r="CC28" s="77">
        <f t="shared" si="40"/>
        <v>14</v>
      </c>
      <c r="CD28" s="77">
        <f t="shared" si="40"/>
        <v>15</v>
      </c>
      <c r="CE28" s="77">
        <f t="shared" si="40"/>
        <v>16</v>
      </c>
      <c r="CF28" s="77">
        <f t="shared" si="40"/>
        <v>17</v>
      </c>
      <c r="CG28" s="77">
        <f t="shared" si="40"/>
        <v>18</v>
      </c>
      <c r="CH28" s="77">
        <f t="shared" si="40"/>
        <v>19</v>
      </c>
      <c r="CI28" s="77">
        <f t="shared" si="40"/>
        <v>20</v>
      </c>
      <c r="CJ28" s="77">
        <f t="shared" si="40"/>
        <v>21</v>
      </c>
      <c r="CK28" s="77">
        <f t="shared" si="38"/>
        <v>22</v>
      </c>
      <c r="CL28" s="77">
        <f t="shared" si="38"/>
        <v>23</v>
      </c>
      <c r="CM28" s="77">
        <f t="shared" si="38"/>
        <v>24</v>
      </c>
      <c r="CN28" s="77">
        <f t="shared" si="38"/>
        <v>25</v>
      </c>
      <c r="CO28" s="77">
        <f t="shared" si="38"/>
        <v>26</v>
      </c>
      <c r="CP28" s="77">
        <f t="shared" si="38"/>
        <v>27</v>
      </c>
      <c r="CQ28" s="77">
        <f t="shared" si="38"/>
        <v>28</v>
      </c>
      <c r="CR28" s="77">
        <f t="shared" si="38"/>
        <v>29</v>
      </c>
      <c r="CS28" s="77">
        <f t="shared" si="38"/>
        <v>30</v>
      </c>
      <c r="CT28" s="77">
        <f t="shared" si="38"/>
        <v>31</v>
      </c>
      <c r="CU28" s="77">
        <f t="shared" si="38"/>
        <v>32</v>
      </c>
      <c r="CV28" s="77">
        <f t="shared" si="38"/>
        <v>33</v>
      </c>
      <c r="CW28" s="77">
        <f t="shared" si="38"/>
        <v>34</v>
      </c>
      <c r="CX28" s="77">
        <f t="shared" si="38"/>
        <v>35</v>
      </c>
      <c r="CY28" s="77">
        <f t="shared" si="38"/>
        <v>36</v>
      </c>
      <c r="CZ28" s="77">
        <f t="shared" si="38"/>
        <v>37</v>
      </c>
      <c r="DA28" s="77">
        <f t="shared" si="38"/>
        <v>38</v>
      </c>
      <c r="DB28" s="77">
        <f t="shared" si="38"/>
        <v>39</v>
      </c>
      <c r="DC28" s="77">
        <f t="shared" si="38"/>
        <v>40</v>
      </c>
      <c r="DD28" s="77">
        <f t="shared" si="38"/>
        <v>41</v>
      </c>
      <c r="DE28" s="77">
        <f t="shared" si="38"/>
        <v>42</v>
      </c>
      <c r="DF28" s="77">
        <f t="shared" si="38"/>
        <v>43</v>
      </c>
      <c r="DG28" s="77">
        <f t="shared" si="38"/>
        <v>44</v>
      </c>
      <c r="DH28" s="77">
        <f t="shared" si="38"/>
        <v>45</v>
      </c>
      <c r="DI28" s="77">
        <f t="shared" si="38"/>
        <v>46</v>
      </c>
      <c r="DJ28" s="77">
        <f t="shared" si="38"/>
        <v>47</v>
      </c>
      <c r="DK28" s="77">
        <f t="shared" si="38"/>
        <v>48</v>
      </c>
      <c r="DL28" s="77">
        <f t="shared" si="38"/>
        <v>49</v>
      </c>
      <c r="DM28" s="77">
        <f t="shared" si="38"/>
        <v>50</v>
      </c>
      <c r="DN28" s="77">
        <f t="shared" si="38"/>
        <v>51</v>
      </c>
      <c r="DO28" s="77">
        <f t="shared" si="38"/>
        <v>52</v>
      </c>
      <c r="DP28" s="77">
        <f t="shared" si="38"/>
        <v>53</v>
      </c>
      <c r="DQ28" s="77">
        <f t="shared" si="38"/>
        <v>54</v>
      </c>
      <c r="DR28" s="77">
        <f t="shared" si="38"/>
        <v>55</v>
      </c>
      <c r="DS28" s="77">
        <f t="shared" si="38"/>
        <v>56</v>
      </c>
      <c r="DT28" s="77">
        <f t="shared" si="38"/>
        <v>57</v>
      </c>
      <c r="DU28" s="77">
        <f t="shared" si="38"/>
        <v>58</v>
      </c>
      <c r="DV28" s="77">
        <f t="shared" si="38"/>
        <v>59</v>
      </c>
      <c r="DW28" s="77">
        <f t="shared" si="38"/>
        <v>60</v>
      </c>
      <c r="DX28" s="77">
        <f t="shared" si="38"/>
        <v>61</v>
      </c>
      <c r="DY28" s="77">
        <f t="shared" si="38"/>
        <v>62</v>
      </c>
      <c r="DZ28" s="77">
        <f t="shared" si="38"/>
        <v>63</v>
      </c>
      <c r="EA28" s="77">
        <f t="shared" si="38"/>
        <v>64</v>
      </c>
      <c r="EB28" s="77">
        <f t="shared" si="38"/>
        <v>65</v>
      </c>
      <c r="EC28" s="77">
        <f t="shared" si="38"/>
        <v>66</v>
      </c>
      <c r="ED28" s="77">
        <f t="shared" si="38"/>
        <v>67</v>
      </c>
      <c r="EE28" s="77">
        <f t="shared" si="38"/>
        <v>68</v>
      </c>
      <c r="EF28" s="77">
        <f t="shared" si="38"/>
        <v>69</v>
      </c>
      <c r="EG28" s="77">
        <f t="shared" si="38"/>
        <v>70</v>
      </c>
      <c r="EH28" s="77">
        <f t="shared" si="38"/>
        <v>71</v>
      </c>
      <c r="EI28" s="77">
        <f t="shared" si="38"/>
        <v>72</v>
      </c>
      <c r="EJ28" s="77">
        <f t="shared" si="38"/>
        <v>73</v>
      </c>
      <c r="EK28" s="77">
        <f t="shared" si="38"/>
        <v>74</v>
      </c>
      <c r="EL28" s="77">
        <f t="shared" si="38"/>
        <v>75</v>
      </c>
      <c r="EM28" s="77">
        <f t="shared" si="38"/>
        <v>76</v>
      </c>
      <c r="EN28" s="77">
        <f t="shared" si="38"/>
        <v>77</v>
      </c>
      <c r="EO28" s="77">
        <f t="shared" si="38"/>
        <v>78</v>
      </c>
      <c r="EP28" s="77">
        <f t="shared" si="38"/>
        <v>79</v>
      </c>
      <c r="EQ28" s="77">
        <f t="shared" si="38"/>
        <v>80</v>
      </c>
      <c r="ER28" s="77">
        <f t="shared" si="38"/>
        <v>81</v>
      </c>
      <c r="ES28" s="77">
        <f t="shared" si="38"/>
        <v>82</v>
      </c>
      <c r="ET28" s="77">
        <f t="shared" si="38"/>
        <v>83</v>
      </c>
      <c r="EU28" s="77">
        <f t="shared" si="38"/>
        <v>84</v>
      </c>
      <c r="EV28" s="77">
        <f t="shared" si="39"/>
        <v>85</v>
      </c>
      <c r="EW28" s="77">
        <f t="shared" si="39"/>
        <v>86</v>
      </c>
      <c r="EX28" s="77">
        <f t="shared" si="39"/>
        <v>87</v>
      </c>
      <c r="EY28" s="77">
        <f t="shared" si="39"/>
        <v>88</v>
      </c>
      <c r="EZ28" s="77">
        <f t="shared" si="39"/>
        <v>89</v>
      </c>
      <c r="FA28" s="77">
        <f t="shared" si="39"/>
        <v>90</v>
      </c>
      <c r="FB28" s="77">
        <f t="shared" si="39"/>
        <v>91</v>
      </c>
      <c r="FC28" s="77">
        <f t="shared" si="39"/>
        <v>92</v>
      </c>
      <c r="FD28" s="77">
        <f t="shared" si="39"/>
        <v>93</v>
      </c>
      <c r="FE28" s="77">
        <f t="shared" si="39"/>
        <v>94</v>
      </c>
      <c r="FF28" s="77">
        <f t="shared" si="39"/>
        <v>95</v>
      </c>
      <c r="FG28" s="77">
        <f t="shared" si="39"/>
        <v>96</v>
      </c>
      <c r="FH28" s="77">
        <f t="shared" si="39"/>
        <v>97</v>
      </c>
      <c r="FI28" s="77">
        <f t="shared" si="39"/>
        <v>98</v>
      </c>
      <c r="FJ28" s="77">
        <f t="shared" si="39"/>
        <v>99</v>
      </c>
      <c r="FK28" s="77">
        <f t="shared" si="39"/>
        <v>100</v>
      </c>
      <c r="FL28" s="77">
        <f t="shared" si="39"/>
        <v>101</v>
      </c>
      <c r="FM28" s="77">
        <f t="shared" si="39"/>
        <v>102</v>
      </c>
      <c r="FN28" s="77">
        <f t="shared" si="39"/>
        <v>103</v>
      </c>
      <c r="FO28" s="77">
        <f t="shared" si="39"/>
        <v>104</v>
      </c>
      <c r="FP28" s="77">
        <f t="shared" si="39"/>
        <v>105</v>
      </c>
      <c r="FQ28" s="77">
        <f t="shared" si="39"/>
        <v>106</v>
      </c>
      <c r="FR28" s="77">
        <f t="shared" si="39"/>
        <v>107</v>
      </c>
      <c r="FS28" s="77">
        <f t="shared" si="39"/>
        <v>108</v>
      </c>
      <c r="FT28" s="77">
        <f t="shared" si="39"/>
        <v>109</v>
      </c>
      <c r="FU28" s="77">
        <f t="shared" si="39"/>
        <v>110</v>
      </c>
      <c r="FV28" s="77">
        <f t="shared" si="39"/>
        <v>111</v>
      </c>
      <c r="FW28" s="77">
        <f t="shared" si="39"/>
        <v>112</v>
      </c>
      <c r="FX28" s="77">
        <f t="shared" si="39"/>
        <v>113</v>
      </c>
      <c r="FY28" s="77">
        <f t="shared" si="39"/>
        <v>114</v>
      </c>
      <c r="FZ28" s="77">
        <f t="shared" si="39"/>
        <v>115</v>
      </c>
      <c r="GA28" s="77">
        <f t="shared" si="39"/>
        <v>116</v>
      </c>
      <c r="GB28" s="77">
        <f t="shared" si="39"/>
        <v>117</v>
      </c>
      <c r="GC28" s="77">
        <f t="shared" si="39"/>
        <v>118</v>
      </c>
      <c r="GD28" s="77">
        <f t="shared" si="39"/>
        <v>119</v>
      </c>
      <c r="GE28" s="77">
        <f t="shared" si="39"/>
        <v>120</v>
      </c>
      <c r="GF28" s="77">
        <f t="shared" si="39"/>
        <v>121</v>
      </c>
      <c r="GG28" s="77">
        <f t="shared" si="39"/>
        <v>122</v>
      </c>
      <c r="GH28" s="77">
        <f t="shared" si="39"/>
        <v>123</v>
      </c>
      <c r="GI28" s="77">
        <f t="shared" si="39"/>
        <v>124</v>
      </c>
      <c r="GJ28" s="77">
        <f t="shared" si="39"/>
        <v>125</v>
      </c>
      <c r="GK28" s="77">
        <f t="shared" si="39"/>
        <v>126</v>
      </c>
      <c r="GL28" s="77">
        <f t="shared" si="39"/>
        <v>127</v>
      </c>
      <c r="GM28" s="77">
        <f t="shared" si="39"/>
        <v>128</v>
      </c>
      <c r="GN28" s="77">
        <f t="shared" si="39"/>
        <v>129</v>
      </c>
      <c r="GO28" s="77">
        <f t="shared" si="39"/>
        <v>130</v>
      </c>
      <c r="GP28" s="77">
        <f t="shared" si="39"/>
        <v>131</v>
      </c>
      <c r="GQ28" s="77">
        <f t="shared" si="39"/>
        <v>132</v>
      </c>
      <c r="GR28" s="77">
        <f t="shared" si="39"/>
        <v>133</v>
      </c>
      <c r="GS28" s="77">
        <f t="shared" si="39"/>
        <v>134</v>
      </c>
      <c r="GT28" s="77">
        <f t="shared" si="39"/>
        <v>135</v>
      </c>
      <c r="GU28" s="77">
        <f t="shared" si="39"/>
        <v>136</v>
      </c>
      <c r="GV28" s="77">
        <f t="shared" si="39"/>
        <v>137</v>
      </c>
      <c r="GW28" s="77">
        <f t="shared" si="39"/>
        <v>138</v>
      </c>
      <c r="GX28" s="77">
        <f t="shared" si="39"/>
        <v>139</v>
      </c>
    </row>
    <row r="29" spans="1:206" ht="15" customHeight="1" x14ac:dyDescent="0.2">
      <c r="A29" s="22" t="s">
        <v>68</v>
      </c>
      <c r="B29" s="22">
        <v>3</v>
      </c>
      <c r="C29" s="22" t="s">
        <v>105</v>
      </c>
      <c r="D29" s="22">
        <v>28</v>
      </c>
      <c r="E29" s="22" t="s">
        <v>112</v>
      </c>
      <c r="F29" s="22" t="s">
        <v>81</v>
      </c>
      <c r="G29" s="22" t="s">
        <v>82</v>
      </c>
      <c r="H29" s="22">
        <v>2009</v>
      </c>
      <c r="I29" s="22">
        <v>17</v>
      </c>
      <c r="J29" s="22">
        <v>23.15</v>
      </c>
      <c r="K29" s="22">
        <v>545</v>
      </c>
      <c r="L29" s="22">
        <v>3252</v>
      </c>
      <c r="M29" s="22">
        <v>2707</v>
      </c>
      <c r="N29" s="22" t="s">
        <v>95</v>
      </c>
      <c r="O29" s="22" t="s">
        <v>96</v>
      </c>
      <c r="P29" s="22" t="s">
        <v>75</v>
      </c>
      <c r="Q29" s="108">
        <f>IF(R29="","",'Dashboard Ciclos'!$B$2-R29)</f>
        <v>46240</v>
      </c>
      <c r="R29" s="22">
        <f>IF($E29="","",IFERROR(INDEX($W29:$GX29,MATCH('Dashboard Ciclos'!$B$2,$W$1:$GX$1,0)),""))</f>
        <v>9</v>
      </c>
      <c r="S29" s="22" t="str">
        <f t="shared" si="11"/>
        <v>En ciclo</v>
      </c>
      <c r="T29" s="22" t="str">
        <f t="shared" si="3"/>
        <v>En ciclo</v>
      </c>
      <c r="U29" s="22">
        <f t="shared" si="4"/>
        <v>3</v>
      </c>
      <c r="V29" s="23">
        <f t="shared" si="5"/>
        <v>46252</v>
      </c>
      <c r="W29" s="77">
        <f t="shared" si="26"/>
        <v>1</v>
      </c>
      <c r="X29" s="77">
        <f t="shared" si="26"/>
        <v>2</v>
      </c>
      <c r="Y29" s="77">
        <f t="shared" si="26"/>
        <v>3</v>
      </c>
      <c r="Z29" s="77">
        <f t="shared" si="26"/>
        <v>4</v>
      </c>
      <c r="AA29" s="77">
        <v>5</v>
      </c>
      <c r="AB29" s="77">
        <f t="shared" si="28"/>
        <v>6</v>
      </c>
      <c r="AC29" s="77">
        <f t="shared" si="28"/>
        <v>7</v>
      </c>
      <c r="AD29" s="77">
        <f t="shared" si="28"/>
        <v>8</v>
      </c>
      <c r="AE29" s="77">
        <f t="shared" si="28"/>
        <v>9</v>
      </c>
      <c r="AF29" s="77">
        <f t="shared" si="28"/>
        <v>10</v>
      </c>
      <c r="AG29" s="77">
        <f t="shared" si="28"/>
        <v>11</v>
      </c>
      <c r="AH29" s="77">
        <f t="shared" si="28"/>
        <v>12</v>
      </c>
      <c r="AI29" s="77">
        <f t="shared" si="28"/>
        <v>13</v>
      </c>
      <c r="AJ29" s="77">
        <f t="shared" si="28"/>
        <v>14</v>
      </c>
      <c r="AK29" s="77">
        <f t="shared" si="28"/>
        <v>15</v>
      </c>
      <c r="AL29" s="77">
        <f t="shared" si="28"/>
        <v>16</v>
      </c>
      <c r="AM29" s="77">
        <f t="shared" si="28"/>
        <v>17</v>
      </c>
      <c r="AN29" s="77">
        <v>0</v>
      </c>
      <c r="AO29" s="77">
        <f t="shared" si="28"/>
        <v>1</v>
      </c>
      <c r="AP29" s="77">
        <f t="shared" si="28"/>
        <v>2</v>
      </c>
      <c r="AQ29" s="77">
        <f t="shared" si="28"/>
        <v>3</v>
      </c>
      <c r="AR29" s="77">
        <f t="shared" si="27"/>
        <v>4</v>
      </c>
      <c r="AS29" s="77">
        <f t="shared" si="40"/>
        <v>5</v>
      </c>
      <c r="AT29" s="77">
        <f t="shared" si="40"/>
        <v>6</v>
      </c>
      <c r="AU29" s="77">
        <f t="shared" si="40"/>
        <v>7</v>
      </c>
      <c r="AV29" s="77">
        <f t="shared" si="40"/>
        <v>8</v>
      </c>
      <c r="AW29" s="77">
        <f t="shared" si="40"/>
        <v>9</v>
      </c>
      <c r="AX29" s="77">
        <f t="shared" si="40"/>
        <v>10</v>
      </c>
      <c r="AY29" s="77">
        <f t="shared" si="40"/>
        <v>11</v>
      </c>
      <c r="AZ29" s="77">
        <f t="shared" si="40"/>
        <v>12</v>
      </c>
      <c r="BA29" s="77">
        <f t="shared" si="40"/>
        <v>13</v>
      </c>
      <c r="BB29" s="77">
        <f t="shared" si="40"/>
        <v>14</v>
      </c>
      <c r="BC29" s="77">
        <f t="shared" si="40"/>
        <v>15</v>
      </c>
      <c r="BD29" s="77">
        <f t="shared" si="40"/>
        <v>16</v>
      </c>
      <c r="BE29" s="77">
        <f t="shared" si="40"/>
        <v>17</v>
      </c>
      <c r="BF29" s="77">
        <f t="shared" si="40"/>
        <v>18</v>
      </c>
      <c r="BG29" s="77">
        <v>0</v>
      </c>
      <c r="BH29" s="77">
        <f t="shared" si="40"/>
        <v>1</v>
      </c>
      <c r="BI29" s="77">
        <f t="shared" si="40"/>
        <v>2</v>
      </c>
      <c r="BJ29" s="77">
        <f t="shared" si="40"/>
        <v>3</v>
      </c>
      <c r="BK29" s="77">
        <f t="shared" si="40"/>
        <v>4</v>
      </c>
      <c r="BL29" s="77">
        <f t="shared" si="40"/>
        <v>5</v>
      </c>
      <c r="BM29" s="77">
        <f t="shared" si="40"/>
        <v>6</v>
      </c>
      <c r="BN29" s="77">
        <f t="shared" si="40"/>
        <v>7</v>
      </c>
      <c r="BO29" s="77">
        <f t="shared" si="40"/>
        <v>8</v>
      </c>
      <c r="BP29" s="77">
        <f t="shared" si="40"/>
        <v>9</v>
      </c>
      <c r="BQ29" s="77">
        <f t="shared" si="40"/>
        <v>10</v>
      </c>
      <c r="BR29" s="77">
        <f t="shared" si="40"/>
        <v>11</v>
      </c>
      <c r="BS29" s="77">
        <f t="shared" si="40"/>
        <v>12</v>
      </c>
      <c r="BT29" s="77">
        <f t="shared" si="40"/>
        <v>13</v>
      </c>
      <c r="BU29" s="77">
        <f t="shared" si="40"/>
        <v>14</v>
      </c>
      <c r="BV29" s="77">
        <f t="shared" si="40"/>
        <v>15</v>
      </c>
      <c r="BW29" s="77">
        <f t="shared" si="40"/>
        <v>16</v>
      </c>
      <c r="BX29" s="77">
        <f t="shared" si="40"/>
        <v>17</v>
      </c>
      <c r="BY29" s="77">
        <f t="shared" si="40"/>
        <v>18</v>
      </c>
      <c r="BZ29" s="77">
        <f t="shared" si="40"/>
        <v>19</v>
      </c>
      <c r="CA29" s="77">
        <f t="shared" si="40"/>
        <v>20</v>
      </c>
      <c r="CB29" s="77">
        <f t="shared" si="40"/>
        <v>21</v>
      </c>
      <c r="CC29" s="77">
        <f t="shared" si="40"/>
        <v>22</v>
      </c>
      <c r="CD29" s="77">
        <f t="shared" si="40"/>
        <v>23</v>
      </c>
      <c r="CE29" s="77">
        <f t="shared" si="40"/>
        <v>24</v>
      </c>
      <c r="CF29" s="77">
        <f t="shared" si="40"/>
        <v>25</v>
      </c>
      <c r="CG29" s="77">
        <f t="shared" si="40"/>
        <v>26</v>
      </c>
      <c r="CH29" s="77">
        <f t="shared" si="40"/>
        <v>27</v>
      </c>
      <c r="CI29" s="77">
        <f t="shared" si="40"/>
        <v>28</v>
      </c>
      <c r="CJ29" s="77">
        <f t="shared" si="40"/>
        <v>29</v>
      </c>
      <c r="CK29" s="77">
        <f t="shared" si="38"/>
        <v>30</v>
      </c>
      <c r="CL29" s="77">
        <f t="shared" si="38"/>
        <v>31</v>
      </c>
      <c r="CM29" s="77">
        <f t="shared" si="38"/>
        <v>32</v>
      </c>
      <c r="CN29" s="77">
        <f t="shared" si="38"/>
        <v>33</v>
      </c>
      <c r="CO29" s="77">
        <f t="shared" si="38"/>
        <v>34</v>
      </c>
      <c r="CP29" s="77">
        <f t="shared" si="38"/>
        <v>35</v>
      </c>
      <c r="CQ29" s="77">
        <f t="shared" si="38"/>
        <v>36</v>
      </c>
      <c r="CR29" s="77">
        <f t="shared" si="38"/>
        <v>37</v>
      </c>
      <c r="CS29" s="77">
        <f t="shared" si="38"/>
        <v>38</v>
      </c>
      <c r="CT29" s="77">
        <f t="shared" si="38"/>
        <v>39</v>
      </c>
      <c r="CU29" s="77">
        <f t="shared" si="38"/>
        <v>40</v>
      </c>
      <c r="CV29" s="77">
        <f t="shared" si="38"/>
        <v>41</v>
      </c>
      <c r="CW29" s="77">
        <f t="shared" si="38"/>
        <v>42</v>
      </c>
      <c r="CX29" s="77">
        <f t="shared" si="38"/>
        <v>43</v>
      </c>
      <c r="CY29" s="77">
        <f t="shared" si="38"/>
        <v>44</v>
      </c>
      <c r="CZ29" s="77">
        <f t="shared" si="38"/>
        <v>45</v>
      </c>
      <c r="DA29" s="77">
        <f t="shared" si="38"/>
        <v>46</v>
      </c>
      <c r="DB29" s="77">
        <f t="shared" si="38"/>
        <v>47</v>
      </c>
      <c r="DC29" s="77">
        <f t="shared" si="38"/>
        <v>48</v>
      </c>
      <c r="DD29" s="77">
        <f t="shared" si="38"/>
        <v>49</v>
      </c>
      <c r="DE29" s="77">
        <f t="shared" si="38"/>
        <v>50</v>
      </c>
      <c r="DF29" s="77">
        <f t="shared" si="38"/>
        <v>51</v>
      </c>
      <c r="DG29" s="77">
        <f t="shared" si="38"/>
        <v>52</v>
      </c>
      <c r="DH29" s="77">
        <f t="shared" si="38"/>
        <v>53</v>
      </c>
      <c r="DI29" s="77">
        <f t="shared" si="38"/>
        <v>54</v>
      </c>
      <c r="DJ29" s="77">
        <f t="shared" si="38"/>
        <v>55</v>
      </c>
      <c r="DK29" s="77">
        <f t="shared" si="38"/>
        <v>56</v>
      </c>
      <c r="DL29" s="77">
        <f t="shared" si="38"/>
        <v>57</v>
      </c>
      <c r="DM29" s="77">
        <f t="shared" si="38"/>
        <v>58</v>
      </c>
      <c r="DN29" s="77">
        <f t="shared" si="38"/>
        <v>59</v>
      </c>
      <c r="DO29" s="77">
        <f t="shared" si="38"/>
        <v>60</v>
      </c>
      <c r="DP29" s="77">
        <f t="shared" si="38"/>
        <v>61</v>
      </c>
      <c r="DQ29" s="77">
        <f t="shared" si="38"/>
        <v>62</v>
      </c>
      <c r="DR29" s="77">
        <f t="shared" si="38"/>
        <v>63</v>
      </c>
      <c r="DS29" s="77">
        <f t="shared" si="38"/>
        <v>64</v>
      </c>
      <c r="DT29" s="77">
        <f t="shared" si="38"/>
        <v>65</v>
      </c>
      <c r="DU29" s="77">
        <f t="shared" si="38"/>
        <v>66</v>
      </c>
      <c r="DV29" s="77">
        <f t="shared" si="38"/>
        <v>67</v>
      </c>
      <c r="DW29" s="77">
        <f t="shared" si="38"/>
        <v>68</v>
      </c>
      <c r="DX29" s="77">
        <f t="shared" si="38"/>
        <v>69</v>
      </c>
      <c r="DY29" s="77">
        <f t="shared" si="38"/>
        <v>70</v>
      </c>
      <c r="DZ29" s="77">
        <f t="shared" si="38"/>
        <v>71</v>
      </c>
      <c r="EA29" s="77">
        <f t="shared" si="38"/>
        <v>72</v>
      </c>
      <c r="EB29" s="77">
        <f t="shared" si="38"/>
        <v>73</v>
      </c>
      <c r="EC29" s="77">
        <f t="shared" si="38"/>
        <v>74</v>
      </c>
      <c r="ED29" s="77">
        <f t="shared" si="38"/>
        <v>75</v>
      </c>
      <c r="EE29" s="77">
        <f t="shared" si="38"/>
        <v>76</v>
      </c>
      <c r="EF29" s="77">
        <f t="shared" si="38"/>
        <v>77</v>
      </c>
      <c r="EG29" s="77">
        <f t="shared" si="38"/>
        <v>78</v>
      </c>
      <c r="EH29" s="77">
        <f t="shared" si="38"/>
        <v>79</v>
      </c>
      <c r="EI29" s="77">
        <f t="shared" si="38"/>
        <v>80</v>
      </c>
      <c r="EJ29" s="77">
        <f t="shared" si="38"/>
        <v>81</v>
      </c>
      <c r="EK29" s="77">
        <f t="shared" si="38"/>
        <v>82</v>
      </c>
      <c r="EL29" s="77">
        <f t="shared" si="38"/>
        <v>83</v>
      </c>
      <c r="EM29" s="77">
        <f t="shared" si="38"/>
        <v>84</v>
      </c>
      <c r="EN29" s="77">
        <f t="shared" si="38"/>
        <v>85</v>
      </c>
      <c r="EO29" s="77">
        <f t="shared" si="38"/>
        <v>86</v>
      </c>
      <c r="EP29" s="77">
        <f t="shared" si="38"/>
        <v>87</v>
      </c>
      <c r="EQ29" s="77">
        <f t="shared" si="38"/>
        <v>88</v>
      </c>
      <c r="ER29" s="77">
        <f t="shared" si="38"/>
        <v>89</v>
      </c>
      <c r="ES29" s="77">
        <f t="shared" si="38"/>
        <v>90</v>
      </c>
      <c r="ET29" s="77">
        <f t="shared" si="38"/>
        <v>91</v>
      </c>
      <c r="EU29" s="77">
        <f t="shared" si="38"/>
        <v>92</v>
      </c>
      <c r="EV29" s="77">
        <f t="shared" si="39"/>
        <v>93</v>
      </c>
      <c r="EW29" s="77">
        <f t="shared" si="39"/>
        <v>94</v>
      </c>
      <c r="EX29" s="77">
        <f t="shared" si="39"/>
        <v>95</v>
      </c>
      <c r="EY29" s="77">
        <f t="shared" si="39"/>
        <v>96</v>
      </c>
      <c r="EZ29" s="77">
        <f t="shared" si="39"/>
        <v>97</v>
      </c>
      <c r="FA29" s="77">
        <f t="shared" si="39"/>
        <v>98</v>
      </c>
      <c r="FB29" s="77">
        <f t="shared" si="39"/>
        <v>99</v>
      </c>
      <c r="FC29" s="77">
        <f t="shared" si="39"/>
        <v>100</v>
      </c>
      <c r="FD29" s="77">
        <f t="shared" si="39"/>
        <v>101</v>
      </c>
      <c r="FE29" s="77">
        <f t="shared" si="39"/>
        <v>102</v>
      </c>
      <c r="FF29" s="77">
        <f t="shared" si="39"/>
        <v>103</v>
      </c>
      <c r="FG29" s="77">
        <f t="shared" si="39"/>
        <v>104</v>
      </c>
      <c r="FH29" s="77">
        <f t="shared" si="39"/>
        <v>105</v>
      </c>
      <c r="FI29" s="77">
        <f t="shared" si="39"/>
        <v>106</v>
      </c>
      <c r="FJ29" s="77">
        <f t="shared" si="39"/>
        <v>107</v>
      </c>
      <c r="FK29" s="77">
        <f t="shared" si="39"/>
        <v>108</v>
      </c>
      <c r="FL29" s="77">
        <f t="shared" si="39"/>
        <v>109</v>
      </c>
      <c r="FM29" s="77">
        <f t="shared" si="39"/>
        <v>110</v>
      </c>
      <c r="FN29" s="77">
        <f t="shared" si="39"/>
        <v>111</v>
      </c>
      <c r="FO29" s="77">
        <f t="shared" si="39"/>
        <v>112</v>
      </c>
      <c r="FP29" s="77">
        <f t="shared" si="39"/>
        <v>113</v>
      </c>
      <c r="FQ29" s="77">
        <f t="shared" si="39"/>
        <v>114</v>
      </c>
      <c r="FR29" s="77">
        <f t="shared" si="39"/>
        <v>115</v>
      </c>
      <c r="FS29" s="77">
        <f t="shared" si="39"/>
        <v>116</v>
      </c>
      <c r="FT29" s="77">
        <f t="shared" si="39"/>
        <v>117</v>
      </c>
      <c r="FU29" s="77">
        <f t="shared" si="39"/>
        <v>118</v>
      </c>
      <c r="FV29" s="77">
        <f t="shared" si="39"/>
        <v>119</v>
      </c>
      <c r="FW29" s="77">
        <f t="shared" si="39"/>
        <v>120</v>
      </c>
      <c r="FX29" s="77">
        <f t="shared" si="39"/>
        <v>121</v>
      </c>
      <c r="FY29" s="77">
        <f t="shared" si="39"/>
        <v>122</v>
      </c>
      <c r="FZ29" s="77">
        <f t="shared" si="39"/>
        <v>123</v>
      </c>
      <c r="GA29" s="77">
        <f t="shared" si="39"/>
        <v>124</v>
      </c>
      <c r="GB29" s="77">
        <f t="shared" si="39"/>
        <v>125</v>
      </c>
      <c r="GC29" s="77">
        <f t="shared" si="39"/>
        <v>126</v>
      </c>
      <c r="GD29" s="77">
        <f t="shared" si="39"/>
        <v>127</v>
      </c>
      <c r="GE29" s="77">
        <f t="shared" si="39"/>
        <v>128</v>
      </c>
      <c r="GF29" s="77">
        <f t="shared" si="39"/>
        <v>129</v>
      </c>
      <c r="GG29" s="77">
        <f t="shared" si="39"/>
        <v>130</v>
      </c>
      <c r="GH29" s="77">
        <f t="shared" si="39"/>
        <v>131</v>
      </c>
      <c r="GI29" s="77">
        <f t="shared" si="39"/>
        <v>132</v>
      </c>
      <c r="GJ29" s="77">
        <f t="shared" si="39"/>
        <v>133</v>
      </c>
      <c r="GK29" s="77">
        <f t="shared" si="39"/>
        <v>134</v>
      </c>
      <c r="GL29" s="77">
        <f t="shared" si="39"/>
        <v>135</v>
      </c>
      <c r="GM29" s="77">
        <f t="shared" si="39"/>
        <v>136</v>
      </c>
      <c r="GN29" s="77">
        <f t="shared" si="39"/>
        <v>137</v>
      </c>
      <c r="GO29" s="77">
        <f t="shared" si="39"/>
        <v>138</v>
      </c>
      <c r="GP29" s="77">
        <f t="shared" si="39"/>
        <v>139</v>
      </c>
      <c r="GQ29" s="77">
        <f t="shared" si="39"/>
        <v>140</v>
      </c>
      <c r="GR29" s="77">
        <f t="shared" si="39"/>
        <v>141</v>
      </c>
      <c r="GS29" s="77">
        <f t="shared" si="39"/>
        <v>142</v>
      </c>
      <c r="GT29" s="77">
        <f t="shared" si="39"/>
        <v>143</v>
      </c>
      <c r="GU29" s="77">
        <f t="shared" si="39"/>
        <v>144</v>
      </c>
      <c r="GV29" s="77">
        <f t="shared" si="39"/>
        <v>145</v>
      </c>
      <c r="GW29" s="77">
        <f t="shared" si="39"/>
        <v>146</v>
      </c>
      <c r="GX29" s="77">
        <f t="shared" si="39"/>
        <v>147</v>
      </c>
    </row>
    <row r="30" spans="1:206" ht="15" customHeight="1" x14ac:dyDescent="0.2">
      <c r="A30" s="22" t="s">
        <v>68</v>
      </c>
      <c r="B30" s="22">
        <v>2</v>
      </c>
      <c r="C30" s="22" t="s">
        <v>102</v>
      </c>
      <c r="D30" s="22">
        <v>29</v>
      </c>
      <c r="E30" s="22" t="s">
        <v>113</v>
      </c>
      <c r="F30" s="22" t="s">
        <v>71</v>
      </c>
      <c r="G30" s="22" t="s">
        <v>72</v>
      </c>
      <c r="H30" s="22">
        <v>2009</v>
      </c>
      <c r="I30" s="22">
        <v>17</v>
      </c>
      <c r="J30" s="22">
        <v>11.89</v>
      </c>
      <c r="K30" s="22">
        <v>204</v>
      </c>
      <c r="L30" s="22">
        <v>1697</v>
      </c>
      <c r="M30" s="22">
        <v>1493</v>
      </c>
      <c r="N30" s="22" t="s">
        <v>95</v>
      </c>
      <c r="O30" s="22" t="s">
        <v>96</v>
      </c>
      <c r="P30" s="22" t="s">
        <v>75</v>
      </c>
      <c r="Q30" s="108">
        <f>IF(R30="","",'Dashboard Ciclos'!$B$2-R30)</f>
        <v>46248</v>
      </c>
      <c r="R30" s="22">
        <f>IF($E30="","",IFERROR(INDEX($W30:$GX30,MATCH('Dashboard Ciclos'!$B$2,$W$1:$GX$1,0)),""))</f>
        <v>1</v>
      </c>
      <c r="S30" s="22" t="str">
        <f t="shared" si="11"/>
        <v>En ciclo</v>
      </c>
      <c r="T30" s="22" t="str">
        <f t="shared" si="3"/>
        <v>Recién cortado</v>
      </c>
      <c r="U30" s="22">
        <f t="shared" si="4"/>
        <v>11</v>
      </c>
      <c r="V30" s="23">
        <f t="shared" si="5"/>
        <v>46260</v>
      </c>
      <c r="W30" s="77">
        <f t="shared" si="26"/>
        <v>10</v>
      </c>
      <c r="X30" s="77">
        <f t="shared" si="26"/>
        <v>11</v>
      </c>
      <c r="Y30" s="77">
        <f t="shared" si="26"/>
        <v>12</v>
      </c>
      <c r="Z30" s="77">
        <f t="shared" si="26"/>
        <v>13</v>
      </c>
      <c r="AA30" s="77">
        <v>14</v>
      </c>
      <c r="AB30" s="77">
        <f t="shared" si="28"/>
        <v>15</v>
      </c>
      <c r="AC30" s="77">
        <f t="shared" si="28"/>
        <v>16</v>
      </c>
      <c r="AD30" s="77">
        <f t="shared" si="28"/>
        <v>17</v>
      </c>
      <c r="AE30" s="77">
        <f t="shared" si="28"/>
        <v>18</v>
      </c>
      <c r="AF30" s="77">
        <f t="shared" si="28"/>
        <v>19</v>
      </c>
      <c r="AG30" s="77">
        <f t="shared" si="28"/>
        <v>20</v>
      </c>
      <c r="AH30" s="77">
        <f t="shared" si="28"/>
        <v>21</v>
      </c>
      <c r="AI30" s="77">
        <f t="shared" si="28"/>
        <v>22</v>
      </c>
      <c r="AJ30" s="77">
        <f t="shared" si="28"/>
        <v>23</v>
      </c>
      <c r="AK30" s="77">
        <f t="shared" si="28"/>
        <v>24</v>
      </c>
      <c r="AL30" s="77">
        <f t="shared" si="28"/>
        <v>25</v>
      </c>
      <c r="AM30" s="77">
        <f t="shared" si="28"/>
        <v>26</v>
      </c>
      <c r="AN30" s="77">
        <f t="shared" si="29"/>
        <v>27</v>
      </c>
      <c r="AO30" s="77">
        <f t="shared" si="28"/>
        <v>28</v>
      </c>
      <c r="AP30" s="77">
        <f t="shared" si="28"/>
        <v>29</v>
      </c>
      <c r="AQ30" s="77">
        <f t="shared" si="28"/>
        <v>30</v>
      </c>
      <c r="AR30" s="77">
        <f t="shared" si="27"/>
        <v>31</v>
      </c>
      <c r="AS30" s="77">
        <f t="shared" si="40"/>
        <v>32</v>
      </c>
      <c r="AT30" s="77">
        <f t="shared" si="40"/>
        <v>33</v>
      </c>
      <c r="AU30" s="77">
        <f t="shared" si="40"/>
        <v>34</v>
      </c>
      <c r="AV30" s="77">
        <f t="shared" si="40"/>
        <v>35</v>
      </c>
      <c r="AW30" s="77">
        <f t="shared" si="40"/>
        <v>36</v>
      </c>
      <c r="AX30" s="77">
        <v>0</v>
      </c>
      <c r="AY30" s="77">
        <f t="shared" si="40"/>
        <v>1</v>
      </c>
      <c r="AZ30" s="77">
        <f t="shared" si="40"/>
        <v>2</v>
      </c>
      <c r="BA30" s="77">
        <f t="shared" si="40"/>
        <v>3</v>
      </c>
      <c r="BB30" s="77">
        <f t="shared" si="40"/>
        <v>4</v>
      </c>
      <c r="BC30" s="77">
        <f t="shared" si="40"/>
        <v>5</v>
      </c>
      <c r="BD30" s="77">
        <f t="shared" si="40"/>
        <v>6</v>
      </c>
      <c r="BE30" s="77">
        <f t="shared" si="40"/>
        <v>7</v>
      </c>
      <c r="BF30" s="77">
        <f t="shared" si="40"/>
        <v>8</v>
      </c>
      <c r="BG30" s="77">
        <f t="shared" si="40"/>
        <v>9</v>
      </c>
      <c r="BH30" s="77">
        <f t="shared" si="40"/>
        <v>10</v>
      </c>
      <c r="BI30" s="77">
        <f t="shared" si="40"/>
        <v>11</v>
      </c>
      <c r="BJ30" s="77">
        <f t="shared" si="40"/>
        <v>12</v>
      </c>
      <c r="BK30" s="77">
        <f t="shared" si="40"/>
        <v>13</v>
      </c>
      <c r="BL30" s="77">
        <f t="shared" si="40"/>
        <v>14</v>
      </c>
      <c r="BM30" s="77">
        <f t="shared" si="40"/>
        <v>15</v>
      </c>
      <c r="BN30" s="77">
        <f t="shared" si="40"/>
        <v>16</v>
      </c>
      <c r="BO30" s="77">
        <v>0</v>
      </c>
      <c r="BP30" s="77">
        <f t="shared" si="40"/>
        <v>1</v>
      </c>
      <c r="BQ30" s="77">
        <f t="shared" si="40"/>
        <v>2</v>
      </c>
      <c r="BR30" s="77">
        <f t="shared" si="40"/>
        <v>3</v>
      </c>
      <c r="BS30" s="77">
        <f t="shared" si="40"/>
        <v>4</v>
      </c>
      <c r="BT30" s="77">
        <f t="shared" si="40"/>
        <v>5</v>
      </c>
      <c r="BU30" s="77">
        <f t="shared" si="40"/>
        <v>6</v>
      </c>
      <c r="BV30" s="77">
        <f t="shared" si="40"/>
        <v>7</v>
      </c>
      <c r="BW30" s="77">
        <f t="shared" si="40"/>
        <v>8</v>
      </c>
      <c r="BX30" s="77">
        <f t="shared" si="40"/>
        <v>9</v>
      </c>
      <c r="BY30" s="77">
        <f t="shared" si="40"/>
        <v>10</v>
      </c>
      <c r="BZ30" s="77">
        <f t="shared" si="40"/>
        <v>11</v>
      </c>
      <c r="CA30" s="77">
        <f t="shared" si="40"/>
        <v>12</v>
      </c>
      <c r="CB30" s="77">
        <f t="shared" si="40"/>
        <v>13</v>
      </c>
      <c r="CC30" s="77">
        <f t="shared" si="40"/>
        <v>14</v>
      </c>
      <c r="CD30" s="77">
        <f t="shared" si="40"/>
        <v>15</v>
      </c>
      <c r="CE30" s="77">
        <f t="shared" si="40"/>
        <v>16</v>
      </c>
      <c r="CF30" s="77">
        <f t="shared" si="40"/>
        <v>17</v>
      </c>
      <c r="CG30" s="77">
        <f t="shared" si="40"/>
        <v>18</v>
      </c>
      <c r="CH30" s="77">
        <f t="shared" si="40"/>
        <v>19</v>
      </c>
      <c r="CI30" s="77">
        <f t="shared" si="40"/>
        <v>20</v>
      </c>
      <c r="CJ30" s="77">
        <f t="shared" si="40"/>
        <v>21</v>
      </c>
      <c r="CK30" s="77">
        <f t="shared" si="38"/>
        <v>22</v>
      </c>
      <c r="CL30" s="77">
        <f t="shared" si="38"/>
        <v>23</v>
      </c>
      <c r="CM30" s="77">
        <f t="shared" si="38"/>
        <v>24</v>
      </c>
      <c r="CN30" s="77">
        <f t="shared" si="38"/>
        <v>25</v>
      </c>
      <c r="CO30" s="77">
        <f t="shared" si="38"/>
        <v>26</v>
      </c>
      <c r="CP30" s="77">
        <f t="shared" si="38"/>
        <v>27</v>
      </c>
      <c r="CQ30" s="77">
        <f t="shared" si="38"/>
        <v>28</v>
      </c>
      <c r="CR30" s="77">
        <f t="shared" si="38"/>
        <v>29</v>
      </c>
      <c r="CS30" s="77">
        <f t="shared" si="38"/>
        <v>30</v>
      </c>
      <c r="CT30" s="77">
        <f t="shared" si="38"/>
        <v>31</v>
      </c>
      <c r="CU30" s="77">
        <f t="shared" si="38"/>
        <v>32</v>
      </c>
      <c r="CV30" s="77">
        <f t="shared" si="38"/>
        <v>33</v>
      </c>
      <c r="CW30" s="77">
        <f t="shared" si="38"/>
        <v>34</v>
      </c>
      <c r="CX30" s="77">
        <f t="shared" si="38"/>
        <v>35</v>
      </c>
      <c r="CY30" s="77">
        <f t="shared" si="38"/>
        <v>36</v>
      </c>
      <c r="CZ30" s="77">
        <f t="shared" si="38"/>
        <v>37</v>
      </c>
      <c r="DA30" s="77">
        <f t="shared" si="38"/>
        <v>38</v>
      </c>
      <c r="DB30" s="77">
        <f t="shared" si="38"/>
        <v>39</v>
      </c>
      <c r="DC30" s="77">
        <f t="shared" si="38"/>
        <v>40</v>
      </c>
      <c r="DD30" s="77">
        <f t="shared" si="38"/>
        <v>41</v>
      </c>
      <c r="DE30" s="77">
        <f t="shared" si="38"/>
        <v>42</v>
      </c>
      <c r="DF30" s="77">
        <f t="shared" si="38"/>
        <v>43</v>
      </c>
      <c r="DG30" s="77">
        <f t="shared" si="38"/>
        <v>44</v>
      </c>
      <c r="DH30" s="77">
        <f t="shared" si="38"/>
        <v>45</v>
      </c>
      <c r="DI30" s="77">
        <f t="shared" si="38"/>
        <v>46</v>
      </c>
      <c r="DJ30" s="77">
        <f t="shared" si="38"/>
        <v>47</v>
      </c>
      <c r="DK30" s="77">
        <f t="shared" si="38"/>
        <v>48</v>
      </c>
      <c r="DL30" s="77">
        <f t="shared" si="38"/>
        <v>49</v>
      </c>
      <c r="DM30" s="77">
        <f t="shared" si="38"/>
        <v>50</v>
      </c>
      <c r="DN30" s="77">
        <f t="shared" si="38"/>
        <v>51</v>
      </c>
      <c r="DO30" s="77">
        <f t="shared" si="38"/>
        <v>52</v>
      </c>
      <c r="DP30" s="77">
        <f t="shared" si="38"/>
        <v>53</v>
      </c>
      <c r="DQ30" s="77">
        <f t="shared" si="38"/>
        <v>54</v>
      </c>
      <c r="DR30" s="77">
        <f t="shared" si="38"/>
        <v>55</v>
      </c>
      <c r="DS30" s="77">
        <f t="shared" si="38"/>
        <v>56</v>
      </c>
      <c r="DT30" s="77">
        <f t="shared" si="38"/>
        <v>57</v>
      </c>
      <c r="DU30" s="77">
        <f t="shared" si="38"/>
        <v>58</v>
      </c>
      <c r="DV30" s="77">
        <f t="shared" si="38"/>
        <v>59</v>
      </c>
      <c r="DW30" s="77">
        <f t="shared" si="38"/>
        <v>60</v>
      </c>
      <c r="DX30" s="77">
        <f t="shared" si="38"/>
        <v>61</v>
      </c>
      <c r="DY30" s="77">
        <f t="shared" si="38"/>
        <v>62</v>
      </c>
      <c r="DZ30" s="77">
        <f t="shared" si="38"/>
        <v>63</v>
      </c>
      <c r="EA30" s="77">
        <f t="shared" si="38"/>
        <v>64</v>
      </c>
      <c r="EB30" s="77">
        <f t="shared" si="38"/>
        <v>65</v>
      </c>
      <c r="EC30" s="77">
        <f t="shared" si="38"/>
        <v>66</v>
      </c>
      <c r="ED30" s="77">
        <f t="shared" si="38"/>
        <v>67</v>
      </c>
      <c r="EE30" s="77">
        <f t="shared" si="38"/>
        <v>68</v>
      </c>
      <c r="EF30" s="77">
        <f t="shared" si="38"/>
        <v>69</v>
      </c>
      <c r="EG30" s="77">
        <f t="shared" si="38"/>
        <v>70</v>
      </c>
      <c r="EH30" s="77">
        <f t="shared" si="38"/>
        <v>71</v>
      </c>
      <c r="EI30" s="77">
        <f t="shared" si="38"/>
        <v>72</v>
      </c>
      <c r="EJ30" s="77">
        <f t="shared" si="38"/>
        <v>73</v>
      </c>
      <c r="EK30" s="77">
        <f t="shared" si="38"/>
        <v>74</v>
      </c>
      <c r="EL30" s="77">
        <f t="shared" si="38"/>
        <v>75</v>
      </c>
      <c r="EM30" s="77">
        <f t="shared" si="38"/>
        <v>76</v>
      </c>
      <c r="EN30" s="77">
        <f t="shared" si="38"/>
        <v>77</v>
      </c>
      <c r="EO30" s="77">
        <f t="shared" si="38"/>
        <v>78</v>
      </c>
      <c r="EP30" s="77">
        <f t="shared" si="38"/>
        <v>79</v>
      </c>
      <c r="EQ30" s="77">
        <f t="shared" si="38"/>
        <v>80</v>
      </c>
      <c r="ER30" s="77">
        <f t="shared" si="38"/>
        <v>81</v>
      </c>
      <c r="ES30" s="77">
        <f t="shared" si="38"/>
        <v>82</v>
      </c>
      <c r="ET30" s="77">
        <f t="shared" si="38"/>
        <v>83</v>
      </c>
      <c r="EU30" s="77">
        <f t="shared" si="38"/>
        <v>84</v>
      </c>
      <c r="EV30" s="77">
        <f t="shared" si="39"/>
        <v>85</v>
      </c>
      <c r="EW30" s="77">
        <f t="shared" si="39"/>
        <v>86</v>
      </c>
      <c r="EX30" s="77">
        <f t="shared" si="39"/>
        <v>87</v>
      </c>
      <c r="EY30" s="77">
        <f t="shared" si="39"/>
        <v>88</v>
      </c>
      <c r="EZ30" s="77">
        <f t="shared" si="39"/>
        <v>89</v>
      </c>
      <c r="FA30" s="77">
        <f t="shared" si="39"/>
        <v>90</v>
      </c>
      <c r="FB30" s="77">
        <f t="shared" si="39"/>
        <v>91</v>
      </c>
      <c r="FC30" s="77">
        <f t="shared" si="39"/>
        <v>92</v>
      </c>
      <c r="FD30" s="77">
        <f t="shared" si="39"/>
        <v>93</v>
      </c>
      <c r="FE30" s="77">
        <f t="shared" si="39"/>
        <v>94</v>
      </c>
      <c r="FF30" s="77">
        <f t="shared" si="39"/>
        <v>95</v>
      </c>
      <c r="FG30" s="77">
        <f t="shared" si="39"/>
        <v>96</v>
      </c>
      <c r="FH30" s="77">
        <f t="shared" si="39"/>
        <v>97</v>
      </c>
      <c r="FI30" s="77">
        <f t="shared" si="39"/>
        <v>98</v>
      </c>
      <c r="FJ30" s="77">
        <f t="shared" si="39"/>
        <v>99</v>
      </c>
      <c r="FK30" s="77">
        <f t="shared" si="39"/>
        <v>100</v>
      </c>
      <c r="FL30" s="77">
        <f t="shared" si="39"/>
        <v>101</v>
      </c>
      <c r="FM30" s="77">
        <f t="shared" si="39"/>
        <v>102</v>
      </c>
      <c r="FN30" s="77">
        <f t="shared" si="39"/>
        <v>103</v>
      </c>
      <c r="FO30" s="77">
        <f t="shared" si="39"/>
        <v>104</v>
      </c>
      <c r="FP30" s="77">
        <f t="shared" si="39"/>
        <v>105</v>
      </c>
      <c r="FQ30" s="77">
        <f t="shared" si="39"/>
        <v>106</v>
      </c>
      <c r="FR30" s="77">
        <f t="shared" si="39"/>
        <v>107</v>
      </c>
      <c r="FS30" s="77">
        <f t="shared" si="39"/>
        <v>108</v>
      </c>
      <c r="FT30" s="77">
        <f t="shared" si="39"/>
        <v>109</v>
      </c>
      <c r="FU30" s="77">
        <f t="shared" si="39"/>
        <v>110</v>
      </c>
      <c r="FV30" s="77">
        <f t="shared" si="39"/>
        <v>111</v>
      </c>
      <c r="FW30" s="77">
        <f t="shared" si="39"/>
        <v>112</v>
      </c>
      <c r="FX30" s="77">
        <f t="shared" si="39"/>
        <v>113</v>
      </c>
      <c r="FY30" s="77">
        <f t="shared" si="39"/>
        <v>114</v>
      </c>
      <c r="FZ30" s="77">
        <f t="shared" si="39"/>
        <v>115</v>
      </c>
      <c r="GA30" s="77">
        <f t="shared" si="39"/>
        <v>116</v>
      </c>
      <c r="GB30" s="77">
        <f t="shared" si="39"/>
        <v>117</v>
      </c>
      <c r="GC30" s="77">
        <f t="shared" si="39"/>
        <v>118</v>
      </c>
      <c r="GD30" s="77">
        <f t="shared" si="39"/>
        <v>119</v>
      </c>
      <c r="GE30" s="77">
        <f t="shared" si="39"/>
        <v>120</v>
      </c>
      <c r="GF30" s="77">
        <f t="shared" si="39"/>
        <v>121</v>
      </c>
      <c r="GG30" s="77">
        <f t="shared" si="39"/>
        <v>122</v>
      </c>
      <c r="GH30" s="77">
        <f t="shared" si="39"/>
        <v>123</v>
      </c>
      <c r="GI30" s="77">
        <f t="shared" si="39"/>
        <v>124</v>
      </c>
      <c r="GJ30" s="77">
        <f t="shared" si="39"/>
        <v>125</v>
      </c>
      <c r="GK30" s="77">
        <f t="shared" si="39"/>
        <v>126</v>
      </c>
      <c r="GL30" s="77">
        <f t="shared" si="39"/>
        <v>127</v>
      </c>
      <c r="GM30" s="77">
        <f t="shared" si="39"/>
        <v>128</v>
      </c>
      <c r="GN30" s="77">
        <f t="shared" si="39"/>
        <v>129</v>
      </c>
      <c r="GO30" s="77">
        <f t="shared" si="39"/>
        <v>130</v>
      </c>
      <c r="GP30" s="77">
        <f t="shared" si="39"/>
        <v>131</v>
      </c>
      <c r="GQ30" s="77">
        <f t="shared" si="39"/>
        <v>132</v>
      </c>
      <c r="GR30" s="77">
        <f t="shared" si="39"/>
        <v>133</v>
      </c>
      <c r="GS30" s="77">
        <f t="shared" si="39"/>
        <v>134</v>
      </c>
      <c r="GT30" s="77">
        <f t="shared" si="39"/>
        <v>135</v>
      </c>
      <c r="GU30" s="77">
        <f t="shared" si="39"/>
        <v>136</v>
      </c>
      <c r="GV30" s="77">
        <f t="shared" si="39"/>
        <v>137</v>
      </c>
      <c r="GW30" s="77">
        <f t="shared" si="39"/>
        <v>138</v>
      </c>
      <c r="GX30" s="77">
        <f t="shared" si="39"/>
        <v>139</v>
      </c>
    </row>
    <row r="31" spans="1:206" ht="15" customHeight="1" x14ac:dyDescent="0.2">
      <c r="A31" s="22" t="s">
        <v>68</v>
      </c>
      <c r="B31" s="22">
        <v>2</v>
      </c>
      <c r="C31" s="22" t="s">
        <v>102</v>
      </c>
      <c r="D31" s="22">
        <v>30</v>
      </c>
      <c r="E31" s="22" t="s">
        <v>114</v>
      </c>
      <c r="F31" s="22" t="s">
        <v>71</v>
      </c>
      <c r="G31" s="22" t="s">
        <v>72</v>
      </c>
      <c r="H31" s="22">
        <v>2009</v>
      </c>
      <c r="I31" s="22">
        <v>17</v>
      </c>
      <c r="J31" s="22">
        <v>21.97</v>
      </c>
      <c r="K31" s="22">
        <v>296</v>
      </c>
      <c r="L31" s="22">
        <v>3107</v>
      </c>
      <c r="M31" s="22">
        <v>2811</v>
      </c>
      <c r="N31" s="22" t="s">
        <v>95</v>
      </c>
      <c r="O31" s="22" t="s">
        <v>96</v>
      </c>
      <c r="P31" s="22" t="s">
        <v>75</v>
      </c>
      <c r="Q31" s="108">
        <f>IF(R31="","",'Dashboard Ciclos'!$B$2-R31)</f>
        <v>46247</v>
      </c>
      <c r="R31" s="22">
        <f>IF($E31="","",IFERROR(INDEX($W31:$GX31,MATCH('Dashboard Ciclos'!$B$2,$W$1:$GX$1,0)),""))</f>
        <v>2</v>
      </c>
      <c r="S31" s="22" t="str">
        <f t="shared" si="11"/>
        <v>En ciclo</v>
      </c>
      <c r="T31" s="22" t="str">
        <f t="shared" si="3"/>
        <v>Recién cortado</v>
      </c>
      <c r="U31" s="22">
        <f t="shared" si="4"/>
        <v>10</v>
      </c>
      <c r="V31" s="23">
        <f t="shared" si="5"/>
        <v>46259</v>
      </c>
      <c r="W31" s="77">
        <f t="shared" si="26"/>
        <v>10</v>
      </c>
      <c r="X31" s="77">
        <f t="shared" si="26"/>
        <v>11</v>
      </c>
      <c r="Y31" s="77">
        <f t="shared" si="26"/>
        <v>12</v>
      </c>
      <c r="Z31" s="77">
        <f t="shared" si="26"/>
        <v>13</v>
      </c>
      <c r="AA31" s="77">
        <v>14</v>
      </c>
      <c r="AB31" s="77">
        <f t="shared" si="28"/>
        <v>15</v>
      </c>
      <c r="AC31" s="77">
        <f t="shared" si="28"/>
        <v>16</v>
      </c>
      <c r="AD31" s="77">
        <f t="shared" si="28"/>
        <v>17</v>
      </c>
      <c r="AE31" s="77">
        <f t="shared" si="28"/>
        <v>18</v>
      </c>
      <c r="AF31" s="77">
        <f t="shared" si="28"/>
        <v>19</v>
      </c>
      <c r="AG31" s="77">
        <f t="shared" si="28"/>
        <v>20</v>
      </c>
      <c r="AH31" s="77">
        <f t="shared" si="28"/>
        <v>21</v>
      </c>
      <c r="AI31" s="77">
        <f t="shared" si="28"/>
        <v>22</v>
      </c>
      <c r="AJ31" s="77">
        <f t="shared" si="28"/>
        <v>23</v>
      </c>
      <c r="AK31" s="77">
        <f t="shared" si="28"/>
        <v>24</v>
      </c>
      <c r="AL31" s="77">
        <f t="shared" si="28"/>
        <v>25</v>
      </c>
      <c r="AM31" s="77">
        <f t="shared" si="28"/>
        <v>26</v>
      </c>
      <c r="AN31" s="77">
        <f t="shared" si="29"/>
        <v>27</v>
      </c>
      <c r="AO31" s="77">
        <f t="shared" si="28"/>
        <v>28</v>
      </c>
      <c r="AP31" s="77">
        <f t="shared" si="28"/>
        <v>29</v>
      </c>
      <c r="AQ31" s="77">
        <f t="shared" si="28"/>
        <v>30</v>
      </c>
      <c r="AR31" s="77">
        <f t="shared" si="27"/>
        <v>31</v>
      </c>
      <c r="AS31" s="77">
        <f t="shared" si="40"/>
        <v>32</v>
      </c>
      <c r="AT31" s="77">
        <f t="shared" si="40"/>
        <v>33</v>
      </c>
      <c r="AU31" s="77">
        <v>0</v>
      </c>
      <c r="AV31" s="77">
        <f t="shared" si="40"/>
        <v>1</v>
      </c>
      <c r="AW31" s="77">
        <f t="shared" si="40"/>
        <v>2</v>
      </c>
      <c r="AX31" s="77">
        <f t="shared" si="40"/>
        <v>3</v>
      </c>
      <c r="AY31" s="77">
        <f t="shared" si="40"/>
        <v>4</v>
      </c>
      <c r="AZ31" s="77">
        <f t="shared" si="40"/>
        <v>5</v>
      </c>
      <c r="BA31" s="77">
        <f t="shared" si="40"/>
        <v>6</v>
      </c>
      <c r="BB31" s="77">
        <f t="shared" si="40"/>
        <v>7</v>
      </c>
      <c r="BC31" s="77">
        <f t="shared" si="40"/>
        <v>8</v>
      </c>
      <c r="BD31" s="77">
        <f t="shared" si="40"/>
        <v>9</v>
      </c>
      <c r="BE31" s="77">
        <f t="shared" si="40"/>
        <v>10</v>
      </c>
      <c r="BF31" s="77">
        <f t="shared" si="40"/>
        <v>11</v>
      </c>
      <c r="BG31" s="77">
        <f t="shared" si="40"/>
        <v>12</v>
      </c>
      <c r="BH31" s="77">
        <f t="shared" si="40"/>
        <v>13</v>
      </c>
      <c r="BI31" s="77">
        <f t="shared" si="40"/>
        <v>14</v>
      </c>
      <c r="BJ31" s="77">
        <f t="shared" si="40"/>
        <v>15</v>
      </c>
      <c r="BK31" s="77">
        <f t="shared" si="40"/>
        <v>16</v>
      </c>
      <c r="BL31" s="77">
        <f t="shared" si="40"/>
        <v>17</v>
      </c>
      <c r="BM31" s="77">
        <f t="shared" si="40"/>
        <v>18</v>
      </c>
      <c r="BN31" s="77">
        <v>0</v>
      </c>
      <c r="BO31" s="77">
        <f t="shared" si="40"/>
        <v>1</v>
      </c>
      <c r="BP31" s="77">
        <f t="shared" si="40"/>
        <v>2</v>
      </c>
      <c r="BQ31" s="77">
        <f t="shared" si="40"/>
        <v>3</v>
      </c>
      <c r="BR31" s="77">
        <f t="shared" si="40"/>
        <v>4</v>
      </c>
      <c r="BS31" s="77">
        <f t="shared" si="40"/>
        <v>5</v>
      </c>
      <c r="BT31" s="77">
        <f t="shared" si="40"/>
        <v>6</v>
      </c>
      <c r="BU31" s="77">
        <f t="shared" si="40"/>
        <v>7</v>
      </c>
      <c r="BV31" s="77">
        <f t="shared" si="40"/>
        <v>8</v>
      </c>
      <c r="BW31" s="77">
        <f t="shared" si="40"/>
        <v>9</v>
      </c>
      <c r="BX31" s="77">
        <f t="shared" si="40"/>
        <v>10</v>
      </c>
      <c r="BY31" s="77">
        <f t="shared" si="40"/>
        <v>11</v>
      </c>
      <c r="BZ31" s="77">
        <f t="shared" si="40"/>
        <v>12</v>
      </c>
      <c r="CA31" s="77">
        <f t="shared" si="40"/>
        <v>13</v>
      </c>
      <c r="CB31" s="77">
        <f t="shared" si="40"/>
        <v>14</v>
      </c>
      <c r="CC31" s="77">
        <f t="shared" si="40"/>
        <v>15</v>
      </c>
      <c r="CD31" s="77">
        <f t="shared" si="40"/>
        <v>16</v>
      </c>
      <c r="CE31" s="77">
        <f t="shared" si="40"/>
        <v>17</v>
      </c>
      <c r="CF31" s="77">
        <f t="shared" si="40"/>
        <v>18</v>
      </c>
      <c r="CG31" s="77">
        <f t="shared" si="40"/>
        <v>19</v>
      </c>
      <c r="CH31" s="77">
        <f t="shared" si="40"/>
        <v>20</v>
      </c>
      <c r="CI31" s="77">
        <f t="shared" si="40"/>
        <v>21</v>
      </c>
      <c r="CJ31" s="77">
        <f t="shared" ref="CJ31:EU34" si="41">IF(CI31="","",CI31+1)</f>
        <v>22</v>
      </c>
      <c r="CK31" s="77">
        <f t="shared" si="41"/>
        <v>23</v>
      </c>
      <c r="CL31" s="77">
        <f t="shared" si="41"/>
        <v>24</v>
      </c>
      <c r="CM31" s="77">
        <f t="shared" si="41"/>
        <v>25</v>
      </c>
      <c r="CN31" s="77">
        <f t="shared" si="41"/>
        <v>26</v>
      </c>
      <c r="CO31" s="77">
        <f t="shared" si="41"/>
        <v>27</v>
      </c>
      <c r="CP31" s="77">
        <f t="shared" si="41"/>
        <v>28</v>
      </c>
      <c r="CQ31" s="77">
        <f t="shared" si="41"/>
        <v>29</v>
      </c>
      <c r="CR31" s="77">
        <f t="shared" si="41"/>
        <v>30</v>
      </c>
      <c r="CS31" s="77">
        <f t="shared" si="41"/>
        <v>31</v>
      </c>
      <c r="CT31" s="77">
        <f t="shared" si="41"/>
        <v>32</v>
      </c>
      <c r="CU31" s="77">
        <f t="shared" si="41"/>
        <v>33</v>
      </c>
      <c r="CV31" s="77">
        <f t="shared" si="41"/>
        <v>34</v>
      </c>
      <c r="CW31" s="77">
        <f t="shared" si="41"/>
        <v>35</v>
      </c>
      <c r="CX31" s="77">
        <f t="shared" si="41"/>
        <v>36</v>
      </c>
      <c r="CY31" s="77">
        <f t="shared" si="41"/>
        <v>37</v>
      </c>
      <c r="CZ31" s="77">
        <f t="shared" si="41"/>
        <v>38</v>
      </c>
      <c r="DA31" s="77">
        <f t="shared" si="41"/>
        <v>39</v>
      </c>
      <c r="DB31" s="77">
        <f t="shared" si="41"/>
        <v>40</v>
      </c>
      <c r="DC31" s="77">
        <f t="shared" si="41"/>
        <v>41</v>
      </c>
      <c r="DD31" s="77">
        <f t="shared" si="41"/>
        <v>42</v>
      </c>
      <c r="DE31" s="77">
        <f t="shared" si="41"/>
        <v>43</v>
      </c>
      <c r="DF31" s="77">
        <f t="shared" si="41"/>
        <v>44</v>
      </c>
      <c r="DG31" s="77">
        <f t="shared" si="41"/>
        <v>45</v>
      </c>
      <c r="DH31" s="77">
        <f t="shared" si="41"/>
        <v>46</v>
      </c>
      <c r="DI31" s="77">
        <f t="shared" si="41"/>
        <v>47</v>
      </c>
      <c r="DJ31" s="77">
        <f t="shared" si="41"/>
        <v>48</v>
      </c>
      <c r="DK31" s="77">
        <f t="shared" si="41"/>
        <v>49</v>
      </c>
      <c r="DL31" s="77">
        <f t="shared" si="41"/>
        <v>50</v>
      </c>
      <c r="DM31" s="77">
        <f t="shared" si="41"/>
        <v>51</v>
      </c>
      <c r="DN31" s="77">
        <f t="shared" si="41"/>
        <v>52</v>
      </c>
      <c r="DO31" s="77">
        <f t="shared" si="41"/>
        <v>53</v>
      </c>
      <c r="DP31" s="77">
        <f t="shared" si="41"/>
        <v>54</v>
      </c>
      <c r="DQ31" s="77">
        <f t="shared" si="41"/>
        <v>55</v>
      </c>
      <c r="DR31" s="77">
        <f t="shared" si="41"/>
        <v>56</v>
      </c>
      <c r="DS31" s="77">
        <f t="shared" si="41"/>
        <v>57</v>
      </c>
      <c r="DT31" s="77">
        <f t="shared" si="41"/>
        <v>58</v>
      </c>
      <c r="DU31" s="77">
        <f t="shared" si="41"/>
        <v>59</v>
      </c>
      <c r="DV31" s="77">
        <f t="shared" si="41"/>
        <v>60</v>
      </c>
      <c r="DW31" s="77">
        <f t="shared" si="41"/>
        <v>61</v>
      </c>
      <c r="DX31" s="77">
        <f t="shared" si="41"/>
        <v>62</v>
      </c>
      <c r="DY31" s="77">
        <f t="shared" si="41"/>
        <v>63</v>
      </c>
      <c r="DZ31" s="77">
        <f t="shared" si="41"/>
        <v>64</v>
      </c>
      <c r="EA31" s="77">
        <f t="shared" si="41"/>
        <v>65</v>
      </c>
      <c r="EB31" s="77">
        <f t="shared" si="41"/>
        <v>66</v>
      </c>
      <c r="EC31" s="77">
        <f t="shared" si="41"/>
        <v>67</v>
      </c>
      <c r="ED31" s="77">
        <f t="shared" si="41"/>
        <v>68</v>
      </c>
      <c r="EE31" s="77">
        <f t="shared" si="41"/>
        <v>69</v>
      </c>
      <c r="EF31" s="77">
        <f t="shared" si="41"/>
        <v>70</v>
      </c>
      <c r="EG31" s="77">
        <f t="shared" si="41"/>
        <v>71</v>
      </c>
      <c r="EH31" s="77">
        <f t="shared" si="41"/>
        <v>72</v>
      </c>
      <c r="EI31" s="77">
        <f t="shared" si="41"/>
        <v>73</v>
      </c>
      <c r="EJ31" s="77">
        <f t="shared" si="41"/>
        <v>74</v>
      </c>
      <c r="EK31" s="77">
        <f t="shared" si="41"/>
        <v>75</v>
      </c>
      <c r="EL31" s="77">
        <f t="shared" si="41"/>
        <v>76</v>
      </c>
      <c r="EM31" s="77">
        <f t="shared" si="41"/>
        <v>77</v>
      </c>
      <c r="EN31" s="77">
        <f t="shared" si="41"/>
        <v>78</v>
      </c>
      <c r="EO31" s="77">
        <f t="shared" si="41"/>
        <v>79</v>
      </c>
      <c r="EP31" s="77">
        <f t="shared" si="41"/>
        <v>80</v>
      </c>
      <c r="EQ31" s="77">
        <f t="shared" si="41"/>
        <v>81</v>
      </c>
      <c r="ER31" s="77">
        <f t="shared" si="41"/>
        <v>82</v>
      </c>
      <c r="ES31" s="77">
        <f t="shared" si="41"/>
        <v>83</v>
      </c>
      <c r="ET31" s="77">
        <f t="shared" si="41"/>
        <v>84</v>
      </c>
      <c r="EU31" s="77">
        <f t="shared" si="41"/>
        <v>85</v>
      </c>
      <c r="EV31" s="77">
        <f t="shared" si="39"/>
        <v>86</v>
      </c>
      <c r="EW31" s="77">
        <f t="shared" si="39"/>
        <v>87</v>
      </c>
      <c r="EX31" s="77">
        <f t="shared" si="39"/>
        <v>88</v>
      </c>
      <c r="EY31" s="77">
        <f t="shared" si="39"/>
        <v>89</v>
      </c>
      <c r="EZ31" s="77">
        <f t="shared" si="39"/>
        <v>90</v>
      </c>
      <c r="FA31" s="77">
        <f t="shared" si="39"/>
        <v>91</v>
      </c>
      <c r="FB31" s="77">
        <f t="shared" si="39"/>
        <v>92</v>
      </c>
      <c r="FC31" s="77">
        <f t="shared" si="39"/>
        <v>93</v>
      </c>
      <c r="FD31" s="77">
        <f t="shared" si="39"/>
        <v>94</v>
      </c>
      <c r="FE31" s="77">
        <f t="shared" si="39"/>
        <v>95</v>
      </c>
      <c r="FF31" s="77">
        <f t="shared" si="39"/>
        <v>96</v>
      </c>
      <c r="FG31" s="77">
        <f t="shared" si="39"/>
        <v>97</v>
      </c>
      <c r="FH31" s="77">
        <f t="shared" si="39"/>
        <v>98</v>
      </c>
      <c r="FI31" s="77">
        <f t="shared" si="39"/>
        <v>99</v>
      </c>
      <c r="FJ31" s="77">
        <f t="shared" si="39"/>
        <v>100</v>
      </c>
      <c r="FK31" s="77">
        <f t="shared" si="39"/>
        <v>101</v>
      </c>
      <c r="FL31" s="77">
        <f t="shared" si="39"/>
        <v>102</v>
      </c>
      <c r="FM31" s="77">
        <f t="shared" si="39"/>
        <v>103</v>
      </c>
      <c r="FN31" s="77">
        <f t="shared" si="39"/>
        <v>104</v>
      </c>
      <c r="FO31" s="77">
        <f t="shared" si="39"/>
        <v>105</v>
      </c>
      <c r="FP31" s="77">
        <f t="shared" si="39"/>
        <v>106</v>
      </c>
      <c r="FQ31" s="77">
        <f t="shared" si="39"/>
        <v>107</v>
      </c>
      <c r="FR31" s="77">
        <f t="shared" si="39"/>
        <v>108</v>
      </c>
      <c r="FS31" s="77">
        <f t="shared" si="39"/>
        <v>109</v>
      </c>
      <c r="FT31" s="77">
        <f t="shared" si="39"/>
        <v>110</v>
      </c>
      <c r="FU31" s="77">
        <f t="shared" si="39"/>
        <v>111</v>
      </c>
      <c r="FV31" s="77">
        <f t="shared" si="39"/>
        <v>112</v>
      </c>
      <c r="FW31" s="77">
        <f t="shared" si="39"/>
        <v>113</v>
      </c>
      <c r="FX31" s="77">
        <f t="shared" si="39"/>
        <v>114</v>
      </c>
      <c r="FY31" s="77">
        <f t="shared" si="39"/>
        <v>115</v>
      </c>
      <c r="FZ31" s="77">
        <f t="shared" si="39"/>
        <v>116</v>
      </c>
      <c r="GA31" s="77">
        <f t="shared" si="39"/>
        <v>117</v>
      </c>
      <c r="GB31" s="77">
        <f t="shared" si="39"/>
        <v>118</v>
      </c>
      <c r="GC31" s="77">
        <f t="shared" si="39"/>
        <v>119</v>
      </c>
      <c r="GD31" s="77">
        <f t="shared" si="39"/>
        <v>120</v>
      </c>
      <c r="GE31" s="77">
        <f t="shared" ref="GE31:GX31" si="42">IF(GD31="","",GD31+1)</f>
        <v>121</v>
      </c>
      <c r="GF31" s="77">
        <f t="shared" si="42"/>
        <v>122</v>
      </c>
      <c r="GG31" s="77">
        <f t="shared" si="42"/>
        <v>123</v>
      </c>
      <c r="GH31" s="77">
        <f t="shared" si="42"/>
        <v>124</v>
      </c>
      <c r="GI31" s="77">
        <f t="shared" si="42"/>
        <v>125</v>
      </c>
      <c r="GJ31" s="77">
        <f t="shared" si="42"/>
        <v>126</v>
      </c>
      <c r="GK31" s="77">
        <f t="shared" si="42"/>
        <v>127</v>
      </c>
      <c r="GL31" s="77">
        <f t="shared" si="42"/>
        <v>128</v>
      </c>
      <c r="GM31" s="77">
        <f t="shared" si="42"/>
        <v>129</v>
      </c>
      <c r="GN31" s="77">
        <f t="shared" si="42"/>
        <v>130</v>
      </c>
      <c r="GO31" s="77">
        <f t="shared" si="42"/>
        <v>131</v>
      </c>
      <c r="GP31" s="77">
        <f t="shared" si="42"/>
        <v>132</v>
      </c>
      <c r="GQ31" s="77">
        <f t="shared" si="42"/>
        <v>133</v>
      </c>
      <c r="GR31" s="77">
        <f t="shared" si="42"/>
        <v>134</v>
      </c>
      <c r="GS31" s="77">
        <f t="shared" si="42"/>
        <v>135</v>
      </c>
      <c r="GT31" s="77">
        <f t="shared" si="42"/>
        <v>136</v>
      </c>
      <c r="GU31" s="77">
        <f t="shared" si="42"/>
        <v>137</v>
      </c>
      <c r="GV31" s="77">
        <f t="shared" si="42"/>
        <v>138</v>
      </c>
      <c r="GW31" s="77">
        <f t="shared" si="42"/>
        <v>139</v>
      </c>
      <c r="GX31" s="77">
        <f t="shared" si="42"/>
        <v>140</v>
      </c>
    </row>
    <row r="32" spans="1:206" ht="15" customHeight="1" x14ac:dyDescent="0.2">
      <c r="A32" s="22" t="s">
        <v>68</v>
      </c>
      <c r="B32" s="22">
        <v>2</v>
      </c>
      <c r="C32" s="22" t="s">
        <v>93</v>
      </c>
      <c r="D32" s="22" t="s">
        <v>115</v>
      </c>
      <c r="E32" s="22" t="s">
        <v>116</v>
      </c>
      <c r="F32" s="22" t="s">
        <v>78</v>
      </c>
      <c r="G32" s="22" t="s">
        <v>79</v>
      </c>
      <c r="H32" s="22">
        <v>2010</v>
      </c>
      <c r="I32" s="22">
        <v>16</v>
      </c>
      <c r="J32" s="22">
        <v>6.99</v>
      </c>
      <c r="K32" s="22">
        <v>49</v>
      </c>
      <c r="L32" s="22">
        <v>992</v>
      </c>
      <c r="M32" s="22">
        <v>943</v>
      </c>
      <c r="N32" s="22" t="s">
        <v>95</v>
      </c>
      <c r="O32" s="22" t="s">
        <v>96</v>
      </c>
      <c r="P32" s="22" t="s">
        <v>75</v>
      </c>
      <c r="Q32" s="108">
        <f>IF(R32="","",'Dashboard Ciclos'!$B$2-R32)</f>
        <v>46239</v>
      </c>
      <c r="R32" s="22">
        <f>IF($E32="","",IFERROR(INDEX($W32:$GX32,MATCH('Dashboard Ciclos'!$B$2,$W$1:$GX$1,0)),""))</f>
        <v>10</v>
      </c>
      <c r="S32" s="22" t="str">
        <f t="shared" si="11"/>
        <v>En ciclo</v>
      </c>
      <c r="T32" s="22" t="str">
        <f t="shared" si="3"/>
        <v>En ciclo</v>
      </c>
      <c r="U32" s="22">
        <f t="shared" si="4"/>
        <v>2</v>
      </c>
      <c r="V32" s="23">
        <f t="shared" si="5"/>
        <v>46251</v>
      </c>
      <c r="W32" s="77">
        <f t="shared" si="26"/>
        <v>14</v>
      </c>
      <c r="X32" s="77">
        <f t="shared" si="26"/>
        <v>15</v>
      </c>
      <c r="Y32" s="77">
        <f t="shared" si="26"/>
        <v>16</v>
      </c>
      <c r="Z32" s="77">
        <f t="shared" si="26"/>
        <v>17</v>
      </c>
      <c r="AA32" s="77">
        <v>18</v>
      </c>
      <c r="AB32" s="77">
        <f t="shared" si="28"/>
        <v>19</v>
      </c>
      <c r="AC32" s="77">
        <f t="shared" si="28"/>
        <v>20</v>
      </c>
      <c r="AD32" s="77">
        <f t="shared" si="28"/>
        <v>21</v>
      </c>
      <c r="AE32" s="77">
        <f t="shared" si="28"/>
        <v>22</v>
      </c>
      <c r="AF32" s="77">
        <f t="shared" si="28"/>
        <v>23</v>
      </c>
      <c r="AG32" s="77">
        <f t="shared" si="28"/>
        <v>24</v>
      </c>
      <c r="AH32" s="77">
        <f t="shared" si="28"/>
        <v>25</v>
      </c>
      <c r="AI32" s="77">
        <f t="shared" si="28"/>
        <v>26</v>
      </c>
      <c r="AJ32" s="77">
        <f t="shared" si="28"/>
        <v>27</v>
      </c>
      <c r="AK32" s="77">
        <f t="shared" si="28"/>
        <v>28</v>
      </c>
      <c r="AL32" s="77">
        <f t="shared" si="28"/>
        <v>29</v>
      </c>
      <c r="AM32" s="77">
        <f t="shared" si="28"/>
        <v>30</v>
      </c>
      <c r="AN32" s="77">
        <f t="shared" si="29"/>
        <v>31</v>
      </c>
      <c r="AO32" s="77">
        <f t="shared" si="28"/>
        <v>32</v>
      </c>
      <c r="AP32" s="77">
        <f t="shared" si="28"/>
        <v>33</v>
      </c>
      <c r="AQ32" s="77">
        <v>0</v>
      </c>
      <c r="AR32" s="77">
        <f t="shared" si="27"/>
        <v>1</v>
      </c>
      <c r="AS32" s="77">
        <f t="shared" ref="AS32:CJ35" si="43">IF(AR32="","",AR32+1)</f>
        <v>2</v>
      </c>
      <c r="AT32" s="77">
        <f t="shared" si="43"/>
        <v>3</v>
      </c>
      <c r="AU32" s="77">
        <f t="shared" si="43"/>
        <v>4</v>
      </c>
      <c r="AV32" s="77">
        <f t="shared" si="43"/>
        <v>5</v>
      </c>
      <c r="AW32" s="77">
        <f t="shared" si="43"/>
        <v>6</v>
      </c>
      <c r="AX32" s="77">
        <f t="shared" si="43"/>
        <v>7</v>
      </c>
      <c r="AY32" s="77">
        <f t="shared" si="43"/>
        <v>8</v>
      </c>
      <c r="AZ32" s="77">
        <f t="shared" si="43"/>
        <v>9</v>
      </c>
      <c r="BA32" s="77">
        <f t="shared" si="43"/>
        <v>10</v>
      </c>
      <c r="BB32" s="77">
        <f t="shared" si="43"/>
        <v>11</v>
      </c>
      <c r="BC32" s="77">
        <f t="shared" si="43"/>
        <v>12</v>
      </c>
      <c r="BD32" s="77">
        <f t="shared" si="43"/>
        <v>13</v>
      </c>
      <c r="BE32" s="77">
        <f t="shared" si="43"/>
        <v>14</v>
      </c>
      <c r="BF32" s="77">
        <v>0</v>
      </c>
      <c r="BG32" s="77">
        <f t="shared" si="43"/>
        <v>1</v>
      </c>
      <c r="BH32" s="77">
        <f t="shared" si="43"/>
        <v>2</v>
      </c>
      <c r="BI32" s="77">
        <f t="shared" si="43"/>
        <v>3</v>
      </c>
      <c r="BJ32" s="77">
        <f t="shared" si="43"/>
        <v>4</v>
      </c>
      <c r="BK32" s="77">
        <f t="shared" si="43"/>
        <v>5</v>
      </c>
      <c r="BL32" s="77">
        <f t="shared" si="43"/>
        <v>6</v>
      </c>
      <c r="BM32" s="77">
        <f t="shared" si="43"/>
        <v>7</v>
      </c>
      <c r="BN32" s="77">
        <f t="shared" si="43"/>
        <v>8</v>
      </c>
      <c r="BO32" s="77">
        <f t="shared" si="43"/>
        <v>9</v>
      </c>
      <c r="BP32" s="77">
        <f t="shared" si="43"/>
        <v>10</v>
      </c>
      <c r="BQ32" s="77">
        <f t="shared" si="43"/>
        <v>11</v>
      </c>
      <c r="BR32" s="77">
        <f t="shared" si="43"/>
        <v>12</v>
      </c>
      <c r="BS32" s="77">
        <f t="shared" si="43"/>
        <v>13</v>
      </c>
      <c r="BT32" s="77">
        <f t="shared" si="43"/>
        <v>14</v>
      </c>
      <c r="BU32" s="77">
        <f t="shared" si="43"/>
        <v>15</v>
      </c>
      <c r="BV32" s="77">
        <f t="shared" si="43"/>
        <v>16</v>
      </c>
      <c r="BW32" s="77">
        <f t="shared" si="43"/>
        <v>17</v>
      </c>
      <c r="BX32" s="77">
        <f t="shared" si="43"/>
        <v>18</v>
      </c>
      <c r="BY32" s="77">
        <f t="shared" si="43"/>
        <v>19</v>
      </c>
      <c r="BZ32" s="77">
        <f t="shared" si="43"/>
        <v>20</v>
      </c>
      <c r="CA32" s="77">
        <f t="shared" si="43"/>
        <v>21</v>
      </c>
      <c r="CB32" s="77">
        <f t="shared" si="43"/>
        <v>22</v>
      </c>
      <c r="CC32" s="77">
        <f t="shared" si="43"/>
        <v>23</v>
      </c>
      <c r="CD32" s="77">
        <f t="shared" si="43"/>
        <v>24</v>
      </c>
      <c r="CE32" s="77">
        <f t="shared" si="43"/>
        <v>25</v>
      </c>
      <c r="CF32" s="77">
        <f t="shared" si="43"/>
        <v>26</v>
      </c>
      <c r="CG32" s="77">
        <f t="shared" si="43"/>
        <v>27</v>
      </c>
      <c r="CH32" s="77">
        <f t="shared" si="43"/>
        <v>28</v>
      </c>
      <c r="CI32" s="77">
        <f t="shared" si="43"/>
        <v>29</v>
      </c>
      <c r="CJ32" s="77">
        <f t="shared" si="43"/>
        <v>30</v>
      </c>
      <c r="CK32" s="77">
        <f t="shared" si="41"/>
        <v>31</v>
      </c>
      <c r="CL32" s="77">
        <f t="shared" si="41"/>
        <v>32</v>
      </c>
      <c r="CM32" s="77">
        <f t="shared" si="41"/>
        <v>33</v>
      </c>
      <c r="CN32" s="77">
        <f t="shared" si="41"/>
        <v>34</v>
      </c>
      <c r="CO32" s="77">
        <f t="shared" si="41"/>
        <v>35</v>
      </c>
      <c r="CP32" s="77">
        <f t="shared" si="41"/>
        <v>36</v>
      </c>
      <c r="CQ32" s="77">
        <f t="shared" si="41"/>
        <v>37</v>
      </c>
      <c r="CR32" s="77">
        <f t="shared" si="41"/>
        <v>38</v>
      </c>
      <c r="CS32" s="77">
        <f t="shared" si="41"/>
        <v>39</v>
      </c>
      <c r="CT32" s="77">
        <f t="shared" si="41"/>
        <v>40</v>
      </c>
      <c r="CU32" s="77">
        <f t="shared" si="41"/>
        <v>41</v>
      </c>
      <c r="CV32" s="77">
        <f t="shared" si="41"/>
        <v>42</v>
      </c>
      <c r="CW32" s="77">
        <f t="shared" si="41"/>
        <v>43</v>
      </c>
      <c r="CX32" s="77">
        <f t="shared" si="41"/>
        <v>44</v>
      </c>
      <c r="CY32" s="77">
        <f t="shared" si="41"/>
        <v>45</v>
      </c>
      <c r="CZ32" s="77">
        <f t="shared" si="41"/>
        <v>46</v>
      </c>
      <c r="DA32" s="77">
        <f t="shared" si="41"/>
        <v>47</v>
      </c>
      <c r="DB32" s="77">
        <f t="shared" si="41"/>
        <v>48</v>
      </c>
      <c r="DC32" s="77">
        <f t="shared" si="41"/>
        <v>49</v>
      </c>
      <c r="DD32" s="77">
        <f t="shared" si="41"/>
        <v>50</v>
      </c>
      <c r="DE32" s="77">
        <f t="shared" si="41"/>
        <v>51</v>
      </c>
      <c r="DF32" s="77">
        <f t="shared" si="41"/>
        <v>52</v>
      </c>
      <c r="DG32" s="77">
        <f t="shared" si="41"/>
        <v>53</v>
      </c>
      <c r="DH32" s="77">
        <f t="shared" si="41"/>
        <v>54</v>
      </c>
      <c r="DI32" s="77">
        <f t="shared" si="41"/>
        <v>55</v>
      </c>
      <c r="DJ32" s="77">
        <f t="shared" si="41"/>
        <v>56</v>
      </c>
      <c r="DK32" s="77">
        <f t="shared" si="41"/>
        <v>57</v>
      </c>
      <c r="DL32" s="77">
        <f t="shared" si="41"/>
        <v>58</v>
      </c>
      <c r="DM32" s="77">
        <f t="shared" si="41"/>
        <v>59</v>
      </c>
      <c r="DN32" s="77">
        <f t="shared" si="41"/>
        <v>60</v>
      </c>
      <c r="DO32" s="77">
        <f t="shared" si="41"/>
        <v>61</v>
      </c>
      <c r="DP32" s="77">
        <f t="shared" si="41"/>
        <v>62</v>
      </c>
      <c r="DQ32" s="77">
        <f t="shared" si="41"/>
        <v>63</v>
      </c>
      <c r="DR32" s="77">
        <f t="shared" si="41"/>
        <v>64</v>
      </c>
      <c r="DS32" s="77">
        <f t="shared" si="41"/>
        <v>65</v>
      </c>
      <c r="DT32" s="77">
        <f t="shared" si="41"/>
        <v>66</v>
      </c>
      <c r="DU32" s="77">
        <f t="shared" si="41"/>
        <v>67</v>
      </c>
      <c r="DV32" s="77">
        <f t="shared" si="41"/>
        <v>68</v>
      </c>
      <c r="DW32" s="77">
        <f t="shared" si="41"/>
        <v>69</v>
      </c>
      <c r="DX32" s="77">
        <f t="shared" si="41"/>
        <v>70</v>
      </c>
      <c r="DY32" s="77">
        <f t="shared" si="41"/>
        <v>71</v>
      </c>
      <c r="DZ32" s="77">
        <f t="shared" si="41"/>
        <v>72</v>
      </c>
      <c r="EA32" s="77">
        <f t="shared" si="41"/>
        <v>73</v>
      </c>
      <c r="EB32" s="77">
        <f t="shared" si="41"/>
        <v>74</v>
      </c>
      <c r="EC32" s="77">
        <f t="shared" si="41"/>
        <v>75</v>
      </c>
      <c r="ED32" s="77">
        <f t="shared" si="41"/>
        <v>76</v>
      </c>
      <c r="EE32" s="77">
        <f t="shared" si="41"/>
        <v>77</v>
      </c>
      <c r="EF32" s="77">
        <f t="shared" si="41"/>
        <v>78</v>
      </c>
      <c r="EG32" s="77">
        <f t="shared" si="41"/>
        <v>79</v>
      </c>
      <c r="EH32" s="77">
        <f t="shared" si="41"/>
        <v>80</v>
      </c>
      <c r="EI32" s="77">
        <f t="shared" si="41"/>
        <v>81</v>
      </c>
      <c r="EJ32" s="77">
        <f t="shared" si="41"/>
        <v>82</v>
      </c>
      <c r="EK32" s="77">
        <f t="shared" si="41"/>
        <v>83</v>
      </c>
      <c r="EL32" s="77">
        <f t="shared" si="41"/>
        <v>84</v>
      </c>
      <c r="EM32" s="77">
        <f t="shared" si="41"/>
        <v>85</v>
      </c>
      <c r="EN32" s="77">
        <f t="shared" si="41"/>
        <v>86</v>
      </c>
      <c r="EO32" s="77">
        <f t="shared" si="41"/>
        <v>87</v>
      </c>
      <c r="EP32" s="77">
        <f t="shared" si="41"/>
        <v>88</v>
      </c>
      <c r="EQ32" s="77">
        <f t="shared" si="41"/>
        <v>89</v>
      </c>
      <c r="ER32" s="77">
        <f t="shared" si="41"/>
        <v>90</v>
      </c>
      <c r="ES32" s="77">
        <f t="shared" si="41"/>
        <v>91</v>
      </c>
      <c r="ET32" s="77">
        <f t="shared" si="41"/>
        <v>92</v>
      </c>
      <c r="EU32" s="77">
        <f t="shared" si="41"/>
        <v>93</v>
      </c>
      <c r="EV32" s="77">
        <f t="shared" ref="EV32:GX36" si="44">IF(EU32="","",EU32+1)</f>
        <v>94</v>
      </c>
      <c r="EW32" s="77">
        <f t="shared" si="44"/>
        <v>95</v>
      </c>
      <c r="EX32" s="77">
        <f t="shared" si="44"/>
        <v>96</v>
      </c>
      <c r="EY32" s="77">
        <f t="shared" si="44"/>
        <v>97</v>
      </c>
      <c r="EZ32" s="77">
        <f t="shared" si="44"/>
        <v>98</v>
      </c>
      <c r="FA32" s="77">
        <f t="shared" si="44"/>
        <v>99</v>
      </c>
      <c r="FB32" s="77">
        <f t="shared" si="44"/>
        <v>100</v>
      </c>
      <c r="FC32" s="77">
        <f t="shared" si="44"/>
        <v>101</v>
      </c>
      <c r="FD32" s="77">
        <f t="shared" si="44"/>
        <v>102</v>
      </c>
      <c r="FE32" s="77">
        <f t="shared" si="44"/>
        <v>103</v>
      </c>
      <c r="FF32" s="77">
        <f t="shared" si="44"/>
        <v>104</v>
      </c>
      <c r="FG32" s="77">
        <f t="shared" si="44"/>
        <v>105</v>
      </c>
      <c r="FH32" s="77">
        <f t="shared" si="44"/>
        <v>106</v>
      </c>
      <c r="FI32" s="77">
        <f t="shared" si="44"/>
        <v>107</v>
      </c>
      <c r="FJ32" s="77">
        <f t="shared" si="44"/>
        <v>108</v>
      </c>
      <c r="FK32" s="77">
        <f t="shared" si="44"/>
        <v>109</v>
      </c>
      <c r="FL32" s="77">
        <f t="shared" si="44"/>
        <v>110</v>
      </c>
      <c r="FM32" s="77">
        <f t="shared" si="44"/>
        <v>111</v>
      </c>
      <c r="FN32" s="77">
        <f t="shared" si="44"/>
        <v>112</v>
      </c>
      <c r="FO32" s="77">
        <f t="shared" si="44"/>
        <v>113</v>
      </c>
      <c r="FP32" s="77">
        <f t="shared" si="44"/>
        <v>114</v>
      </c>
      <c r="FQ32" s="77">
        <f t="shared" si="44"/>
        <v>115</v>
      </c>
      <c r="FR32" s="77">
        <f t="shared" si="44"/>
        <v>116</v>
      </c>
      <c r="FS32" s="77">
        <f t="shared" si="44"/>
        <v>117</v>
      </c>
      <c r="FT32" s="77">
        <f t="shared" si="44"/>
        <v>118</v>
      </c>
      <c r="FU32" s="77">
        <f t="shared" si="44"/>
        <v>119</v>
      </c>
      <c r="FV32" s="77">
        <f t="shared" si="44"/>
        <v>120</v>
      </c>
      <c r="FW32" s="77">
        <f t="shared" si="44"/>
        <v>121</v>
      </c>
      <c r="FX32" s="77">
        <f t="shared" si="44"/>
        <v>122</v>
      </c>
      <c r="FY32" s="77">
        <f t="shared" si="44"/>
        <v>123</v>
      </c>
      <c r="FZ32" s="77">
        <f t="shared" si="44"/>
        <v>124</v>
      </c>
      <c r="GA32" s="77">
        <f t="shared" si="44"/>
        <v>125</v>
      </c>
      <c r="GB32" s="77">
        <f t="shared" si="44"/>
        <v>126</v>
      </c>
      <c r="GC32" s="77">
        <f t="shared" si="44"/>
        <v>127</v>
      </c>
      <c r="GD32" s="77">
        <f t="shared" si="44"/>
        <v>128</v>
      </c>
      <c r="GE32" s="77">
        <f t="shared" si="44"/>
        <v>129</v>
      </c>
      <c r="GF32" s="77">
        <f t="shared" si="44"/>
        <v>130</v>
      </c>
      <c r="GG32" s="77">
        <f t="shared" si="44"/>
        <v>131</v>
      </c>
      <c r="GH32" s="77">
        <f t="shared" si="44"/>
        <v>132</v>
      </c>
      <c r="GI32" s="77">
        <f t="shared" si="44"/>
        <v>133</v>
      </c>
      <c r="GJ32" s="77">
        <f t="shared" si="44"/>
        <v>134</v>
      </c>
      <c r="GK32" s="77">
        <f t="shared" si="44"/>
        <v>135</v>
      </c>
      <c r="GL32" s="77">
        <f t="shared" si="44"/>
        <v>136</v>
      </c>
      <c r="GM32" s="77">
        <f t="shared" si="44"/>
        <v>137</v>
      </c>
      <c r="GN32" s="77">
        <f t="shared" si="44"/>
        <v>138</v>
      </c>
      <c r="GO32" s="77">
        <f t="shared" si="44"/>
        <v>139</v>
      </c>
      <c r="GP32" s="77">
        <f t="shared" si="44"/>
        <v>140</v>
      </c>
      <c r="GQ32" s="77">
        <f t="shared" si="44"/>
        <v>141</v>
      </c>
      <c r="GR32" s="77">
        <f t="shared" si="44"/>
        <v>142</v>
      </c>
      <c r="GS32" s="77">
        <f t="shared" si="44"/>
        <v>143</v>
      </c>
      <c r="GT32" s="77">
        <f t="shared" si="44"/>
        <v>144</v>
      </c>
      <c r="GU32" s="77">
        <f t="shared" si="44"/>
        <v>145</v>
      </c>
      <c r="GV32" s="77">
        <f t="shared" si="44"/>
        <v>146</v>
      </c>
      <c r="GW32" s="77">
        <f t="shared" si="44"/>
        <v>147</v>
      </c>
      <c r="GX32" s="77">
        <f t="shared" si="44"/>
        <v>148</v>
      </c>
    </row>
    <row r="33" spans="1:206" ht="15" customHeight="1" x14ac:dyDescent="0.2">
      <c r="A33" s="22" t="s">
        <v>68</v>
      </c>
      <c r="B33" s="22">
        <v>2</v>
      </c>
      <c r="C33" s="22" t="s">
        <v>102</v>
      </c>
      <c r="D33" s="22" t="s">
        <v>117</v>
      </c>
      <c r="E33" s="22" t="s">
        <v>118</v>
      </c>
      <c r="F33" s="22" t="s">
        <v>81</v>
      </c>
      <c r="G33" s="22" t="s">
        <v>82</v>
      </c>
      <c r="H33" s="22">
        <v>2010</v>
      </c>
      <c r="I33" s="22">
        <v>16</v>
      </c>
      <c r="J33" s="22">
        <v>10.35</v>
      </c>
      <c r="K33" s="22">
        <v>0</v>
      </c>
      <c r="L33" s="22">
        <v>2155</v>
      </c>
      <c r="M33" s="22">
        <v>2155</v>
      </c>
      <c r="N33" s="22" t="s">
        <v>95</v>
      </c>
      <c r="O33" s="22" t="s">
        <v>96</v>
      </c>
      <c r="P33" s="22" t="s">
        <v>75</v>
      </c>
      <c r="Q33" s="108">
        <f>IF(R33="","",'Dashboard Ciclos'!$B$2-R33)</f>
        <v>46240</v>
      </c>
      <c r="R33" s="22">
        <f>IF($E33="","",IFERROR(INDEX($W33:$GX33,MATCH('Dashboard Ciclos'!$B$2,$W$1:$GX$1,0)),""))</f>
        <v>9</v>
      </c>
      <c r="S33" s="22" t="str">
        <f t="shared" si="11"/>
        <v>En ciclo</v>
      </c>
      <c r="T33" s="22" t="str">
        <f t="shared" si="3"/>
        <v>En ciclo</v>
      </c>
      <c r="U33" s="22">
        <f t="shared" si="4"/>
        <v>3</v>
      </c>
      <c r="V33" s="23">
        <f t="shared" si="5"/>
        <v>46252</v>
      </c>
      <c r="W33" s="77">
        <f t="shared" si="26"/>
        <v>12</v>
      </c>
      <c r="X33" s="77">
        <f t="shared" si="26"/>
        <v>13</v>
      </c>
      <c r="Y33" s="77">
        <f t="shared" si="26"/>
        <v>14</v>
      </c>
      <c r="Z33" s="77">
        <f t="shared" si="26"/>
        <v>15</v>
      </c>
      <c r="AA33" s="77">
        <v>16</v>
      </c>
      <c r="AB33" s="77">
        <f t="shared" si="28"/>
        <v>17</v>
      </c>
      <c r="AC33" s="77">
        <f t="shared" si="28"/>
        <v>18</v>
      </c>
      <c r="AD33" s="77">
        <f t="shared" si="28"/>
        <v>19</v>
      </c>
      <c r="AE33" s="77">
        <f t="shared" si="28"/>
        <v>20</v>
      </c>
      <c r="AF33" s="77">
        <f t="shared" si="28"/>
        <v>21</v>
      </c>
      <c r="AG33" s="77">
        <f t="shared" si="28"/>
        <v>22</v>
      </c>
      <c r="AH33" s="77">
        <f t="shared" si="28"/>
        <v>23</v>
      </c>
      <c r="AI33" s="77">
        <f t="shared" si="28"/>
        <v>24</v>
      </c>
      <c r="AJ33" s="77">
        <f t="shared" si="28"/>
        <v>25</v>
      </c>
      <c r="AK33" s="77">
        <f t="shared" si="28"/>
        <v>26</v>
      </c>
      <c r="AL33" s="77">
        <f t="shared" si="28"/>
        <v>27</v>
      </c>
      <c r="AM33" s="77">
        <f t="shared" si="28"/>
        <v>28</v>
      </c>
      <c r="AN33" s="77">
        <f t="shared" si="29"/>
        <v>29</v>
      </c>
      <c r="AO33" s="77">
        <f t="shared" si="28"/>
        <v>30</v>
      </c>
      <c r="AP33" s="77">
        <f t="shared" si="28"/>
        <v>31</v>
      </c>
      <c r="AQ33" s="77">
        <f t="shared" si="28"/>
        <v>32</v>
      </c>
      <c r="AR33" s="77">
        <f t="shared" si="27"/>
        <v>33</v>
      </c>
      <c r="AS33" s="77">
        <v>0</v>
      </c>
      <c r="AT33" s="77">
        <f t="shared" si="43"/>
        <v>1</v>
      </c>
      <c r="AU33" s="77">
        <f t="shared" si="43"/>
        <v>2</v>
      </c>
      <c r="AV33" s="77">
        <f t="shared" si="43"/>
        <v>3</v>
      </c>
      <c r="AW33" s="77">
        <f t="shared" si="43"/>
        <v>4</v>
      </c>
      <c r="AX33" s="77">
        <f t="shared" si="43"/>
        <v>5</v>
      </c>
      <c r="AY33" s="77">
        <f t="shared" si="43"/>
        <v>6</v>
      </c>
      <c r="AZ33" s="77">
        <f t="shared" si="43"/>
        <v>7</v>
      </c>
      <c r="BA33" s="77">
        <f t="shared" si="43"/>
        <v>8</v>
      </c>
      <c r="BB33" s="77">
        <f t="shared" si="43"/>
        <v>9</v>
      </c>
      <c r="BC33" s="77">
        <f t="shared" si="43"/>
        <v>10</v>
      </c>
      <c r="BD33" s="77">
        <f t="shared" si="43"/>
        <v>11</v>
      </c>
      <c r="BE33" s="77">
        <f t="shared" si="43"/>
        <v>12</v>
      </c>
      <c r="BF33" s="77">
        <f t="shared" si="43"/>
        <v>13</v>
      </c>
      <c r="BG33" s="77">
        <v>0</v>
      </c>
      <c r="BH33" s="77">
        <f t="shared" si="43"/>
        <v>1</v>
      </c>
      <c r="BI33" s="77">
        <f t="shared" si="43"/>
        <v>2</v>
      </c>
      <c r="BJ33" s="77">
        <f t="shared" si="43"/>
        <v>3</v>
      </c>
      <c r="BK33" s="77">
        <f t="shared" si="43"/>
        <v>4</v>
      </c>
      <c r="BL33" s="77">
        <f t="shared" si="43"/>
        <v>5</v>
      </c>
      <c r="BM33" s="77">
        <f t="shared" si="43"/>
        <v>6</v>
      </c>
      <c r="BN33" s="77">
        <f t="shared" si="43"/>
        <v>7</v>
      </c>
      <c r="BO33" s="77">
        <f t="shared" si="43"/>
        <v>8</v>
      </c>
      <c r="BP33" s="77">
        <f t="shared" si="43"/>
        <v>9</v>
      </c>
      <c r="BQ33" s="77">
        <f t="shared" si="43"/>
        <v>10</v>
      </c>
      <c r="BR33" s="77">
        <f t="shared" si="43"/>
        <v>11</v>
      </c>
      <c r="BS33" s="77">
        <f t="shared" si="43"/>
        <v>12</v>
      </c>
      <c r="BT33" s="77">
        <f t="shared" si="43"/>
        <v>13</v>
      </c>
      <c r="BU33" s="77">
        <f t="shared" si="43"/>
        <v>14</v>
      </c>
      <c r="BV33" s="77">
        <f t="shared" si="43"/>
        <v>15</v>
      </c>
      <c r="BW33" s="77">
        <f t="shared" si="43"/>
        <v>16</v>
      </c>
      <c r="BX33" s="77">
        <f t="shared" si="43"/>
        <v>17</v>
      </c>
      <c r="BY33" s="77">
        <f t="shared" si="43"/>
        <v>18</v>
      </c>
      <c r="BZ33" s="77">
        <f t="shared" si="43"/>
        <v>19</v>
      </c>
      <c r="CA33" s="77">
        <f t="shared" si="43"/>
        <v>20</v>
      </c>
      <c r="CB33" s="77">
        <f t="shared" si="43"/>
        <v>21</v>
      </c>
      <c r="CC33" s="77">
        <f t="shared" si="43"/>
        <v>22</v>
      </c>
      <c r="CD33" s="77">
        <f t="shared" si="43"/>
        <v>23</v>
      </c>
      <c r="CE33" s="77">
        <f t="shared" si="43"/>
        <v>24</v>
      </c>
      <c r="CF33" s="77">
        <f t="shared" si="43"/>
        <v>25</v>
      </c>
      <c r="CG33" s="77">
        <f t="shared" si="43"/>
        <v>26</v>
      </c>
      <c r="CH33" s="77">
        <f t="shared" si="43"/>
        <v>27</v>
      </c>
      <c r="CI33" s="77">
        <f t="shared" si="43"/>
        <v>28</v>
      </c>
      <c r="CJ33" s="77">
        <f t="shared" si="43"/>
        <v>29</v>
      </c>
      <c r="CK33" s="77">
        <f t="shared" si="41"/>
        <v>30</v>
      </c>
      <c r="CL33" s="77">
        <f t="shared" si="41"/>
        <v>31</v>
      </c>
      <c r="CM33" s="77">
        <f t="shared" si="41"/>
        <v>32</v>
      </c>
      <c r="CN33" s="77">
        <f t="shared" si="41"/>
        <v>33</v>
      </c>
      <c r="CO33" s="77">
        <f t="shared" si="41"/>
        <v>34</v>
      </c>
      <c r="CP33" s="77">
        <f t="shared" si="41"/>
        <v>35</v>
      </c>
      <c r="CQ33" s="77">
        <f t="shared" si="41"/>
        <v>36</v>
      </c>
      <c r="CR33" s="77">
        <f t="shared" si="41"/>
        <v>37</v>
      </c>
      <c r="CS33" s="77">
        <f t="shared" si="41"/>
        <v>38</v>
      </c>
      <c r="CT33" s="77">
        <f t="shared" si="41"/>
        <v>39</v>
      </c>
      <c r="CU33" s="77">
        <f t="shared" si="41"/>
        <v>40</v>
      </c>
      <c r="CV33" s="77">
        <f t="shared" si="41"/>
        <v>41</v>
      </c>
      <c r="CW33" s="77">
        <f t="shared" si="41"/>
        <v>42</v>
      </c>
      <c r="CX33" s="77">
        <f t="shared" si="41"/>
        <v>43</v>
      </c>
      <c r="CY33" s="77">
        <f t="shared" si="41"/>
        <v>44</v>
      </c>
      <c r="CZ33" s="77">
        <f t="shared" si="41"/>
        <v>45</v>
      </c>
      <c r="DA33" s="77">
        <f t="shared" si="41"/>
        <v>46</v>
      </c>
      <c r="DB33" s="77">
        <f t="shared" si="41"/>
        <v>47</v>
      </c>
      <c r="DC33" s="77">
        <f t="shared" si="41"/>
        <v>48</v>
      </c>
      <c r="DD33" s="77">
        <f t="shared" si="41"/>
        <v>49</v>
      </c>
      <c r="DE33" s="77">
        <f t="shared" si="41"/>
        <v>50</v>
      </c>
      <c r="DF33" s="77">
        <f t="shared" si="41"/>
        <v>51</v>
      </c>
      <c r="DG33" s="77">
        <f t="shared" si="41"/>
        <v>52</v>
      </c>
      <c r="DH33" s="77">
        <f t="shared" si="41"/>
        <v>53</v>
      </c>
      <c r="DI33" s="77">
        <f t="shared" si="41"/>
        <v>54</v>
      </c>
      <c r="DJ33" s="77">
        <f t="shared" si="41"/>
        <v>55</v>
      </c>
      <c r="DK33" s="77">
        <f t="shared" si="41"/>
        <v>56</v>
      </c>
      <c r="DL33" s="77">
        <f t="shared" si="41"/>
        <v>57</v>
      </c>
      <c r="DM33" s="77">
        <f t="shared" si="41"/>
        <v>58</v>
      </c>
      <c r="DN33" s="77">
        <f t="shared" si="41"/>
        <v>59</v>
      </c>
      <c r="DO33" s="77">
        <f t="shared" si="41"/>
        <v>60</v>
      </c>
      <c r="DP33" s="77">
        <f t="shared" si="41"/>
        <v>61</v>
      </c>
      <c r="DQ33" s="77">
        <f t="shared" si="41"/>
        <v>62</v>
      </c>
      <c r="DR33" s="77">
        <f t="shared" si="41"/>
        <v>63</v>
      </c>
      <c r="DS33" s="77">
        <f t="shared" si="41"/>
        <v>64</v>
      </c>
      <c r="DT33" s="77">
        <f t="shared" si="41"/>
        <v>65</v>
      </c>
      <c r="DU33" s="77">
        <f t="shared" si="41"/>
        <v>66</v>
      </c>
      <c r="DV33" s="77">
        <f t="shared" si="41"/>
        <v>67</v>
      </c>
      <c r="DW33" s="77">
        <f t="shared" si="41"/>
        <v>68</v>
      </c>
      <c r="DX33" s="77">
        <f t="shared" si="41"/>
        <v>69</v>
      </c>
      <c r="DY33" s="77">
        <f t="shared" si="41"/>
        <v>70</v>
      </c>
      <c r="DZ33" s="77">
        <f t="shared" si="41"/>
        <v>71</v>
      </c>
      <c r="EA33" s="77">
        <f t="shared" si="41"/>
        <v>72</v>
      </c>
      <c r="EB33" s="77">
        <f t="shared" si="41"/>
        <v>73</v>
      </c>
      <c r="EC33" s="77">
        <f t="shared" si="41"/>
        <v>74</v>
      </c>
      <c r="ED33" s="77">
        <f t="shared" si="41"/>
        <v>75</v>
      </c>
      <c r="EE33" s="77">
        <f t="shared" si="41"/>
        <v>76</v>
      </c>
      <c r="EF33" s="77">
        <f t="shared" si="41"/>
        <v>77</v>
      </c>
      <c r="EG33" s="77">
        <f t="shared" si="41"/>
        <v>78</v>
      </c>
      <c r="EH33" s="77">
        <f t="shared" si="41"/>
        <v>79</v>
      </c>
      <c r="EI33" s="77">
        <f t="shared" si="41"/>
        <v>80</v>
      </c>
      <c r="EJ33" s="77">
        <f t="shared" si="41"/>
        <v>81</v>
      </c>
      <c r="EK33" s="77">
        <f t="shared" si="41"/>
        <v>82</v>
      </c>
      <c r="EL33" s="77">
        <f t="shared" si="41"/>
        <v>83</v>
      </c>
      <c r="EM33" s="77">
        <f t="shared" si="41"/>
        <v>84</v>
      </c>
      <c r="EN33" s="77">
        <f t="shared" si="41"/>
        <v>85</v>
      </c>
      <c r="EO33" s="77">
        <f t="shared" si="41"/>
        <v>86</v>
      </c>
      <c r="EP33" s="77">
        <f t="shared" si="41"/>
        <v>87</v>
      </c>
      <c r="EQ33" s="77">
        <f t="shared" si="41"/>
        <v>88</v>
      </c>
      <c r="ER33" s="77">
        <f t="shared" si="41"/>
        <v>89</v>
      </c>
      <c r="ES33" s="77">
        <f t="shared" si="41"/>
        <v>90</v>
      </c>
      <c r="ET33" s="77">
        <f t="shared" si="41"/>
        <v>91</v>
      </c>
      <c r="EU33" s="77">
        <f t="shared" si="41"/>
        <v>92</v>
      </c>
      <c r="EV33" s="77">
        <f t="shared" si="44"/>
        <v>93</v>
      </c>
      <c r="EW33" s="77">
        <f t="shared" si="44"/>
        <v>94</v>
      </c>
      <c r="EX33" s="77">
        <f t="shared" si="44"/>
        <v>95</v>
      </c>
      <c r="EY33" s="77">
        <f t="shared" si="44"/>
        <v>96</v>
      </c>
      <c r="EZ33" s="77">
        <f t="shared" si="44"/>
        <v>97</v>
      </c>
      <c r="FA33" s="77">
        <f t="shared" si="44"/>
        <v>98</v>
      </c>
      <c r="FB33" s="77">
        <f t="shared" si="44"/>
        <v>99</v>
      </c>
      <c r="FC33" s="77">
        <f t="shared" si="44"/>
        <v>100</v>
      </c>
      <c r="FD33" s="77">
        <f t="shared" si="44"/>
        <v>101</v>
      </c>
      <c r="FE33" s="77">
        <f t="shared" si="44"/>
        <v>102</v>
      </c>
      <c r="FF33" s="77">
        <f t="shared" si="44"/>
        <v>103</v>
      </c>
      <c r="FG33" s="77">
        <f t="shared" si="44"/>
        <v>104</v>
      </c>
      <c r="FH33" s="77">
        <f t="shared" si="44"/>
        <v>105</v>
      </c>
      <c r="FI33" s="77">
        <f t="shared" si="44"/>
        <v>106</v>
      </c>
      <c r="FJ33" s="77">
        <f t="shared" si="44"/>
        <v>107</v>
      </c>
      <c r="FK33" s="77">
        <f t="shared" si="44"/>
        <v>108</v>
      </c>
      <c r="FL33" s="77">
        <f t="shared" si="44"/>
        <v>109</v>
      </c>
      <c r="FM33" s="77">
        <f t="shared" si="44"/>
        <v>110</v>
      </c>
      <c r="FN33" s="77">
        <f t="shared" si="44"/>
        <v>111</v>
      </c>
      <c r="FO33" s="77">
        <f t="shared" si="44"/>
        <v>112</v>
      </c>
      <c r="FP33" s="77">
        <f t="shared" si="44"/>
        <v>113</v>
      </c>
      <c r="FQ33" s="77">
        <f t="shared" si="44"/>
        <v>114</v>
      </c>
      <c r="FR33" s="77">
        <f t="shared" si="44"/>
        <v>115</v>
      </c>
      <c r="FS33" s="77">
        <f t="shared" si="44"/>
        <v>116</v>
      </c>
      <c r="FT33" s="77">
        <f t="shared" si="44"/>
        <v>117</v>
      </c>
      <c r="FU33" s="77">
        <f t="shared" si="44"/>
        <v>118</v>
      </c>
      <c r="FV33" s="77">
        <f t="shared" si="44"/>
        <v>119</v>
      </c>
      <c r="FW33" s="77">
        <f t="shared" si="44"/>
        <v>120</v>
      </c>
      <c r="FX33" s="77">
        <f t="shared" si="44"/>
        <v>121</v>
      </c>
      <c r="FY33" s="77">
        <f t="shared" si="44"/>
        <v>122</v>
      </c>
      <c r="FZ33" s="77">
        <f t="shared" si="44"/>
        <v>123</v>
      </c>
      <c r="GA33" s="77">
        <f t="shared" si="44"/>
        <v>124</v>
      </c>
      <c r="GB33" s="77">
        <f t="shared" si="44"/>
        <v>125</v>
      </c>
      <c r="GC33" s="77">
        <f t="shared" si="44"/>
        <v>126</v>
      </c>
      <c r="GD33" s="77">
        <f t="shared" si="44"/>
        <v>127</v>
      </c>
      <c r="GE33" s="77">
        <f t="shared" si="44"/>
        <v>128</v>
      </c>
      <c r="GF33" s="77">
        <f t="shared" si="44"/>
        <v>129</v>
      </c>
      <c r="GG33" s="77">
        <f t="shared" si="44"/>
        <v>130</v>
      </c>
      <c r="GH33" s="77">
        <f t="shared" si="44"/>
        <v>131</v>
      </c>
      <c r="GI33" s="77">
        <f t="shared" si="44"/>
        <v>132</v>
      </c>
      <c r="GJ33" s="77">
        <f t="shared" si="44"/>
        <v>133</v>
      </c>
      <c r="GK33" s="77">
        <f t="shared" si="44"/>
        <v>134</v>
      </c>
      <c r="GL33" s="77">
        <f t="shared" si="44"/>
        <v>135</v>
      </c>
      <c r="GM33" s="77">
        <f t="shared" si="44"/>
        <v>136</v>
      </c>
      <c r="GN33" s="77">
        <f t="shared" si="44"/>
        <v>137</v>
      </c>
      <c r="GO33" s="77">
        <f t="shared" si="44"/>
        <v>138</v>
      </c>
      <c r="GP33" s="77">
        <f t="shared" si="44"/>
        <v>139</v>
      </c>
      <c r="GQ33" s="77">
        <f t="shared" si="44"/>
        <v>140</v>
      </c>
      <c r="GR33" s="77">
        <f t="shared" si="44"/>
        <v>141</v>
      </c>
      <c r="GS33" s="77">
        <f t="shared" si="44"/>
        <v>142</v>
      </c>
      <c r="GT33" s="77">
        <f t="shared" si="44"/>
        <v>143</v>
      </c>
      <c r="GU33" s="77">
        <f t="shared" si="44"/>
        <v>144</v>
      </c>
      <c r="GV33" s="77">
        <f t="shared" si="44"/>
        <v>145</v>
      </c>
      <c r="GW33" s="77">
        <f t="shared" si="44"/>
        <v>146</v>
      </c>
      <c r="GX33" s="77">
        <f t="shared" si="44"/>
        <v>147</v>
      </c>
    </row>
    <row r="34" spans="1:206" ht="15" customHeight="1" x14ac:dyDescent="0.2">
      <c r="A34" s="22" t="s">
        <v>68</v>
      </c>
      <c r="B34" s="22">
        <v>2</v>
      </c>
      <c r="C34" s="22" t="s">
        <v>102</v>
      </c>
      <c r="D34" s="22" t="s">
        <v>119</v>
      </c>
      <c r="E34" s="22" t="s">
        <v>120</v>
      </c>
      <c r="F34" s="22" t="s">
        <v>71</v>
      </c>
      <c r="G34" s="22" t="s">
        <v>72</v>
      </c>
      <c r="H34" s="22">
        <v>2010</v>
      </c>
      <c r="I34" s="22">
        <v>16</v>
      </c>
      <c r="J34" s="22">
        <v>13.56</v>
      </c>
      <c r="K34" s="22">
        <v>0</v>
      </c>
      <c r="L34" s="22">
        <v>1951</v>
      </c>
      <c r="M34" s="22">
        <v>1951</v>
      </c>
      <c r="N34" s="22" t="s">
        <v>95</v>
      </c>
      <c r="O34" s="22" t="s">
        <v>96</v>
      </c>
      <c r="P34" s="22" t="s">
        <v>75</v>
      </c>
      <c r="Q34" s="108">
        <f>IF(R34="","",'Dashboard Ciclos'!$B$2-R34)</f>
        <v>46240</v>
      </c>
      <c r="R34" s="22">
        <f>IF($E34="","",IFERROR(INDEX($W34:$GX34,MATCH('Dashboard Ciclos'!$B$2,$W$1:$GX$1,0)),""))</f>
        <v>9</v>
      </c>
      <c r="S34" s="22" t="str">
        <f t="shared" ref="S34:S65" si="45">IF($Q34="","Sin dato",IF($R34&lt;=CicloObjetivo,"En ciclo",IF($R34-CicloObjetivo&lt;=5,"Vencido 1-5 d",IF($R34-CicloObjetivo&lt;=10,"Vencido 6-10 d",IF($R34-CicloObjetivo&lt;=15,"Vencido 11-15 d","Vencido +15 d")))))</f>
        <v>En ciclo</v>
      </c>
      <c r="T34" s="22" t="str">
        <f t="shared" ref="T34:T65" si="46">IF($Q34="","Sin dato",IF($R34&lt;VentanaCosecha,"Recién cortado",IF($R34&lt;=CicloObjetivo,"En ciclo","Fuera de ciclo")))</f>
        <v>En ciclo</v>
      </c>
      <c r="U34" s="22">
        <f t="shared" ref="U34:U65" si="47">IF($Q34="","",CicloObjetivo-$R34)</f>
        <v>3</v>
      </c>
      <c r="V34" s="23">
        <f t="shared" ref="V34:V65" si="48">IF($Q34="","",$Q34+CicloObjetivo)</f>
        <v>46252</v>
      </c>
      <c r="W34" s="77">
        <f t="shared" ref="W34:Z49" si="49">+X34-1</f>
        <v>12</v>
      </c>
      <c r="X34" s="77">
        <f t="shared" si="49"/>
        <v>13</v>
      </c>
      <c r="Y34" s="77">
        <f t="shared" si="49"/>
        <v>14</v>
      </c>
      <c r="Z34" s="77">
        <f t="shared" si="49"/>
        <v>15</v>
      </c>
      <c r="AA34" s="77">
        <v>16</v>
      </c>
      <c r="AB34" s="77">
        <f t="shared" si="28"/>
        <v>17</v>
      </c>
      <c r="AC34" s="77">
        <f t="shared" si="28"/>
        <v>18</v>
      </c>
      <c r="AD34" s="77">
        <f t="shared" si="28"/>
        <v>19</v>
      </c>
      <c r="AE34" s="77">
        <f t="shared" si="28"/>
        <v>20</v>
      </c>
      <c r="AF34" s="77">
        <f t="shared" si="28"/>
        <v>21</v>
      </c>
      <c r="AG34" s="77">
        <f t="shared" si="28"/>
        <v>22</v>
      </c>
      <c r="AH34" s="77">
        <f t="shared" si="28"/>
        <v>23</v>
      </c>
      <c r="AI34" s="77">
        <f t="shared" si="28"/>
        <v>24</v>
      </c>
      <c r="AJ34" s="77">
        <f t="shared" si="28"/>
        <v>25</v>
      </c>
      <c r="AK34" s="77">
        <f t="shared" si="28"/>
        <v>26</v>
      </c>
      <c r="AL34" s="77">
        <f t="shared" si="28"/>
        <v>27</v>
      </c>
      <c r="AM34" s="77">
        <f t="shared" si="28"/>
        <v>28</v>
      </c>
      <c r="AN34" s="77">
        <f t="shared" si="29"/>
        <v>29</v>
      </c>
      <c r="AO34" s="77">
        <f t="shared" si="28"/>
        <v>30</v>
      </c>
      <c r="AP34" s="77">
        <f t="shared" si="28"/>
        <v>31</v>
      </c>
      <c r="AQ34" s="77">
        <f t="shared" si="28"/>
        <v>32</v>
      </c>
      <c r="AR34" s="77">
        <f t="shared" si="27"/>
        <v>33</v>
      </c>
      <c r="AS34" s="77">
        <v>0</v>
      </c>
      <c r="AT34" s="77">
        <f t="shared" si="43"/>
        <v>1</v>
      </c>
      <c r="AU34" s="77">
        <f t="shared" si="43"/>
        <v>2</v>
      </c>
      <c r="AV34" s="77">
        <f t="shared" si="43"/>
        <v>3</v>
      </c>
      <c r="AW34" s="77">
        <f t="shared" si="43"/>
        <v>4</v>
      </c>
      <c r="AX34" s="77">
        <f t="shared" si="43"/>
        <v>5</v>
      </c>
      <c r="AY34" s="77">
        <f t="shared" si="43"/>
        <v>6</v>
      </c>
      <c r="AZ34" s="77">
        <f t="shared" si="43"/>
        <v>7</v>
      </c>
      <c r="BA34" s="77">
        <f t="shared" si="43"/>
        <v>8</v>
      </c>
      <c r="BB34" s="77">
        <f t="shared" si="43"/>
        <v>9</v>
      </c>
      <c r="BC34" s="77">
        <f t="shared" si="43"/>
        <v>10</v>
      </c>
      <c r="BD34" s="77">
        <f t="shared" si="43"/>
        <v>11</v>
      </c>
      <c r="BE34" s="77">
        <f t="shared" si="43"/>
        <v>12</v>
      </c>
      <c r="BF34" s="77">
        <f t="shared" si="43"/>
        <v>13</v>
      </c>
      <c r="BG34" s="77">
        <v>0</v>
      </c>
      <c r="BH34" s="77">
        <f t="shared" si="43"/>
        <v>1</v>
      </c>
      <c r="BI34" s="77">
        <f t="shared" si="43"/>
        <v>2</v>
      </c>
      <c r="BJ34" s="77">
        <f t="shared" si="43"/>
        <v>3</v>
      </c>
      <c r="BK34" s="77">
        <f t="shared" si="43"/>
        <v>4</v>
      </c>
      <c r="BL34" s="77">
        <f t="shared" si="43"/>
        <v>5</v>
      </c>
      <c r="BM34" s="77">
        <f t="shared" si="43"/>
        <v>6</v>
      </c>
      <c r="BN34" s="77">
        <f t="shared" si="43"/>
        <v>7</v>
      </c>
      <c r="BO34" s="77">
        <f t="shared" si="43"/>
        <v>8</v>
      </c>
      <c r="BP34" s="77">
        <f t="shared" si="43"/>
        <v>9</v>
      </c>
      <c r="BQ34" s="77">
        <f t="shared" si="43"/>
        <v>10</v>
      </c>
      <c r="BR34" s="77">
        <f t="shared" si="43"/>
        <v>11</v>
      </c>
      <c r="BS34" s="77">
        <f t="shared" si="43"/>
        <v>12</v>
      </c>
      <c r="BT34" s="77">
        <f t="shared" si="43"/>
        <v>13</v>
      </c>
      <c r="BU34" s="77">
        <f t="shared" si="43"/>
        <v>14</v>
      </c>
      <c r="BV34" s="77">
        <f t="shared" si="43"/>
        <v>15</v>
      </c>
      <c r="BW34" s="77">
        <f t="shared" si="43"/>
        <v>16</v>
      </c>
      <c r="BX34" s="77">
        <f t="shared" si="43"/>
        <v>17</v>
      </c>
      <c r="BY34" s="77">
        <f t="shared" si="43"/>
        <v>18</v>
      </c>
      <c r="BZ34" s="77">
        <f t="shared" si="43"/>
        <v>19</v>
      </c>
      <c r="CA34" s="77">
        <f t="shared" si="43"/>
        <v>20</v>
      </c>
      <c r="CB34" s="77">
        <f t="shared" si="43"/>
        <v>21</v>
      </c>
      <c r="CC34" s="77">
        <f t="shared" si="43"/>
        <v>22</v>
      </c>
      <c r="CD34" s="77">
        <f t="shared" si="43"/>
        <v>23</v>
      </c>
      <c r="CE34" s="77">
        <f t="shared" si="43"/>
        <v>24</v>
      </c>
      <c r="CF34" s="77">
        <f t="shared" si="43"/>
        <v>25</v>
      </c>
      <c r="CG34" s="77">
        <f t="shared" si="43"/>
        <v>26</v>
      </c>
      <c r="CH34" s="77">
        <f t="shared" si="43"/>
        <v>27</v>
      </c>
      <c r="CI34" s="77">
        <f t="shared" si="43"/>
        <v>28</v>
      </c>
      <c r="CJ34" s="77">
        <f t="shared" si="43"/>
        <v>29</v>
      </c>
      <c r="CK34" s="77">
        <f t="shared" si="41"/>
        <v>30</v>
      </c>
      <c r="CL34" s="77">
        <f t="shared" si="41"/>
        <v>31</v>
      </c>
      <c r="CM34" s="77">
        <f t="shared" si="41"/>
        <v>32</v>
      </c>
      <c r="CN34" s="77">
        <f t="shared" si="41"/>
        <v>33</v>
      </c>
      <c r="CO34" s="77">
        <f t="shared" si="41"/>
        <v>34</v>
      </c>
      <c r="CP34" s="77">
        <f t="shared" si="41"/>
        <v>35</v>
      </c>
      <c r="CQ34" s="77">
        <f t="shared" si="41"/>
        <v>36</v>
      </c>
      <c r="CR34" s="77">
        <f t="shared" si="41"/>
        <v>37</v>
      </c>
      <c r="CS34" s="77">
        <f t="shared" si="41"/>
        <v>38</v>
      </c>
      <c r="CT34" s="77">
        <f t="shared" si="41"/>
        <v>39</v>
      </c>
      <c r="CU34" s="77">
        <f t="shared" si="41"/>
        <v>40</v>
      </c>
      <c r="CV34" s="77">
        <f t="shared" si="41"/>
        <v>41</v>
      </c>
      <c r="CW34" s="77">
        <f t="shared" si="41"/>
        <v>42</v>
      </c>
      <c r="CX34" s="77">
        <f t="shared" si="41"/>
        <v>43</v>
      </c>
      <c r="CY34" s="77">
        <f t="shared" si="41"/>
        <v>44</v>
      </c>
      <c r="CZ34" s="77">
        <f t="shared" si="41"/>
        <v>45</v>
      </c>
      <c r="DA34" s="77">
        <f t="shared" si="41"/>
        <v>46</v>
      </c>
      <c r="DB34" s="77">
        <f t="shared" si="41"/>
        <v>47</v>
      </c>
      <c r="DC34" s="77">
        <f t="shared" si="41"/>
        <v>48</v>
      </c>
      <c r="DD34" s="77">
        <f t="shared" si="41"/>
        <v>49</v>
      </c>
      <c r="DE34" s="77">
        <f t="shared" si="41"/>
        <v>50</v>
      </c>
      <c r="DF34" s="77">
        <f t="shared" si="41"/>
        <v>51</v>
      </c>
      <c r="DG34" s="77">
        <f t="shared" si="41"/>
        <v>52</v>
      </c>
      <c r="DH34" s="77">
        <f t="shared" si="41"/>
        <v>53</v>
      </c>
      <c r="DI34" s="77">
        <f t="shared" si="41"/>
        <v>54</v>
      </c>
      <c r="DJ34" s="77">
        <f t="shared" si="41"/>
        <v>55</v>
      </c>
      <c r="DK34" s="77">
        <f t="shared" si="41"/>
        <v>56</v>
      </c>
      <c r="DL34" s="77">
        <f t="shared" si="41"/>
        <v>57</v>
      </c>
      <c r="DM34" s="77">
        <f t="shared" si="41"/>
        <v>58</v>
      </c>
      <c r="DN34" s="77">
        <f t="shared" si="41"/>
        <v>59</v>
      </c>
      <c r="DO34" s="77">
        <f t="shared" si="41"/>
        <v>60</v>
      </c>
      <c r="DP34" s="77">
        <f t="shared" si="41"/>
        <v>61</v>
      </c>
      <c r="DQ34" s="77">
        <f t="shared" si="41"/>
        <v>62</v>
      </c>
      <c r="DR34" s="77">
        <f t="shared" si="41"/>
        <v>63</v>
      </c>
      <c r="DS34" s="77">
        <f t="shared" si="41"/>
        <v>64</v>
      </c>
      <c r="DT34" s="77">
        <f t="shared" si="41"/>
        <v>65</v>
      </c>
      <c r="DU34" s="77">
        <f t="shared" si="41"/>
        <v>66</v>
      </c>
      <c r="DV34" s="77">
        <f t="shared" si="41"/>
        <v>67</v>
      </c>
      <c r="DW34" s="77">
        <f t="shared" si="41"/>
        <v>68</v>
      </c>
      <c r="DX34" s="77">
        <f t="shared" si="41"/>
        <v>69</v>
      </c>
      <c r="DY34" s="77">
        <f t="shared" si="41"/>
        <v>70</v>
      </c>
      <c r="DZ34" s="77">
        <f t="shared" si="41"/>
        <v>71</v>
      </c>
      <c r="EA34" s="77">
        <f t="shared" si="41"/>
        <v>72</v>
      </c>
      <c r="EB34" s="77">
        <f t="shared" si="41"/>
        <v>73</v>
      </c>
      <c r="EC34" s="77">
        <f t="shared" si="41"/>
        <v>74</v>
      </c>
      <c r="ED34" s="77">
        <f t="shared" si="41"/>
        <v>75</v>
      </c>
      <c r="EE34" s="77">
        <f t="shared" si="41"/>
        <v>76</v>
      </c>
      <c r="EF34" s="77">
        <f t="shared" si="41"/>
        <v>77</v>
      </c>
      <c r="EG34" s="77">
        <f t="shared" si="41"/>
        <v>78</v>
      </c>
      <c r="EH34" s="77">
        <f t="shared" si="41"/>
        <v>79</v>
      </c>
      <c r="EI34" s="77">
        <f t="shared" si="41"/>
        <v>80</v>
      </c>
      <c r="EJ34" s="77">
        <f t="shared" si="41"/>
        <v>81</v>
      </c>
      <c r="EK34" s="77">
        <f t="shared" si="41"/>
        <v>82</v>
      </c>
      <c r="EL34" s="77">
        <f t="shared" si="41"/>
        <v>83</v>
      </c>
      <c r="EM34" s="77">
        <f t="shared" si="41"/>
        <v>84</v>
      </c>
      <c r="EN34" s="77">
        <f t="shared" si="41"/>
        <v>85</v>
      </c>
      <c r="EO34" s="77">
        <f t="shared" si="41"/>
        <v>86</v>
      </c>
      <c r="EP34" s="77">
        <f t="shared" si="41"/>
        <v>87</v>
      </c>
      <c r="EQ34" s="77">
        <f t="shared" si="41"/>
        <v>88</v>
      </c>
      <c r="ER34" s="77">
        <f t="shared" si="41"/>
        <v>89</v>
      </c>
      <c r="ES34" s="77">
        <f t="shared" si="41"/>
        <v>90</v>
      </c>
      <c r="ET34" s="77">
        <f t="shared" si="41"/>
        <v>91</v>
      </c>
      <c r="EU34" s="77">
        <f t="shared" si="41"/>
        <v>92</v>
      </c>
      <c r="EV34" s="77">
        <f t="shared" si="44"/>
        <v>93</v>
      </c>
      <c r="EW34" s="77">
        <f t="shared" si="44"/>
        <v>94</v>
      </c>
      <c r="EX34" s="77">
        <f t="shared" si="44"/>
        <v>95</v>
      </c>
      <c r="EY34" s="77">
        <f t="shared" si="44"/>
        <v>96</v>
      </c>
      <c r="EZ34" s="77">
        <f t="shared" si="44"/>
        <v>97</v>
      </c>
      <c r="FA34" s="77">
        <f t="shared" si="44"/>
        <v>98</v>
      </c>
      <c r="FB34" s="77">
        <f t="shared" si="44"/>
        <v>99</v>
      </c>
      <c r="FC34" s="77">
        <f t="shared" si="44"/>
        <v>100</v>
      </c>
      <c r="FD34" s="77">
        <f t="shared" si="44"/>
        <v>101</v>
      </c>
      <c r="FE34" s="77">
        <f t="shared" si="44"/>
        <v>102</v>
      </c>
      <c r="FF34" s="77">
        <f t="shared" si="44"/>
        <v>103</v>
      </c>
      <c r="FG34" s="77">
        <f t="shared" si="44"/>
        <v>104</v>
      </c>
      <c r="FH34" s="77">
        <f t="shared" si="44"/>
        <v>105</v>
      </c>
      <c r="FI34" s="77">
        <f t="shared" si="44"/>
        <v>106</v>
      </c>
      <c r="FJ34" s="77">
        <f t="shared" si="44"/>
        <v>107</v>
      </c>
      <c r="FK34" s="77">
        <f t="shared" si="44"/>
        <v>108</v>
      </c>
      <c r="FL34" s="77">
        <f t="shared" si="44"/>
        <v>109</v>
      </c>
      <c r="FM34" s="77">
        <f t="shared" si="44"/>
        <v>110</v>
      </c>
      <c r="FN34" s="77">
        <f t="shared" si="44"/>
        <v>111</v>
      </c>
      <c r="FO34" s="77">
        <f t="shared" si="44"/>
        <v>112</v>
      </c>
      <c r="FP34" s="77">
        <f t="shared" si="44"/>
        <v>113</v>
      </c>
      <c r="FQ34" s="77">
        <f t="shared" si="44"/>
        <v>114</v>
      </c>
      <c r="FR34" s="77">
        <f t="shared" si="44"/>
        <v>115</v>
      </c>
      <c r="FS34" s="77">
        <f t="shared" si="44"/>
        <v>116</v>
      </c>
      <c r="FT34" s="77">
        <f t="shared" si="44"/>
        <v>117</v>
      </c>
      <c r="FU34" s="77">
        <f t="shared" si="44"/>
        <v>118</v>
      </c>
      <c r="FV34" s="77">
        <f t="shared" si="44"/>
        <v>119</v>
      </c>
      <c r="FW34" s="77">
        <f t="shared" si="44"/>
        <v>120</v>
      </c>
      <c r="FX34" s="77">
        <f t="shared" si="44"/>
        <v>121</v>
      </c>
      <c r="FY34" s="77">
        <f t="shared" si="44"/>
        <v>122</v>
      </c>
      <c r="FZ34" s="77">
        <f t="shared" si="44"/>
        <v>123</v>
      </c>
      <c r="GA34" s="77">
        <f t="shared" si="44"/>
        <v>124</v>
      </c>
      <c r="GB34" s="77">
        <f t="shared" si="44"/>
        <v>125</v>
      </c>
      <c r="GC34" s="77">
        <f t="shared" si="44"/>
        <v>126</v>
      </c>
      <c r="GD34" s="77">
        <f t="shared" si="44"/>
        <v>127</v>
      </c>
      <c r="GE34" s="77">
        <f t="shared" si="44"/>
        <v>128</v>
      </c>
      <c r="GF34" s="77">
        <f t="shared" si="44"/>
        <v>129</v>
      </c>
      <c r="GG34" s="77">
        <f t="shared" si="44"/>
        <v>130</v>
      </c>
      <c r="GH34" s="77">
        <f t="shared" si="44"/>
        <v>131</v>
      </c>
      <c r="GI34" s="77">
        <f t="shared" si="44"/>
        <v>132</v>
      </c>
      <c r="GJ34" s="77">
        <f t="shared" si="44"/>
        <v>133</v>
      </c>
      <c r="GK34" s="77">
        <f t="shared" si="44"/>
        <v>134</v>
      </c>
      <c r="GL34" s="77">
        <f t="shared" si="44"/>
        <v>135</v>
      </c>
      <c r="GM34" s="77">
        <f t="shared" si="44"/>
        <v>136</v>
      </c>
      <c r="GN34" s="77">
        <f t="shared" si="44"/>
        <v>137</v>
      </c>
      <c r="GO34" s="77">
        <f t="shared" si="44"/>
        <v>138</v>
      </c>
      <c r="GP34" s="77">
        <f t="shared" si="44"/>
        <v>139</v>
      </c>
      <c r="GQ34" s="77">
        <f t="shared" si="44"/>
        <v>140</v>
      </c>
      <c r="GR34" s="77">
        <f t="shared" si="44"/>
        <v>141</v>
      </c>
      <c r="GS34" s="77">
        <f t="shared" si="44"/>
        <v>142</v>
      </c>
      <c r="GT34" s="77">
        <f t="shared" si="44"/>
        <v>143</v>
      </c>
      <c r="GU34" s="77">
        <f t="shared" si="44"/>
        <v>144</v>
      </c>
      <c r="GV34" s="77">
        <f t="shared" si="44"/>
        <v>145</v>
      </c>
      <c r="GW34" s="77">
        <f t="shared" si="44"/>
        <v>146</v>
      </c>
      <c r="GX34" s="77">
        <f t="shared" si="44"/>
        <v>147</v>
      </c>
    </row>
    <row r="35" spans="1:206" ht="15" customHeight="1" x14ac:dyDescent="0.2">
      <c r="A35" s="22" t="s">
        <v>68</v>
      </c>
      <c r="B35" s="22">
        <v>3</v>
      </c>
      <c r="C35" s="22" t="s">
        <v>93</v>
      </c>
      <c r="D35" s="22" t="s">
        <v>121</v>
      </c>
      <c r="E35" s="22" t="s">
        <v>122</v>
      </c>
      <c r="F35" s="22" t="s">
        <v>71</v>
      </c>
      <c r="G35" s="22" t="s">
        <v>72</v>
      </c>
      <c r="H35" s="22">
        <v>2010</v>
      </c>
      <c r="I35" s="22">
        <v>16</v>
      </c>
      <c r="J35" s="22">
        <v>10.76</v>
      </c>
      <c r="K35" s="22">
        <v>9</v>
      </c>
      <c r="L35" s="22">
        <v>1504</v>
      </c>
      <c r="M35" s="22">
        <v>1495</v>
      </c>
      <c r="N35" s="22" t="s">
        <v>95</v>
      </c>
      <c r="O35" s="22" t="s">
        <v>96</v>
      </c>
      <c r="P35" s="22" t="s">
        <v>75</v>
      </c>
      <c r="Q35" s="108">
        <f>IF(R35="","",'Dashboard Ciclos'!$B$2-R35)</f>
        <v>46238</v>
      </c>
      <c r="R35" s="22">
        <f>IF($E35="","",IFERROR(INDEX($W35:$GX35,MATCH('Dashboard Ciclos'!$B$2,$W$1:$GX$1,0)),""))</f>
        <v>11</v>
      </c>
      <c r="S35" s="22" t="str">
        <f t="shared" si="45"/>
        <v>En ciclo</v>
      </c>
      <c r="T35" s="22" t="str">
        <f t="shared" si="46"/>
        <v>En ciclo</v>
      </c>
      <c r="U35" s="22">
        <f t="shared" si="47"/>
        <v>1</v>
      </c>
      <c r="V35" s="23">
        <f t="shared" si="48"/>
        <v>46250</v>
      </c>
      <c r="W35" s="77">
        <f t="shared" si="49"/>
        <v>11</v>
      </c>
      <c r="X35" s="77">
        <f t="shared" si="49"/>
        <v>12</v>
      </c>
      <c r="Y35" s="77">
        <f t="shared" si="49"/>
        <v>13</v>
      </c>
      <c r="Z35" s="77">
        <f t="shared" si="49"/>
        <v>14</v>
      </c>
      <c r="AA35" s="77">
        <v>15</v>
      </c>
      <c r="AB35" s="77">
        <f t="shared" ref="AB35:AQ50" si="50">IF(AA35="","",AA35+1)</f>
        <v>16</v>
      </c>
      <c r="AC35" s="77">
        <f t="shared" si="50"/>
        <v>17</v>
      </c>
      <c r="AD35" s="77">
        <f t="shared" si="50"/>
        <v>18</v>
      </c>
      <c r="AE35" s="77">
        <f t="shared" si="50"/>
        <v>19</v>
      </c>
      <c r="AF35" s="77">
        <f t="shared" si="50"/>
        <v>20</v>
      </c>
      <c r="AG35" s="77">
        <f t="shared" si="50"/>
        <v>21</v>
      </c>
      <c r="AH35" s="77">
        <f t="shared" si="50"/>
        <v>22</v>
      </c>
      <c r="AI35" s="77">
        <v>0</v>
      </c>
      <c r="AJ35" s="77">
        <f t="shared" si="50"/>
        <v>1</v>
      </c>
      <c r="AK35" s="77">
        <f t="shared" si="50"/>
        <v>2</v>
      </c>
      <c r="AL35" s="77">
        <f t="shared" si="50"/>
        <v>3</v>
      </c>
      <c r="AM35" s="77">
        <f t="shared" si="50"/>
        <v>4</v>
      </c>
      <c r="AN35" s="77">
        <f t="shared" si="50"/>
        <v>5</v>
      </c>
      <c r="AO35" s="77">
        <f t="shared" si="50"/>
        <v>6</v>
      </c>
      <c r="AP35" s="77">
        <f t="shared" si="50"/>
        <v>7</v>
      </c>
      <c r="AQ35" s="77">
        <f t="shared" si="50"/>
        <v>8</v>
      </c>
      <c r="AR35" s="77">
        <f t="shared" si="27"/>
        <v>9</v>
      </c>
      <c r="AS35" s="77">
        <f t="shared" si="43"/>
        <v>10</v>
      </c>
      <c r="AT35" s="77">
        <f t="shared" si="43"/>
        <v>11</v>
      </c>
      <c r="AU35" s="77">
        <f t="shared" si="43"/>
        <v>12</v>
      </c>
      <c r="AV35" s="77">
        <f t="shared" si="43"/>
        <v>13</v>
      </c>
      <c r="AW35" s="77">
        <f t="shared" si="43"/>
        <v>14</v>
      </c>
      <c r="AX35" s="77">
        <f t="shared" si="43"/>
        <v>15</v>
      </c>
      <c r="AY35" s="77">
        <f t="shared" si="43"/>
        <v>16</v>
      </c>
      <c r="AZ35" s="77">
        <f t="shared" si="43"/>
        <v>17</v>
      </c>
      <c r="BA35" s="77">
        <f t="shared" si="43"/>
        <v>18</v>
      </c>
      <c r="BB35" s="77">
        <f t="shared" si="43"/>
        <v>19</v>
      </c>
      <c r="BC35" s="77">
        <f t="shared" si="43"/>
        <v>20</v>
      </c>
      <c r="BD35" s="77">
        <f t="shared" si="43"/>
        <v>21</v>
      </c>
      <c r="BE35" s="77">
        <v>0</v>
      </c>
      <c r="BF35" s="77">
        <f t="shared" si="43"/>
        <v>1</v>
      </c>
      <c r="BG35" s="77">
        <f t="shared" si="43"/>
        <v>2</v>
      </c>
      <c r="BH35" s="77">
        <f t="shared" si="43"/>
        <v>3</v>
      </c>
      <c r="BI35" s="77">
        <f t="shared" si="43"/>
        <v>4</v>
      </c>
      <c r="BJ35" s="77">
        <f t="shared" si="43"/>
        <v>5</v>
      </c>
      <c r="BK35" s="77">
        <f t="shared" si="43"/>
        <v>6</v>
      </c>
      <c r="BL35" s="77">
        <f t="shared" si="43"/>
        <v>7</v>
      </c>
      <c r="BM35" s="77">
        <f t="shared" si="43"/>
        <v>8</v>
      </c>
      <c r="BN35" s="77">
        <f t="shared" si="43"/>
        <v>9</v>
      </c>
      <c r="BO35" s="77">
        <f t="shared" si="43"/>
        <v>10</v>
      </c>
      <c r="BP35" s="77">
        <f t="shared" si="43"/>
        <v>11</v>
      </c>
      <c r="BQ35" s="77">
        <f t="shared" si="43"/>
        <v>12</v>
      </c>
      <c r="BR35" s="77">
        <f t="shared" si="43"/>
        <v>13</v>
      </c>
      <c r="BS35" s="77">
        <f t="shared" si="43"/>
        <v>14</v>
      </c>
      <c r="BT35" s="77">
        <f t="shared" si="43"/>
        <v>15</v>
      </c>
      <c r="BU35" s="77">
        <f t="shared" si="43"/>
        <v>16</v>
      </c>
      <c r="BV35" s="77">
        <f t="shared" si="43"/>
        <v>17</v>
      </c>
      <c r="BW35" s="77">
        <f t="shared" si="43"/>
        <v>18</v>
      </c>
      <c r="BX35" s="77">
        <f t="shared" si="43"/>
        <v>19</v>
      </c>
      <c r="BY35" s="77">
        <f t="shared" si="43"/>
        <v>20</v>
      </c>
      <c r="BZ35" s="77">
        <f t="shared" si="43"/>
        <v>21</v>
      </c>
      <c r="CA35" s="77">
        <f t="shared" si="43"/>
        <v>22</v>
      </c>
      <c r="CB35" s="77">
        <f t="shared" si="43"/>
        <v>23</v>
      </c>
      <c r="CC35" s="77">
        <f t="shared" si="43"/>
        <v>24</v>
      </c>
      <c r="CD35" s="77">
        <f t="shared" si="43"/>
        <v>25</v>
      </c>
      <c r="CE35" s="77">
        <f t="shared" si="43"/>
        <v>26</v>
      </c>
      <c r="CF35" s="77">
        <f t="shared" si="43"/>
        <v>27</v>
      </c>
      <c r="CG35" s="77">
        <f t="shared" si="43"/>
        <v>28</v>
      </c>
      <c r="CH35" s="77">
        <f t="shared" si="43"/>
        <v>29</v>
      </c>
      <c r="CI35" s="77">
        <f t="shared" si="43"/>
        <v>30</v>
      </c>
      <c r="CJ35" s="77">
        <f t="shared" ref="CJ35:EU38" si="51">IF(CI35="","",CI35+1)</f>
        <v>31</v>
      </c>
      <c r="CK35" s="77">
        <f t="shared" si="51"/>
        <v>32</v>
      </c>
      <c r="CL35" s="77">
        <f t="shared" si="51"/>
        <v>33</v>
      </c>
      <c r="CM35" s="77">
        <f t="shared" si="51"/>
        <v>34</v>
      </c>
      <c r="CN35" s="77">
        <f t="shared" si="51"/>
        <v>35</v>
      </c>
      <c r="CO35" s="77">
        <f t="shared" si="51"/>
        <v>36</v>
      </c>
      <c r="CP35" s="77">
        <f t="shared" si="51"/>
        <v>37</v>
      </c>
      <c r="CQ35" s="77">
        <f t="shared" si="51"/>
        <v>38</v>
      </c>
      <c r="CR35" s="77">
        <f t="shared" si="51"/>
        <v>39</v>
      </c>
      <c r="CS35" s="77">
        <f t="shared" si="51"/>
        <v>40</v>
      </c>
      <c r="CT35" s="77">
        <f t="shared" si="51"/>
        <v>41</v>
      </c>
      <c r="CU35" s="77">
        <f t="shared" si="51"/>
        <v>42</v>
      </c>
      <c r="CV35" s="77">
        <f t="shared" si="51"/>
        <v>43</v>
      </c>
      <c r="CW35" s="77">
        <f t="shared" si="51"/>
        <v>44</v>
      </c>
      <c r="CX35" s="77">
        <f t="shared" si="51"/>
        <v>45</v>
      </c>
      <c r="CY35" s="77">
        <f t="shared" si="51"/>
        <v>46</v>
      </c>
      <c r="CZ35" s="77">
        <f t="shared" si="51"/>
        <v>47</v>
      </c>
      <c r="DA35" s="77">
        <f t="shared" si="51"/>
        <v>48</v>
      </c>
      <c r="DB35" s="77">
        <f t="shared" si="51"/>
        <v>49</v>
      </c>
      <c r="DC35" s="77">
        <f t="shared" si="51"/>
        <v>50</v>
      </c>
      <c r="DD35" s="77">
        <f t="shared" si="51"/>
        <v>51</v>
      </c>
      <c r="DE35" s="77">
        <f t="shared" si="51"/>
        <v>52</v>
      </c>
      <c r="DF35" s="77">
        <f t="shared" si="51"/>
        <v>53</v>
      </c>
      <c r="DG35" s="77">
        <f t="shared" si="51"/>
        <v>54</v>
      </c>
      <c r="DH35" s="77">
        <f t="shared" si="51"/>
        <v>55</v>
      </c>
      <c r="DI35" s="77">
        <f t="shared" si="51"/>
        <v>56</v>
      </c>
      <c r="DJ35" s="77">
        <f t="shared" si="51"/>
        <v>57</v>
      </c>
      <c r="DK35" s="77">
        <f t="shared" si="51"/>
        <v>58</v>
      </c>
      <c r="DL35" s="77">
        <f t="shared" si="51"/>
        <v>59</v>
      </c>
      <c r="DM35" s="77">
        <f t="shared" si="51"/>
        <v>60</v>
      </c>
      <c r="DN35" s="77">
        <f t="shared" si="51"/>
        <v>61</v>
      </c>
      <c r="DO35" s="77">
        <f t="shared" si="51"/>
        <v>62</v>
      </c>
      <c r="DP35" s="77">
        <f t="shared" si="51"/>
        <v>63</v>
      </c>
      <c r="DQ35" s="77">
        <f t="shared" si="51"/>
        <v>64</v>
      </c>
      <c r="DR35" s="77">
        <f t="shared" si="51"/>
        <v>65</v>
      </c>
      <c r="DS35" s="77">
        <f t="shared" si="51"/>
        <v>66</v>
      </c>
      <c r="DT35" s="77">
        <f t="shared" si="51"/>
        <v>67</v>
      </c>
      <c r="DU35" s="77">
        <f t="shared" si="51"/>
        <v>68</v>
      </c>
      <c r="DV35" s="77">
        <f t="shared" si="51"/>
        <v>69</v>
      </c>
      <c r="DW35" s="77">
        <f t="shared" si="51"/>
        <v>70</v>
      </c>
      <c r="DX35" s="77">
        <f t="shared" si="51"/>
        <v>71</v>
      </c>
      <c r="DY35" s="77">
        <f t="shared" si="51"/>
        <v>72</v>
      </c>
      <c r="DZ35" s="77">
        <f t="shared" si="51"/>
        <v>73</v>
      </c>
      <c r="EA35" s="77">
        <f t="shared" si="51"/>
        <v>74</v>
      </c>
      <c r="EB35" s="77">
        <f t="shared" si="51"/>
        <v>75</v>
      </c>
      <c r="EC35" s="77">
        <f t="shared" si="51"/>
        <v>76</v>
      </c>
      <c r="ED35" s="77">
        <f t="shared" si="51"/>
        <v>77</v>
      </c>
      <c r="EE35" s="77">
        <f t="shared" si="51"/>
        <v>78</v>
      </c>
      <c r="EF35" s="77">
        <f t="shared" si="51"/>
        <v>79</v>
      </c>
      <c r="EG35" s="77">
        <f t="shared" si="51"/>
        <v>80</v>
      </c>
      <c r="EH35" s="77">
        <f t="shared" si="51"/>
        <v>81</v>
      </c>
      <c r="EI35" s="77">
        <f t="shared" si="51"/>
        <v>82</v>
      </c>
      <c r="EJ35" s="77">
        <f t="shared" si="51"/>
        <v>83</v>
      </c>
      <c r="EK35" s="77">
        <f t="shared" si="51"/>
        <v>84</v>
      </c>
      <c r="EL35" s="77">
        <f t="shared" si="51"/>
        <v>85</v>
      </c>
      <c r="EM35" s="77">
        <f t="shared" si="51"/>
        <v>86</v>
      </c>
      <c r="EN35" s="77">
        <f t="shared" si="51"/>
        <v>87</v>
      </c>
      <c r="EO35" s="77">
        <f t="shared" si="51"/>
        <v>88</v>
      </c>
      <c r="EP35" s="77">
        <f t="shared" si="51"/>
        <v>89</v>
      </c>
      <c r="EQ35" s="77">
        <f t="shared" si="51"/>
        <v>90</v>
      </c>
      <c r="ER35" s="77">
        <f t="shared" si="51"/>
        <v>91</v>
      </c>
      <c r="ES35" s="77">
        <f t="shared" si="51"/>
        <v>92</v>
      </c>
      <c r="ET35" s="77">
        <f t="shared" si="51"/>
        <v>93</v>
      </c>
      <c r="EU35" s="77">
        <f t="shared" si="51"/>
        <v>94</v>
      </c>
      <c r="EV35" s="77">
        <f t="shared" si="44"/>
        <v>95</v>
      </c>
      <c r="EW35" s="77">
        <f t="shared" si="44"/>
        <v>96</v>
      </c>
      <c r="EX35" s="77">
        <f t="shared" si="44"/>
        <v>97</v>
      </c>
      <c r="EY35" s="77">
        <f t="shared" si="44"/>
        <v>98</v>
      </c>
      <c r="EZ35" s="77">
        <f t="shared" si="44"/>
        <v>99</v>
      </c>
      <c r="FA35" s="77">
        <f t="shared" si="44"/>
        <v>100</v>
      </c>
      <c r="FB35" s="77">
        <f t="shared" si="44"/>
        <v>101</v>
      </c>
      <c r="FC35" s="77">
        <f t="shared" si="44"/>
        <v>102</v>
      </c>
      <c r="FD35" s="77">
        <f t="shared" si="44"/>
        <v>103</v>
      </c>
      <c r="FE35" s="77">
        <f t="shared" si="44"/>
        <v>104</v>
      </c>
      <c r="FF35" s="77">
        <f t="shared" si="44"/>
        <v>105</v>
      </c>
      <c r="FG35" s="77">
        <f t="shared" si="44"/>
        <v>106</v>
      </c>
      <c r="FH35" s="77">
        <f t="shared" si="44"/>
        <v>107</v>
      </c>
      <c r="FI35" s="77">
        <f t="shared" si="44"/>
        <v>108</v>
      </c>
      <c r="FJ35" s="77">
        <f t="shared" si="44"/>
        <v>109</v>
      </c>
      <c r="FK35" s="77">
        <f t="shared" si="44"/>
        <v>110</v>
      </c>
      <c r="FL35" s="77">
        <f t="shared" si="44"/>
        <v>111</v>
      </c>
      <c r="FM35" s="77">
        <f t="shared" si="44"/>
        <v>112</v>
      </c>
      <c r="FN35" s="77">
        <f t="shared" si="44"/>
        <v>113</v>
      </c>
      <c r="FO35" s="77">
        <f t="shared" si="44"/>
        <v>114</v>
      </c>
      <c r="FP35" s="77">
        <f t="shared" si="44"/>
        <v>115</v>
      </c>
      <c r="FQ35" s="77">
        <f t="shared" si="44"/>
        <v>116</v>
      </c>
      <c r="FR35" s="77">
        <f t="shared" si="44"/>
        <v>117</v>
      </c>
      <c r="FS35" s="77">
        <f t="shared" si="44"/>
        <v>118</v>
      </c>
      <c r="FT35" s="77">
        <f t="shared" si="44"/>
        <v>119</v>
      </c>
      <c r="FU35" s="77">
        <f t="shared" si="44"/>
        <v>120</v>
      </c>
      <c r="FV35" s="77">
        <f t="shared" si="44"/>
        <v>121</v>
      </c>
      <c r="FW35" s="77">
        <f t="shared" si="44"/>
        <v>122</v>
      </c>
      <c r="FX35" s="77">
        <f t="shared" si="44"/>
        <v>123</v>
      </c>
      <c r="FY35" s="77">
        <f t="shared" si="44"/>
        <v>124</v>
      </c>
      <c r="FZ35" s="77">
        <f t="shared" si="44"/>
        <v>125</v>
      </c>
      <c r="GA35" s="77">
        <f t="shared" si="44"/>
        <v>126</v>
      </c>
      <c r="GB35" s="77">
        <f t="shared" si="44"/>
        <v>127</v>
      </c>
      <c r="GC35" s="77">
        <f t="shared" si="44"/>
        <v>128</v>
      </c>
      <c r="GD35" s="77">
        <f t="shared" si="44"/>
        <v>129</v>
      </c>
      <c r="GE35" s="77">
        <f t="shared" si="44"/>
        <v>130</v>
      </c>
      <c r="GF35" s="77">
        <f t="shared" si="44"/>
        <v>131</v>
      </c>
      <c r="GG35" s="77">
        <f t="shared" si="44"/>
        <v>132</v>
      </c>
      <c r="GH35" s="77">
        <f t="shared" si="44"/>
        <v>133</v>
      </c>
      <c r="GI35" s="77">
        <f t="shared" si="44"/>
        <v>134</v>
      </c>
      <c r="GJ35" s="77">
        <f t="shared" si="44"/>
        <v>135</v>
      </c>
      <c r="GK35" s="77">
        <f t="shared" si="44"/>
        <v>136</v>
      </c>
      <c r="GL35" s="77">
        <f t="shared" si="44"/>
        <v>137</v>
      </c>
      <c r="GM35" s="77">
        <f t="shared" si="44"/>
        <v>138</v>
      </c>
      <c r="GN35" s="77">
        <f t="shared" si="44"/>
        <v>139</v>
      </c>
      <c r="GO35" s="77">
        <f t="shared" si="44"/>
        <v>140</v>
      </c>
      <c r="GP35" s="77">
        <f t="shared" si="44"/>
        <v>141</v>
      </c>
      <c r="GQ35" s="77">
        <f t="shared" si="44"/>
        <v>142</v>
      </c>
      <c r="GR35" s="77">
        <f t="shared" si="44"/>
        <v>143</v>
      </c>
      <c r="GS35" s="77">
        <f t="shared" si="44"/>
        <v>144</v>
      </c>
      <c r="GT35" s="77">
        <f t="shared" si="44"/>
        <v>145</v>
      </c>
      <c r="GU35" s="77">
        <f t="shared" si="44"/>
        <v>146</v>
      </c>
      <c r="GV35" s="77">
        <f t="shared" si="44"/>
        <v>147</v>
      </c>
      <c r="GW35" s="77">
        <f t="shared" si="44"/>
        <v>148</v>
      </c>
      <c r="GX35" s="77">
        <f t="shared" si="44"/>
        <v>149</v>
      </c>
    </row>
    <row r="36" spans="1:206" ht="15" customHeight="1" x14ac:dyDescent="0.2">
      <c r="A36" s="22" t="s">
        <v>68</v>
      </c>
      <c r="B36" s="22">
        <v>2</v>
      </c>
      <c r="C36" s="22" t="s">
        <v>105</v>
      </c>
      <c r="D36" s="22">
        <v>31</v>
      </c>
      <c r="E36" s="22" t="s">
        <v>123</v>
      </c>
      <c r="F36" s="22" t="s">
        <v>124</v>
      </c>
      <c r="G36" s="22" t="s">
        <v>79</v>
      </c>
      <c r="H36" s="22">
        <v>2010</v>
      </c>
      <c r="I36" s="22">
        <v>16</v>
      </c>
      <c r="J36" s="22">
        <v>14.06</v>
      </c>
      <c r="K36" s="22">
        <v>140</v>
      </c>
      <c r="L36" s="22">
        <v>1993</v>
      </c>
      <c r="M36" s="22">
        <v>1853</v>
      </c>
      <c r="N36" s="22" t="s">
        <v>95</v>
      </c>
      <c r="O36" s="22" t="s">
        <v>96</v>
      </c>
      <c r="P36" s="22" t="s">
        <v>75</v>
      </c>
      <c r="Q36" s="108">
        <f>IF(R36="","",'Dashboard Ciclos'!$B$2-R36)</f>
        <v>46234</v>
      </c>
      <c r="R36" s="22">
        <f>IF($E36="","",IFERROR(INDEX($W36:$GX36,MATCH('Dashboard Ciclos'!$B$2,$W$1:$GX$1,0)),""))</f>
        <v>15</v>
      </c>
      <c r="S36" s="22" t="str">
        <f t="shared" si="45"/>
        <v>Vencido 1-5 d</v>
      </c>
      <c r="T36" s="22" t="str">
        <f t="shared" si="46"/>
        <v>Fuera de ciclo</v>
      </c>
      <c r="U36" s="22">
        <f t="shared" si="47"/>
        <v>-3</v>
      </c>
      <c r="V36" s="23">
        <f t="shared" si="48"/>
        <v>46246</v>
      </c>
      <c r="W36" s="77">
        <f t="shared" si="49"/>
        <v>8</v>
      </c>
      <c r="X36" s="77">
        <f t="shared" si="49"/>
        <v>9</v>
      </c>
      <c r="Y36" s="77">
        <f t="shared" si="49"/>
        <v>10</v>
      </c>
      <c r="Z36" s="77">
        <f t="shared" si="49"/>
        <v>11</v>
      </c>
      <c r="AA36" s="77">
        <v>12</v>
      </c>
      <c r="AB36" s="77">
        <f t="shared" si="50"/>
        <v>13</v>
      </c>
      <c r="AC36" s="77">
        <f t="shared" si="50"/>
        <v>14</v>
      </c>
      <c r="AD36" s="77">
        <f t="shared" si="50"/>
        <v>15</v>
      </c>
      <c r="AE36" s="77">
        <f t="shared" si="50"/>
        <v>16</v>
      </c>
      <c r="AF36" s="77">
        <f t="shared" si="50"/>
        <v>17</v>
      </c>
      <c r="AG36" s="77">
        <f t="shared" si="50"/>
        <v>18</v>
      </c>
      <c r="AH36" s="77">
        <f t="shared" si="50"/>
        <v>19</v>
      </c>
      <c r="AI36" s="77">
        <f t="shared" si="50"/>
        <v>20</v>
      </c>
      <c r="AJ36" s="77">
        <f t="shared" si="50"/>
        <v>21</v>
      </c>
      <c r="AK36" s="77">
        <f t="shared" si="50"/>
        <v>22</v>
      </c>
      <c r="AL36" s="77">
        <f t="shared" si="50"/>
        <v>23</v>
      </c>
      <c r="AM36" s="77">
        <f t="shared" si="50"/>
        <v>24</v>
      </c>
      <c r="AN36" s="77">
        <f t="shared" si="50"/>
        <v>25</v>
      </c>
      <c r="AO36" s="77">
        <f t="shared" si="50"/>
        <v>26</v>
      </c>
      <c r="AP36" s="77">
        <f t="shared" si="50"/>
        <v>27</v>
      </c>
      <c r="AQ36" s="77">
        <f t="shared" si="50"/>
        <v>28</v>
      </c>
      <c r="AR36" s="77">
        <f t="shared" si="27"/>
        <v>29</v>
      </c>
      <c r="AS36" s="77">
        <f t="shared" ref="AS36:CJ39" si="52">IF(AR36="","",AR36+1)</f>
        <v>30</v>
      </c>
      <c r="AT36" s="77">
        <f t="shared" si="52"/>
        <v>31</v>
      </c>
      <c r="AU36" s="77">
        <f t="shared" si="52"/>
        <v>32</v>
      </c>
      <c r="AV36" s="77">
        <f t="shared" si="52"/>
        <v>33</v>
      </c>
      <c r="AW36" s="77">
        <f t="shared" si="52"/>
        <v>34</v>
      </c>
      <c r="AX36" s="77">
        <f t="shared" si="52"/>
        <v>35</v>
      </c>
      <c r="AY36" s="77">
        <f t="shared" si="52"/>
        <v>36</v>
      </c>
      <c r="AZ36" s="77">
        <f t="shared" si="52"/>
        <v>37</v>
      </c>
      <c r="BA36" s="77">
        <v>0</v>
      </c>
      <c r="BB36" s="77">
        <f t="shared" si="52"/>
        <v>1</v>
      </c>
      <c r="BC36" s="77">
        <f t="shared" si="52"/>
        <v>2</v>
      </c>
      <c r="BD36" s="77">
        <f t="shared" si="52"/>
        <v>3</v>
      </c>
      <c r="BE36" s="77">
        <f t="shared" si="52"/>
        <v>4</v>
      </c>
      <c r="BF36" s="77">
        <f t="shared" si="52"/>
        <v>5</v>
      </c>
      <c r="BG36" s="77">
        <f t="shared" si="52"/>
        <v>6</v>
      </c>
      <c r="BH36" s="77">
        <f t="shared" si="52"/>
        <v>7</v>
      </c>
      <c r="BI36" s="77">
        <f t="shared" si="52"/>
        <v>8</v>
      </c>
      <c r="BJ36" s="77">
        <f t="shared" si="52"/>
        <v>9</v>
      </c>
      <c r="BK36" s="77">
        <f t="shared" si="52"/>
        <v>10</v>
      </c>
      <c r="BL36" s="77">
        <f t="shared" si="52"/>
        <v>11</v>
      </c>
      <c r="BM36" s="77">
        <f t="shared" si="52"/>
        <v>12</v>
      </c>
      <c r="BN36" s="77">
        <f t="shared" si="52"/>
        <v>13</v>
      </c>
      <c r="BO36" s="77">
        <f t="shared" si="52"/>
        <v>14</v>
      </c>
      <c r="BP36" s="77">
        <f t="shared" si="52"/>
        <v>15</v>
      </c>
      <c r="BQ36" s="77">
        <f t="shared" si="52"/>
        <v>16</v>
      </c>
      <c r="BR36" s="77">
        <f t="shared" si="52"/>
        <v>17</v>
      </c>
      <c r="BS36" s="77">
        <f t="shared" si="52"/>
        <v>18</v>
      </c>
      <c r="BT36" s="77">
        <f t="shared" si="52"/>
        <v>19</v>
      </c>
      <c r="BU36" s="77">
        <f t="shared" si="52"/>
        <v>20</v>
      </c>
      <c r="BV36" s="77">
        <f t="shared" si="52"/>
        <v>21</v>
      </c>
      <c r="BW36" s="77">
        <f t="shared" si="52"/>
        <v>22</v>
      </c>
      <c r="BX36" s="77">
        <f t="shared" si="52"/>
        <v>23</v>
      </c>
      <c r="BY36" s="77">
        <f t="shared" si="52"/>
        <v>24</v>
      </c>
      <c r="BZ36" s="77">
        <f t="shared" si="52"/>
        <v>25</v>
      </c>
      <c r="CA36" s="77">
        <f t="shared" si="52"/>
        <v>26</v>
      </c>
      <c r="CB36" s="77">
        <f t="shared" si="52"/>
        <v>27</v>
      </c>
      <c r="CC36" s="77">
        <f t="shared" si="52"/>
        <v>28</v>
      </c>
      <c r="CD36" s="77">
        <f t="shared" si="52"/>
        <v>29</v>
      </c>
      <c r="CE36" s="77">
        <f t="shared" si="52"/>
        <v>30</v>
      </c>
      <c r="CF36" s="77">
        <f t="shared" si="52"/>
        <v>31</v>
      </c>
      <c r="CG36" s="77">
        <f t="shared" si="52"/>
        <v>32</v>
      </c>
      <c r="CH36" s="77">
        <f t="shared" si="52"/>
        <v>33</v>
      </c>
      <c r="CI36" s="77">
        <f t="shared" si="52"/>
        <v>34</v>
      </c>
      <c r="CJ36" s="77">
        <f t="shared" si="52"/>
        <v>35</v>
      </c>
      <c r="CK36" s="77">
        <f t="shared" si="51"/>
        <v>36</v>
      </c>
      <c r="CL36" s="77">
        <f t="shared" si="51"/>
        <v>37</v>
      </c>
      <c r="CM36" s="77">
        <f t="shared" si="51"/>
        <v>38</v>
      </c>
      <c r="CN36" s="77">
        <f t="shared" si="51"/>
        <v>39</v>
      </c>
      <c r="CO36" s="77">
        <f t="shared" si="51"/>
        <v>40</v>
      </c>
      <c r="CP36" s="77">
        <f t="shared" si="51"/>
        <v>41</v>
      </c>
      <c r="CQ36" s="77">
        <f t="shared" si="51"/>
        <v>42</v>
      </c>
      <c r="CR36" s="77">
        <f t="shared" si="51"/>
        <v>43</v>
      </c>
      <c r="CS36" s="77">
        <f t="shared" si="51"/>
        <v>44</v>
      </c>
      <c r="CT36" s="77">
        <f t="shared" si="51"/>
        <v>45</v>
      </c>
      <c r="CU36" s="77">
        <f t="shared" si="51"/>
        <v>46</v>
      </c>
      <c r="CV36" s="77">
        <f t="shared" si="51"/>
        <v>47</v>
      </c>
      <c r="CW36" s="77">
        <f t="shared" si="51"/>
        <v>48</v>
      </c>
      <c r="CX36" s="77">
        <f t="shared" si="51"/>
        <v>49</v>
      </c>
      <c r="CY36" s="77">
        <f t="shared" si="51"/>
        <v>50</v>
      </c>
      <c r="CZ36" s="77">
        <f t="shared" si="51"/>
        <v>51</v>
      </c>
      <c r="DA36" s="77">
        <f t="shared" si="51"/>
        <v>52</v>
      </c>
      <c r="DB36" s="77">
        <f t="shared" si="51"/>
        <v>53</v>
      </c>
      <c r="DC36" s="77">
        <f t="shared" si="51"/>
        <v>54</v>
      </c>
      <c r="DD36" s="77">
        <f t="shared" si="51"/>
        <v>55</v>
      </c>
      <c r="DE36" s="77">
        <f t="shared" si="51"/>
        <v>56</v>
      </c>
      <c r="DF36" s="77">
        <f t="shared" si="51"/>
        <v>57</v>
      </c>
      <c r="DG36" s="77">
        <f t="shared" si="51"/>
        <v>58</v>
      </c>
      <c r="DH36" s="77">
        <f t="shared" si="51"/>
        <v>59</v>
      </c>
      <c r="DI36" s="77">
        <f t="shared" si="51"/>
        <v>60</v>
      </c>
      <c r="DJ36" s="77">
        <f t="shared" si="51"/>
        <v>61</v>
      </c>
      <c r="DK36" s="77">
        <f t="shared" si="51"/>
        <v>62</v>
      </c>
      <c r="DL36" s="77">
        <f t="shared" si="51"/>
        <v>63</v>
      </c>
      <c r="DM36" s="77">
        <f t="shared" si="51"/>
        <v>64</v>
      </c>
      <c r="DN36" s="77">
        <f t="shared" si="51"/>
        <v>65</v>
      </c>
      <c r="DO36" s="77">
        <f t="shared" si="51"/>
        <v>66</v>
      </c>
      <c r="DP36" s="77">
        <f t="shared" si="51"/>
        <v>67</v>
      </c>
      <c r="DQ36" s="77">
        <f t="shared" si="51"/>
        <v>68</v>
      </c>
      <c r="DR36" s="77">
        <f t="shared" si="51"/>
        <v>69</v>
      </c>
      <c r="DS36" s="77">
        <f t="shared" si="51"/>
        <v>70</v>
      </c>
      <c r="DT36" s="77">
        <f t="shared" si="51"/>
        <v>71</v>
      </c>
      <c r="DU36" s="77">
        <f t="shared" si="51"/>
        <v>72</v>
      </c>
      <c r="DV36" s="77">
        <f t="shared" si="51"/>
        <v>73</v>
      </c>
      <c r="DW36" s="77">
        <f t="shared" si="51"/>
        <v>74</v>
      </c>
      <c r="DX36" s="77">
        <f t="shared" si="51"/>
        <v>75</v>
      </c>
      <c r="DY36" s="77">
        <f t="shared" si="51"/>
        <v>76</v>
      </c>
      <c r="DZ36" s="77">
        <f t="shared" si="51"/>
        <v>77</v>
      </c>
      <c r="EA36" s="77">
        <f t="shared" si="51"/>
        <v>78</v>
      </c>
      <c r="EB36" s="77">
        <f t="shared" si="51"/>
        <v>79</v>
      </c>
      <c r="EC36" s="77">
        <f t="shared" si="51"/>
        <v>80</v>
      </c>
      <c r="ED36" s="77">
        <f t="shared" si="51"/>
        <v>81</v>
      </c>
      <c r="EE36" s="77">
        <f t="shared" si="51"/>
        <v>82</v>
      </c>
      <c r="EF36" s="77">
        <f t="shared" si="51"/>
        <v>83</v>
      </c>
      <c r="EG36" s="77">
        <f t="shared" si="51"/>
        <v>84</v>
      </c>
      <c r="EH36" s="77">
        <f t="shared" si="51"/>
        <v>85</v>
      </c>
      <c r="EI36" s="77">
        <f t="shared" si="51"/>
        <v>86</v>
      </c>
      <c r="EJ36" s="77">
        <f t="shared" si="51"/>
        <v>87</v>
      </c>
      <c r="EK36" s="77">
        <f t="shared" si="51"/>
        <v>88</v>
      </c>
      <c r="EL36" s="77">
        <f t="shared" si="51"/>
        <v>89</v>
      </c>
      <c r="EM36" s="77">
        <f t="shared" si="51"/>
        <v>90</v>
      </c>
      <c r="EN36" s="77">
        <f t="shared" si="51"/>
        <v>91</v>
      </c>
      <c r="EO36" s="77">
        <f t="shared" si="51"/>
        <v>92</v>
      </c>
      <c r="EP36" s="77">
        <f t="shared" si="51"/>
        <v>93</v>
      </c>
      <c r="EQ36" s="77">
        <f t="shared" si="51"/>
        <v>94</v>
      </c>
      <c r="ER36" s="77">
        <f t="shared" si="51"/>
        <v>95</v>
      </c>
      <c r="ES36" s="77">
        <f t="shared" si="51"/>
        <v>96</v>
      </c>
      <c r="ET36" s="77">
        <f t="shared" si="51"/>
        <v>97</v>
      </c>
      <c r="EU36" s="77">
        <f t="shared" si="51"/>
        <v>98</v>
      </c>
      <c r="EV36" s="77">
        <f t="shared" si="44"/>
        <v>99</v>
      </c>
      <c r="EW36" s="77">
        <f t="shared" si="44"/>
        <v>100</v>
      </c>
      <c r="EX36" s="77">
        <f t="shared" si="44"/>
        <v>101</v>
      </c>
      <c r="EY36" s="77">
        <f t="shared" si="44"/>
        <v>102</v>
      </c>
      <c r="EZ36" s="77">
        <f t="shared" si="44"/>
        <v>103</v>
      </c>
      <c r="FA36" s="77">
        <f t="shared" si="44"/>
        <v>104</v>
      </c>
      <c r="FB36" s="77">
        <f t="shared" si="44"/>
        <v>105</v>
      </c>
      <c r="FC36" s="77">
        <f t="shared" si="44"/>
        <v>106</v>
      </c>
      <c r="FD36" s="77">
        <f t="shared" si="44"/>
        <v>107</v>
      </c>
      <c r="FE36" s="77">
        <f t="shared" si="44"/>
        <v>108</v>
      </c>
      <c r="FF36" s="77">
        <f t="shared" si="44"/>
        <v>109</v>
      </c>
      <c r="FG36" s="77">
        <f t="shared" si="44"/>
        <v>110</v>
      </c>
      <c r="FH36" s="77">
        <f t="shared" si="44"/>
        <v>111</v>
      </c>
      <c r="FI36" s="77">
        <f t="shared" si="44"/>
        <v>112</v>
      </c>
      <c r="FJ36" s="77">
        <f t="shared" si="44"/>
        <v>113</v>
      </c>
      <c r="FK36" s="77">
        <f t="shared" si="44"/>
        <v>114</v>
      </c>
      <c r="FL36" s="77">
        <f t="shared" si="44"/>
        <v>115</v>
      </c>
      <c r="FM36" s="77">
        <f t="shared" si="44"/>
        <v>116</v>
      </c>
      <c r="FN36" s="77">
        <f t="shared" si="44"/>
        <v>117</v>
      </c>
      <c r="FO36" s="77">
        <f t="shared" si="44"/>
        <v>118</v>
      </c>
      <c r="FP36" s="77">
        <f t="shared" si="44"/>
        <v>119</v>
      </c>
      <c r="FQ36" s="77">
        <f t="shared" si="44"/>
        <v>120</v>
      </c>
      <c r="FR36" s="77">
        <f t="shared" si="44"/>
        <v>121</v>
      </c>
      <c r="FS36" s="77">
        <f t="shared" si="44"/>
        <v>122</v>
      </c>
      <c r="FT36" s="77">
        <f t="shared" si="44"/>
        <v>123</v>
      </c>
      <c r="FU36" s="77">
        <f t="shared" si="44"/>
        <v>124</v>
      </c>
      <c r="FV36" s="77">
        <f t="shared" si="44"/>
        <v>125</v>
      </c>
      <c r="FW36" s="77">
        <f t="shared" si="44"/>
        <v>126</v>
      </c>
      <c r="FX36" s="77">
        <f t="shared" si="44"/>
        <v>127</v>
      </c>
      <c r="FY36" s="77">
        <f t="shared" si="44"/>
        <v>128</v>
      </c>
      <c r="FZ36" s="77">
        <f t="shared" si="44"/>
        <v>129</v>
      </c>
      <c r="GA36" s="77">
        <f t="shared" si="44"/>
        <v>130</v>
      </c>
      <c r="GB36" s="77">
        <f t="shared" si="44"/>
        <v>131</v>
      </c>
      <c r="GC36" s="77">
        <f t="shared" si="44"/>
        <v>132</v>
      </c>
      <c r="GD36" s="77">
        <f t="shared" si="44"/>
        <v>133</v>
      </c>
      <c r="GE36" s="77">
        <f t="shared" ref="GE36:GX36" si="53">IF(GD36="","",GD36+1)</f>
        <v>134</v>
      </c>
      <c r="GF36" s="77">
        <f t="shared" si="53"/>
        <v>135</v>
      </c>
      <c r="GG36" s="77">
        <f t="shared" si="53"/>
        <v>136</v>
      </c>
      <c r="GH36" s="77">
        <f t="shared" si="53"/>
        <v>137</v>
      </c>
      <c r="GI36" s="77">
        <f t="shared" si="53"/>
        <v>138</v>
      </c>
      <c r="GJ36" s="77">
        <f t="shared" si="53"/>
        <v>139</v>
      </c>
      <c r="GK36" s="77">
        <f t="shared" si="53"/>
        <v>140</v>
      </c>
      <c r="GL36" s="77">
        <f t="shared" si="53"/>
        <v>141</v>
      </c>
      <c r="GM36" s="77">
        <f t="shared" si="53"/>
        <v>142</v>
      </c>
      <c r="GN36" s="77">
        <f t="shared" si="53"/>
        <v>143</v>
      </c>
      <c r="GO36" s="77">
        <f t="shared" si="53"/>
        <v>144</v>
      </c>
      <c r="GP36" s="77">
        <f t="shared" si="53"/>
        <v>145</v>
      </c>
      <c r="GQ36" s="77">
        <f t="shared" si="53"/>
        <v>146</v>
      </c>
      <c r="GR36" s="77">
        <f t="shared" si="53"/>
        <v>147</v>
      </c>
      <c r="GS36" s="77">
        <f t="shared" si="53"/>
        <v>148</v>
      </c>
      <c r="GT36" s="77">
        <f t="shared" si="53"/>
        <v>149</v>
      </c>
      <c r="GU36" s="77">
        <f t="shared" si="53"/>
        <v>150</v>
      </c>
      <c r="GV36" s="77">
        <f t="shared" si="53"/>
        <v>151</v>
      </c>
      <c r="GW36" s="77">
        <f t="shared" si="53"/>
        <v>152</v>
      </c>
      <c r="GX36" s="77">
        <f t="shared" si="53"/>
        <v>153</v>
      </c>
    </row>
    <row r="37" spans="1:206" ht="15" customHeight="1" x14ac:dyDescent="0.2">
      <c r="A37" s="22" t="s">
        <v>68</v>
      </c>
      <c r="B37" s="22">
        <v>2</v>
      </c>
      <c r="C37" s="22" t="s">
        <v>102</v>
      </c>
      <c r="D37" s="22">
        <v>32</v>
      </c>
      <c r="E37" s="22" t="s">
        <v>125</v>
      </c>
      <c r="F37" s="22" t="s">
        <v>71</v>
      </c>
      <c r="G37" s="22" t="s">
        <v>79</v>
      </c>
      <c r="H37" s="22">
        <v>2010</v>
      </c>
      <c r="I37" s="22">
        <v>16</v>
      </c>
      <c r="J37" s="22">
        <v>14.18</v>
      </c>
      <c r="K37" s="22">
        <v>220</v>
      </c>
      <c r="L37" s="22">
        <v>2025</v>
      </c>
      <c r="M37" s="22">
        <v>1805</v>
      </c>
      <c r="N37" s="22" t="s">
        <v>95</v>
      </c>
      <c r="O37" s="22" t="s">
        <v>96</v>
      </c>
      <c r="P37" s="22" t="s">
        <v>75</v>
      </c>
      <c r="Q37" s="108">
        <f>IF(R37="","",'Dashboard Ciclos'!$B$2-R37)</f>
        <v>46248</v>
      </c>
      <c r="R37" s="22">
        <f>IF($E37="","",IFERROR(INDEX($W37:$GX37,MATCH('Dashboard Ciclos'!$B$2,$W$1:$GX$1,0)),""))</f>
        <v>1</v>
      </c>
      <c r="S37" s="22" t="str">
        <f t="shared" si="45"/>
        <v>En ciclo</v>
      </c>
      <c r="T37" s="22" t="str">
        <f t="shared" si="46"/>
        <v>Recién cortado</v>
      </c>
      <c r="U37" s="22">
        <f t="shared" si="47"/>
        <v>11</v>
      </c>
      <c r="V37" s="23">
        <f t="shared" si="48"/>
        <v>46260</v>
      </c>
      <c r="W37" s="77">
        <f t="shared" si="49"/>
        <v>8</v>
      </c>
      <c r="X37" s="77">
        <f t="shared" si="49"/>
        <v>9</v>
      </c>
      <c r="Y37" s="77">
        <f t="shared" si="49"/>
        <v>10</v>
      </c>
      <c r="Z37" s="77">
        <f t="shared" si="49"/>
        <v>11</v>
      </c>
      <c r="AA37" s="77">
        <v>12</v>
      </c>
      <c r="AB37" s="77">
        <f t="shared" si="50"/>
        <v>13</v>
      </c>
      <c r="AC37" s="77">
        <f t="shared" si="50"/>
        <v>14</v>
      </c>
      <c r="AD37" s="77">
        <f t="shared" si="50"/>
        <v>15</v>
      </c>
      <c r="AE37" s="77">
        <f t="shared" si="50"/>
        <v>16</v>
      </c>
      <c r="AF37" s="77">
        <f t="shared" si="50"/>
        <v>17</v>
      </c>
      <c r="AG37" s="77">
        <f t="shared" si="50"/>
        <v>18</v>
      </c>
      <c r="AH37" s="77">
        <f t="shared" si="50"/>
        <v>19</v>
      </c>
      <c r="AI37" s="77">
        <f t="shared" si="50"/>
        <v>20</v>
      </c>
      <c r="AJ37" s="77">
        <f t="shared" si="50"/>
        <v>21</v>
      </c>
      <c r="AK37" s="77">
        <f t="shared" si="50"/>
        <v>22</v>
      </c>
      <c r="AL37" s="77">
        <f t="shared" si="50"/>
        <v>23</v>
      </c>
      <c r="AM37" s="77">
        <f t="shared" si="50"/>
        <v>24</v>
      </c>
      <c r="AN37" s="77">
        <f t="shared" si="50"/>
        <v>25</v>
      </c>
      <c r="AO37" s="77">
        <f t="shared" si="50"/>
        <v>26</v>
      </c>
      <c r="AP37" s="77">
        <f t="shared" si="50"/>
        <v>27</v>
      </c>
      <c r="AQ37" s="77">
        <f t="shared" si="50"/>
        <v>28</v>
      </c>
      <c r="AR37" s="77">
        <f t="shared" si="27"/>
        <v>29</v>
      </c>
      <c r="AS37" s="77">
        <f t="shared" si="52"/>
        <v>30</v>
      </c>
      <c r="AT37" s="77">
        <f t="shared" si="52"/>
        <v>31</v>
      </c>
      <c r="AU37" s="77">
        <f t="shared" si="52"/>
        <v>32</v>
      </c>
      <c r="AV37" s="77">
        <f t="shared" si="52"/>
        <v>33</v>
      </c>
      <c r="AW37" s="77">
        <f t="shared" si="52"/>
        <v>34</v>
      </c>
      <c r="AX37" s="77">
        <f t="shared" si="52"/>
        <v>35</v>
      </c>
      <c r="AY37" s="77">
        <v>0</v>
      </c>
      <c r="AZ37" s="77">
        <f t="shared" si="52"/>
        <v>1</v>
      </c>
      <c r="BA37" s="77">
        <f t="shared" si="52"/>
        <v>2</v>
      </c>
      <c r="BB37" s="77">
        <f t="shared" si="52"/>
        <v>3</v>
      </c>
      <c r="BC37" s="77">
        <f t="shared" si="52"/>
        <v>4</v>
      </c>
      <c r="BD37" s="77">
        <f t="shared" si="52"/>
        <v>5</v>
      </c>
      <c r="BE37" s="77">
        <f t="shared" si="52"/>
        <v>6</v>
      </c>
      <c r="BF37" s="77">
        <f t="shared" si="52"/>
        <v>7</v>
      </c>
      <c r="BG37" s="77">
        <f t="shared" si="52"/>
        <v>8</v>
      </c>
      <c r="BH37" s="77">
        <f t="shared" si="52"/>
        <v>9</v>
      </c>
      <c r="BI37" s="77">
        <f t="shared" si="52"/>
        <v>10</v>
      </c>
      <c r="BJ37" s="77">
        <f t="shared" si="52"/>
        <v>11</v>
      </c>
      <c r="BK37" s="77">
        <f t="shared" si="52"/>
        <v>12</v>
      </c>
      <c r="BL37" s="77">
        <f t="shared" si="52"/>
        <v>13</v>
      </c>
      <c r="BM37" s="77">
        <f t="shared" si="52"/>
        <v>14</v>
      </c>
      <c r="BN37" s="77">
        <f t="shared" si="52"/>
        <v>15</v>
      </c>
      <c r="BO37" s="77">
        <v>0</v>
      </c>
      <c r="BP37" s="77">
        <f t="shared" si="52"/>
        <v>1</v>
      </c>
      <c r="BQ37" s="77">
        <f t="shared" si="52"/>
        <v>2</v>
      </c>
      <c r="BR37" s="77">
        <f t="shared" si="52"/>
        <v>3</v>
      </c>
      <c r="BS37" s="77">
        <f t="shared" si="52"/>
        <v>4</v>
      </c>
      <c r="BT37" s="77">
        <f t="shared" si="52"/>
        <v>5</v>
      </c>
      <c r="BU37" s="77">
        <f t="shared" si="52"/>
        <v>6</v>
      </c>
      <c r="BV37" s="77">
        <f t="shared" si="52"/>
        <v>7</v>
      </c>
      <c r="BW37" s="77">
        <f t="shared" si="52"/>
        <v>8</v>
      </c>
      <c r="BX37" s="77">
        <f t="shared" si="52"/>
        <v>9</v>
      </c>
      <c r="BY37" s="77">
        <f t="shared" si="52"/>
        <v>10</v>
      </c>
      <c r="BZ37" s="77">
        <f t="shared" si="52"/>
        <v>11</v>
      </c>
      <c r="CA37" s="77">
        <f t="shared" si="52"/>
        <v>12</v>
      </c>
      <c r="CB37" s="77">
        <f t="shared" si="52"/>
        <v>13</v>
      </c>
      <c r="CC37" s="77">
        <f t="shared" si="52"/>
        <v>14</v>
      </c>
      <c r="CD37" s="77">
        <f t="shared" si="52"/>
        <v>15</v>
      </c>
      <c r="CE37" s="77">
        <f t="shared" si="52"/>
        <v>16</v>
      </c>
      <c r="CF37" s="77">
        <f t="shared" si="52"/>
        <v>17</v>
      </c>
      <c r="CG37" s="77">
        <f t="shared" si="52"/>
        <v>18</v>
      </c>
      <c r="CH37" s="77">
        <f t="shared" si="52"/>
        <v>19</v>
      </c>
      <c r="CI37" s="77">
        <f t="shared" si="52"/>
        <v>20</v>
      </c>
      <c r="CJ37" s="77">
        <f t="shared" si="52"/>
        <v>21</v>
      </c>
      <c r="CK37" s="77">
        <f t="shared" si="51"/>
        <v>22</v>
      </c>
      <c r="CL37" s="77">
        <f t="shared" si="51"/>
        <v>23</v>
      </c>
      <c r="CM37" s="77">
        <f t="shared" si="51"/>
        <v>24</v>
      </c>
      <c r="CN37" s="77">
        <f t="shared" si="51"/>
        <v>25</v>
      </c>
      <c r="CO37" s="77">
        <f t="shared" si="51"/>
        <v>26</v>
      </c>
      <c r="CP37" s="77">
        <f t="shared" si="51"/>
        <v>27</v>
      </c>
      <c r="CQ37" s="77">
        <f t="shared" si="51"/>
        <v>28</v>
      </c>
      <c r="CR37" s="77">
        <f t="shared" si="51"/>
        <v>29</v>
      </c>
      <c r="CS37" s="77">
        <f t="shared" si="51"/>
        <v>30</v>
      </c>
      <c r="CT37" s="77">
        <f t="shared" si="51"/>
        <v>31</v>
      </c>
      <c r="CU37" s="77">
        <f t="shared" si="51"/>
        <v>32</v>
      </c>
      <c r="CV37" s="77">
        <f t="shared" si="51"/>
        <v>33</v>
      </c>
      <c r="CW37" s="77">
        <f t="shared" si="51"/>
        <v>34</v>
      </c>
      <c r="CX37" s="77">
        <f t="shared" si="51"/>
        <v>35</v>
      </c>
      <c r="CY37" s="77">
        <f t="shared" si="51"/>
        <v>36</v>
      </c>
      <c r="CZ37" s="77">
        <f t="shared" si="51"/>
        <v>37</v>
      </c>
      <c r="DA37" s="77">
        <f t="shared" si="51"/>
        <v>38</v>
      </c>
      <c r="DB37" s="77">
        <f t="shared" si="51"/>
        <v>39</v>
      </c>
      <c r="DC37" s="77">
        <f t="shared" si="51"/>
        <v>40</v>
      </c>
      <c r="DD37" s="77">
        <f t="shared" si="51"/>
        <v>41</v>
      </c>
      <c r="DE37" s="77">
        <f t="shared" si="51"/>
        <v>42</v>
      </c>
      <c r="DF37" s="77">
        <f t="shared" si="51"/>
        <v>43</v>
      </c>
      <c r="DG37" s="77">
        <f t="shared" si="51"/>
        <v>44</v>
      </c>
      <c r="DH37" s="77">
        <f t="shared" si="51"/>
        <v>45</v>
      </c>
      <c r="DI37" s="77">
        <f t="shared" si="51"/>
        <v>46</v>
      </c>
      <c r="DJ37" s="77">
        <f t="shared" si="51"/>
        <v>47</v>
      </c>
      <c r="DK37" s="77">
        <f t="shared" si="51"/>
        <v>48</v>
      </c>
      <c r="DL37" s="77">
        <f t="shared" si="51"/>
        <v>49</v>
      </c>
      <c r="DM37" s="77">
        <f t="shared" si="51"/>
        <v>50</v>
      </c>
      <c r="DN37" s="77">
        <f t="shared" si="51"/>
        <v>51</v>
      </c>
      <c r="DO37" s="77">
        <f t="shared" si="51"/>
        <v>52</v>
      </c>
      <c r="DP37" s="77">
        <f t="shared" si="51"/>
        <v>53</v>
      </c>
      <c r="DQ37" s="77">
        <f t="shared" si="51"/>
        <v>54</v>
      </c>
      <c r="DR37" s="77">
        <f t="shared" si="51"/>
        <v>55</v>
      </c>
      <c r="DS37" s="77">
        <f t="shared" si="51"/>
        <v>56</v>
      </c>
      <c r="DT37" s="77">
        <f t="shared" si="51"/>
        <v>57</v>
      </c>
      <c r="DU37" s="77">
        <f t="shared" si="51"/>
        <v>58</v>
      </c>
      <c r="DV37" s="77">
        <f t="shared" si="51"/>
        <v>59</v>
      </c>
      <c r="DW37" s="77">
        <f t="shared" si="51"/>
        <v>60</v>
      </c>
      <c r="DX37" s="77">
        <f t="shared" si="51"/>
        <v>61</v>
      </c>
      <c r="DY37" s="77">
        <f t="shared" si="51"/>
        <v>62</v>
      </c>
      <c r="DZ37" s="77">
        <f t="shared" si="51"/>
        <v>63</v>
      </c>
      <c r="EA37" s="77">
        <f t="shared" si="51"/>
        <v>64</v>
      </c>
      <c r="EB37" s="77">
        <f t="shared" si="51"/>
        <v>65</v>
      </c>
      <c r="EC37" s="77">
        <f t="shared" si="51"/>
        <v>66</v>
      </c>
      <c r="ED37" s="77">
        <f t="shared" si="51"/>
        <v>67</v>
      </c>
      <c r="EE37" s="77">
        <f t="shared" si="51"/>
        <v>68</v>
      </c>
      <c r="EF37" s="77">
        <f t="shared" si="51"/>
        <v>69</v>
      </c>
      <c r="EG37" s="77">
        <f t="shared" si="51"/>
        <v>70</v>
      </c>
      <c r="EH37" s="77">
        <f t="shared" si="51"/>
        <v>71</v>
      </c>
      <c r="EI37" s="77">
        <f t="shared" si="51"/>
        <v>72</v>
      </c>
      <c r="EJ37" s="77">
        <f t="shared" si="51"/>
        <v>73</v>
      </c>
      <c r="EK37" s="77">
        <f t="shared" si="51"/>
        <v>74</v>
      </c>
      <c r="EL37" s="77">
        <f t="shared" si="51"/>
        <v>75</v>
      </c>
      <c r="EM37" s="77">
        <f t="shared" si="51"/>
        <v>76</v>
      </c>
      <c r="EN37" s="77">
        <f t="shared" si="51"/>
        <v>77</v>
      </c>
      <c r="EO37" s="77">
        <f t="shared" si="51"/>
        <v>78</v>
      </c>
      <c r="EP37" s="77">
        <f t="shared" si="51"/>
        <v>79</v>
      </c>
      <c r="EQ37" s="77">
        <f t="shared" si="51"/>
        <v>80</v>
      </c>
      <c r="ER37" s="77">
        <f t="shared" si="51"/>
        <v>81</v>
      </c>
      <c r="ES37" s="77">
        <f t="shared" si="51"/>
        <v>82</v>
      </c>
      <c r="ET37" s="77">
        <f t="shared" si="51"/>
        <v>83</v>
      </c>
      <c r="EU37" s="77">
        <f t="shared" si="51"/>
        <v>84</v>
      </c>
      <c r="EV37" s="77">
        <f t="shared" ref="EV37:GX41" si="54">IF(EU37="","",EU37+1)</f>
        <v>85</v>
      </c>
      <c r="EW37" s="77">
        <f t="shared" si="54"/>
        <v>86</v>
      </c>
      <c r="EX37" s="77">
        <f t="shared" si="54"/>
        <v>87</v>
      </c>
      <c r="EY37" s="77">
        <f t="shared" si="54"/>
        <v>88</v>
      </c>
      <c r="EZ37" s="77">
        <f t="shared" si="54"/>
        <v>89</v>
      </c>
      <c r="FA37" s="77">
        <f t="shared" si="54"/>
        <v>90</v>
      </c>
      <c r="FB37" s="77">
        <f t="shared" si="54"/>
        <v>91</v>
      </c>
      <c r="FC37" s="77">
        <f t="shared" si="54"/>
        <v>92</v>
      </c>
      <c r="FD37" s="77">
        <f t="shared" si="54"/>
        <v>93</v>
      </c>
      <c r="FE37" s="77">
        <f t="shared" si="54"/>
        <v>94</v>
      </c>
      <c r="FF37" s="77">
        <f t="shared" si="54"/>
        <v>95</v>
      </c>
      <c r="FG37" s="77">
        <f t="shared" si="54"/>
        <v>96</v>
      </c>
      <c r="FH37" s="77">
        <f t="shared" si="54"/>
        <v>97</v>
      </c>
      <c r="FI37" s="77">
        <f t="shared" si="54"/>
        <v>98</v>
      </c>
      <c r="FJ37" s="77">
        <f t="shared" si="54"/>
        <v>99</v>
      </c>
      <c r="FK37" s="77">
        <f t="shared" si="54"/>
        <v>100</v>
      </c>
      <c r="FL37" s="77">
        <f t="shared" si="54"/>
        <v>101</v>
      </c>
      <c r="FM37" s="77">
        <f t="shared" si="54"/>
        <v>102</v>
      </c>
      <c r="FN37" s="77">
        <f t="shared" si="54"/>
        <v>103</v>
      </c>
      <c r="FO37" s="77">
        <f t="shared" si="54"/>
        <v>104</v>
      </c>
      <c r="FP37" s="77">
        <f t="shared" si="54"/>
        <v>105</v>
      </c>
      <c r="FQ37" s="77">
        <f t="shared" si="54"/>
        <v>106</v>
      </c>
      <c r="FR37" s="77">
        <f t="shared" si="54"/>
        <v>107</v>
      </c>
      <c r="FS37" s="77">
        <f t="shared" si="54"/>
        <v>108</v>
      </c>
      <c r="FT37" s="77">
        <f t="shared" si="54"/>
        <v>109</v>
      </c>
      <c r="FU37" s="77">
        <f t="shared" si="54"/>
        <v>110</v>
      </c>
      <c r="FV37" s="77">
        <f t="shared" si="54"/>
        <v>111</v>
      </c>
      <c r="FW37" s="77">
        <f t="shared" si="54"/>
        <v>112</v>
      </c>
      <c r="FX37" s="77">
        <f t="shared" si="54"/>
        <v>113</v>
      </c>
      <c r="FY37" s="77">
        <f t="shared" si="54"/>
        <v>114</v>
      </c>
      <c r="FZ37" s="77">
        <f t="shared" si="54"/>
        <v>115</v>
      </c>
      <c r="GA37" s="77">
        <f t="shared" si="54"/>
        <v>116</v>
      </c>
      <c r="GB37" s="77">
        <f t="shared" si="54"/>
        <v>117</v>
      </c>
      <c r="GC37" s="77">
        <f t="shared" si="54"/>
        <v>118</v>
      </c>
      <c r="GD37" s="77">
        <f t="shared" si="54"/>
        <v>119</v>
      </c>
      <c r="GE37" s="77">
        <f t="shared" si="54"/>
        <v>120</v>
      </c>
      <c r="GF37" s="77">
        <f t="shared" si="54"/>
        <v>121</v>
      </c>
      <c r="GG37" s="77">
        <f t="shared" si="54"/>
        <v>122</v>
      </c>
      <c r="GH37" s="77">
        <f t="shared" si="54"/>
        <v>123</v>
      </c>
      <c r="GI37" s="77">
        <f t="shared" si="54"/>
        <v>124</v>
      </c>
      <c r="GJ37" s="77">
        <f t="shared" si="54"/>
        <v>125</v>
      </c>
      <c r="GK37" s="77">
        <f t="shared" si="54"/>
        <v>126</v>
      </c>
      <c r="GL37" s="77">
        <f t="shared" si="54"/>
        <v>127</v>
      </c>
      <c r="GM37" s="77">
        <f t="shared" si="54"/>
        <v>128</v>
      </c>
      <c r="GN37" s="77">
        <f t="shared" si="54"/>
        <v>129</v>
      </c>
      <c r="GO37" s="77">
        <f t="shared" si="54"/>
        <v>130</v>
      </c>
      <c r="GP37" s="77">
        <f t="shared" si="54"/>
        <v>131</v>
      </c>
      <c r="GQ37" s="77">
        <f t="shared" si="54"/>
        <v>132</v>
      </c>
      <c r="GR37" s="77">
        <f t="shared" si="54"/>
        <v>133</v>
      </c>
      <c r="GS37" s="77">
        <f t="shared" si="54"/>
        <v>134</v>
      </c>
      <c r="GT37" s="77">
        <f t="shared" si="54"/>
        <v>135</v>
      </c>
      <c r="GU37" s="77">
        <f t="shared" si="54"/>
        <v>136</v>
      </c>
      <c r="GV37" s="77">
        <f t="shared" si="54"/>
        <v>137</v>
      </c>
      <c r="GW37" s="77">
        <f t="shared" si="54"/>
        <v>138</v>
      </c>
      <c r="GX37" s="77">
        <f t="shared" si="54"/>
        <v>139</v>
      </c>
    </row>
    <row r="38" spans="1:206" ht="15" customHeight="1" x14ac:dyDescent="0.2">
      <c r="A38" s="22" t="s">
        <v>68</v>
      </c>
      <c r="B38" s="22">
        <v>2</v>
      </c>
      <c r="C38" s="22" t="s">
        <v>102</v>
      </c>
      <c r="D38" s="22">
        <v>33</v>
      </c>
      <c r="E38" s="22" t="s">
        <v>126</v>
      </c>
      <c r="F38" s="22" t="s">
        <v>127</v>
      </c>
      <c r="G38" s="22" t="s">
        <v>82</v>
      </c>
      <c r="H38" s="22">
        <v>2010</v>
      </c>
      <c r="I38" s="22">
        <v>16</v>
      </c>
      <c r="J38" s="22">
        <v>30.08</v>
      </c>
      <c r="K38" s="22">
        <v>92</v>
      </c>
      <c r="L38" s="22">
        <v>4310</v>
      </c>
      <c r="M38" s="22">
        <v>4218</v>
      </c>
      <c r="N38" s="22" t="s">
        <v>95</v>
      </c>
      <c r="O38" s="22" t="s">
        <v>96</v>
      </c>
      <c r="P38" s="22" t="s">
        <v>75</v>
      </c>
      <c r="Q38" s="108">
        <f>IF(R38="","",'Dashboard Ciclos'!$B$2-R38)</f>
        <v>46238</v>
      </c>
      <c r="R38" s="22">
        <f>IF($E38="","",IFERROR(INDEX($W38:$GX38,MATCH('Dashboard Ciclos'!$B$2,$W$1:$GX$1,0)),""))</f>
        <v>11</v>
      </c>
      <c r="S38" s="22" t="str">
        <f t="shared" si="45"/>
        <v>En ciclo</v>
      </c>
      <c r="T38" s="22" t="str">
        <f t="shared" si="46"/>
        <v>En ciclo</v>
      </c>
      <c r="U38" s="22">
        <f t="shared" si="47"/>
        <v>1</v>
      </c>
      <c r="V38" s="23">
        <f t="shared" si="48"/>
        <v>46250</v>
      </c>
      <c r="W38" s="77">
        <f t="shared" si="49"/>
        <v>6</v>
      </c>
      <c r="X38" s="77">
        <f t="shared" si="49"/>
        <v>7</v>
      </c>
      <c r="Y38" s="77">
        <f t="shared" si="49"/>
        <v>8</v>
      </c>
      <c r="Z38" s="77">
        <f t="shared" si="49"/>
        <v>9</v>
      </c>
      <c r="AA38" s="77">
        <v>10</v>
      </c>
      <c r="AB38" s="77">
        <f t="shared" si="50"/>
        <v>11</v>
      </c>
      <c r="AC38" s="77">
        <f t="shared" si="50"/>
        <v>12</v>
      </c>
      <c r="AD38" s="77">
        <f t="shared" si="50"/>
        <v>13</v>
      </c>
      <c r="AE38" s="77">
        <f t="shared" si="50"/>
        <v>14</v>
      </c>
      <c r="AF38" s="77">
        <f t="shared" si="50"/>
        <v>15</v>
      </c>
      <c r="AG38" s="77">
        <f t="shared" si="50"/>
        <v>16</v>
      </c>
      <c r="AH38" s="77">
        <f t="shared" si="50"/>
        <v>17</v>
      </c>
      <c r="AI38" s="77">
        <f t="shared" si="50"/>
        <v>18</v>
      </c>
      <c r="AJ38" s="77">
        <f t="shared" si="50"/>
        <v>19</v>
      </c>
      <c r="AK38" s="77">
        <f t="shared" si="50"/>
        <v>20</v>
      </c>
      <c r="AL38" s="77">
        <f t="shared" si="50"/>
        <v>21</v>
      </c>
      <c r="AM38" s="77">
        <f t="shared" si="50"/>
        <v>22</v>
      </c>
      <c r="AN38" s="77">
        <f t="shared" si="50"/>
        <v>23</v>
      </c>
      <c r="AO38" s="77">
        <f t="shared" si="50"/>
        <v>24</v>
      </c>
      <c r="AP38" s="77">
        <f t="shared" si="50"/>
        <v>25</v>
      </c>
      <c r="AQ38" s="77">
        <f t="shared" si="50"/>
        <v>26</v>
      </c>
      <c r="AR38" s="77">
        <f t="shared" si="27"/>
        <v>27</v>
      </c>
      <c r="AS38" s="77">
        <f t="shared" si="52"/>
        <v>28</v>
      </c>
      <c r="AT38" s="77">
        <f t="shared" si="52"/>
        <v>29</v>
      </c>
      <c r="AU38" s="77">
        <f t="shared" si="52"/>
        <v>30</v>
      </c>
      <c r="AV38" s="77">
        <f t="shared" si="52"/>
        <v>31</v>
      </c>
      <c r="AW38" s="77">
        <f t="shared" si="52"/>
        <v>32</v>
      </c>
      <c r="AX38" s="77">
        <f t="shared" si="52"/>
        <v>33</v>
      </c>
      <c r="AY38" s="77">
        <f t="shared" si="52"/>
        <v>34</v>
      </c>
      <c r="AZ38" s="77">
        <f t="shared" si="52"/>
        <v>35</v>
      </c>
      <c r="BA38" s="77">
        <f t="shared" si="52"/>
        <v>36</v>
      </c>
      <c r="BB38" s="77">
        <f t="shared" si="52"/>
        <v>37</v>
      </c>
      <c r="BC38" s="77">
        <f t="shared" si="52"/>
        <v>38</v>
      </c>
      <c r="BD38" s="77">
        <f t="shared" si="52"/>
        <v>39</v>
      </c>
      <c r="BE38" s="77">
        <v>0</v>
      </c>
      <c r="BF38" s="77">
        <f t="shared" si="52"/>
        <v>1</v>
      </c>
      <c r="BG38" s="77">
        <f t="shared" si="52"/>
        <v>2</v>
      </c>
      <c r="BH38" s="77">
        <f t="shared" si="52"/>
        <v>3</v>
      </c>
      <c r="BI38" s="77">
        <f t="shared" si="52"/>
        <v>4</v>
      </c>
      <c r="BJ38" s="77">
        <f t="shared" si="52"/>
        <v>5</v>
      </c>
      <c r="BK38" s="77">
        <f t="shared" si="52"/>
        <v>6</v>
      </c>
      <c r="BL38" s="77">
        <f t="shared" si="52"/>
        <v>7</v>
      </c>
      <c r="BM38" s="77">
        <f t="shared" si="52"/>
        <v>8</v>
      </c>
      <c r="BN38" s="77">
        <f t="shared" si="52"/>
        <v>9</v>
      </c>
      <c r="BO38" s="77">
        <f t="shared" si="52"/>
        <v>10</v>
      </c>
      <c r="BP38" s="77">
        <f t="shared" si="52"/>
        <v>11</v>
      </c>
      <c r="BQ38" s="77">
        <f t="shared" si="52"/>
        <v>12</v>
      </c>
      <c r="BR38" s="77">
        <f t="shared" si="52"/>
        <v>13</v>
      </c>
      <c r="BS38" s="77">
        <f t="shared" si="52"/>
        <v>14</v>
      </c>
      <c r="BT38" s="77">
        <f t="shared" si="52"/>
        <v>15</v>
      </c>
      <c r="BU38" s="77">
        <f t="shared" si="52"/>
        <v>16</v>
      </c>
      <c r="BV38" s="77">
        <f t="shared" si="52"/>
        <v>17</v>
      </c>
      <c r="BW38" s="77">
        <f t="shared" si="52"/>
        <v>18</v>
      </c>
      <c r="BX38" s="77">
        <f t="shared" si="52"/>
        <v>19</v>
      </c>
      <c r="BY38" s="77">
        <f t="shared" si="52"/>
        <v>20</v>
      </c>
      <c r="BZ38" s="77">
        <f t="shared" si="52"/>
        <v>21</v>
      </c>
      <c r="CA38" s="77">
        <f t="shared" si="52"/>
        <v>22</v>
      </c>
      <c r="CB38" s="77">
        <f t="shared" si="52"/>
        <v>23</v>
      </c>
      <c r="CC38" s="77">
        <f t="shared" si="52"/>
        <v>24</v>
      </c>
      <c r="CD38" s="77">
        <f t="shared" si="52"/>
        <v>25</v>
      </c>
      <c r="CE38" s="77">
        <f t="shared" si="52"/>
        <v>26</v>
      </c>
      <c r="CF38" s="77">
        <f t="shared" si="52"/>
        <v>27</v>
      </c>
      <c r="CG38" s="77">
        <f t="shared" si="52"/>
        <v>28</v>
      </c>
      <c r="CH38" s="77">
        <f t="shared" si="52"/>
        <v>29</v>
      </c>
      <c r="CI38" s="77">
        <f t="shared" si="52"/>
        <v>30</v>
      </c>
      <c r="CJ38" s="77">
        <f t="shared" si="52"/>
        <v>31</v>
      </c>
      <c r="CK38" s="77">
        <f t="shared" si="51"/>
        <v>32</v>
      </c>
      <c r="CL38" s="77">
        <f t="shared" si="51"/>
        <v>33</v>
      </c>
      <c r="CM38" s="77">
        <f t="shared" si="51"/>
        <v>34</v>
      </c>
      <c r="CN38" s="77">
        <f t="shared" si="51"/>
        <v>35</v>
      </c>
      <c r="CO38" s="77">
        <f t="shared" si="51"/>
        <v>36</v>
      </c>
      <c r="CP38" s="77">
        <f t="shared" si="51"/>
        <v>37</v>
      </c>
      <c r="CQ38" s="77">
        <f t="shared" si="51"/>
        <v>38</v>
      </c>
      <c r="CR38" s="77">
        <f t="shared" si="51"/>
        <v>39</v>
      </c>
      <c r="CS38" s="77">
        <f t="shared" si="51"/>
        <v>40</v>
      </c>
      <c r="CT38" s="77">
        <f t="shared" si="51"/>
        <v>41</v>
      </c>
      <c r="CU38" s="77">
        <f t="shared" si="51"/>
        <v>42</v>
      </c>
      <c r="CV38" s="77">
        <f t="shared" si="51"/>
        <v>43</v>
      </c>
      <c r="CW38" s="77">
        <f t="shared" si="51"/>
        <v>44</v>
      </c>
      <c r="CX38" s="77">
        <f t="shared" si="51"/>
        <v>45</v>
      </c>
      <c r="CY38" s="77">
        <f t="shared" si="51"/>
        <v>46</v>
      </c>
      <c r="CZ38" s="77">
        <f t="shared" si="51"/>
        <v>47</v>
      </c>
      <c r="DA38" s="77">
        <f t="shared" si="51"/>
        <v>48</v>
      </c>
      <c r="DB38" s="77">
        <f t="shared" si="51"/>
        <v>49</v>
      </c>
      <c r="DC38" s="77">
        <f t="shared" si="51"/>
        <v>50</v>
      </c>
      <c r="DD38" s="77">
        <f t="shared" si="51"/>
        <v>51</v>
      </c>
      <c r="DE38" s="77">
        <f t="shared" si="51"/>
        <v>52</v>
      </c>
      <c r="DF38" s="77">
        <f t="shared" si="51"/>
        <v>53</v>
      </c>
      <c r="DG38" s="77">
        <f t="shared" si="51"/>
        <v>54</v>
      </c>
      <c r="DH38" s="77">
        <f t="shared" si="51"/>
        <v>55</v>
      </c>
      <c r="DI38" s="77">
        <f t="shared" si="51"/>
        <v>56</v>
      </c>
      <c r="DJ38" s="77">
        <f t="shared" si="51"/>
        <v>57</v>
      </c>
      <c r="DK38" s="77">
        <f t="shared" si="51"/>
        <v>58</v>
      </c>
      <c r="DL38" s="77">
        <f t="shared" si="51"/>
        <v>59</v>
      </c>
      <c r="DM38" s="77">
        <f t="shared" si="51"/>
        <v>60</v>
      </c>
      <c r="DN38" s="77">
        <f t="shared" si="51"/>
        <v>61</v>
      </c>
      <c r="DO38" s="77">
        <f t="shared" si="51"/>
        <v>62</v>
      </c>
      <c r="DP38" s="77">
        <f t="shared" si="51"/>
        <v>63</v>
      </c>
      <c r="DQ38" s="77">
        <f t="shared" si="51"/>
        <v>64</v>
      </c>
      <c r="DR38" s="77">
        <f t="shared" si="51"/>
        <v>65</v>
      </c>
      <c r="DS38" s="77">
        <f t="shared" si="51"/>
        <v>66</v>
      </c>
      <c r="DT38" s="77">
        <f t="shared" si="51"/>
        <v>67</v>
      </c>
      <c r="DU38" s="77">
        <f t="shared" si="51"/>
        <v>68</v>
      </c>
      <c r="DV38" s="77">
        <f t="shared" si="51"/>
        <v>69</v>
      </c>
      <c r="DW38" s="77">
        <f t="shared" si="51"/>
        <v>70</v>
      </c>
      <c r="DX38" s="77">
        <f t="shared" si="51"/>
        <v>71</v>
      </c>
      <c r="DY38" s="77">
        <f t="shared" si="51"/>
        <v>72</v>
      </c>
      <c r="DZ38" s="77">
        <f t="shared" si="51"/>
        <v>73</v>
      </c>
      <c r="EA38" s="77">
        <f t="shared" si="51"/>
        <v>74</v>
      </c>
      <c r="EB38" s="77">
        <f t="shared" si="51"/>
        <v>75</v>
      </c>
      <c r="EC38" s="77">
        <f t="shared" si="51"/>
        <v>76</v>
      </c>
      <c r="ED38" s="77">
        <f t="shared" si="51"/>
        <v>77</v>
      </c>
      <c r="EE38" s="77">
        <f t="shared" si="51"/>
        <v>78</v>
      </c>
      <c r="EF38" s="77">
        <f t="shared" si="51"/>
        <v>79</v>
      </c>
      <c r="EG38" s="77">
        <f t="shared" si="51"/>
        <v>80</v>
      </c>
      <c r="EH38" s="77">
        <f t="shared" si="51"/>
        <v>81</v>
      </c>
      <c r="EI38" s="77">
        <f t="shared" si="51"/>
        <v>82</v>
      </c>
      <c r="EJ38" s="77">
        <f t="shared" si="51"/>
        <v>83</v>
      </c>
      <c r="EK38" s="77">
        <f t="shared" si="51"/>
        <v>84</v>
      </c>
      <c r="EL38" s="77">
        <f t="shared" si="51"/>
        <v>85</v>
      </c>
      <c r="EM38" s="77">
        <f t="shared" si="51"/>
        <v>86</v>
      </c>
      <c r="EN38" s="77">
        <f t="shared" si="51"/>
        <v>87</v>
      </c>
      <c r="EO38" s="77">
        <f t="shared" si="51"/>
        <v>88</v>
      </c>
      <c r="EP38" s="77">
        <f t="shared" si="51"/>
        <v>89</v>
      </c>
      <c r="EQ38" s="77">
        <f t="shared" si="51"/>
        <v>90</v>
      </c>
      <c r="ER38" s="77">
        <f t="shared" si="51"/>
        <v>91</v>
      </c>
      <c r="ES38" s="77">
        <f t="shared" si="51"/>
        <v>92</v>
      </c>
      <c r="ET38" s="77">
        <f t="shared" si="51"/>
        <v>93</v>
      </c>
      <c r="EU38" s="77">
        <f t="shared" si="51"/>
        <v>94</v>
      </c>
      <c r="EV38" s="77">
        <f t="shared" si="54"/>
        <v>95</v>
      </c>
      <c r="EW38" s="77">
        <f t="shared" si="54"/>
        <v>96</v>
      </c>
      <c r="EX38" s="77">
        <f t="shared" si="54"/>
        <v>97</v>
      </c>
      <c r="EY38" s="77">
        <f t="shared" si="54"/>
        <v>98</v>
      </c>
      <c r="EZ38" s="77">
        <f t="shared" si="54"/>
        <v>99</v>
      </c>
      <c r="FA38" s="77">
        <f t="shared" si="54"/>
        <v>100</v>
      </c>
      <c r="FB38" s="77">
        <f t="shared" si="54"/>
        <v>101</v>
      </c>
      <c r="FC38" s="77">
        <f t="shared" si="54"/>
        <v>102</v>
      </c>
      <c r="FD38" s="77">
        <f t="shared" si="54"/>
        <v>103</v>
      </c>
      <c r="FE38" s="77">
        <f t="shared" si="54"/>
        <v>104</v>
      </c>
      <c r="FF38" s="77">
        <f t="shared" si="54"/>
        <v>105</v>
      </c>
      <c r="FG38" s="77">
        <f t="shared" si="54"/>
        <v>106</v>
      </c>
      <c r="FH38" s="77">
        <f t="shared" si="54"/>
        <v>107</v>
      </c>
      <c r="FI38" s="77">
        <f t="shared" si="54"/>
        <v>108</v>
      </c>
      <c r="FJ38" s="77">
        <f t="shared" si="54"/>
        <v>109</v>
      </c>
      <c r="FK38" s="77">
        <f t="shared" si="54"/>
        <v>110</v>
      </c>
      <c r="FL38" s="77">
        <f t="shared" si="54"/>
        <v>111</v>
      </c>
      <c r="FM38" s="77">
        <f t="shared" si="54"/>
        <v>112</v>
      </c>
      <c r="FN38" s="77">
        <f t="shared" si="54"/>
        <v>113</v>
      </c>
      <c r="FO38" s="77">
        <f t="shared" si="54"/>
        <v>114</v>
      </c>
      <c r="FP38" s="77">
        <f t="shared" si="54"/>
        <v>115</v>
      </c>
      <c r="FQ38" s="77">
        <f t="shared" si="54"/>
        <v>116</v>
      </c>
      <c r="FR38" s="77">
        <f t="shared" si="54"/>
        <v>117</v>
      </c>
      <c r="FS38" s="77">
        <f t="shared" si="54"/>
        <v>118</v>
      </c>
      <c r="FT38" s="77">
        <f t="shared" si="54"/>
        <v>119</v>
      </c>
      <c r="FU38" s="77">
        <f t="shared" si="54"/>
        <v>120</v>
      </c>
      <c r="FV38" s="77">
        <f t="shared" si="54"/>
        <v>121</v>
      </c>
      <c r="FW38" s="77">
        <f t="shared" si="54"/>
        <v>122</v>
      </c>
      <c r="FX38" s="77">
        <f t="shared" si="54"/>
        <v>123</v>
      </c>
      <c r="FY38" s="77">
        <f t="shared" si="54"/>
        <v>124</v>
      </c>
      <c r="FZ38" s="77">
        <f t="shared" si="54"/>
        <v>125</v>
      </c>
      <c r="GA38" s="77">
        <f t="shared" si="54"/>
        <v>126</v>
      </c>
      <c r="GB38" s="77">
        <f t="shared" si="54"/>
        <v>127</v>
      </c>
      <c r="GC38" s="77">
        <f t="shared" si="54"/>
        <v>128</v>
      </c>
      <c r="GD38" s="77">
        <f t="shared" si="54"/>
        <v>129</v>
      </c>
      <c r="GE38" s="77">
        <f t="shared" si="54"/>
        <v>130</v>
      </c>
      <c r="GF38" s="77">
        <f t="shared" si="54"/>
        <v>131</v>
      </c>
      <c r="GG38" s="77">
        <f t="shared" si="54"/>
        <v>132</v>
      </c>
      <c r="GH38" s="77">
        <f t="shared" si="54"/>
        <v>133</v>
      </c>
      <c r="GI38" s="77">
        <f t="shared" si="54"/>
        <v>134</v>
      </c>
      <c r="GJ38" s="77">
        <f t="shared" si="54"/>
        <v>135</v>
      </c>
      <c r="GK38" s="77">
        <f t="shared" si="54"/>
        <v>136</v>
      </c>
      <c r="GL38" s="77">
        <f t="shared" si="54"/>
        <v>137</v>
      </c>
      <c r="GM38" s="77">
        <f t="shared" si="54"/>
        <v>138</v>
      </c>
      <c r="GN38" s="77">
        <f t="shared" si="54"/>
        <v>139</v>
      </c>
      <c r="GO38" s="77">
        <f t="shared" si="54"/>
        <v>140</v>
      </c>
      <c r="GP38" s="77">
        <f t="shared" si="54"/>
        <v>141</v>
      </c>
      <c r="GQ38" s="77">
        <f t="shared" si="54"/>
        <v>142</v>
      </c>
      <c r="GR38" s="77">
        <f t="shared" si="54"/>
        <v>143</v>
      </c>
      <c r="GS38" s="77">
        <f t="shared" si="54"/>
        <v>144</v>
      </c>
      <c r="GT38" s="77">
        <f t="shared" si="54"/>
        <v>145</v>
      </c>
      <c r="GU38" s="77">
        <f t="shared" si="54"/>
        <v>146</v>
      </c>
      <c r="GV38" s="77">
        <f t="shared" si="54"/>
        <v>147</v>
      </c>
      <c r="GW38" s="77">
        <f t="shared" si="54"/>
        <v>148</v>
      </c>
      <c r="GX38" s="77">
        <f t="shared" si="54"/>
        <v>149</v>
      </c>
    </row>
    <row r="39" spans="1:206" ht="15" customHeight="1" x14ac:dyDescent="0.2">
      <c r="A39" s="22" t="s">
        <v>68</v>
      </c>
      <c r="B39" s="22">
        <v>2</v>
      </c>
      <c r="C39" s="22" t="s">
        <v>102</v>
      </c>
      <c r="D39" s="22" t="s">
        <v>128</v>
      </c>
      <c r="E39" s="22" t="s">
        <v>129</v>
      </c>
      <c r="F39" s="22" t="s">
        <v>127</v>
      </c>
      <c r="G39" s="22" t="s">
        <v>82</v>
      </c>
      <c r="H39" s="22">
        <v>2010</v>
      </c>
      <c r="I39" s="22">
        <v>16</v>
      </c>
      <c r="J39" s="22">
        <v>12.97</v>
      </c>
      <c r="K39" s="22">
        <v>126</v>
      </c>
      <c r="L39" s="22">
        <v>1813</v>
      </c>
      <c r="M39" s="22">
        <v>1687</v>
      </c>
      <c r="N39" s="22" t="s">
        <v>95</v>
      </c>
      <c r="O39" s="22" t="s">
        <v>96</v>
      </c>
      <c r="P39" s="22" t="s">
        <v>75</v>
      </c>
      <c r="Q39" s="108">
        <f>IF(R39="","",'Dashboard Ciclos'!$B$2-R39)</f>
        <v>46240</v>
      </c>
      <c r="R39" s="22">
        <f>IF($E39="","",IFERROR(INDEX($W39:$GX39,MATCH('Dashboard Ciclos'!$B$2,$W$1:$GX$1,0)),""))</f>
        <v>9</v>
      </c>
      <c r="S39" s="22" t="str">
        <f t="shared" si="45"/>
        <v>En ciclo</v>
      </c>
      <c r="T39" s="22" t="str">
        <f t="shared" si="46"/>
        <v>En ciclo</v>
      </c>
      <c r="U39" s="22">
        <f t="shared" si="47"/>
        <v>3</v>
      </c>
      <c r="V39" s="23">
        <f t="shared" si="48"/>
        <v>46252</v>
      </c>
      <c r="W39" s="77">
        <f t="shared" si="49"/>
        <v>6</v>
      </c>
      <c r="X39" s="77">
        <f t="shared" si="49"/>
        <v>7</v>
      </c>
      <c r="Y39" s="77">
        <f t="shared" si="49"/>
        <v>8</v>
      </c>
      <c r="Z39" s="77">
        <f t="shared" si="49"/>
        <v>9</v>
      </c>
      <c r="AA39" s="77">
        <v>10</v>
      </c>
      <c r="AB39" s="77">
        <f t="shared" si="50"/>
        <v>11</v>
      </c>
      <c r="AC39" s="77">
        <f t="shared" si="50"/>
        <v>12</v>
      </c>
      <c r="AD39" s="77">
        <f t="shared" si="50"/>
        <v>13</v>
      </c>
      <c r="AE39" s="77">
        <f t="shared" si="50"/>
        <v>14</v>
      </c>
      <c r="AF39" s="77">
        <f t="shared" si="50"/>
        <v>15</v>
      </c>
      <c r="AG39" s="77">
        <f t="shared" si="50"/>
        <v>16</v>
      </c>
      <c r="AH39" s="77">
        <f t="shared" si="50"/>
        <v>17</v>
      </c>
      <c r="AI39" s="77">
        <f t="shared" si="50"/>
        <v>18</v>
      </c>
      <c r="AJ39" s="77">
        <f t="shared" si="50"/>
        <v>19</v>
      </c>
      <c r="AK39" s="77">
        <f t="shared" si="50"/>
        <v>20</v>
      </c>
      <c r="AL39" s="77">
        <f t="shared" si="50"/>
        <v>21</v>
      </c>
      <c r="AM39" s="77">
        <f t="shared" si="50"/>
        <v>22</v>
      </c>
      <c r="AN39" s="77">
        <f t="shared" si="50"/>
        <v>23</v>
      </c>
      <c r="AO39" s="77">
        <f t="shared" si="50"/>
        <v>24</v>
      </c>
      <c r="AP39" s="77">
        <f t="shared" si="50"/>
        <v>25</v>
      </c>
      <c r="AQ39" s="77">
        <f t="shared" si="50"/>
        <v>26</v>
      </c>
      <c r="AR39" s="77">
        <f t="shared" si="27"/>
        <v>27</v>
      </c>
      <c r="AS39" s="77">
        <f t="shared" si="52"/>
        <v>28</v>
      </c>
      <c r="AT39" s="77">
        <f t="shared" si="52"/>
        <v>29</v>
      </c>
      <c r="AU39" s="77">
        <f t="shared" si="52"/>
        <v>30</v>
      </c>
      <c r="AV39" s="77">
        <f t="shared" si="52"/>
        <v>31</v>
      </c>
      <c r="AW39" s="77">
        <f t="shared" si="52"/>
        <v>32</v>
      </c>
      <c r="AX39" s="77">
        <f t="shared" si="52"/>
        <v>33</v>
      </c>
      <c r="AY39" s="77">
        <f t="shared" si="52"/>
        <v>34</v>
      </c>
      <c r="AZ39" s="77">
        <f t="shared" si="52"/>
        <v>35</v>
      </c>
      <c r="BA39" s="77">
        <f t="shared" si="52"/>
        <v>36</v>
      </c>
      <c r="BB39" s="77">
        <f t="shared" si="52"/>
        <v>37</v>
      </c>
      <c r="BC39" s="77">
        <f t="shared" si="52"/>
        <v>38</v>
      </c>
      <c r="BD39" s="77">
        <f t="shared" si="52"/>
        <v>39</v>
      </c>
      <c r="BE39" s="77">
        <f t="shared" si="52"/>
        <v>40</v>
      </c>
      <c r="BF39" s="77">
        <f t="shared" si="52"/>
        <v>41</v>
      </c>
      <c r="BG39" s="77">
        <v>0</v>
      </c>
      <c r="BH39" s="77">
        <f t="shared" si="52"/>
        <v>1</v>
      </c>
      <c r="BI39" s="77">
        <f t="shared" si="52"/>
        <v>2</v>
      </c>
      <c r="BJ39" s="77">
        <f t="shared" si="52"/>
        <v>3</v>
      </c>
      <c r="BK39" s="77">
        <f t="shared" si="52"/>
        <v>4</v>
      </c>
      <c r="BL39" s="77">
        <f t="shared" si="52"/>
        <v>5</v>
      </c>
      <c r="BM39" s="77">
        <f t="shared" si="52"/>
        <v>6</v>
      </c>
      <c r="BN39" s="77">
        <f t="shared" si="52"/>
        <v>7</v>
      </c>
      <c r="BO39" s="77">
        <f t="shared" si="52"/>
        <v>8</v>
      </c>
      <c r="BP39" s="77">
        <f t="shared" si="52"/>
        <v>9</v>
      </c>
      <c r="BQ39" s="77">
        <f t="shared" si="52"/>
        <v>10</v>
      </c>
      <c r="BR39" s="77">
        <f t="shared" si="52"/>
        <v>11</v>
      </c>
      <c r="BS39" s="77">
        <f t="shared" si="52"/>
        <v>12</v>
      </c>
      <c r="BT39" s="77">
        <f t="shared" si="52"/>
        <v>13</v>
      </c>
      <c r="BU39" s="77">
        <f t="shared" si="52"/>
        <v>14</v>
      </c>
      <c r="BV39" s="77">
        <f t="shared" si="52"/>
        <v>15</v>
      </c>
      <c r="BW39" s="77">
        <f t="shared" si="52"/>
        <v>16</v>
      </c>
      <c r="BX39" s="77">
        <f t="shared" si="52"/>
        <v>17</v>
      </c>
      <c r="BY39" s="77">
        <f t="shared" si="52"/>
        <v>18</v>
      </c>
      <c r="BZ39" s="77">
        <f t="shared" si="52"/>
        <v>19</v>
      </c>
      <c r="CA39" s="77">
        <f t="shared" si="52"/>
        <v>20</v>
      </c>
      <c r="CB39" s="77">
        <f t="shared" si="52"/>
        <v>21</v>
      </c>
      <c r="CC39" s="77">
        <f t="shared" si="52"/>
        <v>22</v>
      </c>
      <c r="CD39" s="77">
        <f t="shared" si="52"/>
        <v>23</v>
      </c>
      <c r="CE39" s="77">
        <f t="shared" si="52"/>
        <v>24</v>
      </c>
      <c r="CF39" s="77">
        <f t="shared" si="52"/>
        <v>25</v>
      </c>
      <c r="CG39" s="77">
        <f t="shared" si="52"/>
        <v>26</v>
      </c>
      <c r="CH39" s="77">
        <f t="shared" si="52"/>
        <v>27</v>
      </c>
      <c r="CI39" s="77">
        <f t="shared" si="52"/>
        <v>28</v>
      </c>
      <c r="CJ39" s="77">
        <f t="shared" ref="CJ39:EU42" si="55">IF(CI39="","",CI39+1)</f>
        <v>29</v>
      </c>
      <c r="CK39" s="77">
        <f t="shared" si="55"/>
        <v>30</v>
      </c>
      <c r="CL39" s="77">
        <f t="shared" si="55"/>
        <v>31</v>
      </c>
      <c r="CM39" s="77">
        <f t="shared" si="55"/>
        <v>32</v>
      </c>
      <c r="CN39" s="77">
        <f t="shared" si="55"/>
        <v>33</v>
      </c>
      <c r="CO39" s="77">
        <f t="shared" si="55"/>
        <v>34</v>
      </c>
      <c r="CP39" s="77">
        <f t="shared" si="55"/>
        <v>35</v>
      </c>
      <c r="CQ39" s="77">
        <f t="shared" si="55"/>
        <v>36</v>
      </c>
      <c r="CR39" s="77">
        <f t="shared" si="55"/>
        <v>37</v>
      </c>
      <c r="CS39" s="77">
        <f t="shared" si="55"/>
        <v>38</v>
      </c>
      <c r="CT39" s="77">
        <f t="shared" si="55"/>
        <v>39</v>
      </c>
      <c r="CU39" s="77">
        <f t="shared" si="55"/>
        <v>40</v>
      </c>
      <c r="CV39" s="77">
        <f t="shared" si="55"/>
        <v>41</v>
      </c>
      <c r="CW39" s="77">
        <f t="shared" si="55"/>
        <v>42</v>
      </c>
      <c r="CX39" s="77">
        <f t="shared" si="55"/>
        <v>43</v>
      </c>
      <c r="CY39" s="77">
        <f t="shared" si="55"/>
        <v>44</v>
      </c>
      <c r="CZ39" s="77">
        <f t="shared" si="55"/>
        <v>45</v>
      </c>
      <c r="DA39" s="77">
        <f t="shared" si="55"/>
        <v>46</v>
      </c>
      <c r="DB39" s="77">
        <f t="shared" si="55"/>
        <v>47</v>
      </c>
      <c r="DC39" s="77">
        <f t="shared" si="55"/>
        <v>48</v>
      </c>
      <c r="DD39" s="77">
        <f t="shared" si="55"/>
        <v>49</v>
      </c>
      <c r="DE39" s="77">
        <f t="shared" si="55"/>
        <v>50</v>
      </c>
      <c r="DF39" s="77">
        <f t="shared" si="55"/>
        <v>51</v>
      </c>
      <c r="DG39" s="77">
        <f t="shared" si="55"/>
        <v>52</v>
      </c>
      <c r="DH39" s="77">
        <f t="shared" si="55"/>
        <v>53</v>
      </c>
      <c r="DI39" s="77">
        <f t="shared" si="55"/>
        <v>54</v>
      </c>
      <c r="DJ39" s="77">
        <f t="shared" si="55"/>
        <v>55</v>
      </c>
      <c r="DK39" s="77">
        <f t="shared" si="55"/>
        <v>56</v>
      </c>
      <c r="DL39" s="77">
        <f t="shared" si="55"/>
        <v>57</v>
      </c>
      <c r="DM39" s="77">
        <f t="shared" si="55"/>
        <v>58</v>
      </c>
      <c r="DN39" s="77">
        <f t="shared" si="55"/>
        <v>59</v>
      </c>
      <c r="DO39" s="77">
        <f t="shared" si="55"/>
        <v>60</v>
      </c>
      <c r="DP39" s="77">
        <f t="shared" si="55"/>
        <v>61</v>
      </c>
      <c r="DQ39" s="77">
        <f t="shared" si="55"/>
        <v>62</v>
      </c>
      <c r="DR39" s="77">
        <f t="shared" si="55"/>
        <v>63</v>
      </c>
      <c r="DS39" s="77">
        <f t="shared" si="55"/>
        <v>64</v>
      </c>
      <c r="DT39" s="77">
        <f t="shared" si="55"/>
        <v>65</v>
      </c>
      <c r="DU39" s="77">
        <f t="shared" si="55"/>
        <v>66</v>
      </c>
      <c r="DV39" s="77">
        <f t="shared" si="55"/>
        <v>67</v>
      </c>
      <c r="DW39" s="77">
        <f t="shared" si="55"/>
        <v>68</v>
      </c>
      <c r="DX39" s="77">
        <f t="shared" si="55"/>
        <v>69</v>
      </c>
      <c r="DY39" s="77">
        <f t="shared" si="55"/>
        <v>70</v>
      </c>
      <c r="DZ39" s="77">
        <f t="shared" si="55"/>
        <v>71</v>
      </c>
      <c r="EA39" s="77">
        <f t="shared" si="55"/>
        <v>72</v>
      </c>
      <c r="EB39" s="77">
        <f t="shared" si="55"/>
        <v>73</v>
      </c>
      <c r="EC39" s="77">
        <f t="shared" si="55"/>
        <v>74</v>
      </c>
      <c r="ED39" s="77">
        <f t="shared" si="55"/>
        <v>75</v>
      </c>
      <c r="EE39" s="77">
        <f t="shared" si="55"/>
        <v>76</v>
      </c>
      <c r="EF39" s="77">
        <f t="shared" si="55"/>
        <v>77</v>
      </c>
      <c r="EG39" s="77">
        <f t="shared" si="55"/>
        <v>78</v>
      </c>
      <c r="EH39" s="77">
        <f t="shared" si="55"/>
        <v>79</v>
      </c>
      <c r="EI39" s="77">
        <f t="shared" si="55"/>
        <v>80</v>
      </c>
      <c r="EJ39" s="77">
        <f t="shared" si="55"/>
        <v>81</v>
      </c>
      <c r="EK39" s="77">
        <f t="shared" si="55"/>
        <v>82</v>
      </c>
      <c r="EL39" s="77">
        <f t="shared" si="55"/>
        <v>83</v>
      </c>
      <c r="EM39" s="77">
        <f t="shared" si="55"/>
        <v>84</v>
      </c>
      <c r="EN39" s="77">
        <f t="shared" si="55"/>
        <v>85</v>
      </c>
      <c r="EO39" s="77">
        <f t="shared" si="55"/>
        <v>86</v>
      </c>
      <c r="EP39" s="77">
        <f t="shared" si="55"/>
        <v>87</v>
      </c>
      <c r="EQ39" s="77">
        <f t="shared" si="55"/>
        <v>88</v>
      </c>
      <c r="ER39" s="77">
        <f t="shared" si="55"/>
        <v>89</v>
      </c>
      <c r="ES39" s="77">
        <f t="shared" si="55"/>
        <v>90</v>
      </c>
      <c r="ET39" s="77">
        <f t="shared" si="55"/>
        <v>91</v>
      </c>
      <c r="EU39" s="77">
        <f t="shared" si="55"/>
        <v>92</v>
      </c>
      <c r="EV39" s="77">
        <f t="shared" si="54"/>
        <v>93</v>
      </c>
      <c r="EW39" s="77">
        <f t="shared" si="54"/>
        <v>94</v>
      </c>
      <c r="EX39" s="77">
        <f t="shared" si="54"/>
        <v>95</v>
      </c>
      <c r="EY39" s="77">
        <f t="shared" si="54"/>
        <v>96</v>
      </c>
      <c r="EZ39" s="77">
        <f t="shared" si="54"/>
        <v>97</v>
      </c>
      <c r="FA39" s="77">
        <f t="shared" si="54"/>
        <v>98</v>
      </c>
      <c r="FB39" s="77">
        <f t="shared" si="54"/>
        <v>99</v>
      </c>
      <c r="FC39" s="77">
        <f t="shared" si="54"/>
        <v>100</v>
      </c>
      <c r="FD39" s="77">
        <f t="shared" si="54"/>
        <v>101</v>
      </c>
      <c r="FE39" s="77">
        <f t="shared" si="54"/>
        <v>102</v>
      </c>
      <c r="FF39" s="77">
        <f t="shared" si="54"/>
        <v>103</v>
      </c>
      <c r="FG39" s="77">
        <f t="shared" si="54"/>
        <v>104</v>
      </c>
      <c r="FH39" s="77">
        <f t="shared" si="54"/>
        <v>105</v>
      </c>
      <c r="FI39" s="77">
        <f t="shared" si="54"/>
        <v>106</v>
      </c>
      <c r="FJ39" s="77">
        <f t="shared" si="54"/>
        <v>107</v>
      </c>
      <c r="FK39" s="77">
        <f t="shared" si="54"/>
        <v>108</v>
      </c>
      <c r="FL39" s="77">
        <f t="shared" si="54"/>
        <v>109</v>
      </c>
      <c r="FM39" s="77">
        <f t="shared" si="54"/>
        <v>110</v>
      </c>
      <c r="FN39" s="77">
        <f t="shared" si="54"/>
        <v>111</v>
      </c>
      <c r="FO39" s="77">
        <f t="shared" si="54"/>
        <v>112</v>
      </c>
      <c r="FP39" s="77">
        <f t="shared" si="54"/>
        <v>113</v>
      </c>
      <c r="FQ39" s="77">
        <f t="shared" si="54"/>
        <v>114</v>
      </c>
      <c r="FR39" s="77">
        <f t="shared" si="54"/>
        <v>115</v>
      </c>
      <c r="FS39" s="77">
        <f t="shared" si="54"/>
        <v>116</v>
      </c>
      <c r="FT39" s="77">
        <f t="shared" si="54"/>
        <v>117</v>
      </c>
      <c r="FU39" s="77">
        <f t="shared" si="54"/>
        <v>118</v>
      </c>
      <c r="FV39" s="77">
        <f t="shared" si="54"/>
        <v>119</v>
      </c>
      <c r="FW39" s="77">
        <f t="shared" si="54"/>
        <v>120</v>
      </c>
      <c r="FX39" s="77">
        <f t="shared" si="54"/>
        <v>121</v>
      </c>
      <c r="FY39" s="77">
        <f t="shared" si="54"/>
        <v>122</v>
      </c>
      <c r="FZ39" s="77">
        <f t="shared" si="54"/>
        <v>123</v>
      </c>
      <c r="GA39" s="77">
        <f t="shared" si="54"/>
        <v>124</v>
      </c>
      <c r="GB39" s="77">
        <f t="shared" si="54"/>
        <v>125</v>
      </c>
      <c r="GC39" s="77">
        <f t="shared" si="54"/>
        <v>126</v>
      </c>
      <c r="GD39" s="77">
        <f t="shared" si="54"/>
        <v>127</v>
      </c>
      <c r="GE39" s="77">
        <f t="shared" si="54"/>
        <v>128</v>
      </c>
      <c r="GF39" s="77">
        <f t="shared" si="54"/>
        <v>129</v>
      </c>
      <c r="GG39" s="77">
        <f t="shared" si="54"/>
        <v>130</v>
      </c>
      <c r="GH39" s="77">
        <f t="shared" si="54"/>
        <v>131</v>
      </c>
      <c r="GI39" s="77">
        <f t="shared" si="54"/>
        <v>132</v>
      </c>
      <c r="GJ39" s="77">
        <f t="shared" si="54"/>
        <v>133</v>
      </c>
      <c r="GK39" s="77">
        <f t="shared" si="54"/>
        <v>134</v>
      </c>
      <c r="GL39" s="77">
        <f t="shared" si="54"/>
        <v>135</v>
      </c>
      <c r="GM39" s="77">
        <f t="shared" si="54"/>
        <v>136</v>
      </c>
      <c r="GN39" s="77">
        <f t="shared" si="54"/>
        <v>137</v>
      </c>
      <c r="GO39" s="77">
        <f t="shared" si="54"/>
        <v>138</v>
      </c>
      <c r="GP39" s="77">
        <f t="shared" si="54"/>
        <v>139</v>
      </c>
      <c r="GQ39" s="77">
        <f t="shared" si="54"/>
        <v>140</v>
      </c>
      <c r="GR39" s="77">
        <f t="shared" si="54"/>
        <v>141</v>
      </c>
      <c r="GS39" s="77">
        <f t="shared" si="54"/>
        <v>142</v>
      </c>
      <c r="GT39" s="77">
        <f t="shared" si="54"/>
        <v>143</v>
      </c>
      <c r="GU39" s="77">
        <f t="shared" si="54"/>
        <v>144</v>
      </c>
      <c r="GV39" s="77">
        <f t="shared" si="54"/>
        <v>145</v>
      </c>
      <c r="GW39" s="77">
        <f t="shared" si="54"/>
        <v>146</v>
      </c>
      <c r="GX39" s="77">
        <f t="shared" si="54"/>
        <v>147</v>
      </c>
    </row>
    <row r="40" spans="1:206" ht="15" customHeight="1" x14ac:dyDescent="0.2">
      <c r="A40" s="22" t="s">
        <v>68</v>
      </c>
      <c r="B40" s="22">
        <v>2</v>
      </c>
      <c r="C40" s="22" t="s">
        <v>102</v>
      </c>
      <c r="D40" s="22">
        <v>34</v>
      </c>
      <c r="E40" s="22" t="s">
        <v>130</v>
      </c>
      <c r="F40" s="22" t="s">
        <v>81</v>
      </c>
      <c r="G40" s="22" t="s">
        <v>82</v>
      </c>
      <c r="H40" s="22">
        <v>2010</v>
      </c>
      <c r="I40" s="22">
        <v>16</v>
      </c>
      <c r="J40" s="22">
        <v>25.38</v>
      </c>
      <c r="K40" s="22">
        <v>187</v>
      </c>
      <c r="L40" s="22">
        <v>3587</v>
      </c>
      <c r="M40" s="22">
        <v>3400</v>
      </c>
      <c r="N40" s="22" t="s">
        <v>95</v>
      </c>
      <c r="O40" s="22" t="s">
        <v>96</v>
      </c>
      <c r="P40" s="22" t="s">
        <v>75</v>
      </c>
      <c r="Q40" s="108">
        <f>IF(R40="","",'Dashboard Ciclos'!$B$2-R40)</f>
        <v>46238</v>
      </c>
      <c r="R40" s="22">
        <f>IF($E40="","",IFERROR(INDEX($W40:$GX40,MATCH('Dashboard Ciclos'!$B$2,$W$1:$GX$1,0)),""))</f>
        <v>11</v>
      </c>
      <c r="S40" s="22" t="str">
        <f t="shared" si="45"/>
        <v>En ciclo</v>
      </c>
      <c r="T40" s="22" t="str">
        <f t="shared" si="46"/>
        <v>En ciclo</v>
      </c>
      <c r="U40" s="22">
        <f t="shared" si="47"/>
        <v>1</v>
      </c>
      <c r="V40" s="23">
        <f t="shared" si="48"/>
        <v>46250</v>
      </c>
      <c r="W40" s="77">
        <f t="shared" si="49"/>
        <v>6</v>
      </c>
      <c r="X40" s="77">
        <f t="shared" si="49"/>
        <v>7</v>
      </c>
      <c r="Y40" s="77">
        <f t="shared" si="49"/>
        <v>8</v>
      </c>
      <c r="Z40" s="77">
        <f t="shared" si="49"/>
        <v>9</v>
      </c>
      <c r="AA40" s="77">
        <v>10</v>
      </c>
      <c r="AB40" s="77">
        <f t="shared" si="50"/>
        <v>11</v>
      </c>
      <c r="AC40" s="77">
        <f t="shared" si="50"/>
        <v>12</v>
      </c>
      <c r="AD40" s="77">
        <f t="shared" si="50"/>
        <v>13</v>
      </c>
      <c r="AE40" s="77">
        <f t="shared" si="50"/>
        <v>14</v>
      </c>
      <c r="AF40" s="77">
        <f t="shared" si="50"/>
        <v>15</v>
      </c>
      <c r="AG40" s="77">
        <f t="shared" si="50"/>
        <v>16</v>
      </c>
      <c r="AH40" s="77">
        <f t="shared" si="50"/>
        <v>17</v>
      </c>
      <c r="AI40" s="77">
        <f t="shared" si="50"/>
        <v>18</v>
      </c>
      <c r="AJ40" s="77">
        <f t="shared" si="50"/>
        <v>19</v>
      </c>
      <c r="AK40" s="77">
        <f t="shared" si="50"/>
        <v>20</v>
      </c>
      <c r="AL40" s="77">
        <f t="shared" si="50"/>
        <v>21</v>
      </c>
      <c r="AM40" s="77">
        <f t="shared" si="50"/>
        <v>22</v>
      </c>
      <c r="AN40" s="77">
        <f t="shared" si="50"/>
        <v>23</v>
      </c>
      <c r="AO40" s="77">
        <f t="shared" si="50"/>
        <v>24</v>
      </c>
      <c r="AP40" s="77">
        <f t="shared" si="50"/>
        <v>25</v>
      </c>
      <c r="AQ40" s="77">
        <f t="shared" si="50"/>
        <v>26</v>
      </c>
      <c r="AR40" s="77">
        <f t="shared" si="27"/>
        <v>27</v>
      </c>
      <c r="AS40" s="77">
        <f t="shared" ref="AS40:CJ43" si="56">IF(AR40="","",AR40+1)</f>
        <v>28</v>
      </c>
      <c r="AT40" s="77">
        <f t="shared" si="56"/>
        <v>29</v>
      </c>
      <c r="AU40" s="77">
        <f t="shared" si="56"/>
        <v>30</v>
      </c>
      <c r="AV40" s="77">
        <f t="shared" si="56"/>
        <v>31</v>
      </c>
      <c r="AW40" s="77">
        <f t="shared" si="56"/>
        <v>32</v>
      </c>
      <c r="AX40" s="77">
        <f t="shared" si="56"/>
        <v>33</v>
      </c>
      <c r="AY40" s="77">
        <f t="shared" si="56"/>
        <v>34</v>
      </c>
      <c r="AZ40" s="77">
        <f t="shared" si="56"/>
        <v>35</v>
      </c>
      <c r="BA40" s="77">
        <f t="shared" si="56"/>
        <v>36</v>
      </c>
      <c r="BB40" s="77">
        <f t="shared" si="56"/>
        <v>37</v>
      </c>
      <c r="BC40" s="77">
        <f t="shared" si="56"/>
        <v>38</v>
      </c>
      <c r="BD40" s="77">
        <f t="shared" si="56"/>
        <v>39</v>
      </c>
      <c r="BE40" s="77">
        <v>0</v>
      </c>
      <c r="BF40" s="77">
        <f t="shared" si="56"/>
        <v>1</v>
      </c>
      <c r="BG40" s="77">
        <f t="shared" si="56"/>
        <v>2</v>
      </c>
      <c r="BH40" s="77">
        <f t="shared" si="56"/>
        <v>3</v>
      </c>
      <c r="BI40" s="77">
        <f t="shared" si="56"/>
        <v>4</v>
      </c>
      <c r="BJ40" s="77">
        <f t="shared" si="56"/>
        <v>5</v>
      </c>
      <c r="BK40" s="77">
        <f t="shared" si="56"/>
        <v>6</v>
      </c>
      <c r="BL40" s="77">
        <f t="shared" si="56"/>
        <v>7</v>
      </c>
      <c r="BM40" s="77">
        <f t="shared" si="56"/>
        <v>8</v>
      </c>
      <c r="BN40" s="77">
        <f t="shared" si="56"/>
        <v>9</v>
      </c>
      <c r="BO40" s="77">
        <f t="shared" si="56"/>
        <v>10</v>
      </c>
      <c r="BP40" s="77">
        <f t="shared" si="56"/>
        <v>11</v>
      </c>
      <c r="BQ40" s="77">
        <f t="shared" si="56"/>
        <v>12</v>
      </c>
      <c r="BR40" s="77">
        <f t="shared" si="56"/>
        <v>13</v>
      </c>
      <c r="BS40" s="77">
        <f t="shared" si="56"/>
        <v>14</v>
      </c>
      <c r="BT40" s="77">
        <f t="shared" si="56"/>
        <v>15</v>
      </c>
      <c r="BU40" s="77">
        <f t="shared" si="56"/>
        <v>16</v>
      </c>
      <c r="BV40" s="77">
        <f t="shared" si="56"/>
        <v>17</v>
      </c>
      <c r="BW40" s="77">
        <f t="shared" si="56"/>
        <v>18</v>
      </c>
      <c r="BX40" s="77">
        <f t="shared" si="56"/>
        <v>19</v>
      </c>
      <c r="BY40" s="77">
        <f t="shared" si="56"/>
        <v>20</v>
      </c>
      <c r="BZ40" s="77">
        <f t="shared" si="56"/>
        <v>21</v>
      </c>
      <c r="CA40" s="77">
        <f t="shared" si="56"/>
        <v>22</v>
      </c>
      <c r="CB40" s="77">
        <f t="shared" si="56"/>
        <v>23</v>
      </c>
      <c r="CC40" s="77">
        <f t="shared" si="56"/>
        <v>24</v>
      </c>
      <c r="CD40" s="77">
        <f t="shared" si="56"/>
        <v>25</v>
      </c>
      <c r="CE40" s="77">
        <f t="shared" si="56"/>
        <v>26</v>
      </c>
      <c r="CF40" s="77">
        <f t="shared" si="56"/>
        <v>27</v>
      </c>
      <c r="CG40" s="77">
        <f t="shared" si="56"/>
        <v>28</v>
      </c>
      <c r="CH40" s="77">
        <f t="shared" si="56"/>
        <v>29</v>
      </c>
      <c r="CI40" s="77">
        <f t="shared" si="56"/>
        <v>30</v>
      </c>
      <c r="CJ40" s="77">
        <f t="shared" si="56"/>
        <v>31</v>
      </c>
      <c r="CK40" s="77">
        <f t="shared" si="55"/>
        <v>32</v>
      </c>
      <c r="CL40" s="77">
        <f t="shared" si="55"/>
        <v>33</v>
      </c>
      <c r="CM40" s="77">
        <f t="shared" si="55"/>
        <v>34</v>
      </c>
      <c r="CN40" s="77">
        <f t="shared" si="55"/>
        <v>35</v>
      </c>
      <c r="CO40" s="77">
        <f t="shared" si="55"/>
        <v>36</v>
      </c>
      <c r="CP40" s="77">
        <f t="shared" si="55"/>
        <v>37</v>
      </c>
      <c r="CQ40" s="77">
        <f t="shared" si="55"/>
        <v>38</v>
      </c>
      <c r="CR40" s="77">
        <f t="shared" si="55"/>
        <v>39</v>
      </c>
      <c r="CS40" s="77">
        <f t="shared" si="55"/>
        <v>40</v>
      </c>
      <c r="CT40" s="77">
        <f t="shared" si="55"/>
        <v>41</v>
      </c>
      <c r="CU40" s="77">
        <f t="shared" si="55"/>
        <v>42</v>
      </c>
      <c r="CV40" s="77">
        <f t="shared" si="55"/>
        <v>43</v>
      </c>
      <c r="CW40" s="77">
        <f t="shared" si="55"/>
        <v>44</v>
      </c>
      <c r="CX40" s="77">
        <f t="shared" si="55"/>
        <v>45</v>
      </c>
      <c r="CY40" s="77">
        <f t="shared" si="55"/>
        <v>46</v>
      </c>
      <c r="CZ40" s="77">
        <f t="shared" si="55"/>
        <v>47</v>
      </c>
      <c r="DA40" s="77">
        <f t="shared" si="55"/>
        <v>48</v>
      </c>
      <c r="DB40" s="77">
        <f t="shared" si="55"/>
        <v>49</v>
      </c>
      <c r="DC40" s="77">
        <f t="shared" si="55"/>
        <v>50</v>
      </c>
      <c r="DD40" s="77">
        <f t="shared" si="55"/>
        <v>51</v>
      </c>
      <c r="DE40" s="77">
        <f t="shared" si="55"/>
        <v>52</v>
      </c>
      <c r="DF40" s="77">
        <f t="shared" si="55"/>
        <v>53</v>
      </c>
      <c r="DG40" s="77">
        <f t="shared" si="55"/>
        <v>54</v>
      </c>
      <c r="DH40" s="77">
        <f t="shared" si="55"/>
        <v>55</v>
      </c>
      <c r="DI40" s="77">
        <f t="shared" si="55"/>
        <v>56</v>
      </c>
      <c r="DJ40" s="77">
        <f t="shared" si="55"/>
        <v>57</v>
      </c>
      <c r="DK40" s="77">
        <f t="shared" si="55"/>
        <v>58</v>
      </c>
      <c r="DL40" s="77">
        <f t="shared" si="55"/>
        <v>59</v>
      </c>
      <c r="DM40" s="77">
        <f t="shared" si="55"/>
        <v>60</v>
      </c>
      <c r="DN40" s="77">
        <f t="shared" si="55"/>
        <v>61</v>
      </c>
      <c r="DO40" s="77">
        <f t="shared" si="55"/>
        <v>62</v>
      </c>
      <c r="DP40" s="77">
        <f t="shared" si="55"/>
        <v>63</v>
      </c>
      <c r="DQ40" s="77">
        <f t="shared" si="55"/>
        <v>64</v>
      </c>
      <c r="DR40" s="77">
        <f t="shared" si="55"/>
        <v>65</v>
      </c>
      <c r="DS40" s="77">
        <f t="shared" si="55"/>
        <v>66</v>
      </c>
      <c r="DT40" s="77">
        <f t="shared" si="55"/>
        <v>67</v>
      </c>
      <c r="DU40" s="77">
        <f t="shared" si="55"/>
        <v>68</v>
      </c>
      <c r="DV40" s="77">
        <f t="shared" si="55"/>
        <v>69</v>
      </c>
      <c r="DW40" s="77">
        <f t="shared" si="55"/>
        <v>70</v>
      </c>
      <c r="DX40" s="77">
        <f t="shared" si="55"/>
        <v>71</v>
      </c>
      <c r="DY40" s="77">
        <f t="shared" si="55"/>
        <v>72</v>
      </c>
      <c r="DZ40" s="77">
        <f t="shared" si="55"/>
        <v>73</v>
      </c>
      <c r="EA40" s="77">
        <f t="shared" si="55"/>
        <v>74</v>
      </c>
      <c r="EB40" s="77">
        <f t="shared" si="55"/>
        <v>75</v>
      </c>
      <c r="EC40" s="77">
        <f t="shared" si="55"/>
        <v>76</v>
      </c>
      <c r="ED40" s="77">
        <f t="shared" si="55"/>
        <v>77</v>
      </c>
      <c r="EE40" s="77">
        <f t="shared" si="55"/>
        <v>78</v>
      </c>
      <c r="EF40" s="77">
        <f t="shared" si="55"/>
        <v>79</v>
      </c>
      <c r="EG40" s="77">
        <f t="shared" si="55"/>
        <v>80</v>
      </c>
      <c r="EH40" s="77">
        <f t="shared" si="55"/>
        <v>81</v>
      </c>
      <c r="EI40" s="77">
        <f t="shared" si="55"/>
        <v>82</v>
      </c>
      <c r="EJ40" s="77">
        <f t="shared" si="55"/>
        <v>83</v>
      </c>
      <c r="EK40" s="77">
        <f t="shared" si="55"/>
        <v>84</v>
      </c>
      <c r="EL40" s="77">
        <f t="shared" si="55"/>
        <v>85</v>
      </c>
      <c r="EM40" s="77">
        <f t="shared" si="55"/>
        <v>86</v>
      </c>
      <c r="EN40" s="77">
        <f t="shared" si="55"/>
        <v>87</v>
      </c>
      <c r="EO40" s="77">
        <f t="shared" si="55"/>
        <v>88</v>
      </c>
      <c r="EP40" s="77">
        <f t="shared" si="55"/>
        <v>89</v>
      </c>
      <c r="EQ40" s="77">
        <f t="shared" si="55"/>
        <v>90</v>
      </c>
      <c r="ER40" s="77">
        <f t="shared" si="55"/>
        <v>91</v>
      </c>
      <c r="ES40" s="77">
        <f t="shared" si="55"/>
        <v>92</v>
      </c>
      <c r="ET40" s="77">
        <f t="shared" si="55"/>
        <v>93</v>
      </c>
      <c r="EU40" s="77">
        <f t="shared" si="55"/>
        <v>94</v>
      </c>
      <c r="EV40" s="77">
        <f t="shared" si="54"/>
        <v>95</v>
      </c>
      <c r="EW40" s="77">
        <f t="shared" si="54"/>
        <v>96</v>
      </c>
      <c r="EX40" s="77">
        <f t="shared" si="54"/>
        <v>97</v>
      </c>
      <c r="EY40" s="77">
        <f t="shared" si="54"/>
        <v>98</v>
      </c>
      <c r="EZ40" s="77">
        <f t="shared" si="54"/>
        <v>99</v>
      </c>
      <c r="FA40" s="77">
        <f t="shared" si="54"/>
        <v>100</v>
      </c>
      <c r="FB40" s="77">
        <f t="shared" si="54"/>
        <v>101</v>
      </c>
      <c r="FC40" s="77">
        <f t="shared" si="54"/>
        <v>102</v>
      </c>
      <c r="FD40" s="77">
        <f t="shared" si="54"/>
        <v>103</v>
      </c>
      <c r="FE40" s="77">
        <f t="shared" si="54"/>
        <v>104</v>
      </c>
      <c r="FF40" s="77">
        <f t="shared" si="54"/>
        <v>105</v>
      </c>
      <c r="FG40" s="77">
        <f t="shared" si="54"/>
        <v>106</v>
      </c>
      <c r="FH40" s="77">
        <f t="shared" si="54"/>
        <v>107</v>
      </c>
      <c r="FI40" s="77">
        <f t="shared" si="54"/>
        <v>108</v>
      </c>
      <c r="FJ40" s="77">
        <f t="shared" si="54"/>
        <v>109</v>
      </c>
      <c r="FK40" s="77">
        <f t="shared" si="54"/>
        <v>110</v>
      </c>
      <c r="FL40" s="77">
        <f t="shared" si="54"/>
        <v>111</v>
      </c>
      <c r="FM40" s="77">
        <f t="shared" si="54"/>
        <v>112</v>
      </c>
      <c r="FN40" s="77">
        <f t="shared" si="54"/>
        <v>113</v>
      </c>
      <c r="FO40" s="77">
        <f t="shared" si="54"/>
        <v>114</v>
      </c>
      <c r="FP40" s="77">
        <f t="shared" si="54"/>
        <v>115</v>
      </c>
      <c r="FQ40" s="77">
        <f t="shared" si="54"/>
        <v>116</v>
      </c>
      <c r="FR40" s="77">
        <f t="shared" si="54"/>
        <v>117</v>
      </c>
      <c r="FS40" s="77">
        <f t="shared" si="54"/>
        <v>118</v>
      </c>
      <c r="FT40" s="77">
        <f t="shared" si="54"/>
        <v>119</v>
      </c>
      <c r="FU40" s="77">
        <f t="shared" si="54"/>
        <v>120</v>
      </c>
      <c r="FV40" s="77">
        <f t="shared" si="54"/>
        <v>121</v>
      </c>
      <c r="FW40" s="77">
        <f t="shared" si="54"/>
        <v>122</v>
      </c>
      <c r="FX40" s="77">
        <f t="shared" si="54"/>
        <v>123</v>
      </c>
      <c r="FY40" s="77">
        <f t="shared" si="54"/>
        <v>124</v>
      </c>
      <c r="FZ40" s="77">
        <f t="shared" si="54"/>
        <v>125</v>
      </c>
      <c r="GA40" s="77">
        <f t="shared" si="54"/>
        <v>126</v>
      </c>
      <c r="GB40" s="77">
        <f t="shared" si="54"/>
        <v>127</v>
      </c>
      <c r="GC40" s="77">
        <f t="shared" si="54"/>
        <v>128</v>
      </c>
      <c r="GD40" s="77">
        <f t="shared" si="54"/>
        <v>129</v>
      </c>
      <c r="GE40" s="77">
        <f t="shared" si="54"/>
        <v>130</v>
      </c>
      <c r="GF40" s="77">
        <f t="shared" si="54"/>
        <v>131</v>
      </c>
      <c r="GG40" s="77">
        <f t="shared" si="54"/>
        <v>132</v>
      </c>
      <c r="GH40" s="77">
        <f t="shared" si="54"/>
        <v>133</v>
      </c>
      <c r="GI40" s="77">
        <f t="shared" si="54"/>
        <v>134</v>
      </c>
      <c r="GJ40" s="77">
        <f t="shared" si="54"/>
        <v>135</v>
      </c>
      <c r="GK40" s="77">
        <f t="shared" si="54"/>
        <v>136</v>
      </c>
      <c r="GL40" s="77">
        <f t="shared" si="54"/>
        <v>137</v>
      </c>
      <c r="GM40" s="77">
        <f t="shared" si="54"/>
        <v>138</v>
      </c>
      <c r="GN40" s="77">
        <f t="shared" si="54"/>
        <v>139</v>
      </c>
      <c r="GO40" s="77">
        <f t="shared" si="54"/>
        <v>140</v>
      </c>
      <c r="GP40" s="77">
        <f t="shared" si="54"/>
        <v>141</v>
      </c>
      <c r="GQ40" s="77">
        <f t="shared" si="54"/>
        <v>142</v>
      </c>
      <c r="GR40" s="77">
        <f t="shared" si="54"/>
        <v>143</v>
      </c>
      <c r="GS40" s="77">
        <f t="shared" si="54"/>
        <v>144</v>
      </c>
      <c r="GT40" s="77">
        <f t="shared" si="54"/>
        <v>145</v>
      </c>
      <c r="GU40" s="77">
        <f t="shared" si="54"/>
        <v>146</v>
      </c>
      <c r="GV40" s="77">
        <f t="shared" si="54"/>
        <v>147</v>
      </c>
      <c r="GW40" s="77">
        <f t="shared" si="54"/>
        <v>148</v>
      </c>
      <c r="GX40" s="77">
        <f t="shared" si="54"/>
        <v>149</v>
      </c>
    </row>
    <row r="41" spans="1:206" ht="15" customHeight="1" x14ac:dyDescent="0.2">
      <c r="A41" s="22" t="s">
        <v>68</v>
      </c>
      <c r="B41" s="22">
        <v>2</v>
      </c>
      <c r="C41" s="22" t="s">
        <v>102</v>
      </c>
      <c r="D41" s="22" t="s">
        <v>131</v>
      </c>
      <c r="E41" s="22" t="s">
        <v>132</v>
      </c>
      <c r="F41" s="22" t="s">
        <v>81</v>
      </c>
      <c r="G41" s="22" t="s">
        <v>82</v>
      </c>
      <c r="H41" s="22">
        <v>2010</v>
      </c>
      <c r="I41" s="22">
        <v>16</v>
      </c>
      <c r="J41" s="22">
        <v>11.13</v>
      </c>
      <c r="K41" s="22">
        <v>0</v>
      </c>
      <c r="L41" s="22">
        <v>1595</v>
      </c>
      <c r="M41" s="22">
        <v>1595</v>
      </c>
      <c r="N41" s="22" t="s">
        <v>95</v>
      </c>
      <c r="O41" s="22" t="s">
        <v>96</v>
      </c>
      <c r="P41" s="22" t="s">
        <v>75</v>
      </c>
      <c r="Q41" s="108">
        <f>IF(R41="","",'Dashboard Ciclos'!$B$2-R41)</f>
        <v>46239</v>
      </c>
      <c r="R41" s="22">
        <f>IF($E41="","",IFERROR(INDEX($W41:$GX41,MATCH('Dashboard Ciclos'!$B$2,$W$1:$GX$1,0)),""))</f>
        <v>10</v>
      </c>
      <c r="S41" s="22" t="str">
        <f t="shared" si="45"/>
        <v>En ciclo</v>
      </c>
      <c r="T41" s="22" t="str">
        <f t="shared" si="46"/>
        <v>En ciclo</v>
      </c>
      <c r="U41" s="22">
        <f t="shared" si="47"/>
        <v>2</v>
      </c>
      <c r="V41" s="23">
        <f t="shared" si="48"/>
        <v>46251</v>
      </c>
      <c r="W41" s="77">
        <f t="shared" si="49"/>
        <v>4</v>
      </c>
      <c r="X41" s="77">
        <f t="shared" si="49"/>
        <v>5</v>
      </c>
      <c r="Y41" s="77">
        <f t="shared" si="49"/>
        <v>6</v>
      </c>
      <c r="Z41" s="77">
        <f t="shared" si="49"/>
        <v>7</v>
      </c>
      <c r="AA41" s="77">
        <v>8</v>
      </c>
      <c r="AB41" s="77">
        <f t="shared" si="50"/>
        <v>9</v>
      </c>
      <c r="AC41" s="77">
        <f t="shared" si="50"/>
        <v>10</v>
      </c>
      <c r="AD41" s="77">
        <f t="shared" si="50"/>
        <v>11</v>
      </c>
      <c r="AE41" s="77">
        <f t="shared" si="50"/>
        <v>12</v>
      </c>
      <c r="AF41" s="77">
        <f t="shared" si="50"/>
        <v>13</v>
      </c>
      <c r="AG41" s="77">
        <f t="shared" si="50"/>
        <v>14</v>
      </c>
      <c r="AH41" s="77">
        <f t="shared" si="50"/>
        <v>15</v>
      </c>
      <c r="AI41" s="77">
        <f t="shared" si="50"/>
        <v>16</v>
      </c>
      <c r="AJ41" s="77">
        <f t="shared" si="50"/>
        <v>17</v>
      </c>
      <c r="AK41" s="77">
        <f t="shared" si="50"/>
        <v>18</v>
      </c>
      <c r="AL41" s="77">
        <f t="shared" si="50"/>
        <v>19</v>
      </c>
      <c r="AM41" s="77">
        <f t="shared" si="50"/>
        <v>20</v>
      </c>
      <c r="AN41" s="77">
        <f t="shared" si="50"/>
        <v>21</v>
      </c>
      <c r="AO41" s="77">
        <f t="shared" si="50"/>
        <v>22</v>
      </c>
      <c r="AP41" s="77">
        <f t="shared" si="50"/>
        <v>23</v>
      </c>
      <c r="AQ41" s="77">
        <f t="shared" si="50"/>
        <v>24</v>
      </c>
      <c r="AR41" s="77">
        <f t="shared" si="27"/>
        <v>25</v>
      </c>
      <c r="AS41" s="77">
        <f t="shared" si="56"/>
        <v>26</v>
      </c>
      <c r="AT41" s="77">
        <f t="shared" si="56"/>
        <v>27</v>
      </c>
      <c r="AU41" s="77">
        <f t="shared" si="56"/>
        <v>28</v>
      </c>
      <c r="AV41" s="77">
        <f t="shared" si="56"/>
        <v>29</v>
      </c>
      <c r="AW41" s="77">
        <f t="shared" si="56"/>
        <v>30</v>
      </c>
      <c r="AX41" s="77">
        <f t="shared" si="56"/>
        <v>31</v>
      </c>
      <c r="AY41" s="77">
        <f t="shared" si="56"/>
        <v>32</v>
      </c>
      <c r="AZ41" s="77">
        <f t="shared" si="56"/>
        <v>33</v>
      </c>
      <c r="BA41" s="77">
        <f t="shared" si="56"/>
        <v>34</v>
      </c>
      <c r="BB41" s="77">
        <f t="shared" si="56"/>
        <v>35</v>
      </c>
      <c r="BC41" s="77">
        <f t="shared" si="56"/>
        <v>36</v>
      </c>
      <c r="BD41" s="77">
        <f t="shared" si="56"/>
        <v>37</v>
      </c>
      <c r="BE41" s="77">
        <f t="shared" si="56"/>
        <v>38</v>
      </c>
      <c r="BF41" s="77">
        <v>0</v>
      </c>
      <c r="BG41" s="77">
        <f t="shared" si="56"/>
        <v>1</v>
      </c>
      <c r="BH41" s="77">
        <f t="shared" si="56"/>
        <v>2</v>
      </c>
      <c r="BI41" s="77">
        <f t="shared" si="56"/>
        <v>3</v>
      </c>
      <c r="BJ41" s="77">
        <f t="shared" si="56"/>
        <v>4</v>
      </c>
      <c r="BK41" s="77">
        <f t="shared" si="56"/>
        <v>5</v>
      </c>
      <c r="BL41" s="77">
        <f t="shared" si="56"/>
        <v>6</v>
      </c>
      <c r="BM41" s="77">
        <f t="shared" si="56"/>
        <v>7</v>
      </c>
      <c r="BN41" s="77">
        <f t="shared" si="56"/>
        <v>8</v>
      </c>
      <c r="BO41" s="77">
        <f t="shared" si="56"/>
        <v>9</v>
      </c>
      <c r="BP41" s="77">
        <f t="shared" si="56"/>
        <v>10</v>
      </c>
      <c r="BQ41" s="77">
        <f t="shared" si="56"/>
        <v>11</v>
      </c>
      <c r="BR41" s="77">
        <f t="shared" si="56"/>
        <v>12</v>
      </c>
      <c r="BS41" s="77">
        <f t="shared" si="56"/>
        <v>13</v>
      </c>
      <c r="BT41" s="77">
        <f t="shared" si="56"/>
        <v>14</v>
      </c>
      <c r="BU41" s="77">
        <f t="shared" si="56"/>
        <v>15</v>
      </c>
      <c r="BV41" s="77">
        <f t="shared" si="56"/>
        <v>16</v>
      </c>
      <c r="BW41" s="77">
        <f t="shared" si="56"/>
        <v>17</v>
      </c>
      <c r="BX41" s="77">
        <f t="shared" si="56"/>
        <v>18</v>
      </c>
      <c r="BY41" s="77">
        <f t="shared" si="56"/>
        <v>19</v>
      </c>
      <c r="BZ41" s="77">
        <f t="shared" si="56"/>
        <v>20</v>
      </c>
      <c r="CA41" s="77">
        <f t="shared" si="56"/>
        <v>21</v>
      </c>
      <c r="CB41" s="77">
        <f t="shared" si="56"/>
        <v>22</v>
      </c>
      <c r="CC41" s="77">
        <f t="shared" si="56"/>
        <v>23</v>
      </c>
      <c r="CD41" s="77">
        <f t="shared" si="56"/>
        <v>24</v>
      </c>
      <c r="CE41" s="77">
        <f t="shared" si="56"/>
        <v>25</v>
      </c>
      <c r="CF41" s="77">
        <f t="shared" si="56"/>
        <v>26</v>
      </c>
      <c r="CG41" s="77">
        <f t="shared" si="56"/>
        <v>27</v>
      </c>
      <c r="CH41" s="77">
        <f t="shared" si="56"/>
        <v>28</v>
      </c>
      <c r="CI41" s="77">
        <f t="shared" si="56"/>
        <v>29</v>
      </c>
      <c r="CJ41" s="77">
        <f t="shared" si="56"/>
        <v>30</v>
      </c>
      <c r="CK41" s="77">
        <f t="shared" si="55"/>
        <v>31</v>
      </c>
      <c r="CL41" s="77">
        <f t="shared" si="55"/>
        <v>32</v>
      </c>
      <c r="CM41" s="77">
        <f t="shared" si="55"/>
        <v>33</v>
      </c>
      <c r="CN41" s="77">
        <f t="shared" si="55"/>
        <v>34</v>
      </c>
      <c r="CO41" s="77">
        <f t="shared" si="55"/>
        <v>35</v>
      </c>
      <c r="CP41" s="77">
        <f t="shared" si="55"/>
        <v>36</v>
      </c>
      <c r="CQ41" s="77">
        <f t="shared" si="55"/>
        <v>37</v>
      </c>
      <c r="CR41" s="77">
        <f t="shared" si="55"/>
        <v>38</v>
      </c>
      <c r="CS41" s="77">
        <f t="shared" si="55"/>
        <v>39</v>
      </c>
      <c r="CT41" s="77">
        <f t="shared" si="55"/>
        <v>40</v>
      </c>
      <c r="CU41" s="77">
        <f t="shared" si="55"/>
        <v>41</v>
      </c>
      <c r="CV41" s="77">
        <f t="shared" si="55"/>
        <v>42</v>
      </c>
      <c r="CW41" s="77">
        <f t="shared" si="55"/>
        <v>43</v>
      </c>
      <c r="CX41" s="77">
        <f t="shared" si="55"/>
        <v>44</v>
      </c>
      <c r="CY41" s="77">
        <f t="shared" si="55"/>
        <v>45</v>
      </c>
      <c r="CZ41" s="77">
        <f t="shared" si="55"/>
        <v>46</v>
      </c>
      <c r="DA41" s="77">
        <f t="shared" si="55"/>
        <v>47</v>
      </c>
      <c r="DB41" s="77">
        <f t="shared" si="55"/>
        <v>48</v>
      </c>
      <c r="DC41" s="77">
        <f t="shared" si="55"/>
        <v>49</v>
      </c>
      <c r="DD41" s="77">
        <f t="shared" si="55"/>
        <v>50</v>
      </c>
      <c r="DE41" s="77">
        <f t="shared" si="55"/>
        <v>51</v>
      </c>
      <c r="DF41" s="77">
        <f t="shared" si="55"/>
        <v>52</v>
      </c>
      <c r="DG41" s="77">
        <f t="shared" si="55"/>
        <v>53</v>
      </c>
      <c r="DH41" s="77">
        <f t="shared" si="55"/>
        <v>54</v>
      </c>
      <c r="DI41" s="77">
        <f t="shared" si="55"/>
        <v>55</v>
      </c>
      <c r="DJ41" s="77">
        <f t="shared" si="55"/>
        <v>56</v>
      </c>
      <c r="DK41" s="77">
        <f t="shared" si="55"/>
        <v>57</v>
      </c>
      <c r="DL41" s="77">
        <f t="shared" si="55"/>
        <v>58</v>
      </c>
      <c r="DM41" s="77">
        <f t="shared" si="55"/>
        <v>59</v>
      </c>
      <c r="DN41" s="77">
        <f t="shared" si="55"/>
        <v>60</v>
      </c>
      <c r="DO41" s="77">
        <f t="shared" si="55"/>
        <v>61</v>
      </c>
      <c r="DP41" s="77">
        <f t="shared" si="55"/>
        <v>62</v>
      </c>
      <c r="DQ41" s="77">
        <f t="shared" si="55"/>
        <v>63</v>
      </c>
      <c r="DR41" s="77">
        <f t="shared" si="55"/>
        <v>64</v>
      </c>
      <c r="DS41" s="77">
        <f t="shared" si="55"/>
        <v>65</v>
      </c>
      <c r="DT41" s="77">
        <f t="shared" si="55"/>
        <v>66</v>
      </c>
      <c r="DU41" s="77">
        <f t="shared" si="55"/>
        <v>67</v>
      </c>
      <c r="DV41" s="77">
        <f t="shared" si="55"/>
        <v>68</v>
      </c>
      <c r="DW41" s="77">
        <f t="shared" si="55"/>
        <v>69</v>
      </c>
      <c r="DX41" s="77">
        <f t="shared" si="55"/>
        <v>70</v>
      </c>
      <c r="DY41" s="77">
        <f t="shared" si="55"/>
        <v>71</v>
      </c>
      <c r="DZ41" s="77">
        <f t="shared" si="55"/>
        <v>72</v>
      </c>
      <c r="EA41" s="77">
        <f t="shared" si="55"/>
        <v>73</v>
      </c>
      <c r="EB41" s="77">
        <f t="shared" si="55"/>
        <v>74</v>
      </c>
      <c r="EC41" s="77">
        <f t="shared" si="55"/>
        <v>75</v>
      </c>
      <c r="ED41" s="77">
        <f t="shared" si="55"/>
        <v>76</v>
      </c>
      <c r="EE41" s="77">
        <f t="shared" si="55"/>
        <v>77</v>
      </c>
      <c r="EF41" s="77">
        <f t="shared" si="55"/>
        <v>78</v>
      </c>
      <c r="EG41" s="77">
        <f t="shared" si="55"/>
        <v>79</v>
      </c>
      <c r="EH41" s="77">
        <f t="shared" si="55"/>
        <v>80</v>
      </c>
      <c r="EI41" s="77">
        <f t="shared" si="55"/>
        <v>81</v>
      </c>
      <c r="EJ41" s="77">
        <f t="shared" si="55"/>
        <v>82</v>
      </c>
      <c r="EK41" s="77">
        <f t="shared" si="55"/>
        <v>83</v>
      </c>
      <c r="EL41" s="77">
        <f t="shared" si="55"/>
        <v>84</v>
      </c>
      <c r="EM41" s="77">
        <f t="shared" si="55"/>
        <v>85</v>
      </c>
      <c r="EN41" s="77">
        <f t="shared" si="55"/>
        <v>86</v>
      </c>
      <c r="EO41" s="77">
        <f t="shared" si="55"/>
        <v>87</v>
      </c>
      <c r="EP41" s="77">
        <f t="shared" si="55"/>
        <v>88</v>
      </c>
      <c r="EQ41" s="77">
        <f t="shared" si="55"/>
        <v>89</v>
      </c>
      <c r="ER41" s="77">
        <f t="shared" si="55"/>
        <v>90</v>
      </c>
      <c r="ES41" s="77">
        <f t="shared" si="55"/>
        <v>91</v>
      </c>
      <c r="ET41" s="77">
        <f t="shared" si="55"/>
        <v>92</v>
      </c>
      <c r="EU41" s="77">
        <f t="shared" si="55"/>
        <v>93</v>
      </c>
      <c r="EV41" s="77">
        <f t="shared" si="54"/>
        <v>94</v>
      </c>
      <c r="EW41" s="77">
        <f t="shared" si="54"/>
        <v>95</v>
      </c>
      <c r="EX41" s="77">
        <f t="shared" si="54"/>
        <v>96</v>
      </c>
      <c r="EY41" s="77">
        <f t="shared" si="54"/>
        <v>97</v>
      </c>
      <c r="EZ41" s="77">
        <f t="shared" si="54"/>
        <v>98</v>
      </c>
      <c r="FA41" s="77">
        <f t="shared" si="54"/>
        <v>99</v>
      </c>
      <c r="FB41" s="77">
        <f t="shared" si="54"/>
        <v>100</v>
      </c>
      <c r="FC41" s="77">
        <f t="shared" si="54"/>
        <v>101</v>
      </c>
      <c r="FD41" s="77">
        <f t="shared" si="54"/>
        <v>102</v>
      </c>
      <c r="FE41" s="77">
        <f t="shared" si="54"/>
        <v>103</v>
      </c>
      <c r="FF41" s="77">
        <f t="shared" si="54"/>
        <v>104</v>
      </c>
      <c r="FG41" s="77">
        <f t="shared" si="54"/>
        <v>105</v>
      </c>
      <c r="FH41" s="77">
        <f t="shared" si="54"/>
        <v>106</v>
      </c>
      <c r="FI41" s="77">
        <f t="shared" si="54"/>
        <v>107</v>
      </c>
      <c r="FJ41" s="77">
        <f t="shared" si="54"/>
        <v>108</v>
      </c>
      <c r="FK41" s="77">
        <f t="shared" si="54"/>
        <v>109</v>
      </c>
      <c r="FL41" s="77">
        <f t="shared" si="54"/>
        <v>110</v>
      </c>
      <c r="FM41" s="77">
        <f t="shared" si="54"/>
        <v>111</v>
      </c>
      <c r="FN41" s="77">
        <f t="shared" si="54"/>
        <v>112</v>
      </c>
      <c r="FO41" s="77">
        <f t="shared" si="54"/>
        <v>113</v>
      </c>
      <c r="FP41" s="77">
        <f t="shared" si="54"/>
        <v>114</v>
      </c>
      <c r="FQ41" s="77">
        <f t="shared" si="54"/>
        <v>115</v>
      </c>
      <c r="FR41" s="77">
        <f t="shared" si="54"/>
        <v>116</v>
      </c>
      <c r="FS41" s="77">
        <f t="shared" si="54"/>
        <v>117</v>
      </c>
      <c r="FT41" s="77">
        <f t="shared" si="54"/>
        <v>118</v>
      </c>
      <c r="FU41" s="77">
        <f t="shared" si="54"/>
        <v>119</v>
      </c>
      <c r="FV41" s="77">
        <f t="shared" si="54"/>
        <v>120</v>
      </c>
      <c r="FW41" s="77">
        <f t="shared" si="54"/>
        <v>121</v>
      </c>
      <c r="FX41" s="77">
        <f t="shared" si="54"/>
        <v>122</v>
      </c>
      <c r="FY41" s="77">
        <f t="shared" si="54"/>
        <v>123</v>
      </c>
      <c r="FZ41" s="77">
        <f t="shared" si="54"/>
        <v>124</v>
      </c>
      <c r="GA41" s="77">
        <f t="shared" si="54"/>
        <v>125</v>
      </c>
      <c r="GB41" s="77">
        <f t="shared" si="54"/>
        <v>126</v>
      </c>
      <c r="GC41" s="77">
        <f t="shared" si="54"/>
        <v>127</v>
      </c>
      <c r="GD41" s="77">
        <f t="shared" si="54"/>
        <v>128</v>
      </c>
      <c r="GE41" s="77">
        <f t="shared" ref="GE41:GX41" si="57">IF(GD41="","",GD41+1)</f>
        <v>129</v>
      </c>
      <c r="GF41" s="77">
        <f t="shared" si="57"/>
        <v>130</v>
      </c>
      <c r="GG41" s="77">
        <f t="shared" si="57"/>
        <v>131</v>
      </c>
      <c r="GH41" s="77">
        <f t="shared" si="57"/>
        <v>132</v>
      </c>
      <c r="GI41" s="77">
        <f t="shared" si="57"/>
        <v>133</v>
      </c>
      <c r="GJ41" s="77">
        <f t="shared" si="57"/>
        <v>134</v>
      </c>
      <c r="GK41" s="77">
        <f t="shared" si="57"/>
        <v>135</v>
      </c>
      <c r="GL41" s="77">
        <f t="shared" si="57"/>
        <v>136</v>
      </c>
      <c r="GM41" s="77">
        <f t="shared" si="57"/>
        <v>137</v>
      </c>
      <c r="GN41" s="77">
        <f t="shared" si="57"/>
        <v>138</v>
      </c>
      <c r="GO41" s="77">
        <f t="shared" si="57"/>
        <v>139</v>
      </c>
      <c r="GP41" s="77">
        <f t="shared" si="57"/>
        <v>140</v>
      </c>
      <c r="GQ41" s="77">
        <f t="shared" si="57"/>
        <v>141</v>
      </c>
      <c r="GR41" s="77">
        <f t="shared" si="57"/>
        <v>142</v>
      </c>
      <c r="GS41" s="77">
        <f t="shared" si="57"/>
        <v>143</v>
      </c>
      <c r="GT41" s="77">
        <f t="shared" si="57"/>
        <v>144</v>
      </c>
      <c r="GU41" s="77">
        <f t="shared" si="57"/>
        <v>145</v>
      </c>
      <c r="GV41" s="77">
        <f t="shared" si="57"/>
        <v>146</v>
      </c>
      <c r="GW41" s="77">
        <f t="shared" si="57"/>
        <v>147</v>
      </c>
      <c r="GX41" s="77">
        <f t="shared" si="57"/>
        <v>148</v>
      </c>
    </row>
    <row r="42" spans="1:206" ht="15" customHeight="1" x14ac:dyDescent="0.2">
      <c r="A42" s="22" t="s">
        <v>68</v>
      </c>
      <c r="B42" s="22">
        <v>2</v>
      </c>
      <c r="C42" s="22" t="s">
        <v>102</v>
      </c>
      <c r="D42" s="22">
        <v>35</v>
      </c>
      <c r="E42" s="22" t="s">
        <v>133</v>
      </c>
      <c r="F42" s="22" t="s">
        <v>127</v>
      </c>
      <c r="G42" s="22" t="s">
        <v>134</v>
      </c>
      <c r="H42" s="22">
        <v>2010</v>
      </c>
      <c r="I42" s="22">
        <v>16</v>
      </c>
      <c r="J42" s="22">
        <v>17.87</v>
      </c>
      <c r="K42" s="22">
        <v>173</v>
      </c>
      <c r="L42" s="22">
        <v>2211</v>
      </c>
      <c r="M42" s="22">
        <v>2038</v>
      </c>
      <c r="N42" s="22" t="s">
        <v>95</v>
      </c>
      <c r="O42" s="22" t="s">
        <v>96</v>
      </c>
      <c r="P42" s="22" t="s">
        <v>75</v>
      </c>
      <c r="Q42" s="108">
        <f>IF(R42="","",'Dashboard Ciclos'!$B$2-R42)</f>
        <v>46242</v>
      </c>
      <c r="R42" s="22">
        <f>IF($E42="","",IFERROR(INDEX($W42:$GX42,MATCH('Dashboard Ciclos'!$B$2,$W$1:$GX$1,0)),""))</f>
        <v>7</v>
      </c>
      <c r="S42" s="22" t="str">
        <f t="shared" si="45"/>
        <v>En ciclo</v>
      </c>
      <c r="T42" s="22" t="str">
        <f t="shared" si="46"/>
        <v>En ciclo</v>
      </c>
      <c r="U42" s="22">
        <f t="shared" si="47"/>
        <v>5</v>
      </c>
      <c r="V42" s="23">
        <f t="shared" si="48"/>
        <v>46254</v>
      </c>
      <c r="W42" s="77">
        <f t="shared" si="49"/>
        <v>2</v>
      </c>
      <c r="X42" s="77">
        <f t="shared" si="49"/>
        <v>3</v>
      </c>
      <c r="Y42" s="77">
        <f t="shared" si="49"/>
        <v>4</v>
      </c>
      <c r="Z42" s="77">
        <f t="shared" si="49"/>
        <v>5</v>
      </c>
      <c r="AA42" s="77">
        <v>6</v>
      </c>
      <c r="AB42" s="77">
        <f t="shared" si="50"/>
        <v>7</v>
      </c>
      <c r="AC42" s="77">
        <f t="shared" si="50"/>
        <v>8</v>
      </c>
      <c r="AD42" s="77">
        <f t="shared" si="50"/>
        <v>9</v>
      </c>
      <c r="AE42" s="77">
        <f t="shared" si="50"/>
        <v>10</v>
      </c>
      <c r="AF42" s="77">
        <f t="shared" si="50"/>
        <v>11</v>
      </c>
      <c r="AG42" s="77">
        <f t="shared" si="50"/>
        <v>12</v>
      </c>
      <c r="AH42" s="77">
        <f t="shared" si="50"/>
        <v>13</v>
      </c>
      <c r="AI42" s="77">
        <f t="shared" si="50"/>
        <v>14</v>
      </c>
      <c r="AJ42" s="77">
        <f t="shared" si="50"/>
        <v>15</v>
      </c>
      <c r="AK42" s="77">
        <f t="shared" si="50"/>
        <v>16</v>
      </c>
      <c r="AL42" s="77">
        <f t="shared" si="50"/>
        <v>17</v>
      </c>
      <c r="AM42" s="77">
        <f t="shared" si="50"/>
        <v>18</v>
      </c>
      <c r="AN42" s="77">
        <f t="shared" si="50"/>
        <v>19</v>
      </c>
      <c r="AO42" s="77">
        <f t="shared" si="50"/>
        <v>20</v>
      </c>
      <c r="AP42" s="77">
        <f t="shared" si="50"/>
        <v>21</v>
      </c>
      <c r="AQ42" s="77">
        <f t="shared" si="50"/>
        <v>22</v>
      </c>
      <c r="AR42" s="77">
        <f t="shared" si="27"/>
        <v>23</v>
      </c>
      <c r="AS42" s="77">
        <f t="shared" si="56"/>
        <v>24</v>
      </c>
      <c r="AT42" s="77">
        <f t="shared" si="56"/>
        <v>25</v>
      </c>
      <c r="AU42" s="77">
        <f t="shared" si="56"/>
        <v>26</v>
      </c>
      <c r="AV42" s="77">
        <f t="shared" si="56"/>
        <v>27</v>
      </c>
      <c r="AW42" s="77">
        <f t="shared" si="56"/>
        <v>28</v>
      </c>
      <c r="AX42" s="77">
        <f t="shared" si="56"/>
        <v>29</v>
      </c>
      <c r="AY42" s="77">
        <f t="shared" si="56"/>
        <v>30</v>
      </c>
      <c r="AZ42" s="77">
        <f t="shared" si="56"/>
        <v>31</v>
      </c>
      <c r="BA42" s="77">
        <f t="shared" si="56"/>
        <v>32</v>
      </c>
      <c r="BB42" s="77">
        <f t="shared" si="56"/>
        <v>33</v>
      </c>
      <c r="BC42" s="77">
        <f t="shared" si="56"/>
        <v>34</v>
      </c>
      <c r="BD42" s="77">
        <f t="shared" si="56"/>
        <v>35</v>
      </c>
      <c r="BE42" s="77">
        <f t="shared" si="56"/>
        <v>36</v>
      </c>
      <c r="BF42" s="77">
        <f t="shared" si="56"/>
        <v>37</v>
      </c>
      <c r="BG42" s="77">
        <f t="shared" si="56"/>
        <v>38</v>
      </c>
      <c r="BH42" s="77">
        <f t="shared" si="56"/>
        <v>39</v>
      </c>
      <c r="BI42" s="77">
        <v>0</v>
      </c>
      <c r="BJ42" s="77">
        <f t="shared" si="56"/>
        <v>1</v>
      </c>
      <c r="BK42" s="77">
        <f t="shared" si="56"/>
        <v>2</v>
      </c>
      <c r="BL42" s="77">
        <f t="shared" si="56"/>
        <v>3</v>
      </c>
      <c r="BM42" s="77">
        <f t="shared" si="56"/>
        <v>4</v>
      </c>
      <c r="BN42" s="77">
        <f t="shared" si="56"/>
        <v>5</v>
      </c>
      <c r="BO42" s="77">
        <f t="shared" si="56"/>
        <v>6</v>
      </c>
      <c r="BP42" s="77">
        <f t="shared" si="56"/>
        <v>7</v>
      </c>
      <c r="BQ42" s="77">
        <f t="shared" si="56"/>
        <v>8</v>
      </c>
      <c r="BR42" s="77">
        <f t="shared" si="56"/>
        <v>9</v>
      </c>
      <c r="BS42" s="77">
        <f t="shared" si="56"/>
        <v>10</v>
      </c>
      <c r="BT42" s="77">
        <f t="shared" si="56"/>
        <v>11</v>
      </c>
      <c r="BU42" s="77">
        <f t="shared" si="56"/>
        <v>12</v>
      </c>
      <c r="BV42" s="77">
        <f t="shared" si="56"/>
        <v>13</v>
      </c>
      <c r="BW42" s="77">
        <f t="shared" si="56"/>
        <v>14</v>
      </c>
      <c r="BX42" s="77">
        <f t="shared" si="56"/>
        <v>15</v>
      </c>
      <c r="BY42" s="77">
        <f t="shared" si="56"/>
        <v>16</v>
      </c>
      <c r="BZ42" s="77">
        <f t="shared" si="56"/>
        <v>17</v>
      </c>
      <c r="CA42" s="77">
        <f t="shared" si="56"/>
        <v>18</v>
      </c>
      <c r="CB42" s="77">
        <f t="shared" si="56"/>
        <v>19</v>
      </c>
      <c r="CC42" s="77">
        <f t="shared" si="56"/>
        <v>20</v>
      </c>
      <c r="CD42" s="77">
        <f t="shared" si="56"/>
        <v>21</v>
      </c>
      <c r="CE42" s="77">
        <f t="shared" si="56"/>
        <v>22</v>
      </c>
      <c r="CF42" s="77">
        <f t="shared" si="56"/>
        <v>23</v>
      </c>
      <c r="CG42" s="77">
        <f t="shared" si="56"/>
        <v>24</v>
      </c>
      <c r="CH42" s="77">
        <f t="shared" si="56"/>
        <v>25</v>
      </c>
      <c r="CI42" s="77">
        <f t="shared" si="56"/>
        <v>26</v>
      </c>
      <c r="CJ42" s="77">
        <f t="shared" si="56"/>
        <v>27</v>
      </c>
      <c r="CK42" s="77">
        <f t="shared" si="55"/>
        <v>28</v>
      </c>
      <c r="CL42" s="77">
        <f t="shared" si="55"/>
        <v>29</v>
      </c>
      <c r="CM42" s="77">
        <f t="shared" si="55"/>
        <v>30</v>
      </c>
      <c r="CN42" s="77">
        <f t="shared" si="55"/>
        <v>31</v>
      </c>
      <c r="CO42" s="77">
        <f t="shared" si="55"/>
        <v>32</v>
      </c>
      <c r="CP42" s="77">
        <f t="shared" si="55"/>
        <v>33</v>
      </c>
      <c r="CQ42" s="77">
        <f t="shared" si="55"/>
        <v>34</v>
      </c>
      <c r="CR42" s="77">
        <f t="shared" si="55"/>
        <v>35</v>
      </c>
      <c r="CS42" s="77">
        <f t="shared" si="55"/>
        <v>36</v>
      </c>
      <c r="CT42" s="77">
        <f t="shared" si="55"/>
        <v>37</v>
      </c>
      <c r="CU42" s="77">
        <f t="shared" si="55"/>
        <v>38</v>
      </c>
      <c r="CV42" s="77">
        <f t="shared" si="55"/>
        <v>39</v>
      </c>
      <c r="CW42" s="77">
        <f t="shared" si="55"/>
        <v>40</v>
      </c>
      <c r="CX42" s="77">
        <f t="shared" si="55"/>
        <v>41</v>
      </c>
      <c r="CY42" s="77">
        <f t="shared" si="55"/>
        <v>42</v>
      </c>
      <c r="CZ42" s="77">
        <f t="shared" si="55"/>
        <v>43</v>
      </c>
      <c r="DA42" s="77">
        <f t="shared" si="55"/>
        <v>44</v>
      </c>
      <c r="DB42" s="77">
        <f t="shared" si="55"/>
        <v>45</v>
      </c>
      <c r="DC42" s="77">
        <f t="shared" si="55"/>
        <v>46</v>
      </c>
      <c r="DD42" s="77">
        <f t="shared" si="55"/>
        <v>47</v>
      </c>
      <c r="DE42" s="77">
        <f t="shared" si="55"/>
        <v>48</v>
      </c>
      <c r="DF42" s="77">
        <f t="shared" si="55"/>
        <v>49</v>
      </c>
      <c r="DG42" s="77">
        <f t="shared" si="55"/>
        <v>50</v>
      </c>
      <c r="DH42" s="77">
        <f t="shared" si="55"/>
        <v>51</v>
      </c>
      <c r="DI42" s="77">
        <f t="shared" si="55"/>
        <v>52</v>
      </c>
      <c r="DJ42" s="77">
        <f t="shared" si="55"/>
        <v>53</v>
      </c>
      <c r="DK42" s="77">
        <f t="shared" si="55"/>
        <v>54</v>
      </c>
      <c r="DL42" s="77">
        <f t="shared" si="55"/>
        <v>55</v>
      </c>
      <c r="DM42" s="77">
        <f t="shared" si="55"/>
        <v>56</v>
      </c>
      <c r="DN42" s="77">
        <f t="shared" si="55"/>
        <v>57</v>
      </c>
      <c r="DO42" s="77">
        <f t="shared" si="55"/>
        <v>58</v>
      </c>
      <c r="DP42" s="77">
        <f t="shared" si="55"/>
        <v>59</v>
      </c>
      <c r="DQ42" s="77">
        <f t="shared" si="55"/>
        <v>60</v>
      </c>
      <c r="DR42" s="77">
        <f t="shared" si="55"/>
        <v>61</v>
      </c>
      <c r="DS42" s="77">
        <f t="shared" si="55"/>
        <v>62</v>
      </c>
      <c r="DT42" s="77">
        <f t="shared" si="55"/>
        <v>63</v>
      </c>
      <c r="DU42" s="77">
        <f t="shared" si="55"/>
        <v>64</v>
      </c>
      <c r="DV42" s="77">
        <f t="shared" si="55"/>
        <v>65</v>
      </c>
      <c r="DW42" s="77">
        <f t="shared" si="55"/>
        <v>66</v>
      </c>
      <c r="DX42" s="77">
        <f t="shared" si="55"/>
        <v>67</v>
      </c>
      <c r="DY42" s="77">
        <f t="shared" si="55"/>
        <v>68</v>
      </c>
      <c r="DZ42" s="77">
        <f t="shared" si="55"/>
        <v>69</v>
      </c>
      <c r="EA42" s="77">
        <f t="shared" si="55"/>
        <v>70</v>
      </c>
      <c r="EB42" s="77">
        <f t="shared" si="55"/>
        <v>71</v>
      </c>
      <c r="EC42" s="77">
        <f t="shared" si="55"/>
        <v>72</v>
      </c>
      <c r="ED42" s="77">
        <f t="shared" si="55"/>
        <v>73</v>
      </c>
      <c r="EE42" s="77">
        <f t="shared" si="55"/>
        <v>74</v>
      </c>
      <c r="EF42" s="77">
        <f t="shared" si="55"/>
        <v>75</v>
      </c>
      <c r="EG42" s="77">
        <f t="shared" si="55"/>
        <v>76</v>
      </c>
      <c r="EH42" s="77">
        <f t="shared" si="55"/>
        <v>77</v>
      </c>
      <c r="EI42" s="77">
        <f t="shared" si="55"/>
        <v>78</v>
      </c>
      <c r="EJ42" s="77">
        <f t="shared" si="55"/>
        <v>79</v>
      </c>
      <c r="EK42" s="77">
        <f t="shared" si="55"/>
        <v>80</v>
      </c>
      <c r="EL42" s="77">
        <f t="shared" si="55"/>
        <v>81</v>
      </c>
      <c r="EM42" s="77">
        <f t="shared" si="55"/>
        <v>82</v>
      </c>
      <c r="EN42" s="77">
        <f t="shared" si="55"/>
        <v>83</v>
      </c>
      <c r="EO42" s="77">
        <f t="shared" si="55"/>
        <v>84</v>
      </c>
      <c r="EP42" s="77">
        <f t="shared" si="55"/>
        <v>85</v>
      </c>
      <c r="EQ42" s="77">
        <f t="shared" si="55"/>
        <v>86</v>
      </c>
      <c r="ER42" s="77">
        <f t="shared" si="55"/>
        <v>87</v>
      </c>
      <c r="ES42" s="77">
        <f t="shared" si="55"/>
        <v>88</v>
      </c>
      <c r="ET42" s="77">
        <f t="shared" si="55"/>
        <v>89</v>
      </c>
      <c r="EU42" s="77">
        <f t="shared" si="55"/>
        <v>90</v>
      </c>
      <c r="EV42" s="77">
        <f t="shared" ref="EV42:GX46" si="58">IF(EU42="","",EU42+1)</f>
        <v>91</v>
      </c>
      <c r="EW42" s="77">
        <f t="shared" si="58"/>
        <v>92</v>
      </c>
      <c r="EX42" s="77">
        <f t="shared" si="58"/>
        <v>93</v>
      </c>
      <c r="EY42" s="77">
        <f t="shared" si="58"/>
        <v>94</v>
      </c>
      <c r="EZ42" s="77">
        <f t="shared" si="58"/>
        <v>95</v>
      </c>
      <c r="FA42" s="77">
        <f t="shared" si="58"/>
        <v>96</v>
      </c>
      <c r="FB42" s="77">
        <f t="shared" si="58"/>
        <v>97</v>
      </c>
      <c r="FC42" s="77">
        <f t="shared" si="58"/>
        <v>98</v>
      </c>
      <c r="FD42" s="77">
        <f t="shared" si="58"/>
        <v>99</v>
      </c>
      <c r="FE42" s="77">
        <f t="shared" si="58"/>
        <v>100</v>
      </c>
      <c r="FF42" s="77">
        <f t="shared" si="58"/>
        <v>101</v>
      </c>
      <c r="FG42" s="77">
        <f t="shared" si="58"/>
        <v>102</v>
      </c>
      <c r="FH42" s="77">
        <f t="shared" si="58"/>
        <v>103</v>
      </c>
      <c r="FI42" s="77">
        <f t="shared" si="58"/>
        <v>104</v>
      </c>
      <c r="FJ42" s="77">
        <f t="shared" si="58"/>
        <v>105</v>
      </c>
      <c r="FK42" s="77">
        <f t="shared" si="58"/>
        <v>106</v>
      </c>
      <c r="FL42" s="77">
        <f t="shared" si="58"/>
        <v>107</v>
      </c>
      <c r="FM42" s="77">
        <f t="shared" si="58"/>
        <v>108</v>
      </c>
      <c r="FN42" s="77">
        <f t="shared" si="58"/>
        <v>109</v>
      </c>
      <c r="FO42" s="77">
        <f t="shared" si="58"/>
        <v>110</v>
      </c>
      <c r="FP42" s="77">
        <f t="shared" si="58"/>
        <v>111</v>
      </c>
      <c r="FQ42" s="77">
        <f t="shared" si="58"/>
        <v>112</v>
      </c>
      <c r="FR42" s="77">
        <f t="shared" si="58"/>
        <v>113</v>
      </c>
      <c r="FS42" s="77">
        <f t="shared" si="58"/>
        <v>114</v>
      </c>
      <c r="FT42" s="77">
        <f t="shared" si="58"/>
        <v>115</v>
      </c>
      <c r="FU42" s="77">
        <f t="shared" si="58"/>
        <v>116</v>
      </c>
      <c r="FV42" s="77">
        <f t="shared" si="58"/>
        <v>117</v>
      </c>
      <c r="FW42" s="77">
        <f t="shared" si="58"/>
        <v>118</v>
      </c>
      <c r="FX42" s="77">
        <f t="shared" si="58"/>
        <v>119</v>
      </c>
      <c r="FY42" s="77">
        <f t="shared" si="58"/>
        <v>120</v>
      </c>
      <c r="FZ42" s="77">
        <f t="shared" si="58"/>
        <v>121</v>
      </c>
      <c r="GA42" s="77">
        <f t="shared" si="58"/>
        <v>122</v>
      </c>
      <c r="GB42" s="77">
        <f t="shared" si="58"/>
        <v>123</v>
      </c>
      <c r="GC42" s="77">
        <f t="shared" si="58"/>
        <v>124</v>
      </c>
      <c r="GD42" s="77">
        <f t="shared" si="58"/>
        <v>125</v>
      </c>
      <c r="GE42" s="77">
        <f t="shared" si="58"/>
        <v>126</v>
      </c>
      <c r="GF42" s="77">
        <f t="shared" si="58"/>
        <v>127</v>
      </c>
      <c r="GG42" s="77">
        <f t="shared" si="58"/>
        <v>128</v>
      </c>
      <c r="GH42" s="77">
        <f t="shared" si="58"/>
        <v>129</v>
      </c>
      <c r="GI42" s="77">
        <f t="shared" si="58"/>
        <v>130</v>
      </c>
      <c r="GJ42" s="77">
        <f t="shared" si="58"/>
        <v>131</v>
      </c>
      <c r="GK42" s="77">
        <f t="shared" si="58"/>
        <v>132</v>
      </c>
      <c r="GL42" s="77">
        <f t="shared" si="58"/>
        <v>133</v>
      </c>
      <c r="GM42" s="77">
        <f t="shared" si="58"/>
        <v>134</v>
      </c>
      <c r="GN42" s="77">
        <f t="shared" si="58"/>
        <v>135</v>
      </c>
      <c r="GO42" s="77">
        <f t="shared" si="58"/>
        <v>136</v>
      </c>
      <c r="GP42" s="77">
        <f t="shared" si="58"/>
        <v>137</v>
      </c>
      <c r="GQ42" s="77">
        <f t="shared" si="58"/>
        <v>138</v>
      </c>
      <c r="GR42" s="77">
        <f t="shared" si="58"/>
        <v>139</v>
      </c>
      <c r="GS42" s="77">
        <f t="shared" si="58"/>
        <v>140</v>
      </c>
      <c r="GT42" s="77">
        <f t="shared" si="58"/>
        <v>141</v>
      </c>
      <c r="GU42" s="77">
        <f t="shared" si="58"/>
        <v>142</v>
      </c>
      <c r="GV42" s="77">
        <f t="shared" si="58"/>
        <v>143</v>
      </c>
      <c r="GW42" s="77">
        <f t="shared" si="58"/>
        <v>144</v>
      </c>
      <c r="GX42" s="77">
        <f t="shared" si="58"/>
        <v>145</v>
      </c>
    </row>
    <row r="43" spans="1:206" ht="15" customHeight="1" x14ac:dyDescent="0.2">
      <c r="A43" s="22" t="s">
        <v>68</v>
      </c>
      <c r="B43" s="22">
        <v>2</v>
      </c>
      <c r="C43" s="22" t="s">
        <v>102</v>
      </c>
      <c r="D43" s="22" t="s">
        <v>135</v>
      </c>
      <c r="E43" s="22" t="s">
        <v>136</v>
      </c>
      <c r="F43" s="22" t="s">
        <v>127</v>
      </c>
      <c r="G43" s="22" t="s">
        <v>134</v>
      </c>
      <c r="H43" s="22">
        <v>2010</v>
      </c>
      <c r="I43" s="22">
        <v>16</v>
      </c>
      <c r="J43" s="22">
        <v>16.5</v>
      </c>
      <c r="K43" s="22">
        <v>68</v>
      </c>
      <c r="L43" s="22">
        <v>1846</v>
      </c>
      <c r="M43" s="22">
        <v>1778</v>
      </c>
      <c r="N43" s="22" t="s">
        <v>95</v>
      </c>
      <c r="O43" s="22" t="s">
        <v>96</v>
      </c>
      <c r="P43" s="22" t="s">
        <v>75</v>
      </c>
      <c r="Q43" s="108">
        <f>IF(R43="","",'Dashboard Ciclos'!$B$2-R43)</f>
        <v>46246</v>
      </c>
      <c r="R43" s="22">
        <f>IF($E43="","",IFERROR(INDEX($W43:$GX43,MATCH('Dashboard Ciclos'!$B$2,$W$1:$GX$1,0)),""))</f>
        <v>3</v>
      </c>
      <c r="S43" s="22" t="str">
        <f t="shared" si="45"/>
        <v>En ciclo</v>
      </c>
      <c r="T43" s="22" t="str">
        <f t="shared" si="46"/>
        <v>Recién cortado</v>
      </c>
      <c r="U43" s="22">
        <f t="shared" si="47"/>
        <v>9</v>
      </c>
      <c r="V43" s="23">
        <f t="shared" si="48"/>
        <v>46258</v>
      </c>
      <c r="W43" s="77">
        <f t="shared" si="49"/>
        <v>-1</v>
      </c>
      <c r="X43" s="77">
        <f t="shared" si="49"/>
        <v>0</v>
      </c>
      <c r="Y43" s="77">
        <f t="shared" si="49"/>
        <v>1</v>
      </c>
      <c r="Z43" s="77">
        <f t="shared" si="49"/>
        <v>2</v>
      </c>
      <c r="AA43" s="77">
        <v>3</v>
      </c>
      <c r="AB43" s="77">
        <f t="shared" si="50"/>
        <v>4</v>
      </c>
      <c r="AC43" s="77">
        <f t="shared" si="50"/>
        <v>5</v>
      </c>
      <c r="AD43" s="77">
        <f t="shared" si="50"/>
        <v>6</v>
      </c>
      <c r="AE43" s="77">
        <f t="shared" si="50"/>
        <v>7</v>
      </c>
      <c r="AF43" s="77">
        <f t="shared" si="50"/>
        <v>8</v>
      </c>
      <c r="AG43" s="77">
        <f t="shared" si="50"/>
        <v>9</v>
      </c>
      <c r="AH43" s="77">
        <f t="shared" si="50"/>
        <v>10</v>
      </c>
      <c r="AI43" s="77">
        <f t="shared" si="50"/>
        <v>11</v>
      </c>
      <c r="AJ43" s="77">
        <f t="shared" si="50"/>
        <v>12</v>
      </c>
      <c r="AK43" s="77">
        <f t="shared" si="50"/>
        <v>13</v>
      </c>
      <c r="AL43" s="77">
        <f t="shared" si="50"/>
        <v>14</v>
      </c>
      <c r="AM43" s="77">
        <f t="shared" si="50"/>
        <v>15</v>
      </c>
      <c r="AN43" s="77">
        <f t="shared" si="50"/>
        <v>16</v>
      </c>
      <c r="AO43" s="77">
        <f t="shared" si="50"/>
        <v>17</v>
      </c>
      <c r="AP43" s="77">
        <f t="shared" si="50"/>
        <v>18</v>
      </c>
      <c r="AQ43" s="77">
        <f t="shared" si="50"/>
        <v>19</v>
      </c>
      <c r="AR43" s="77">
        <f t="shared" si="27"/>
        <v>20</v>
      </c>
      <c r="AS43" s="77">
        <f t="shared" si="56"/>
        <v>21</v>
      </c>
      <c r="AT43" s="77">
        <f t="shared" si="56"/>
        <v>22</v>
      </c>
      <c r="AU43" s="77">
        <f t="shared" si="56"/>
        <v>23</v>
      </c>
      <c r="AV43" s="77">
        <f t="shared" si="56"/>
        <v>24</v>
      </c>
      <c r="AW43" s="77">
        <f t="shared" si="56"/>
        <v>25</v>
      </c>
      <c r="AX43" s="77">
        <f t="shared" si="56"/>
        <v>26</v>
      </c>
      <c r="AY43" s="77">
        <f t="shared" si="56"/>
        <v>27</v>
      </c>
      <c r="AZ43" s="77">
        <f t="shared" si="56"/>
        <v>28</v>
      </c>
      <c r="BA43" s="77">
        <f t="shared" si="56"/>
        <v>29</v>
      </c>
      <c r="BB43" s="77">
        <f t="shared" si="56"/>
        <v>30</v>
      </c>
      <c r="BC43" s="77">
        <f t="shared" si="56"/>
        <v>31</v>
      </c>
      <c r="BD43" s="77">
        <f t="shared" si="56"/>
        <v>32</v>
      </c>
      <c r="BE43" s="77">
        <f t="shared" si="56"/>
        <v>33</v>
      </c>
      <c r="BF43" s="77">
        <f t="shared" si="56"/>
        <v>34</v>
      </c>
      <c r="BG43" s="77">
        <f t="shared" si="56"/>
        <v>35</v>
      </c>
      <c r="BH43" s="77">
        <f t="shared" si="56"/>
        <v>36</v>
      </c>
      <c r="BI43" s="77">
        <f t="shared" si="56"/>
        <v>37</v>
      </c>
      <c r="BJ43" s="77">
        <f t="shared" si="56"/>
        <v>38</v>
      </c>
      <c r="BK43" s="77">
        <f t="shared" si="56"/>
        <v>39</v>
      </c>
      <c r="BL43" s="77">
        <f t="shared" si="56"/>
        <v>40</v>
      </c>
      <c r="BM43" s="77">
        <v>0</v>
      </c>
      <c r="BN43" s="77">
        <f t="shared" si="56"/>
        <v>1</v>
      </c>
      <c r="BO43" s="77">
        <f t="shared" si="56"/>
        <v>2</v>
      </c>
      <c r="BP43" s="77">
        <f t="shared" si="56"/>
        <v>3</v>
      </c>
      <c r="BQ43" s="77">
        <f t="shared" si="56"/>
        <v>4</v>
      </c>
      <c r="BR43" s="77">
        <f t="shared" si="56"/>
        <v>5</v>
      </c>
      <c r="BS43" s="77">
        <f t="shared" si="56"/>
        <v>6</v>
      </c>
      <c r="BT43" s="77">
        <f t="shared" si="56"/>
        <v>7</v>
      </c>
      <c r="BU43" s="77">
        <f t="shared" si="56"/>
        <v>8</v>
      </c>
      <c r="BV43" s="77">
        <f t="shared" si="56"/>
        <v>9</v>
      </c>
      <c r="BW43" s="77">
        <f t="shared" si="56"/>
        <v>10</v>
      </c>
      <c r="BX43" s="77">
        <f t="shared" si="56"/>
        <v>11</v>
      </c>
      <c r="BY43" s="77">
        <f t="shared" si="56"/>
        <v>12</v>
      </c>
      <c r="BZ43" s="77">
        <f t="shared" si="56"/>
        <v>13</v>
      </c>
      <c r="CA43" s="77">
        <f t="shared" si="56"/>
        <v>14</v>
      </c>
      <c r="CB43" s="77">
        <f t="shared" si="56"/>
        <v>15</v>
      </c>
      <c r="CC43" s="77">
        <f t="shared" si="56"/>
        <v>16</v>
      </c>
      <c r="CD43" s="77">
        <f t="shared" si="56"/>
        <v>17</v>
      </c>
      <c r="CE43" s="77">
        <f t="shared" si="56"/>
        <v>18</v>
      </c>
      <c r="CF43" s="77">
        <f t="shared" si="56"/>
        <v>19</v>
      </c>
      <c r="CG43" s="77">
        <f t="shared" si="56"/>
        <v>20</v>
      </c>
      <c r="CH43" s="77">
        <f t="shared" si="56"/>
        <v>21</v>
      </c>
      <c r="CI43" s="77">
        <f t="shared" si="56"/>
        <v>22</v>
      </c>
      <c r="CJ43" s="77">
        <f t="shared" ref="CJ43:EU46" si="59">IF(CI43="","",CI43+1)</f>
        <v>23</v>
      </c>
      <c r="CK43" s="77">
        <f t="shared" si="59"/>
        <v>24</v>
      </c>
      <c r="CL43" s="77">
        <f t="shared" si="59"/>
        <v>25</v>
      </c>
      <c r="CM43" s="77">
        <f t="shared" si="59"/>
        <v>26</v>
      </c>
      <c r="CN43" s="77">
        <f t="shared" si="59"/>
        <v>27</v>
      </c>
      <c r="CO43" s="77">
        <f t="shared" si="59"/>
        <v>28</v>
      </c>
      <c r="CP43" s="77">
        <f t="shared" si="59"/>
        <v>29</v>
      </c>
      <c r="CQ43" s="77">
        <f t="shared" si="59"/>
        <v>30</v>
      </c>
      <c r="CR43" s="77">
        <f t="shared" si="59"/>
        <v>31</v>
      </c>
      <c r="CS43" s="77">
        <f t="shared" si="59"/>
        <v>32</v>
      </c>
      <c r="CT43" s="77">
        <f t="shared" si="59"/>
        <v>33</v>
      </c>
      <c r="CU43" s="77">
        <f t="shared" si="59"/>
        <v>34</v>
      </c>
      <c r="CV43" s="77">
        <f t="shared" si="59"/>
        <v>35</v>
      </c>
      <c r="CW43" s="77">
        <f t="shared" si="59"/>
        <v>36</v>
      </c>
      <c r="CX43" s="77">
        <f t="shared" si="59"/>
        <v>37</v>
      </c>
      <c r="CY43" s="77">
        <f t="shared" si="59"/>
        <v>38</v>
      </c>
      <c r="CZ43" s="77">
        <f t="shared" si="59"/>
        <v>39</v>
      </c>
      <c r="DA43" s="77">
        <f t="shared" si="59"/>
        <v>40</v>
      </c>
      <c r="DB43" s="77">
        <f t="shared" si="59"/>
        <v>41</v>
      </c>
      <c r="DC43" s="77">
        <f t="shared" si="59"/>
        <v>42</v>
      </c>
      <c r="DD43" s="77">
        <f t="shared" si="59"/>
        <v>43</v>
      </c>
      <c r="DE43" s="77">
        <f t="shared" si="59"/>
        <v>44</v>
      </c>
      <c r="DF43" s="77">
        <f t="shared" si="59"/>
        <v>45</v>
      </c>
      <c r="DG43" s="77">
        <f t="shared" si="59"/>
        <v>46</v>
      </c>
      <c r="DH43" s="77">
        <f t="shared" si="59"/>
        <v>47</v>
      </c>
      <c r="DI43" s="77">
        <f t="shared" si="59"/>
        <v>48</v>
      </c>
      <c r="DJ43" s="77">
        <f t="shared" si="59"/>
        <v>49</v>
      </c>
      <c r="DK43" s="77">
        <f t="shared" si="59"/>
        <v>50</v>
      </c>
      <c r="DL43" s="77">
        <f t="shared" si="59"/>
        <v>51</v>
      </c>
      <c r="DM43" s="77">
        <f t="shared" si="59"/>
        <v>52</v>
      </c>
      <c r="DN43" s="77">
        <f t="shared" si="59"/>
        <v>53</v>
      </c>
      <c r="DO43" s="77">
        <f t="shared" si="59"/>
        <v>54</v>
      </c>
      <c r="DP43" s="77">
        <f t="shared" si="59"/>
        <v>55</v>
      </c>
      <c r="DQ43" s="77">
        <f t="shared" si="59"/>
        <v>56</v>
      </c>
      <c r="DR43" s="77">
        <f t="shared" si="59"/>
        <v>57</v>
      </c>
      <c r="DS43" s="77">
        <f t="shared" si="59"/>
        <v>58</v>
      </c>
      <c r="DT43" s="77">
        <f t="shared" si="59"/>
        <v>59</v>
      </c>
      <c r="DU43" s="77">
        <f t="shared" si="59"/>
        <v>60</v>
      </c>
      <c r="DV43" s="77">
        <f t="shared" si="59"/>
        <v>61</v>
      </c>
      <c r="DW43" s="77">
        <f t="shared" si="59"/>
        <v>62</v>
      </c>
      <c r="DX43" s="77">
        <f t="shared" si="59"/>
        <v>63</v>
      </c>
      <c r="DY43" s="77">
        <f t="shared" si="59"/>
        <v>64</v>
      </c>
      <c r="DZ43" s="77">
        <f t="shared" si="59"/>
        <v>65</v>
      </c>
      <c r="EA43" s="77">
        <f t="shared" si="59"/>
        <v>66</v>
      </c>
      <c r="EB43" s="77">
        <f t="shared" si="59"/>
        <v>67</v>
      </c>
      <c r="EC43" s="77">
        <f t="shared" si="59"/>
        <v>68</v>
      </c>
      <c r="ED43" s="77">
        <f t="shared" si="59"/>
        <v>69</v>
      </c>
      <c r="EE43" s="77">
        <f t="shared" si="59"/>
        <v>70</v>
      </c>
      <c r="EF43" s="77">
        <f t="shared" si="59"/>
        <v>71</v>
      </c>
      <c r="EG43" s="77">
        <f t="shared" si="59"/>
        <v>72</v>
      </c>
      <c r="EH43" s="77">
        <f t="shared" si="59"/>
        <v>73</v>
      </c>
      <c r="EI43" s="77">
        <f t="shared" si="59"/>
        <v>74</v>
      </c>
      <c r="EJ43" s="77">
        <f t="shared" si="59"/>
        <v>75</v>
      </c>
      <c r="EK43" s="77">
        <f t="shared" si="59"/>
        <v>76</v>
      </c>
      <c r="EL43" s="77">
        <f t="shared" si="59"/>
        <v>77</v>
      </c>
      <c r="EM43" s="77">
        <f t="shared" si="59"/>
        <v>78</v>
      </c>
      <c r="EN43" s="77">
        <f t="shared" si="59"/>
        <v>79</v>
      </c>
      <c r="EO43" s="77">
        <f t="shared" si="59"/>
        <v>80</v>
      </c>
      <c r="EP43" s="77">
        <f t="shared" si="59"/>
        <v>81</v>
      </c>
      <c r="EQ43" s="77">
        <f t="shared" si="59"/>
        <v>82</v>
      </c>
      <c r="ER43" s="77">
        <f t="shared" si="59"/>
        <v>83</v>
      </c>
      <c r="ES43" s="77">
        <f t="shared" si="59"/>
        <v>84</v>
      </c>
      <c r="ET43" s="77">
        <f t="shared" si="59"/>
        <v>85</v>
      </c>
      <c r="EU43" s="77">
        <f t="shared" si="59"/>
        <v>86</v>
      </c>
      <c r="EV43" s="77">
        <f t="shared" si="58"/>
        <v>87</v>
      </c>
      <c r="EW43" s="77">
        <f t="shared" si="58"/>
        <v>88</v>
      </c>
      <c r="EX43" s="77">
        <f t="shared" si="58"/>
        <v>89</v>
      </c>
      <c r="EY43" s="77">
        <f t="shared" si="58"/>
        <v>90</v>
      </c>
      <c r="EZ43" s="77">
        <f t="shared" si="58"/>
        <v>91</v>
      </c>
      <c r="FA43" s="77">
        <f t="shared" si="58"/>
        <v>92</v>
      </c>
      <c r="FB43" s="77">
        <f t="shared" si="58"/>
        <v>93</v>
      </c>
      <c r="FC43" s="77">
        <f t="shared" si="58"/>
        <v>94</v>
      </c>
      <c r="FD43" s="77">
        <f t="shared" si="58"/>
        <v>95</v>
      </c>
      <c r="FE43" s="77">
        <f t="shared" si="58"/>
        <v>96</v>
      </c>
      <c r="FF43" s="77">
        <f t="shared" si="58"/>
        <v>97</v>
      </c>
      <c r="FG43" s="77">
        <f t="shared" si="58"/>
        <v>98</v>
      </c>
      <c r="FH43" s="77">
        <f t="shared" si="58"/>
        <v>99</v>
      </c>
      <c r="FI43" s="77">
        <f t="shared" si="58"/>
        <v>100</v>
      </c>
      <c r="FJ43" s="77">
        <f t="shared" si="58"/>
        <v>101</v>
      </c>
      <c r="FK43" s="77">
        <f t="shared" si="58"/>
        <v>102</v>
      </c>
      <c r="FL43" s="77">
        <f t="shared" si="58"/>
        <v>103</v>
      </c>
      <c r="FM43" s="77">
        <f t="shared" si="58"/>
        <v>104</v>
      </c>
      <c r="FN43" s="77">
        <f t="shared" si="58"/>
        <v>105</v>
      </c>
      <c r="FO43" s="77">
        <f t="shared" si="58"/>
        <v>106</v>
      </c>
      <c r="FP43" s="77">
        <f t="shared" si="58"/>
        <v>107</v>
      </c>
      <c r="FQ43" s="77">
        <f t="shared" si="58"/>
        <v>108</v>
      </c>
      <c r="FR43" s="77">
        <f t="shared" si="58"/>
        <v>109</v>
      </c>
      <c r="FS43" s="77">
        <f t="shared" si="58"/>
        <v>110</v>
      </c>
      <c r="FT43" s="77">
        <f t="shared" si="58"/>
        <v>111</v>
      </c>
      <c r="FU43" s="77">
        <f t="shared" si="58"/>
        <v>112</v>
      </c>
      <c r="FV43" s="77">
        <f t="shared" si="58"/>
        <v>113</v>
      </c>
      <c r="FW43" s="77">
        <f t="shared" si="58"/>
        <v>114</v>
      </c>
      <c r="FX43" s="77">
        <f t="shared" si="58"/>
        <v>115</v>
      </c>
      <c r="FY43" s="77">
        <f t="shared" si="58"/>
        <v>116</v>
      </c>
      <c r="FZ43" s="77">
        <f t="shared" si="58"/>
        <v>117</v>
      </c>
      <c r="GA43" s="77">
        <f t="shared" si="58"/>
        <v>118</v>
      </c>
      <c r="GB43" s="77">
        <f t="shared" si="58"/>
        <v>119</v>
      </c>
      <c r="GC43" s="77">
        <f t="shared" si="58"/>
        <v>120</v>
      </c>
      <c r="GD43" s="77">
        <f t="shared" si="58"/>
        <v>121</v>
      </c>
      <c r="GE43" s="77">
        <f t="shared" si="58"/>
        <v>122</v>
      </c>
      <c r="GF43" s="77">
        <f t="shared" si="58"/>
        <v>123</v>
      </c>
      <c r="GG43" s="77">
        <f t="shared" si="58"/>
        <v>124</v>
      </c>
      <c r="GH43" s="77">
        <f t="shared" si="58"/>
        <v>125</v>
      </c>
      <c r="GI43" s="77">
        <f t="shared" si="58"/>
        <v>126</v>
      </c>
      <c r="GJ43" s="77">
        <f t="shared" si="58"/>
        <v>127</v>
      </c>
      <c r="GK43" s="77">
        <f t="shared" si="58"/>
        <v>128</v>
      </c>
      <c r="GL43" s="77">
        <f t="shared" si="58"/>
        <v>129</v>
      </c>
      <c r="GM43" s="77">
        <f t="shared" si="58"/>
        <v>130</v>
      </c>
      <c r="GN43" s="77">
        <f t="shared" si="58"/>
        <v>131</v>
      </c>
      <c r="GO43" s="77">
        <f t="shared" si="58"/>
        <v>132</v>
      </c>
      <c r="GP43" s="77">
        <f t="shared" si="58"/>
        <v>133</v>
      </c>
      <c r="GQ43" s="77">
        <f t="shared" si="58"/>
        <v>134</v>
      </c>
      <c r="GR43" s="77">
        <f t="shared" si="58"/>
        <v>135</v>
      </c>
      <c r="GS43" s="77">
        <f t="shared" si="58"/>
        <v>136</v>
      </c>
      <c r="GT43" s="77">
        <f t="shared" si="58"/>
        <v>137</v>
      </c>
      <c r="GU43" s="77">
        <f t="shared" si="58"/>
        <v>138</v>
      </c>
      <c r="GV43" s="77">
        <f t="shared" si="58"/>
        <v>139</v>
      </c>
      <c r="GW43" s="77">
        <f t="shared" si="58"/>
        <v>140</v>
      </c>
      <c r="GX43" s="77">
        <f t="shared" si="58"/>
        <v>141</v>
      </c>
    </row>
    <row r="44" spans="1:206" ht="15" customHeight="1" x14ac:dyDescent="0.2">
      <c r="A44" s="22" t="s">
        <v>68</v>
      </c>
      <c r="B44" s="22">
        <v>3</v>
      </c>
      <c r="C44" s="22" t="s">
        <v>105</v>
      </c>
      <c r="D44" s="22">
        <v>36</v>
      </c>
      <c r="E44" s="22" t="s">
        <v>137</v>
      </c>
      <c r="F44" s="22" t="s">
        <v>81</v>
      </c>
      <c r="G44" s="22" t="s">
        <v>82</v>
      </c>
      <c r="H44" s="22">
        <v>2010</v>
      </c>
      <c r="I44" s="22">
        <v>16</v>
      </c>
      <c r="J44" s="22">
        <v>16.98</v>
      </c>
      <c r="K44" s="22">
        <v>278</v>
      </c>
      <c r="L44" s="22">
        <v>2442</v>
      </c>
      <c r="M44" s="22">
        <v>2164</v>
      </c>
      <c r="N44" s="22" t="s">
        <v>95</v>
      </c>
      <c r="O44" s="22" t="s">
        <v>96</v>
      </c>
      <c r="P44" s="22" t="s">
        <v>75</v>
      </c>
      <c r="Q44" s="108">
        <f>IF(R44="","",'Dashboard Ciclos'!$B$2-R44)</f>
        <v>46231</v>
      </c>
      <c r="R44" s="22">
        <f>IF($E44="","",IFERROR(INDEX($W44:$GX44,MATCH('Dashboard Ciclos'!$B$2,$W$1:$GX$1,0)),""))</f>
        <v>18</v>
      </c>
      <c r="S44" s="22" t="str">
        <f t="shared" si="45"/>
        <v>Vencido 6-10 d</v>
      </c>
      <c r="T44" s="22" t="str">
        <f t="shared" si="46"/>
        <v>Fuera de ciclo</v>
      </c>
      <c r="U44" s="22">
        <f t="shared" si="47"/>
        <v>-6</v>
      </c>
      <c r="V44" s="23">
        <f t="shared" si="48"/>
        <v>46243</v>
      </c>
      <c r="W44" s="77">
        <f t="shared" si="49"/>
        <v>19</v>
      </c>
      <c r="X44" s="77">
        <f t="shared" si="49"/>
        <v>20</v>
      </c>
      <c r="Y44" s="77">
        <f t="shared" si="49"/>
        <v>21</v>
      </c>
      <c r="Z44" s="77">
        <f t="shared" si="49"/>
        <v>22</v>
      </c>
      <c r="AA44" s="77">
        <v>23</v>
      </c>
      <c r="AB44" s="77">
        <f t="shared" si="50"/>
        <v>24</v>
      </c>
      <c r="AC44" s="77">
        <f t="shared" si="50"/>
        <v>25</v>
      </c>
      <c r="AD44" s="77">
        <f t="shared" si="50"/>
        <v>26</v>
      </c>
      <c r="AE44" s="77">
        <v>0</v>
      </c>
      <c r="AF44" s="77">
        <f t="shared" si="50"/>
        <v>1</v>
      </c>
      <c r="AG44" s="77">
        <f t="shared" si="50"/>
        <v>2</v>
      </c>
      <c r="AH44" s="77">
        <f t="shared" si="50"/>
        <v>3</v>
      </c>
      <c r="AI44" s="77">
        <f t="shared" si="50"/>
        <v>4</v>
      </c>
      <c r="AJ44" s="77">
        <f t="shared" si="50"/>
        <v>5</v>
      </c>
      <c r="AK44" s="77">
        <f t="shared" si="50"/>
        <v>6</v>
      </c>
      <c r="AL44" s="77">
        <f t="shared" si="50"/>
        <v>7</v>
      </c>
      <c r="AM44" s="77">
        <f t="shared" si="50"/>
        <v>8</v>
      </c>
      <c r="AN44" s="77">
        <f t="shared" si="50"/>
        <v>9</v>
      </c>
      <c r="AO44" s="77">
        <f t="shared" si="50"/>
        <v>10</v>
      </c>
      <c r="AP44" s="77">
        <f t="shared" si="50"/>
        <v>11</v>
      </c>
      <c r="AQ44" s="77">
        <f t="shared" si="50"/>
        <v>12</v>
      </c>
      <c r="AR44" s="77">
        <f t="shared" si="27"/>
        <v>13</v>
      </c>
      <c r="AS44" s="77">
        <f t="shared" ref="AS44:CJ47" si="60">IF(AR44="","",AR44+1)</f>
        <v>14</v>
      </c>
      <c r="AT44" s="77">
        <f t="shared" si="60"/>
        <v>15</v>
      </c>
      <c r="AU44" s="77">
        <f t="shared" si="60"/>
        <v>16</v>
      </c>
      <c r="AV44" s="77">
        <f t="shared" si="60"/>
        <v>17</v>
      </c>
      <c r="AW44" s="77">
        <f t="shared" si="60"/>
        <v>18</v>
      </c>
      <c r="AX44" s="77">
        <v>0</v>
      </c>
      <c r="AY44" s="77">
        <f t="shared" si="60"/>
        <v>1</v>
      </c>
      <c r="AZ44" s="77">
        <f t="shared" si="60"/>
        <v>2</v>
      </c>
      <c r="BA44" s="77">
        <f t="shared" si="60"/>
        <v>3</v>
      </c>
      <c r="BB44" s="77">
        <f t="shared" si="60"/>
        <v>4</v>
      </c>
      <c r="BC44" s="77">
        <f t="shared" si="60"/>
        <v>5</v>
      </c>
      <c r="BD44" s="77">
        <f t="shared" si="60"/>
        <v>6</v>
      </c>
      <c r="BE44" s="77">
        <f t="shared" si="60"/>
        <v>7</v>
      </c>
      <c r="BF44" s="77">
        <f t="shared" si="60"/>
        <v>8</v>
      </c>
      <c r="BG44" s="77">
        <f t="shared" si="60"/>
        <v>9</v>
      </c>
      <c r="BH44" s="77">
        <f t="shared" si="60"/>
        <v>10</v>
      </c>
      <c r="BI44" s="77">
        <f t="shared" si="60"/>
        <v>11</v>
      </c>
      <c r="BJ44" s="77">
        <f t="shared" si="60"/>
        <v>12</v>
      </c>
      <c r="BK44" s="77">
        <f t="shared" si="60"/>
        <v>13</v>
      </c>
      <c r="BL44" s="77">
        <f t="shared" si="60"/>
        <v>14</v>
      </c>
      <c r="BM44" s="77">
        <f t="shared" si="60"/>
        <v>15</v>
      </c>
      <c r="BN44" s="77">
        <f t="shared" si="60"/>
        <v>16</v>
      </c>
      <c r="BO44" s="77">
        <f t="shared" si="60"/>
        <v>17</v>
      </c>
      <c r="BP44" s="77">
        <f t="shared" si="60"/>
        <v>18</v>
      </c>
      <c r="BQ44" s="77">
        <f t="shared" si="60"/>
        <v>19</v>
      </c>
      <c r="BR44" s="77">
        <f t="shared" si="60"/>
        <v>20</v>
      </c>
      <c r="BS44" s="77">
        <f t="shared" si="60"/>
        <v>21</v>
      </c>
      <c r="BT44" s="77">
        <f t="shared" si="60"/>
        <v>22</v>
      </c>
      <c r="BU44" s="77">
        <f t="shared" si="60"/>
        <v>23</v>
      </c>
      <c r="BV44" s="77">
        <f t="shared" si="60"/>
        <v>24</v>
      </c>
      <c r="BW44" s="77">
        <f t="shared" si="60"/>
        <v>25</v>
      </c>
      <c r="BX44" s="77">
        <f t="shared" si="60"/>
        <v>26</v>
      </c>
      <c r="BY44" s="77">
        <f t="shared" si="60"/>
        <v>27</v>
      </c>
      <c r="BZ44" s="77">
        <f t="shared" si="60"/>
        <v>28</v>
      </c>
      <c r="CA44" s="77">
        <f t="shared" si="60"/>
        <v>29</v>
      </c>
      <c r="CB44" s="77">
        <f t="shared" si="60"/>
        <v>30</v>
      </c>
      <c r="CC44" s="77">
        <f t="shared" si="60"/>
        <v>31</v>
      </c>
      <c r="CD44" s="77">
        <f t="shared" si="60"/>
        <v>32</v>
      </c>
      <c r="CE44" s="77">
        <f t="shared" si="60"/>
        <v>33</v>
      </c>
      <c r="CF44" s="77">
        <f t="shared" si="60"/>
        <v>34</v>
      </c>
      <c r="CG44" s="77">
        <f t="shared" si="60"/>
        <v>35</v>
      </c>
      <c r="CH44" s="77">
        <f t="shared" si="60"/>
        <v>36</v>
      </c>
      <c r="CI44" s="77">
        <f t="shared" si="60"/>
        <v>37</v>
      </c>
      <c r="CJ44" s="77">
        <f t="shared" si="60"/>
        <v>38</v>
      </c>
      <c r="CK44" s="77">
        <f t="shared" si="59"/>
        <v>39</v>
      </c>
      <c r="CL44" s="77">
        <f t="shared" si="59"/>
        <v>40</v>
      </c>
      <c r="CM44" s="77">
        <f t="shared" si="59"/>
        <v>41</v>
      </c>
      <c r="CN44" s="77">
        <f t="shared" si="59"/>
        <v>42</v>
      </c>
      <c r="CO44" s="77">
        <f t="shared" si="59"/>
        <v>43</v>
      </c>
      <c r="CP44" s="77">
        <f t="shared" si="59"/>
        <v>44</v>
      </c>
      <c r="CQ44" s="77">
        <f t="shared" si="59"/>
        <v>45</v>
      </c>
      <c r="CR44" s="77">
        <f t="shared" si="59"/>
        <v>46</v>
      </c>
      <c r="CS44" s="77">
        <f t="shared" si="59"/>
        <v>47</v>
      </c>
      <c r="CT44" s="77">
        <f t="shared" si="59"/>
        <v>48</v>
      </c>
      <c r="CU44" s="77">
        <f t="shared" si="59"/>
        <v>49</v>
      </c>
      <c r="CV44" s="77">
        <f t="shared" si="59"/>
        <v>50</v>
      </c>
      <c r="CW44" s="77">
        <f t="shared" si="59"/>
        <v>51</v>
      </c>
      <c r="CX44" s="77">
        <f t="shared" si="59"/>
        <v>52</v>
      </c>
      <c r="CY44" s="77">
        <f t="shared" si="59"/>
        <v>53</v>
      </c>
      <c r="CZ44" s="77">
        <f t="shared" si="59"/>
        <v>54</v>
      </c>
      <c r="DA44" s="77">
        <f t="shared" si="59"/>
        <v>55</v>
      </c>
      <c r="DB44" s="77">
        <f t="shared" si="59"/>
        <v>56</v>
      </c>
      <c r="DC44" s="77">
        <f t="shared" si="59"/>
        <v>57</v>
      </c>
      <c r="DD44" s="77">
        <f t="shared" si="59"/>
        <v>58</v>
      </c>
      <c r="DE44" s="77">
        <f t="shared" si="59"/>
        <v>59</v>
      </c>
      <c r="DF44" s="77">
        <f t="shared" si="59"/>
        <v>60</v>
      </c>
      <c r="DG44" s="77">
        <f t="shared" si="59"/>
        <v>61</v>
      </c>
      <c r="DH44" s="77">
        <f t="shared" si="59"/>
        <v>62</v>
      </c>
      <c r="DI44" s="77">
        <f t="shared" si="59"/>
        <v>63</v>
      </c>
      <c r="DJ44" s="77">
        <f t="shared" si="59"/>
        <v>64</v>
      </c>
      <c r="DK44" s="77">
        <f t="shared" si="59"/>
        <v>65</v>
      </c>
      <c r="DL44" s="77">
        <f t="shared" si="59"/>
        <v>66</v>
      </c>
      <c r="DM44" s="77">
        <f t="shared" si="59"/>
        <v>67</v>
      </c>
      <c r="DN44" s="77">
        <f t="shared" si="59"/>
        <v>68</v>
      </c>
      <c r="DO44" s="77">
        <f t="shared" si="59"/>
        <v>69</v>
      </c>
      <c r="DP44" s="77">
        <f t="shared" si="59"/>
        <v>70</v>
      </c>
      <c r="DQ44" s="77">
        <f t="shared" si="59"/>
        <v>71</v>
      </c>
      <c r="DR44" s="77">
        <f t="shared" si="59"/>
        <v>72</v>
      </c>
      <c r="DS44" s="77">
        <f t="shared" si="59"/>
        <v>73</v>
      </c>
      <c r="DT44" s="77">
        <f t="shared" si="59"/>
        <v>74</v>
      </c>
      <c r="DU44" s="77">
        <f t="shared" si="59"/>
        <v>75</v>
      </c>
      <c r="DV44" s="77">
        <f t="shared" si="59"/>
        <v>76</v>
      </c>
      <c r="DW44" s="77">
        <f t="shared" si="59"/>
        <v>77</v>
      </c>
      <c r="DX44" s="77">
        <f t="shared" si="59"/>
        <v>78</v>
      </c>
      <c r="DY44" s="77">
        <f t="shared" si="59"/>
        <v>79</v>
      </c>
      <c r="DZ44" s="77">
        <f t="shared" si="59"/>
        <v>80</v>
      </c>
      <c r="EA44" s="77">
        <f t="shared" si="59"/>
        <v>81</v>
      </c>
      <c r="EB44" s="77">
        <f t="shared" si="59"/>
        <v>82</v>
      </c>
      <c r="EC44" s="77">
        <f t="shared" si="59"/>
        <v>83</v>
      </c>
      <c r="ED44" s="77">
        <f t="shared" si="59"/>
        <v>84</v>
      </c>
      <c r="EE44" s="77">
        <f t="shared" si="59"/>
        <v>85</v>
      </c>
      <c r="EF44" s="77">
        <f t="shared" si="59"/>
        <v>86</v>
      </c>
      <c r="EG44" s="77">
        <f t="shared" si="59"/>
        <v>87</v>
      </c>
      <c r="EH44" s="77">
        <f t="shared" si="59"/>
        <v>88</v>
      </c>
      <c r="EI44" s="77">
        <f t="shared" si="59"/>
        <v>89</v>
      </c>
      <c r="EJ44" s="77">
        <f t="shared" si="59"/>
        <v>90</v>
      </c>
      <c r="EK44" s="77">
        <f t="shared" si="59"/>
        <v>91</v>
      </c>
      <c r="EL44" s="77">
        <f t="shared" si="59"/>
        <v>92</v>
      </c>
      <c r="EM44" s="77">
        <f t="shared" si="59"/>
        <v>93</v>
      </c>
      <c r="EN44" s="77">
        <f t="shared" si="59"/>
        <v>94</v>
      </c>
      <c r="EO44" s="77">
        <f t="shared" si="59"/>
        <v>95</v>
      </c>
      <c r="EP44" s="77">
        <f t="shared" si="59"/>
        <v>96</v>
      </c>
      <c r="EQ44" s="77">
        <f t="shared" si="59"/>
        <v>97</v>
      </c>
      <c r="ER44" s="77">
        <f t="shared" si="59"/>
        <v>98</v>
      </c>
      <c r="ES44" s="77">
        <f t="shared" si="59"/>
        <v>99</v>
      </c>
      <c r="ET44" s="77">
        <f t="shared" si="59"/>
        <v>100</v>
      </c>
      <c r="EU44" s="77">
        <f t="shared" si="59"/>
        <v>101</v>
      </c>
      <c r="EV44" s="77">
        <f t="shared" si="58"/>
        <v>102</v>
      </c>
      <c r="EW44" s="77">
        <f t="shared" si="58"/>
        <v>103</v>
      </c>
      <c r="EX44" s="77">
        <f t="shared" si="58"/>
        <v>104</v>
      </c>
      <c r="EY44" s="77">
        <f t="shared" si="58"/>
        <v>105</v>
      </c>
      <c r="EZ44" s="77">
        <f t="shared" si="58"/>
        <v>106</v>
      </c>
      <c r="FA44" s="77">
        <f t="shared" si="58"/>
        <v>107</v>
      </c>
      <c r="FB44" s="77">
        <f t="shared" si="58"/>
        <v>108</v>
      </c>
      <c r="FC44" s="77">
        <f t="shared" si="58"/>
        <v>109</v>
      </c>
      <c r="FD44" s="77">
        <f t="shared" si="58"/>
        <v>110</v>
      </c>
      <c r="FE44" s="77">
        <f t="shared" si="58"/>
        <v>111</v>
      </c>
      <c r="FF44" s="77">
        <f t="shared" si="58"/>
        <v>112</v>
      </c>
      <c r="FG44" s="77">
        <f t="shared" si="58"/>
        <v>113</v>
      </c>
      <c r="FH44" s="77">
        <f t="shared" si="58"/>
        <v>114</v>
      </c>
      <c r="FI44" s="77">
        <f t="shared" si="58"/>
        <v>115</v>
      </c>
      <c r="FJ44" s="77">
        <f t="shared" si="58"/>
        <v>116</v>
      </c>
      <c r="FK44" s="77">
        <f t="shared" si="58"/>
        <v>117</v>
      </c>
      <c r="FL44" s="77">
        <f t="shared" si="58"/>
        <v>118</v>
      </c>
      <c r="FM44" s="77">
        <f t="shared" si="58"/>
        <v>119</v>
      </c>
      <c r="FN44" s="77">
        <f t="shared" si="58"/>
        <v>120</v>
      </c>
      <c r="FO44" s="77">
        <f t="shared" si="58"/>
        <v>121</v>
      </c>
      <c r="FP44" s="77">
        <f t="shared" si="58"/>
        <v>122</v>
      </c>
      <c r="FQ44" s="77">
        <f t="shared" si="58"/>
        <v>123</v>
      </c>
      <c r="FR44" s="77">
        <f t="shared" si="58"/>
        <v>124</v>
      </c>
      <c r="FS44" s="77">
        <f t="shared" si="58"/>
        <v>125</v>
      </c>
      <c r="FT44" s="77">
        <f t="shared" si="58"/>
        <v>126</v>
      </c>
      <c r="FU44" s="77">
        <f t="shared" si="58"/>
        <v>127</v>
      </c>
      <c r="FV44" s="77">
        <f t="shared" si="58"/>
        <v>128</v>
      </c>
      <c r="FW44" s="77">
        <f t="shared" si="58"/>
        <v>129</v>
      </c>
      <c r="FX44" s="77">
        <f t="shared" si="58"/>
        <v>130</v>
      </c>
      <c r="FY44" s="77">
        <f t="shared" si="58"/>
        <v>131</v>
      </c>
      <c r="FZ44" s="77">
        <f t="shared" si="58"/>
        <v>132</v>
      </c>
      <c r="GA44" s="77">
        <f t="shared" si="58"/>
        <v>133</v>
      </c>
      <c r="GB44" s="77">
        <f t="shared" si="58"/>
        <v>134</v>
      </c>
      <c r="GC44" s="77">
        <f t="shared" si="58"/>
        <v>135</v>
      </c>
      <c r="GD44" s="77">
        <f t="shared" si="58"/>
        <v>136</v>
      </c>
      <c r="GE44" s="77">
        <f t="shared" si="58"/>
        <v>137</v>
      </c>
      <c r="GF44" s="77">
        <f t="shared" si="58"/>
        <v>138</v>
      </c>
      <c r="GG44" s="77">
        <f t="shared" si="58"/>
        <v>139</v>
      </c>
      <c r="GH44" s="77">
        <f t="shared" si="58"/>
        <v>140</v>
      </c>
      <c r="GI44" s="77">
        <f t="shared" si="58"/>
        <v>141</v>
      </c>
      <c r="GJ44" s="77">
        <f t="shared" si="58"/>
        <v>142</v>
      </c>
      <c r="GK44" s="77">
        <f t="shared" si="58"/>
        <v>143</v>
      </c>
      <c r="GL44" s="77">
        <f t="shared" si="58"/>
        <v>144</v>
      </c>
      <c r="GM44" s="77">
        <f t="shared" si="58"/>
        <v>145</v>
      </c>
      <c r="GN44" s="77">
        <f t="shared" si="58"/>
        <v>146</v>
      </c>
      <c r="GO44" s="77">
        <f t="shared" si="58"/>
        <v>147</v>
      </c>
      <c r="GP44" s="77">
        <f t="shared" si="58"/>
        <v>148</v>
      </c>
      <c r="GQ44" s="77">
        <f t="shared" si="58"/>
        <v>149</v>
      </c>
      <c r="GR44" s="77">
        <f t="shared" si="58"/>
        <v>150</v>
      </c>
      <c r="GS44" s="77">
        <f t="shared" si="58"/>
        <v>151</v>
      </c>
      <c r="GT44" s="77">
        <f t="shared" si="58"/>
        <v>152</v>
      </c>
      <c r="GU44" s="77">
        <f t="shared" si="58"/>
        <v>153</v>
      </c>
      <c r="GV44" s="77">
        <f t="shared" si="58"/>
        <v>154</v>
      </c>
      <c r="GW44" s="77">
        <f t="shared" si="58"/>
        <v>155</v>
      </c>
      <c r="GX44" s="77">
        <f t="shared" si="58"/>
        <v>156</v>
      </c>
    </row>
    <row r="45" spans="1:206" ht="15" customHeight="1" x14ac:dyDescent="0.2">
      <c r="A45" s="22" t="s">
        <v>68</v>
      </c>
      <c r="B45" s="22">
        <v>3</v>
      </c>
      <c r="C45" s="22" t="s">
        <v>138</v>
      </c>
      <c r="D45" s="22">
        <v>37</v>
      </c>
      <c r="E45" s="22" t="s">
        <v>139</v>
      </c>
      <c r="F45" s="22" t="s">
        <v>71</v>
      </c>
      <c r="G45" s="22" t="s">
        <v>82</v>
      </c>
      <c r="H45" s="22">
        <v>2010</v>
      </c>
      <c r="I45" s="22">
        <v>16</v>
      </c>
      <c r="J45" s="22">
        <v>70.849999999999994</v>
      </c>
      <c r="K45" s="22">
        <v>234</v>
      </c>
      <c r="L45" s="22">
        <v>10037</v>
      </c>
      <c r="M45" s="22">
        <v>9803</v>
      </c>
      <c r="N45" s="22" t="s">
        <v>95</v>
      </c>
      <c r="O45" s="22" t="s">
        <v>96</v>
      </c>
      <c r="P45" s="22" t="s">
        <v>75</v>
      </c>
      <c r="Q45" s="108">
        <f>IF(R45="","",'Dashboard Ciclos'!$B$2-R45)</f>
        <v>46245</v>
      </c>
      <c r="R45" s="22">
        <f>IF($E45="","",IFERROR(INDEX($W45:$GX45,MATCH('Dashboard Ciclos'!$B$2,$W$1:$GX$1,0)),""))</f>
        <v>4</v>
      </c>
      <c r="S45" s="22" t="str">
        <f t="shared" si="45"/>
        <v>En ciclo</v>
      </c>
      <c r="T45" s="22" t="str">
        <f t="shared" si="46"/>
        <v>Recién cortado</v>
      </c>
      <c r="U45" s="22">
        <f t="shared" si="47"/>
        <v>8</v>
      </c>
      <c r="V45" s="23">
        <f t="shared" si="48"/>
        <v>46257</v>
      </c>
      <c r="W45" s="77">
        <f t="shared" si="49"/>
        <v>-2</v>
      </c>
      <c r="X45" s="77">
        <f t="shared" si="49"/>
        <v>-1</v>
      </c>
      <c r="Y45" s="77">
        <f t="shared" si="49"/>
        <v>0</v>
      </c>
      <c r="Z45" s="77">
        <f t="shared" si="49"/>
        <v>1</v>
      </c>
      <c r="AA45" s="77">
        <v>2</v>
      </c>
      <c r="AB45" s="77">
        <f t="shared" si="50"/>
        <v>3</v>
      </c>
      <c r="AC45" s="77">
        <f t="shared" si="50"/>
        <v>4</v>
      </c>
      <c r="AD45" s="77">
        <f t="shared" si="50"/>
        <v>5</v>
      </c>
      <c r="AE45" s="77">
        <f t="shared" si="50"/>
        <v>6</v>
      </c>
      <c r="AF45" s="77">
        <f t="shared" si="50"/>
        <v>7</v>
      </c>
      <c r="AG45" s="77">
        <f t="shared" si="50"/>
        <v>8</v>
      </c>
      <c r="AH45" s="77">
        <f t="shared" si="50"/>
        <v>9</v>
      </c>
      <c r="AI45" s="77">
        <f t="shared" si="50"/>
        <v>10</v>
      </c>
      <c r="AJ45" s="77">
        <f t="shared" si="50"/>
        <v>11</v>
      </c>
      <c r="AK45" s="77">
        <f t="shared" si="50"/>
        <v>12</v>
      </c>
      <c r="AL45" s="77">
        <f t="shared" si="50"/>
        <v>13</v>
      </c>
      <c r="AM45" s="77">
        <f t="shared" si="50"/>
        <v>14</v>
      </c>
      <c r="AN45" s="77">
        <f t="shared" si="50"/>
        <v>15</v>
      </c>
      <c r="AO45" s="77">
        <f t="shared" si="50"/>
        <v>16</v>
      </c>
      <c r="AP45" s="77">
        <f t="shared" si="50"/>
        <v>17</v>
      </c>
      <c r="AQ45" s="77">
        <f t="shared" si="50"/>
        <v>18</v>
      </c>
      <c r="AR45" s="77">
        <f t="shared" si="27"/>
        <v>19</v>
      </c>
      <c r="AS45" s="77">
        <f t="shared" si="60"/>
        <v>20</v>
      </c>
      <c r="AT45" s="77">
        <f t="shared" si="60"/>
        <v>21</v>
      </c>
      <c r="AU45" s="77">
        <f t="shared" si="60"/>
        <v>22</v>
      </c>
      <c r="AV45" s="77">
        <f t="shared" si="60"/>
        <v>23</v>
      </c>
      <c r="AW45" s="77">
        <v>0</v>
      </c>
      <c r="AX45" s="77">
        <f t="shared" si="60"/>
        <v>1</v>
      </c>
      <c r="AY45" s="77">
        <f t="shared" si="60"/>
        <v>2</v>
      </c>
      <c r="AZ45" s="77">
        <f t="shared" si="60"/>
        <v>3</v>
      </c>
      <c r="BA45" s="77">
        <f t="shared" si="60"/>
        <v>4</v>
      </c>
      <c r="BB45" s="77">
        <f t="shared" si="60"/>
        <v>5</v>
      </c>
      <c r="BC45" s="77">
        <f t="shared" si="60"/>
        <v>6</v>
      </c>
      <c r="BD45" s="77">
        <f t="shared" si="60"/>
        <v>7</v>
      </c>
      <c r="BE45" s="77">
        <f t="shared" si="60"/>
        <v>8</v>
      </c>
      <c r="BF45" s="77">
        <f t="shared" si="60"/>
        <v>9</v>
      </c>
      <c r="BG45" s="77">
        <f t="shared" si="60"/>
        <v>10</v>
      </c>
      <c r="BH45" s="77">
        <f t="shared" si="60"/>
        <v>11</v>
      </c>
      <c r="BI45" s="77">
        <f t="shared" si="60"/>
        <v>12</v>
      </c>
      <c r="BJ45" s="77">
        <f t="shared" si="60"/>
        <v>13</v>
      </c>
      <c r="BK45" s="77">
        <f t="shared" si="60"/>
        <v>14</v>
      </c>
      <c r="BL45" s="77">
        <v>0</v>
      </c>
      <c r="BM45" s="77">
        <f t="shared" si="60"/>
        <v>1</v>
      </c>
      <c r="BN45" s="77">
        <f t="shared" si="60"/>
        <v>2</v>
      </c>
      <c r="BO45" s="77">
        <f t="shared" si="60"/>
        <v>3</v>
      </c>
      <c r="BP45" s="77">
        <f t="shared" si="60"/>
        <v>4</v>
      </c>
      <c r="BQ45" s="77">
        <f t="shared" si="60"/>
        <v>5</v>
      </c>
      <c r="BR45" s="77">
        <f t="shared" si="60"/>
        <v>6</v>
      </c>
      <c r="BS45" s="77">
        <f t="shared" si="60"/>
        <v>7</v>
      </c>
      <c r="BT45" s="77">
        <f t="shared" si="60"/>
        <v>8</v>
      </c>
      <c r="BU45" s="77">
        <f t="shared" si="60"/>
        <v>9</v>
      </c>
      <c r="BV45" s="77">
        <f t="shared" si="60"/>
        <v>10</v>
      </c>
      <c r="BW45" s="77">
        <f t="shared" si="60"/>
        <v>11</v>
      </c>
      <c r="BX45" s="77">
        <f t="shared" si="60"/>
        <v>12</v>
      </c>
      <c r="BY45" s="77">
        <f t="shared" si="60"/>
        <v>13</v>
      </c>
      <c r="BZ45" s="77">
        <f t="shared" si="60"/>
        <v>14</v>
      </c>
      <c r="CA45" s="77">
        <f t="shared" si="60"/>
        <v>15</v>
      </c>
      <c r="CB45" s="77">
        <f t="shared" si="60"/>
        <v>16</v>
      </c>
      <c r="CC45" s="77">
        <f t="shared" si="60"/>
        <v>17</v>
      </c>
      <c r="CD45" s="77">
        <f t="shared" si="60"/>
        <v>18</v>
      </c>
      <c r="CE45" s="77">
        <f t="shared" si="60"/>
        <v>19</v>
      </c>
      <c r="CF45" s="77">
        <f t="shared" si="60"/>
        <v>20</v>
      </c>
      <c r="CG45" s="77">
        <f t="shared" si="60"/>
        <v>21</v>
      </c>
      <c r="CH45" s="77">
        <f t="shared" si="60"/>
        <v>22</v>
      </c>
      <c r="CI45" s="77">
        <f t="shared" si="60"/>
        <v>23</v>
      </c>
      <c r="CJ45" s="77">
        <f t="shared" si="60"/>
        <v>24</v>
      </c>
      <c r="CK45" s="77">
        <f t="shared" si="59"/>
        <v>25</v>
      </c>
      <c r="CL45" s="77">
        <f t="shared" si="59"/>
        <v>26</v>
      </c>
      <c r="CM45" s="77">
        <f t="shared" si="59"/>
        <v>27</v>
      </c>
      <c r="CN45" s="77">
        <f t="shared" si="59"/>
        <v>28</v>
      </c>
      <c r="CO45" s="77">
        <f t="shared" si="59"/>
        <v>29</v>
      </c>
      <c r="CP45" s="77">
        <f t="shared" si="59"/>
        <v>30</v>
      </c>
      <c r="CQ45" s="77">
        <f t="shared" si="59"/>
        <v>31</v>
      </c>
      <c r="CR45" s="77">
        <f t="shared" si="59"/>
        <v>32</v>
      </c>
      <c r="CS45" s="77">
        <f t="shared" si="59"/>
        <v>33</v>
      </c>
      <c r="CT45" s="77">
        <f t="shared" si="59"/>
        <v>34</v>
      </c>
      <c r="CU45" s="77">
        <f t="shared" si="59"/>
        <v>35</v>
      </c>
      <c r="CV45" s="77">
        <f t="shared" si="59"/>
        <v>36</v>
      </c>
      <c r="CW45" s="77">
        <f t="shared" si="59"/>
        <v>37</v>
      </c>
      <c r="CX45" s="77">
        <f t="shared" si="59"/>
        <v>38</v>
      </c>
      <c r="CY45" s="77">
        <f t="shared" si="59"/>
        <v>39</v>
      </c>
      <c r="CZ45" s="77">
        <f t="shared" si="59"/>
        <v>40</v>
      </c>
      <c r="DA45" s="77">
        <f t="shared" si="59"/>
        <v>41</v>
      </c>
      <c r="DB45" s="77">
        <f t="shared" si="59"/>
        <v>42</v>
      </c>
      <c r="DC45" s="77">
        <f t="shared" si="59"/>
        <v>43</v>
      </c>
      <c r="DD45" s="77">
        <f t="shared" si="59"/>
        <v>44</v>
      </c>
      <c r="DE45" s="77">
        <f t="shared" si="59"/>
        <v>45</v>
      </c>
      <c r="DF45" s="77">
        <f t="shared" si="59"/>
        <v>46</v>
      </c>
      <c r="DG45" s="77">
        <f t="shared" si="59"/>
        <v>47</v>
      </c>
      <c r="DH45" s="77">
        <f t="shared" si="59"/>
        <v>48</v>
      </c>
      <c r="DI45" s="77">
        <f t="shared" si="59"/>
        <v>49</v>
      </c>
      <c r="DJ45" s="77">
        <f t="shared" si="59"/>
        <v>50</v>
      </c>
      <c r="DK45" s="77">
        <f t="shared" si="59"/>
        <v>51</v>
      </c>
      <c r="DL45" s="77">
        <f t="shared" si="59"/>
        <v>52</v>
      </c>
      <c r="DM45" s="77">
        <f t="shared" si="59"/>
        <v>53</v>
      </c>
      <c r="DN45" s="77">
        <f t="shared" si="59"/>
        <v>54</v>
      </c>
      <c r="DO45" s="77">
        <f t="shared" si="59"/>
        <v>55</v>
      </c>
      <c r="DP45" s="77">
        <f t="shared" si="59"/>
        <v>56</v>
      </c>
      <c r="DQ45" s="77">
        <f t="shared" si="59"/>
        <v>57</v>
      </c>
      <c r="DR45" s="77">
        <f t="shared" si="59"/>
        <v>58</v>
      </c>
      <c r="DS45" s="77">
        <f t="shared" si="59"/>
        <v>59</v>
      </c>
      <c r="DT45" s="77">
        <f t="shared" si="59"/>
        <v>60</v>
      </c>
      <c r="DU45" s="77">
        <f t="shared" si="59"/>
        <v>61</v>
      </c>
      <c r="DV45" s="77">
        <f t="shared" si="59"/>
        <v>62</v>
      </c>
      <c r="DW45" s="77">
        <f t="shared" si="59"/>
        <v>63</v>
      </c>
      <c r="DX45" s="77">
        <f t="shared" si="59"/>
        <v>64</v>
      </c>
      <c r="DY45" s="77">
        <f t="shared" si="59"/>
        <v>65</v>
      </c>
      <c r="DZ45" s="77">
        <f t="shared" si="59"/>
        <v>66</v>
      </c>
      <c r="EA45" s="77">
        <f t="shared" si="59"/>
        <v>67</v>
      </c>
      <c r="EB45" s="77">
        <f t="shared" si="59"/>
        <v>68</v>
      </c>
      <c r="EC45" s="77">
        <f t="shared" si="59"/>
        <v>69</v>
      </c>
      <c r="ED45" s="77">
        <f t="shared" si="59"/>
        <v>70</v>
      </c>
      <c r="EE45" s="77">
        <f t="shared" si="59"/>
        <v>71</v>
      </c>
      <c r="EF45" s="77">
        <f t="shared" si="59"/>
        <v>72</v>
      </c>
      <c r="EG45" s="77">
        <f t="shared" si="59"/>
        <v>73</v>
      </c>
      <c r="EH45" s="77">
        <f t="shared" si="59"/>
        <v>74</v>
      </c>
      <c r="EI45" s="77">
        <f t="shared" si="59"/>
        <v>75</v>
      </c>
      <c r="EJ45" s="77">
        <f t="shared" si="59"/>
        <v>76</v>
      </c>
      <c r="EK45" s="77">
        <f t="shared" si="59"/>
        <v>77</v>
      </c>
      <c r="EL45" s="77">
        <f t="shared" si="59"/>
        <v>78</v>
      </c>
      <c r="EM45" s="77">
        <f t="shared" si="59"/>
        <v>79</v>
      </c>
      <c r="EN45" s="77">
        <f t="shared" si="59"/>
        <v>80</v>
      </c>
      <c r="EO45" s="77">
        <f t="shared" si="59"/>
        <v>81</v>
      </c>
      <c r="EP45" s="77">
        <f t="shared" si="59"/>
        <v>82</v>
      </c>
      <c r="EQ45" s="77">
        <f t="shared" si="59"/>
        <v>83</v>
      </c>
      <c r="ER45" s="77">
        <f t="shared" si="59"/>
        <v>84</v>
      </c>
      <c r="ES45" s="77">
        <f t="shared" si="59"/>
        <v>85</v>
      </c>
      <c r="ET45" s="77">
        <f t="shared" si="59"/>
        <v>86</v>
      </c>
      <c r="EU45" s="77">
        <f t="shared" si="59"/>
        <v>87</v>
      </c>
      <c r="EV45" s="77">
        <f t="shared" si="58"/>
        <v>88</v>
      </c>
      <c r="EW45" s="77">
        <f t="shared" si="58"/>
        <v>89</v>
      </c>
      <c r="EX45" s="77">
        <f t="shared" si="58"/>
        <v>90</v>
      </c>
      <c r="EY45" s="77">
        <f t="shared" si="58"/>
        <v>91</v>
      </c>
      <c r="EZ45" s="77">
        <f t="shared" si="58"/>
        <v>92</v>
      </c>
      <c r="FA45" s="77">
        <f t="shared" si="58"/>
        <v>93</v>
      </c>
      <c r="FB45" s="77">
        <f t="shared" si="58"/>
        <v>94</v>
      </c>
      <c r="FC45" s="77">
        <f t="shared" si="58"/>
        <v>95</v>
      </c>
      <c r="FD45" s="77">
        <f t="shared" si="58"/>
        <v>96</v>
      </c>
      <c r="FE45" s="77">
        <f t="shared" si="58"/>
        <v>97</v>
      </c>
      <c r="FF45" s="77">
        <f t="shared" si="58"/>
        <v>98</v>
      </c>
      <c r="FG45" s="77">
        <f t="shared" si="58"/>
        <v>99</v>
      </c>
      <c r="FH45" s="77">
        <f t="shared" si="58"/>
        <v>100</v>
      </c>
      <c r="FI45" s="77">
        <f t="shared" si="58"/>
        <v>101</v>
      </c>
      <c r="FJ45" s="77">
        <f t="shared" si="58"/>
        <v>102</v>
      </c>
      <c r="FK45" s="77">
        <f t="shared" si="58"/>
        <v>103</v>
      </c>
      <c r="FL45" s="77">
        <f t="shared" si="58"/>
        <v>104</v>
      </c>
      <c r="FM45" s="77">
        <f t="shared" si="58"/>
        <v>105</v>
      </c>
      <c r="FN45" s="77">
        <f t="shared" si="58"/>
        <v>106</v>
      </c>
      <c r="FO45" s="77">
        <f t="shared" si="58"/>
        <v>107</v>
      </c>
      <c r="FP45" s="77">
        <f t="shared" si="58"/>
        <v>108</v>
      </c>
      <c r="FQ45" s="77">
        <f t="shared" si="58"/>
        <v>109</v>
      </c>
      <c r="FR45" s="77">
        <f t="shared" si="58"/>
        <v>110</v>
      </c>
      <c r="FS45" s="77">
        <f t="shared" si="58"/>
        <v>111</v>
      </c>
      <c r="FT45" s="77">
        <f t="shared" si="58"/>
        <v>112</v>
      </c>
      <c r="FU45" s="77">
        <f t="shared" si="58"/>
        <v>113</v>
      </c>
      <c r="FV45" s="77">
        <f t="shared" si="58"/>
        <v>114</v>
      </c>
      <c r="FW45" s="77">
        <f t="shared" si="58"/>
        <v>115</v>
      </c>
      <c r="FX45" s="77">
        <f t="shared" si="58"/>
        <v>116</v>
      </c>
      <c r="FY45" s="77">
        <f t="shared" si="58"/>
        <v>117</v>
      </c>
      <c r="FZ45" s="77">
        <f t="shared" si="58"/>
        <v>118</v>
      </c>
      <c r="GA45" s="77">
        <f t="shared" si="58"/>
        <v>119</v>
      </c>
      <c r="GB45" s="77">
        <f t="shared" si="58"/>
        <v>120</v>
      </c>
      <c r="GC45" s="77">
        <f t="shared" si="58"/>
        <v>121</v>
      </c>
      <c r="GD45" s="77">
        <f t="shared" si="58"/>
        <v>122</v>
      </c>
      <c r="GE45" s="77">
        <f t="shared" si="58"/>
        <v>123</v>
      </c>
      <c r="GF45" s="77">
        <f t="shared" si="58"/>
        <v>124</v>
      </c>
      <c r="GG45" s="77">
        <f t="shared" si="58"/>
        <v>125</v>
      </c>
      <c r="GH45" s="77">
        <f t="shared" si="58"/>
        <v>126</v>
      </c>
      <c r="GI45" s="77">
        <f t="shared" si="58"/>
        <v>127</v>
      </c>
      <c r="GJ45" s="77">
        <f t="shared" si="58"/>
        <v>128</v>
      </c>
      <c r="GK45" s="77">
        <f t="shared" si="58"/>
        <v>129</v>
      </c>
      <c r="GL45" s="77">
        <f t="shared" si="58"/>
        <v>130</v>
      </c>
      <c r="GM45" s="77">
        <f t="shared" si="58"/>
        <v>131</v>
      </c>
      <c r="GN45" s="77">
        <f t="shared" si="58"/>
        <v>132</v>
      </c>
      <c r="GO45" s="77">
        <f t="shared" si="58"/>
        <v>133</v>
      </c>
      <c r="GP45" s="77">
        <f t="shared" si="58"/>
        <v>134</v>
      </c>
      <c r="GQ45" s="77">
        <f t="shared" si="58"/>
        <v>135</v>
      </c>
      <c r="GR45" s="77">
        <f t="shared" si="58"/>
        <v>136</v>
      </c>
      <c r="GS45" s="77">
        <f t="shared" si="58"/>
        <v>137</v>
      </c>
      <c r="GT45" s="77">
        <f t="shared" si="58"/>
        <v>138</v>
      </c>
      <c r="GU45" s="77">
        <f t="shared" si="58"/>
        <v>139</v>
      </c>
      <c r="GV45" s="77">
        <f t="shared" si="58"/>
        <v>140</v>
      </c>
      <c r="GW45" s="77">
        <f t="shared" si="58"/>
        <v>141</v>
      </c>
      <c r="GX45" s="77">
        <f t="shared" si="58"/>
        <v>142</v>
      </c>
    </row>
    <row r="46" spans="1:206" ht="15" customHeight="1" x14ac:dyDescent="0.2">
      <c r="A46" s="22" t="s">
        <v>68</v>
      </c>
      <c r="B46" s="22">
        <v>3</v>
      </c>
      <c r="C46" s="22" t="s">
        <v>93</v>
      </c>
      <c r="D46" s="22">
        <v>38</v>
      </c>
      <c r="E46" s="22" t="s">
        <v>140</v>
      </c>
      <c r="F46" s="22" t="s">
        <v>124</v>
      </c>
      <c r="G46" s="22" t="s">
        <v>79</v>
      </c>
      <c r="H46" s="22">
        <v>2010</v>
      </c>
      <c r="I46" s="22">
        <v>16</v>
      </c>
      <c r="J46" s="22">
        <v>62.01</v>
      </c>
      <c r="K46" s="22">
        <v>0</v>
      </c>
      <c r="L46" s="22">
        <v>8908</v>
      </c>
      <c r="M46" s="22">
        <v>8908</v>
      </c>
      <c r="N46" s="22" t="s">
        <v>95</v>
      </c>
      <c r="O46" s="22" t="s">
        <v>96</v>
      </c>
      <c r="P46" s="22" t="s">
        <v>75</v>
      </c>
      <c r="Q46" s="108">
        <f>IF(R46="","",'Dashboard Ciclos'!$B$2-R46)</f>
        <v>46245</v>
      </c>
      <c r="R46" s="22">
        <f>IF($E46="","",IFERROR(INDEX($W46:$GX46,MATCH('Dashboard Ciclos'!$B$2,$W$1:$GX$1,0)),""))</f>
        <v>4</v>
      </c>
      <c r="S46" s="22" t="str">
        <f t="shared" si="45"/>
        <v>En ciclo</v>
      </c>
      <c r="T46" s="22" t="str">
        <f t="shared" si="46"/>
        <v>Recién cortado</v>
      </c>
      <c r="U46" s="22">
        <f t="shared" si="47"/>
        <v>8</v>
      </c>
      <c r="V46" s="23">
        <f t="shared" si="48"/>
        <v>46257</v>
      </c>
      <c r="W46" s="77">
        <f t="shared" si="49"/>
        <v>10</v>
      </c>
      <c r="X46" s="77">
        <f t="shared" si="49"/>
        <v>11</v>
      </c>
      <c r="Y46" s="77">
        <f t="shared" si="49"/>
        <v>12</v>
      </c>
      <c r="Z46" s="77">
        <f t="shared" si="49"/>
        <v>13</v>
      </c>
      <c r="AA46" s="77">
        <v>14</v>
      </c>
      <c r="AB46" s="77">
        <f t="shared" si="50"/>
        <v>15</v>
      </c>
      <c r="AC46" s="77">
        <f t="shared" si="50"/>
        <v>16</v>
      </c>
      <c r="AD46" s="77">
        <f t="shared" si="50"/>
        <v>17</v>
      </c>
      <c r="AE46" s="77">
        <f t="shared" si="50"/>
        <v>18</v>
      </c>
      <c r="AF46" s="77">
        <f t="shared" si="50"/>
        <v>19</v>
      </c>
      <c r="AG46" s="77">
        <f t="shared" si="50"/>
        <v>20</v>
      </c>
      <c r="AH46" s="77">
        <f t="shared" si="50"/>
        <v>21</v>
      </c>
      <c r="AI46" s="77">
        <f t="shared" si="50"/>
        <v>22</v>
      </c>
      <c r="AJ46" s="77">
        <v>0</v>
      </c>
      <c r="AK46" s="77">
        <f t="shared" si="50"/>
        <v>1</v>
      </c>
      <c r="AL46" s="77">
        <f t="shared" si="50"/>
        <v>2</v>
      </c>
      <c r="AM46" s="77">
        <f t="shared" si="50"/>
        <v>3</v>
      </c>
      <c r="AN46" s="77">
        <f t="shared" si="50"/>
        <v>4</v>
      </c>
      <c r="AO46" s="77">
        <f t="shared" si="50"/>
        <v>5</v>
      </c>
      <c r="AP46" s="77">
        <f t="shared" si="50"/>
        <v>6</v>
      </c>
      <c r="AQ46" s="77">
        <f t="shared" si="50"/>
        <v>7</v>
      </c>
      <c r="AR46" s="77">
        <f t="shared" si="27"/>
        <v>8</v>
      </c>
      <c r="AS46" s="77">
        <f t="shared" si="60"/>
        <v>9</v>
      </c>
      <c r="AT46" s="77">
        <f t="shared" si="60"/>
        <v>10</v>
      </c>
      <c r="AU46" s="77">
        <f t="shared" si="60"/>
        <v>11</v>
      </c>
      <c r="AV46" s="77">
        <f t="shared" si="60"/>
        <v>12</v>
      </c>
      <c r="AW46" s="77">
        <f t="shared" si="60"/>
        <v>13</v>
      </c>
      <c r="AX46" s="77">
        <f t="shared" si="60"/>
        <v>14</v>
      </c>
      <c r="AY46" s="77">
        <f t="shared" si="60"/>
        <v>15</v>
      </c>
      <c r="AZ46" s="77">
        <f t="shared" si="60"/>
        <v>16</v>
      </c>
      <c r="BA46" s="77">
        <v>0</v>
      </c>
      <c r="BB46" s="77">
        <f t="shared" si="60"/>
        <v>1</v>
      </c>
      <c r="BC46" s="77">
        <f t="shared" si="60"/>
        <v>2</v>
      </c>
      <c r="BD46" s="77">
        <f t="shared" si="60"/>
        <v>3</v>
      </c>
      <c r="BE46" s="77">
        <f t="shared" si="60"/>
        <v>4</v>
      </c>
      <c r="BF46" s="77">
        <f t="shared" si="60"/>
        <v>5</v>
      </c>
      <c r="BG46" s="77">
        <f t="shared" si="60"/>
        <v>6</v>
      </c>
      <c r="BH46" s="77">
        <f t="shared" si="60"/>
        <v>7</v>
      </c>
      <c r="BI46" s="77">
        <f t="shared" si="60"/>
        <v>8</v>
      </c>
      <c r="BJ46" s="77">
        <f t="shared" si="60"/>
        <v>9</v>
      </c>
      <c r="BK46" s="77">
        <f t="shared" si="60"/>
        <v>10</v>
      </c>
      <c r="BL46" s="77">
        <v>0</v>
      </c>
      <c r="BM46" s="77">
        <f t="shared" si="60"/>
        <v>1</v>
      </c>
      <c r="BN46" s="77">
        <f t="shared" si="60"/>
        <v>2</v>
      </c>
      <c r="BO46" s="77">
        <f t="shared" si="60"/>
        <v>3</v>
      </c>
      <c r="BP46" s="77">
        <f t="shared" si="60"/>
        <v>4</v>
      </c>
      <c r="BQ46" s="77">
        <f t="shared" si="60"/>
        <v>5</v>
      </c>
      <c r="BR46" s="77">
        <f t="shared" si="60"/>
        <v>6</v>
      </c>
      <c r="BS46" s="77">
        <f t="shared" si="60"/>
        <v>7</v>
      </c>
      <c r="BT46" s="77">
        <f t="shared" si="60"/>
        <v>8</v>
      </c>
      <c r="BU46" s="77">
        <f t="shared" si="60"/>
        <v>9</v>
      </c>
      <c r="BV46" s="77">
        <f t="shared" si="60"/>
        <v>10</v>
      </c>
      <c r="BW46" s="77">
        <f t="shared" si="60"/>
        <v>11</v>
      </c>
      <c r="BX46" s="77">
        <f t="shared" si="60"/>
        <v>12</v>
      </c>
      <c r="BY46" s="77">
        <f t="shared" si="60"/>
        <v>13</v>
      </c>
      <c r="BZ46" s="77">
        <f t="shared" si="60"/>
        <v>14</v>
      </c>
      <c r="CA46" s="77">
        <f t="shared" si="60"/>
        <v>15</v>
      </c>
      <c r="CB46" s="77">
        <f t="shared" si="60"/>
        <v>16</v>
      </c>
      <c r="CC46" s="77">
        <f t="shared" si="60"/>
        <v>17</v>
      </c>
      <c r="CD46" s="77">
        <f t="shared" si="60"/>
        <v>18</v>
      </c>
      <c r="CE46" s="77">
        <f t="shared" si="60"/>
        <v>19</v>
      </c>
      <c r="CF46" s="77">
        <f t="shared" si="60"/>
        <v>20</v>
      </c>
      <c r="CG46" s="77">
        <f t="shared" si="60"/>
        <v>21</v>
      </c>
      <c r="CH46" s="77">
        <f t="shared" si="60"/>
        <v>22</v>
      </c>
      <c r="CI46" s="77">
        <f t="shared" si="60"/>
        <v>23</v>
      </c>
      <c r="CJ46" s="77">
        <f t="shared" si="60"/>
        <v>24</v>
      </c>
      <c r="CK46" s="77">
        <f t="shared" si="59"/>
        <v>25</v>
      </c>
      <c r="CL46" s="77">
        <f t="shared" si="59"/>
        <v>26</v>
      </c>
      <c r="CM46" s="77">
        <f t="shared" si="59"/>
        <v>27</v>
      </c>
      <c r="CN46" s="77">
        <f t="shared" si="59"/>
        <v>28</v>
      </c>
      <c r="CO46" s="77">
        <f t="shared" si="59"/>
        <v>29</v>
      </c>
      <c r="CP46" s="77">
        <f t="shared" si="59"/>
        <v>30</v>
      </c>
      <c r="CQ46" s="77">
        <f t="shared" si="59"/>
        <v>31</v>
      </c>
      <c r="CR46" s="77">
        <f t="shared" si="59"/>
        <v>32</v>
      </c>
      <c r="CS46" s="77">
        <f t="shared" si="59"/>
        <v>33</v>
      </c>
      <c r="CT46" s="77">
        <f t="shared" si="59"/>
        <v>34</v>
      </c>
      <c r="CU46" s="77">
        <f t="shared" si="59"/>
        <v>35</v>
      </c>
      <c r="CV46" s="77">
        <f t="shared" si="59"/>
        <v>36</v>
      </c>
      <c r="CW46" s="77">
        <f t="shared" si="59"/>
        <v>37</v>
      </c>
      <c r="CX46" s="77">
        <f t="shared" si="59"/>
        <v>38</v>
      </c>
      <c r="CY46" s="77">
        <f t="shared" si="59"/>
        <v>39</v>
      </c>
      <c r="CZ46" s="77">
        <f t="shared" si="59"/>
        <v>40</v>
      </c>
      <c r="DA46" s="77">
        <f t="shared" si="59"/>
        <v>41</v>
      </c>
      <c r="DB46" s="77">
        <f t="shared" si="59"/>
        <v>42</v>
      </c>
      <c r="DC46" s="77">
        <f t="shared" si="59"/>
        <v>43</v>
      </c>
      <c r="DD46" s="77">
        <f t="shared" si="59"/>
        <v>44</v>
      </c>
      <c r="DE46" s="77">
        <f t="shared" si="59"/>
        <v>45</v>
      </c>
      <c r="DF46" s="77">
        <f t="shared" si="59"/>
        <v>46</v>
      </c>
      <c r="DG46" s="77">
        <f t="shared" si="59"/>
        <v>47</v>
      </c>
      <c r="DH46" s="77">
        <f t="shared" si="59"/>
        <v>48</v>
      </c>
      <c r="DI46" s="77">
        <f t="shared" si="59"/>
        <v>49</v>
      </c>
      <c r="DJ46" s="77">
        <f t="shared" si="59"/>
        <v>50</v>
      </c>
      <c r="DK46" s="77">
        <f t="shared" si="59"/>
        <v>51</v>
      </c>
      <c r="DL46" s="77">
        <f t="shared" si="59"/>
        <v>52</v>
      </c>
      <c r="DM46" s="77">
        <f t="shared" si="59"/>
        <v>53</v>
      </c>
      <c r="DN46" s="77">
        <f t="shared" si="59"/>
        <v>54</v>
      </c>
      <c r="DO46" s="77">
        <f t="shared" si="59"/>
        <v>55</v>
      </c>
      <c r="DP46" s="77">
        <f t="shared" si="59"/>
        <v>56</v>
      </c>
      <c r="DQ46" s="77">
        <f t="shared" si="59"/>
        <v>57</v>
      </c>
      <c r="DR46" s="77">
        <f t="shared" si="59"/>
        <v>58</v>
      </c>
      <c r="DS46" s="77">
        <f t="shared" si="59"/>
        <v>59</v>
      </c>
      <c r="DT46" s="77">
        <f t="shared" si="59"/>
        <v>60</v>
      </c>
      <c r="DU46" s="77">
        <f t="shared" si="59"/>
        <v>61</v>
      </c>
      <c r="DV46" s="77">
        <f t="shared" si="59"/>
        <v>62</v>
      </c>
      <c r="DW46" s="77">
        <f t="shared" si="59"/>
        <v>63</v>
      </c>
      <c r="DX46" s="77">
        <f t="shared" si="59"/>
        <v>64</v>
      </c>
      <c r="DY46" s="77">
        <f t="shared" si="59"/>
        <v>65</v>
      </c>
      <c r="DZ46" s="77">
        <f t="shared" si="59"/>
        <v>66</v>
      </c>
      <c r="EA46" s="77">
        <f t="shared" si="59"/>
        <v>67</v>
      </c>
      <c r="EB46" s="77">
        <f t="shared" si="59"/>
        <v>68</v>
      </c>
      <c r="EC46" s="77">
        <f t="shared" si="59"/>
        <v>69</v>
      </c>
      <c r="ED46" s="77">
        <f t="shared" si="59"/>
        <v>70</v>
      </c>
      <c r="EE46" s="77">
        <f t="shared" si="59"/>
        <v>71</v>
      </c>
      <c r="EF46" s="77">
        <f t="shared" si="59"/>
        <v>72</v>
      </c>
      <c r="EG46" s="77">
        <f t="shared" si="59"/>
        <v>73</v>
      </c>
      <c r="EH46" s="77">
        <f t="shared" si="59"/>
        <v>74</v>
      </c>
      <c r="EI46" s="77">
        <f t="shared" si="59"/>
        <v>75</v>
      </c>
      <c r="EJ46" s="77">
        <f t="shared" si="59"/>
        <v>76</v>
      </c>
      <c r="EK46" s="77">
        <f t="shared" si="59"/>
        <v>77</v>
      </c>
      <c r="EL46" s="77">
        <f t="shared" si="59"/>
        <v>78</v>
      </c>
      <c r="EM46" s="77">
        <f t="shared" si="59"/>
        <v>79</v>
      </c>
      <c r="EN46" s="77">
        <f t="shared" si="59"/>
        <v>80</v>
      </c>
      <c r="EO46" s="77">
        <f t="shared" si="59"/>
        <v>81</v>
      </c>
      <c r="EP46" s="77">
        <f t="shared" si="59"/>
        <v>82</v>
      </c>
      <c r="EQ46" s="77">
        <f t="shared" si="59"/>
        <v>83</v>
      </c>
      <c r="ER46" s="77">
        <f t="shared" si="59"/>
        <v>84</v>
      </c>
      <c r="ES46" s="77">
        <f t="shared" si="59"/>
        <v>85</v>
      </c>
      <c r="ET46" s="77">
        <f t="shared" si="59"/>
        <v>86</v>
      </c>
      <c r="EU46" s="77">
        <f t="shared" si="59"/>
        <v>87</v>
      </c>
      <c r="EV46" s="77">
        <f t="shared" si="58"/>
        <v>88</v>
      </c>
      <c r="EW46" s="77">
        <f t="shared" si="58"/>
        <v>89</v>
      </c>
      <c r="EX46" s="77">
        <f t="shared" si="58"/>
        <v>90</v>
      </c>
      <c r="EY46" s="77">
        <f t="shared" si="58"/>
        <v>91</v>
      </c>
      <c r="EZ46" s="77">
        <f t="shared" si="58"/>
        <v>92</v>
      </c>
      <c r="FA46" s="77">
        <f t="shared" si="58"/>
        <v>93</v>
      </c>
      <c r="FB46" s="77">
        <f t="shared" si="58"/>
        <v>94</v>
      </c>
      <c r="FC46" s="77">
        <f t="shared" si="58"/>
        <v>95</v>
      </c>
      <c r="FD46" s="77">
        <f t="shared" si="58"/>
        <v>96</v>
      </c>
      <c r="FE46" s="77">
        <f t="shared" si="58"/>
        <v>97</v>
      </c>
      <c r="FF46" s="77">
        <f t="shared" si="58"/>
        <v>98</v>
      </c>
      <c r="FG46" s="77">
        <f t="shared" si="58"/>
        <v>99</v>
      </c>
      <c r="FH46" s="77">
        <f t="shared" si="58"/>
        <v>100</v>
      </c>
      <c r="FI46" s="77">
        <f t="shared" si="58"/>
        <v>101</v>
      </c>
      <c r="FJ46" s="77">
        <f t="shared" si="58"/>
        <v>102</v>
      </c>
      <c r="FK46" s="77">
        <f t="shared" si="58"/>
        <v>103</v>
      </c>
      <c r="FL46" s="77">
        <f t="shared" si="58"/>
        <v>104</v>
      </c>
      <c r="FM46" s="77">
        <f t="shared" si="58"/>
        <v>105</v>
      </c>
      <c r="FN46" s="77">
        <f t="shared" si="58"/>
        <v>106</v>
      </c>
      <c r="FO46" s="77">
        <f t="shared" si="58"/>
        <v>107</v>
      </c>
      <c r="FP46" s="77">
        <f t="shared" si="58"/>
        <v>108</v>
      </c>
      <c r="FQ46" s="77">
        <f t="shared" si="58"/>
        <v>109</v>
      </c>
      <c r="FR46" s="77">
        <f t="shared" si="58"/>
        <v>110</v>
      </c>
      <c r="FS46" s="77">
        <f t="shared" si="58"/>
        <v>111</v>
      </c>
      <c r="FT46" s="77">
        <f t="shared" si="58"/>
        <v>112</v>
      </c>
      <c r="FU46" s="77">
        <f t="shared" si="58"/>
        <v>113</v>
      </c>
      <c r="FV46" s="77">
        <f t="shared" si="58"/>
        <v>114</v>
      </c>
      <c r="FW46" s="77">
        <f t="shared" si="58"/>
        <v>115</v>
      </c>
      <c r="FX46" s="77">
        <f t="shared" si="58"/>
        <v>116</v>
      </c>
      <c r="FY46" s="77">
        <f t="shared" si="58"/>
        <v>117</v>
      </c>
      <c r="FZ46" s="77">
        <f t="shared" si="58"/>
        <v>118</v>
      </c>
      <c r="GA46" s="77">
        <f t="shared" si="58"/>
        <v>119</v>
      </c>
      <c r="GB46" s="77">
        <f t="shared" si="58"/>
        <v>120</v>
      </c>
      <c r="GC46" s="77">
        <f t="shared" si="58"/>
        <v>121</v>
      </c>
      <c r="GD46" s="77">
        <f t="shared" si="58"/>
        <v>122</v>
      </c>
      <c r="GE46" s="77">
        <f t="shared" ref="GE46:GX46" si="61">IF(GD46="","",GD46+1)</f>
        <v>123</v>
      </c>
      <c r="GF46" s="77">
        <f t="shared" si="61"/>
        <v>124</v>
      </c>
      <c r="GG46" s="77">
        <f t="shared" si="61"/>
        <v>125</v>
      </c>
      <c r="GH46" s="77">
        <f t="shared" si="61"/>
        <v>126</v>
      </c>
      <c r="GI46" s="77">
        <f t="shared" si="61"/>
        <v>127</v>
      </c>
      <c r="GJ46" s="77">
        <f t="shared" si="61"/>
        <v>128</v>
      </c>
      <c r="GK46" s="77">
        <f t="shared" si="61"/>
        <v>129</v>
      </c>
      <c r="GL46" s="77">
        <f t="shared" si="61"/>
        <v>130</v>
      </c>
      <c r="GM46" s="77">
        <f t="shared" si="61"/>
        <v>131</v>
      </c>
      <c r="GN46" s="77">
        <f t="shared" si="61"/>
        <v>132</v>
      </c>
      <c r="GO46" s="77">
        <f t="shared" si="61"/>
        <v>133</v>
      </c>
      <c r="GP46" s="77">
        <f t="shared" si="61"/>
        <v>134</v>
      </c>
      <c r="GQ46" s="77">
        <f t="shared" si="61"/>
        <v>135</v>
      </c>
      <c r="GR46" s="77">
        <f t="shared" si="61"/>
        <v>136</v>
      </c>
      <c r="GS46" s="77">
        <f t="shared" si="61"/>
        <v>137</v>
      </c>
      <c r="GT46" s="77">
        <f t="shared" si="61"/>
        <v>138</v>
      </c>
      <c r="GU46" s="77">
        <f t="shared" si="61"/>
        <v>139</v>
      </c>
      <c r="GV46" s="77">
        <f t="shared" si="61"/>
        <v>140</v>
      </c>
      <c r="GW46" s="77">
        <f t="shared" si="61"/>
        <v>141</v>
      </c>
      <c r="GX46" s="77">
        <f t="shared" si="61"/>
        <v>142</v>
      </c>
    </row>
    <row r="47" spans="1:206" ht="15" customHeight="1" x14ac:dyDescent="0.2">
      <c r="A47" s="22" t="s">
        <v>68</v>
      </c>
      <c r="B47" s="22">
        <v>3</v>
      </c>
      <c r="C47" s="22" t="s">
        <v>93</v>
      </c>
      <c r="D47" s="22" t="s">
        <v>141</v>
      </c>
      <c r="E47" s="22" t="s">
        <v>142</v>
      </c>
      <c r="F47" s="22" t="s">
        <v>78</v>
      </c>
      <c r="G47" s="22" t="s">
        <v>79</v>
      </c>
      <c r="H47" s="22">
        <v>2010</v>
      </c>
      <c r="I47" s="22">
        <v>16</v>
      </c>
      <c r="J47" s="22">
        <v>10.24</v>
      </c>
      <c r="K47" s="22">
        <v>0</v>
      </c>
      <c r="L47" s="22">
        <v>1426</v>
      </c>
      <c r="M47" s="22">
        <v>1426</v>
      </c>
      <c r="N47" s="22" t="s">
        <v>95</v>
      </c>
      <c r="O47" s="22" t="s">
        <v>96</v>
      </c>
      <c r="P47" s="22" t="s">
        <v>75</v>
      </c>
      <c r="Q47" s="108">
        <f>IF(R47="","",'Dashboard Ciclos'!$B$2-R47)</f>
        <v>46244</v>
      </c>
      <c r="R47" s="22">
        <f>IF($E47="","",IFERROR(INDEX($W47:$GX47,MATCH('Dashboard Ciclos'!$B$2,$W$1:$GX$1,0)),""))</f>
        <v>5</v>
      </c>
      <c r="S47" s="22" t="str">
        <f t="shared" si="45"/>
        <v>En ciclo</v>
      </c>
      <c r="T47" s="22" t="str">
        <f t="shared" si="46"/>
        <v>En ciclo</v>
      </c>
      <c r="U47" s="22">
        <f t="shared" si="47"/>
        <v>7</v>
      </c>
      <c r="V47" s="23">
        <f t="shared" si="48"/>
        <v>46256</v>
      </c>
      <c r="W47" s="77">
        <f t="shared" si="49"/>
        <v>10</v>
      </c>
      <c r="X47" s="77">
        <f t="shared" si="49"/>
        <v>11</v>
      </c>
      <c r="Y47" s="77">
        <f t="shared" si="49"/>
        <v>12</v>
      </c>
      <c r="Z47" s="77">
        <f t="shared" si="49"/>
        <v>13</v>
      </c>
      <c r="AA47" s="77">
        <v>14</v>
      </c>
      <c r="AB47" s="77">
        <f t="shared" si="50"/>
        <v>15</v>
      </c>
      <c r="AC47" s="77">
        <f t="shared" si="50"/>
        <v>16</v>
      </c>
      <c r="AD47" s="77">
        <f t="shared" si="50"/>
        <v>17</v>
      </c>
      <c r="AE47" s="77">
        <f t="shared" si="50"/>
        <v>18</v>
      </c>
      <c r="AF47" s="77">
        <f t="shared" si="50"/>
        <v>19</v>
      </c>
      <c r="AG47" s="77">
        <f t="shared" si="50"/>
        <v>20</v>
      </c>
      <c r="AH47" s="77">
        <f t="shared" si="50"/>
        <v>21</v>
      </c>
      <c r="AI47" s="77">
        <v>0</v>
      </c>
      <c r="AJ47" s="77">
        <f t="shared" si="50"/>
        <v>1</v>
      </c>
      <c r="AK47" s="77">
        <f t="shared" si="50"/>
        <v>2</v>
      </c>
      <c r="AL47" s="77">
        <f t="shared" si="50"/>
        <v>3</v>
      </c>
      <c r="AM47" s="77">
        <f t="shared" si="50"/>
        <v>4</v>
      </c>
      <c r="AN47" s="77">
        <f t="shared" si="50"/>
        <v>5</v>
      </c>
      <c r="AO47" s="77">
        <f t="shared" si="50"/>
        <v>6</v>
      </c>
      <c r="AP47" s="77">
        <f t="shared" si="50"/>
        <v>7</v>
      </c>
      <c r="AQ47" s="77">
        <f t="shared" si="50"/>
        <v>8</v>
      </c>
      <c r="AR47" s="77">
        <f t="shared" si="27"/>
        <v>9</v>
      </c>
      <c r="AS47" s="77">
        <f t="shared" si="60"/>
        <v>10</v>
      </c>
      <c r="AT47" s="77">
        <f t="shared" si="60"/>
        <v>11</v>
      </c>
      <c r="AU47" s="77">
        <f t="shared" si="60"/>
        <v>12</v>
      </c>
      <c r="AV47" s="77">
        <f t="shared" si="60"/>
        <v>13</v>
      </c>
      <c r="AW47" s="77">
        <f t="shared" si="60"/>
        <v>14</v>
      </c>
      <c r="AX47" s="77">
        <f t="shared" si="60"/>
        <v>15</v>
      </c>
      <c r="AY47" s="77">
        <f t="shared" si="60"/>
        <v>16</v>
      </c>
      <c r="AZ47" s="77">
        <v>0</v>
      </c>
      <c r="BA47" s="77">
        <f t="shared" si="60"/>
        <v>1</v>
      </c>
      <c r="BB47" s="77">
        <f t="shared" si="60"/>
        <v>2</v>
      </c>
      <c r="BC47" s="77">
        <f t="shared" si="60"/>
        <v>3</v>
      </c>
      <c r="BD47" s="77">
        <f t="shared" si="60"/>
        <v>4</v>
      </c>
      <c r="BE47" s="77">
        <f t="shared" si="60"/>
        <v>5</v>
      </c>
      <c r="BF47" s="77">
        <f t="shared" si="60"/>
        <v>6</v>
      </c>
      <c r="BG47" s="77">
        <f t="shared" si="60"/>
        <v>7</v>
      </c>
      <c r="BH47" s="77">
        <f t="shared" si="60"/>
        <v>8</v>
      </c>
      <c r="BI47" s="77">
        <f t="shared" si="60"/>
        <v>9</v>
      </c>
      <c r="BJ47" s="77">
        <f t="shared" si="60"/>
        <v>10</v>
      </c>
      <c r="BK47" s="77">
        <v>0</v>
      </c>
      <c r="BL47" s="77">
        <f t="shared" si="60"/>
        <v>1</v>
      </c>
      <c r="BM47" s="77">
        <f t="shared" si="60"/>
        <v>2</v>
      </c>
      <c r="BN47" s="77">
        <f t="shared" si="60"/>
        <v>3</v>
      </c>
      <c r="BO47" s="77">
        <f t="shared" si="60"/>
        <v>4</v>
      </c>
      <c r="BP47" s="77">
        <f t="shared" si="60"/>
        <v>5</v>
      </c>
      <c r="BQ47" s="77">
        <f t="shared" si="60"/>
        <v>6</v>
      </c>
      <c r="BR47" s="77">
        <f t="shared" si="60"/>
        <v>7</v>
      </c>
      <c r="BS47" s="77">
        <f t="shared" si="60"/>
        <v>8</v>
      </c>
      <c r="BT47" s="77">
        <f t="shared" si="60"/>
        <v>9</v>
      </c>
      <c r="BU47" s="77">
        <f t="shared" si="60"/>
        <v>10</v>
      </c>
      <c r="BV47" s="77">
        <f t="shared" si="60"/>
        <v>11</v>
      </c>
      <c r="BW47" s="77">
        <f t="shared" si="60"/>
        <v>12</v>
      </c>
      <c r="BX47" s="77">
        <f t="shared" si="60"/>
        <v>13</v>
      </c>
      <c r="BY47" s="77">
        <f t="shared" si="60"/>
        <v>14</v>
      </c>
      <c r="BZ47" s="77">
        <f t="shared" si="60"/>
        <v>15</v>
      </c>
      <c r="CA47" s="77">
        <f t="shared" si="60"/>
        <v>16</v>
      </c>
      <c r="CB47" s="77">
        <f t="shared" si="60"/>
        <v>17</v>
      </c>
      <c r="CC47" s="77">
        <f t="shared" si="60"/>
        <v>18</v>
      </c>
      <c r="CD47" s="77">
        <f t="shared" si="60"/>
        <v>19</v>
      </c>
      <c r="CE47" s="77">
        <f t="shared" si="60"/>
        <v>20</v>
      </c>
      <c r="CF47" s="77">
        <f t="shared" si="60"/>
        <v>21</v>
      </c>
      <c r="CG47" s="77">
        <f t="shared" si="60"/>
        <v>22</v>
      </c>
      <c r="CH47" s="77">
        <f t="shared" si="60"/>
        <v>23</v>
      </c>
      <c r="CI47" s="77">
        <f t="shared" si="60"/>
        <v>24</v>
      </c>
      <c r="CJ47" s="77">
        <f t="shared" ref="CJ47:EU50" si="62">IF(CI47="","",CI47+1)</f>
        <v>25</v>
      </c>
      <c r="CK47" s="77">
        <f t="shared" si="62"/>
        <v>26</v>
      </c>
      <c r="CL47" s="77">
        <f t="shared" si="62"/>
        <v>27</v>
      </c>
      <c r="CM47" s="77">
        <f t="shared" si="62"/>
        <v>28</v>
      </c>
      <c r="CN47" s="77">
        <f t="shared" si="62"/>
        <v>29</v>
      </c>
      <c r="CO47" s="77">
        <f t="shared" si="62"/>
        <v>30</v>
      </c>
      <c r="CP47" s="77">
        <f t="shared" si="62"/>
        <v>31</v>
      </c>
      <c r="CQ47" s="77">
        <f t="shared" si="62"/>
        <v>32</v>
      </c>
      <c r="CR47" s="77">
        <f t="shared" si="62"/>
        <v>33</v>
      </c>
      <c r="CS47" s="77">
        <f t="shared" si="62"/>
        <v>34</v>
      </c>
      <c r="CT47" s="77">
        <f t="shared" si="62"/>
        <v>35</v>
      </c>
      <c r="CU47" s="77">
        <f t="shared" si="62"/>
        <v>36</v>
      </c>
      <c r="CV47" s="77">
        <f t="shared" si="62"/>
        <v>37</v>
      </c>
      <c r="CW47" s="77">
        <f t="shared" si="62"/>
        <v>38</v>
      </c>
      <c r="CX47" s="77">
        <f t="shared" si="62"/>
        <v>39</v>
      </c>
      <c r="CY47" s="77">
        <f t="shared" si="62"/>
        <v>40</v>
      </c>
      <c r="CZ47" s="77">
        <f t="shared" si="62"/>
        <v>41</v>
      </c>
      <c r="DA47" s="77">
        <f t="shared" si="62"/>
        <v>42</v>
      </c>
      <c r="DB47" s="77">
        <f t="shared" si="62"/>
        <v>43</v>
      </c>
      <c r="DC47" s="77">
        <f t="shared" si="62"/>
        <v>44</v>
      </c>
      <c r="DD47" s="77">
        <f t="shared" si="62"/>
        <v>45</v>
      </c>
      <c r="DE47" s="77">
        <f t="shared" si="62"/>
        <v>46</v>
      </c>
      <c r="DF47" s="77">
        <f t="shared" si="62"/>
        <v>47</v>
      </c>
      <c r="DG47" s="77">
        <f t="shared" si="62"/>
        <v>48</v>
      </c>
      <c r="DH47" s="77">
        <f t="shared" si="62"/>
        <v>49</v>
      </c>
      <c r="DI47" s="77">
        <f t="shared" si="62"/>
        <v>50</v>
      </c>
      <c r="DJ47" s="77">
        <f t="shared" si="62"/>
        <v>51</v>
      </c>
      <c r="DK47" s="77">
        <f t="shared" si="62"/>
        <v>52</v>
      </c>
      <c r="DL47" s="77">
        <f t="shared" si="62"/>
        <v>53</v>
      </c>
      <c r="DM47" s="77">
        <f t="shared" si="62"/>
        <v>54</v>
      </c>
      <c r="DN47" s="77">
        <f t="shared" si="62"/>
        <v>55</v>
      </c>
      <c r="DO47" s="77">
        <f t="shared" si="62"/>
        <v>56</v>
      </c>
      <c r="DP47" s="77">
        <f t="shared" si="62"/>
        <v>57</v>
      </c>
      <c r="DQ47" s="77">
        <f t="shared" si="62"/>
        <v>58</v>
      </c>
      <c r="DR47" s="77">
        <f t="shared" si="62"/>
        <v>59</v>
      </c>
      <c r="DS47" s="77">
        <f t="shared" si="62"/>
        <v>60</v>
      </c>
      <c r="DT47" s="77">
        <f t="shared" si="62"/>
        <v>61</v>
      </c>
      <c r="DU47" s="77">
        <f t="shared" si="62"/>
        <v>62</v>
      </c>
      <c r="DV47" s="77">
        <f t="shared" si="62"/>
        <v>63</v>
      </c>
      <c r="DW47" s="77">
        <f t="shared" si="62"/>
        <v>64</v>
      </c>
      <c r="DX47" s="77">
        <f t="shared" si="62"/>
        <v>65</v>
      </c>
      <c r="DY47" s="77">
        <f t="shared" si="62"/>
        <v>66</v>
      </c>
      <c r="DZ47" s="77">
        <f t="shared" si="62"/>
        <v>67</v>
      </c>
      <c r="EA47" s="77">
        <f t="shared" si="62"/>
        <v>68</v>
      </c>
      <c r="EB47" s="77">
        <f t="shared" si="62"/>
        <v>69</v>
      </c>
      <c r="EC47" s="77">
        <f t="shared" si="62"/>
        <v>70</v>
      </c>
      <c r="ED47" s="77">
        <f t="shared" si="62"/>
        <v>71</v>
      </c>
      <c r="EE47" s="77">
        <f t="shared" si="62"/>
        <v>72</v>
      </c>
      <c r="EF47" s="77">
        <f t="shared" si="62"/>
        <v>73</v>
      </c>
      <c r="EG47" s="77">
        <f t="shared" si="62"/>
        <v>74</v>
      </c>
      <c r="EH47" s="77">
        <f t="shared" si="62"/>
        <v>75</v>
      </c>
      <c r="EI47" s="77">
        <f t="shared" si="62"/>
        <v>76</v>
      </c>
      <c r="EJ47" s="77">
        <f t="shared" si="62"/>
        <v>77</v>
      </c>
      <c r="EK47" s="77">
        <f t="shared" si="62"/>
        <v>78</v>
      </c>
      <c r="EL47" s="77">
        <f t="shared" si="62"/>
        <v>79</v>
      </c>
      <c r="EM47" s="77">
        <f t="shared" si="62"/>
        <v>80</v>
      </c>
      <c r="EN47" s="77">
        <f t="shared" si="62"/>
        <v>81</v>
      </c>
      <c r="EO47" s="77">
        <f t="shared" si="62"/>
        <v>82</v>
      </c>
      <c r="EP47" s="77">
        <f t="shared" si="62"/>
        <v>83</v>
      </c>
      <c r="EQ47" s="77">
        <f t="shared" si="62"/>
        <v>84</v>
      </c>
      <c r="ER47" s="77">
        <f t="shared" si="62"/>
        <v>85</v>
      </c>
      <c r="ES47" s="77">
        <f t="shared" si="62"/>
        <v>86</v>
      </c>
      <c r="ET47" s="77">
        <f t="shared" si="62"/>
        <v>87</v>
      </c>
      <c r="EU47" s="77">
        <f t="shared" si="62"/>
        <v>88</v>
      </c>
      <c r="EV47" s="77">
        <f t="shared" ref="EV47:GX51" si="63">IF(EU47="","",EU47+1)</f>
        <v>89</v>
      </c>
      <c r="EW47" s="77">
        <f t="shared" si="63"/>
        <v>90</v>
      </c>
      <c r="EX47" s="77">
        <f t="shared" si="63"/>
        <v>91</v>
      </c>
      <c r="EY47" s="77">
        <f t="shared" si="63"/>
        <v>92</v>
      </c>
      <c r="EZ47" s="77">
        <f t="shared" si="63"/>
        <v>93</v>
      </c>
      <c r="FA47" s="77">
        <f t="shared" si="63"/>
        <v>94</v>
      </c>
      <c r="FB47" s="77">
        <f t="shared" si="63"/>
        <v>95</v>
      </c>
      <c r="FC47" s="77">
        <f t="shared" si="63"/>
        <v>96</v>
      </c>
      <c r="FD47" s="77">
        <f t="shared" si="63"/>
        <v>97</v>
      </c>
      <c r="FE47" s="77">
        <f t="shared" si="63"/>
        <v>98</v>
      </c>
      <c r="FF47" s="77">
        <f t="shared" si="63"/>
        <v>99</v>
      </c>
      <c r="FG47" s="77">
        <f t="shared" si="63"/>
        <v>100</v>
      </c>
      <c r="FH47" s="77">
        <f t="shared" si="63"/>
        <v>101</v>
      </c>
      <c r="FI47" s="77">
        <f t="shared" si="63"/>
        <v>102</v>
      </c>
      <c r="FJ47" s="77">
        <f t="shared" si="63"/>
        <v>103</v>
      </c>
      <c r="FK47" s="77">
        <f t="shared" si="63"/>
        <v>104</v>
      </c>
      <c r="FL47" s="77">
        <f t="shared" si="63"/>
        <v>105</v>
      </c>
      <c r="FM47" s="77">
        <f t="shared" si="63"/>
        <v>106</v>
      </c>
      <c r="FN47" s="77">
        <f t="shared" si="63"/>
        <v>107</v>
      </c>
      <c r="FO47" s="77">
        <f t="shared" si="63"/>
        <v>108</v>
      </c>
      <c r="FP47" s="77">
        <f t="shared" si="63"/>
        <v>109</v>
      </c>
      <c r="FQ47" s="77">
        <f t="shared" si="63"/>
        <v>110</v>
      </c>
      <c r="FR47" s="77">
        <f t="shared" si="63"/>
        <v>111</v>
      </c>
      <c r="FS47" s="77">
        <f t="shared" si="63"/>
        <v>112</v>
      </c>
      <c r="FT47" s="77">
        <f t="shared" si="63"/>
        <v>113</v>
      </c>
      <c r="FU47" s="77">
        <f t="shared" si="63"/>
        <v>114</v>
      </c>
      <c r="FV47" s="77">
        <f t="shared" si="63"/>
        <v>115</v>
      </c>
      <c r="FW47" s="77">
        <f t="shared" si="63"/>
        <v>116</v>
      </c>
      <c r="FX47" s="77">
        <f t="shared" si="63"/>
        <v>117</v>
      </c>
      <c r="FY47" s="77">
        <f t="shared" si="63"/>
        <v>118</v>
      </c>
      <c r="FZ47" s="77">
        <f t="shared" si="63"/>
        <v>119</v>
      </c>
      <c r="GA47" s="77">
        <f t="shared" si="63"/>
        <v>120</v>
      </c>
      <c r="GB47" s="77">
        <f t="shared" si="63"/>
        <v>121</v>
      </c>
      <c r="GC47" s="77">
        <f t="shared" si="63"/>
        <v>122</v>
      </c>
      <c r="GD47" s="77">
        <f t="shared" si="63"/>
        <v>123</v>
      </c>
      <c r="GE47" s="77">
        <f t="shared" si="63"/>
        <v>124</v>
      </c>
      <c r="GF47" s="77">
        <f t="shared" si="63"/>
        <v>125</v>
      </c>
      <c r="GG47" s="77">
        <f t="shared" si="63"/>
        <v>126</v>
      </c>
      <c r="GH47" s="77">
        <f t="shared" si="63"/>
        <v>127</v>
      </c>
      <c r="GI47" s="77">
        <f t="shared" si="63"/>
        <v>128</v>
      </c>
      <c r="GJ47" s="77">
        <f t="shared" si="63"/>
        <v>129</v>
      </c>
      <c r="GK47" s="77">
        <f t="shared" si="63"/>
        <v>130</v>
      </c>
      <c r="GL47" s="77">
        <f t="shared" si="63"/>
        <v>131</v>
      </c>
      <c r="GM47" s="77">
        <f t="shared" si="63"/>
        <v>132</v>
      </c>
      <c r="GN47" s="77">
        <f t="shared" si="63"/>
        <v>133</v>
      </c>
      <c r="GO47" s="77">
        <f t="shared" si="63"/>
        <v>134</v>
      </c>
      <c r="GP47" s="77">
        <f t="shared" si="63"/>
        <v>135</v>
      </c>
      <c r="GQ47" s="77">
        <f t="shared" si="63"/>
        <v>136</v>
      </c>
      <c r="GR47" s="77">
        <f t="shared" si="63"/>
        <v>137</v>
      </c>
      <c r="GS47" s="77">
        <f t="shared" si="63"/>
        <v>138</v>
      </c>
      <c r="GT47" s="77">
        <f t="shared" si="63"/>
        <v>139</v>
      </c>
      <c r="GU47" s="77">
        <f t="shared" si="63"/>
        <v>140</v>
      </c>
      <c r="GV47" s="77">
        <f t="shared" si="63"/>
        <v>141</v>
      </c>
      <c r="GW47" s="77">
        <f t="shared" si="63"/>
        <v>142</v>
      </c>
      <c r="GX47" s="77">
        <f t="shared" si="63"/>
        <v>143</v>
      </c>
    </row>
    <row r="48" spans="1:206" ht="15" customHeight="1" x14ac:dyDescent="0.2">
      <c r="A48" s="22" t="s">
        <v>68</v>
      </c>
      <c r="B48" s="22">
        <v>3</v>
      </c>
      <c r="C48" s="22" t="s">
        <v>93</v>
      </c>
      <c r="D48" s="22">
        <v>39</v>
      </c>
      <c r="E48" s="22" t="s">
        <v>143</v>
      </c>
      <c r="F48" s="22" t="s">
        <v>78</v>
      </c>
      <c r="G48" s="22" t="s">
        <v>79</v>
      </c>
      <c r="H48" s="22">
        <v>2010</v>
      </c>
      <c r="I48" s="22">
        <v>16</v>
      </c>
      <c r="J48" s="22">
        <v>36.85</v>
      </c>
      <c r="K48" s="22">
        <v>0</v>
      </c>
      <c r="L48" s="22">
        <v>5204</v>
      </c>
      <c r="M48" s="22">
        <v>5204</v>
      </c>
      <c r="N48" s="22" t="s">
        <v>95</v>
      </c>
      <c r="O48" s="22" t="s">
        <v>96</v>
      </c>
      <c r="P48" s="22" t="s">
        <v>75</v>
      </c>
      <c r="Q48" s="108">
        <f>IF(R48="","",'Dashboard Ciclos'!$B$2-R48)</f>
        <v>46232</v>
      </c>
      <c r="R48" s="22">
        <f>IF($E48="","",IFERROR(INDEX($W48:$GX48,MATCH('Dashboard Ciclos'!$B$2,$W$1:$GX$1,0)),""))</f>
        <v>17</v>
      </c>
      <c r="S48" s="22" t="str">
        <f t="shared" si="45"/>
        <v>Vencido 1-5 d</v>
      </c>
      <c r="T48" s="22" t="str">
        <f t="shared" si="46"/>
        <v>Fuera de ciclo</v>
      </c>
      <c r="U48" s="22">
        <f t="shared" si="47"/>
        <v>-5</v>
      </c>
      <c r="V48" s="23">
        <f t="shared" si="48"/>
        <v>46244</v>
      </c>
      <c r="W48" s="77">
        <f t="shared" si="49"/>
        <v>7</v>
      </c>
      <c r="X48" s="77">
        <f t="shared" si="49"/>
        <v>8</v>
      </c>
      <c r="Y48" s="77">
        <f t="shared" si="49"/>
        <v>9</v>
      </c>
      <c r="Z48" s="77">
        <f t="shared" si="49"/>
        <v>10</v>
      </c>
      <c r="AA48" s="77">
        <v>11</v>
      </c>
      <c r="AB48" s="77">
        <f t="shared" si="50"/>
        <v>12</v>
      </c>
      <c r="AC48" s="77">
        <f t="shared" si="50"/>
        <v>13</v>
      </c>
      <c r="AD48" s="77">
        <f t="shared" si="50"/>
        <v>14</v>
      </c>
      <c r="AE48" s="77">
        <f t="shared" si="50"/>
        <v>15</v>
      </c>
      <c r="AF48" s="77">
        <f t="shared" si="50"/>
        <v>16</v>
      </c>
      <c r="AG48" s="77">
        <f t="shared" si="50"/>
        <v>17</v>
      </c>
      <c r="AH48" s="77">
        <v>0</v>
      </c>
      <c r="AI48" s="77">
        <f t="shared" si="50"/>
        <v>1</v>
      </c>
      <c r="AJ48" s="77">
        <f t="shared" si="50"/>
        <v>2</v>
      </c>
      <c r="AK48" s="77">
        <f t="shared" si="50"/>
        <v>3</v>
      </c>
      <c r="AL48" s="77">
        <f t="shared" si="50"/>
        <v>4</v>
      </c>
      <c r="AM48" s="77">
        <f t="shared" si="50"/>
        <v>5</v>
      </c>
      <c r="AN48" s="77">
        <f t="shared" si="50"/>
        <v>6</v>
      </c>
      <c r="AO48" s="77">
        <f t="shared" si="50"/>
        <v>7</v>
      </c>
      <c r="AP48" s="77">
        <f t="shared" si="50"/>
        <v>8</v>
      </c>
      <c r="AQ48" s="77">
        <f t="shared" si="50"/>
        <v>9</v>
      </c>
      <c r="AR48" s="77">
        <f t="shared" si="27"/>
        <v>10</v>
      </c>
      <c r="AS48" s="77">
        <f t="shared" ref="AS48:CJ51" si="64">IF(AR48="","",AR48+1)</f>
        <v>11</v>
      </c>
      <c r="AT48" s="77">
        <f t="shared" si="64"/>
        <v>12</v>
      </c>
      <c r="AU48" s="77">
        <f t="shared" si="64"/>
        <v>13</v>
      </c>
      <c r="AV48" s="77">
        <f t="shared" si="64"/>
        <v>14</v>
      </c>
      <c r="AW48" s="77">
        <f t="shared" si="64"/>
        <v>15</v>
      </c>
      <c r="AX48" s="77">
        <f t="shared" si="64"/>
        <v>16</v>
      </c>
      <c r="AY48" s="77">
        <v>0</v>
      </c>
      <c r="AZ48" s="77">
        <f t="shared" si="64"/>
        <v>1</v>
      </c>
      <c r="BA48" s="77">
        <f t="shared" si="64"/>
        <v>2</v>
      </c>
      <c r="BB48" s="77">
        <f t="shared" si="64"/>
        <v>3</v>
      </c>
      <c r="BC48" s="77">
        <f t="shared" si="64"/>
        <v>4</v>
      </c>
      <c r="BD48" s="77">
        <f t="shared" si="64"/>
        <v>5</v>
      </c>
      <c r="BE48" s="77">
        <f t="shared" si="64"/>
        <v>6</v>
      </c>
      <c r="BF48" s="77">
        <f t="shared" si="64"/>
        <v>7</v>
      </c>
      <c r="BG48" s="77">
        <f t="shared" si="64"/>
        <v>8</v>
      </c>
      <c r="BH48" s="77">
        <f t="shared" si="64"/>
        <v>9</v>
      </c>
      <c r="BI48" s="77">
        <f t="shared" si="64"/>
        <v>10</v>
      </c>
      <c r="BJ48" s="77">
        <f t="shared" si="64"/>
        <v>11</v>
      </c>
      <c r="BK48" s="77">
        <f t="shared" si="64"/>
        <v>12</v>
      </c>
      <c r="BL48" s="77">
        <f t="shared" si="64"/>
        <v>13</v>
      </c>
      <c r="BM48" s="77">
        <f t="shared" si="64"/>
        <v>14</v>
      </c>
      <c r="BN48" s="77">
        <f t="shared" si="64"/>
        <v>15</v>
      </c>
      <c r="BO48" s="77">
        <f t="shared" si="64"/>
        <v>16</v>
      </c>
      <c r="BP48" s="77">
        <f t="shared" si="64"/>
        <v>17</v>
      </c>
      <c r="BQ48" s="77">
        <f t="shared" si="64"/>
        <v>18</v>
      </c>
      <c r="BR48" s="77">
        <f t="shared" si="64"/>
        <v>19</v>
      </c>
      <c r="BS48" s="77">
        <f t="shared" si="64"/>
        <v>20</v>
      </c>
      <c r="BT48" s="77">
        <f t="shared" si="64"/>
        <v>21</v>
      </c>
      <c r="BU48" s="77">
        <f t="shared" si="64"/>
        <v>22</v>
      </c>
      <c r="BV48" s="77">
        <f t="shared" si="64"/>
        <v>23</v>
      </c>
      <c r="BW48" s="77">
        <f t="shared" si="64"/>
        <v>24</v>
      </c>
      <c r="BX48" s="77">
        <f t="shared" si="64"/>
        <v>25</v>
      </c>
      <c r="BY48" s="77">
        <f t="shared" si="64"/>
        <v>26</v>
      </c>
      <c r="BZ48" s="77">
        <f t="shared" si="64"/>
        <v>27</v>
      </c>
      <c r="CA48" s="77">
        <f t="shared" si="64"/>
        <v>28</v>
      </c>
      <c r="CB48" s="77">
        <f t="shared" si="64"/>
        <v>29</v>
      </c>
      <c r="CC48" s="77">
        <f t="shared" si="64"/>
        <v>30</v>
      </c>
      <c r="CD48" s="77">
        <f t="shared" si="64"/>
        <v>31</v>
      </c>
      <c r="CE48" s="77">
        <f t="shared" si="64"/>
        <v>32</v>
      </c>
      <c r="CF48" s="77">
        <f t="shared" si="64"/>
        <v>33</v>
      </c>
      <c r="CG48" s="77">
        <f t="shared" si="64"/>
        <v>34</v>
      </c>
      <c r="CH48" s="77">
        <f t="shared" si="64"/>
        <v>35</v>
      </c>
      <c r="CI48" s="77">
        <f t="shared" si="64"/>
        <v>36</v>
      </c>
      <c r="CJ48" s="77">
        <f t="shared" si="64"/>
        <v>37</v>
      </c>
      <c r="CK48" s="77">
        <f t="shared" si="62"/>
        <v>38</v>
      </c>
      <c r="CL48" s="77">
        <f t="shared" si="62"/>
        <v>39</v>
      </c>
      <c r="CM48" s="77">
        <f t="shared" si="62"/>
        <v>40</v>
      </c>
      <c r="CN48" s="77">
        <f t="shared" si="62"/>
        <v>41</v>
      </c>
      <c r="CO48" s="77">
        <f t="shared" si="62"/>
        <v>42</v>
      </c>
      <c r="CP48" s="77">
        <f t="shared" si="62"/>
        <v>43</v>
      </c>
      <c r="CQ48" s="77">
        <f t="shared" si="62"/>
        <v>44</v>
      </c>
      <c r="CR48" s="77">
        <f t="shared" si="62"/>
        <v>45</v>
      </c>
      <c r="CS48" s="77">
        <f t="shared" si="62"/>
        <v>46</v>
      </c>
      <c r="CT48" s="77">
        <f t="shared" si="62"/>
        <v>47</v>
      </c>
      <c r="CU48" s="77">
        <f t="shared" si="62"/>
        <v>48</v>
      </c>
      <c r="CV48" s="77">
        <f t="shared" si="62"/>
        <v>49</v>
      </c>
      <c r="CW48" s="77">
        <f t="shared" si="62"/>
        <v>50</v>
      </c>
      <c r="CX48" s="77">
        <f t="shared" si="62"/>
        <v>51</v>
      </c>
      <c r="CY48" s="77">
        <f t="shared" si="62"/>
        <v>52</v>
      </c>
      <c r="CZ48" s="77">
        <f t="shared" si="62"/>
        <v>53</v>
      </c>
      <c r="DA48" s="77">
        <f t="shared" si="62"/>
        <v>54</v>
      </c>
      <c r="DB48" s="77">
        <f t="shared" si="62"/>
        <v>55</v>
      </c>
      <c r="DC48" s="77">
        <f t="shared" si="62"/>
        <v>56</v>
      </c>
      <c r="DD48" s="77">
        <f t="shared" si="62"/>
        <v>57</v>
      </c>
      <c r="DE48" s="77">
        <f t="shared" si="62"/>
        <v>58</v>
      </c>
      <c r="DF48" s="77">
        <f t="shared" si="62"/>
        <v>59</v>
      </c>
      <c r="DG48" s="77">
        <f t="shared" si="62"/>
        <v>60</v>
      </c>
      <c r="DH48" s="77">
        <f t="shared" si="62"/>
        <v>61</v>
      </c>
      <c r="DI48" s="77">
        <f t="shared" si="62"/>
        <v>62</v>
      </c>
      <c r="DJ48" s="77">
        <f t="shared" si="62"/>
        <v>63</v>
      </c>
      <c r="DK48" s="77">
        <f t="shared" si="62"/>
        <v>64</v>
      </c>
      <c r="DL48" s="77">
        <f t="shared" si="62"/>
        <v>65</v>
      </c>
      <c r="DM48" s="77">
        <f t="shared" si="62"/>
        <v>66</v>
      </c>
      <c r="DN48" s="77">
        <f t="shared" si="62"/>
        <v>67</v>
      </c>
      <c r="DO48" s="77">
        <f t="shared" si="62"/>
        <v>68</v>
      </c>
      <c r="DP48" s="77">
        <f t="shared" si="62"/>
        <v>69</v>
      </c>
      <c r="DQ48" s="77">
        <f t="shared" si="62"/>
        <v>70</v>
      </c>
      <c r="DR48" s="77">
        <f t="shared" si="62"/>
        <v>71</v>
      </c>
      <c r="DS48" s="77">
        <f t="shared" si="62"/>
        <v>72</v>
      </c>
      <c r="DT48" s="77">
        <f t="shared" si="62"/>
        <v>73</v>
      </c>
      <c r="DU48" s="77">
        <f t="shared" si="62"/>
        <v>74</v>
      </c>
      <c r="DV48" s="77">
        <f t="shared" si="62"/>
        <v>75</v>
      </c>
      <c r="DW48" s="77">
        <f t="shared" si="62"/>
        <v>76</v>
      </c>
      <c r="DX48" s="77">
        <f t="shared" si="62"/>
        <v>77</v>
      </c>
      <c r="DY48" s="77">
        <f t="shared" si="62"/>
        <v>78</v>
      </c>
      <c r="DZ48" s="77">
        <f t="shared" si="62"/>
        <v>79</v>
      </c>
      <c r="EA48" s="77">
        <f t="shared" si="62"/>
        <v>80</v>
      </c>
      <c r="EB48" s="77">
        <f t="shared" si="62"/>
        <v>81</v>
      </c>
      <c r="EC48" s="77">
        <f t="shared" si="62"/>
        <v>82</v>
      </c>
      <c r="ED48" s="77">
        <f t="shared" si="62"/>
        <v>83</v>
      </c>
      <c r="EE48" s="77">
        <f t="shared" si="62"/>
        <v>84</v>
      </c>
      <c r="EF48" s="77">
        <f t="shared" si="62"/>
        <v>85</v>
      </c>
      <c r="EG48" s="77">
        <f t="shared" si="62"/>
        <v>86</v>
      </c>
      <c r="EH48" s="77">
        <f t="shared" si="62"/>
        <v>87</v>
      </c>
      <c r="EI48" s="77">
        <f t="shared" si="62"/>
        <v>88</v>
      </c>
      <c r="EJ48" s="77">
        <f t="shared" si="62"/>
        <v>89</v>
      </c>
      <c r="EK48" s="77">
        <f t="shared" si="62"/>
        <v>90</v>
      </c>
      <c r="EL48" s="77">
        <f t="shared" si="62"/>
        <v>91</v>
      </c>
      <c r="EM48" s="77">
        <f t="shared" si="62"/>
        <v>92</v>
      </c>
      <c r="EN48" s="77">
        <f t="shared" si="62"/>
        <v>93</v>
      </c>
      <c r="EO48" s="77">
        <f t="shared" si="62"/>
        <v>94</v>
      </c>
      <c r="EP48" s="77">
        <f t="shared" si="62"/>
        <v>95</v>
      </c>
      <c r="EQ48" s="77">
        <f t="shared" si="62"/>
        <v>96</v>
      </c>
      <c r="ER48" s="77">
        <f t="shared" si="62"/>
        <v>97</v>
      </c>
      <c r="ES48" s="77">
        <f t="shared" si="62"/>
        <v>98</v>
      </c>
      <c r="ET48" s="77">
        <f t="shared" si="62"/>
        <v>99</v>
      </c>
      <c r="EU48" s="77">
        <f t="shared" si="62"/>
        <v>100</v>
      </c>
      <c r="EV48" s="77">
        <f t="shared" si="63"/>
        <v>101</v>
      </c>
      <c r="EW48" s="77">
        <f t="shared" si="63"/>
        <v>102</v>
      </c>
      <c r="EX48" s="77">
        <f t="shared" si="63"/>
        <v>103</v>
      </c>
      <c r="EY48" s="77">
        <f t="shared" si="63"/>
        <v>104</v>
      </c>
      <c r="EZ48" s="77">
        <f t="shared" si="63"/>
        <v>105</v>
      </c>
      <c r="FA48" s="77">
        <f t="shared" si="63"/>
        <v>106</v>
      </c>
      <c r="FB48" s="77">
        <f t="shared" si="63"/>
        <v>107</v>
      </c>
      <c r="FC48" s="77">
        <f t="shared" si="63"/>
        <v>108</v>
      </c>
      <c r="FD48" s="77">
        <f t="shared" si="63"/>
        <v>109</v>
      </c>
      <c r="FE48" s="77">
        <f t="shared" si="63"/>
        <v>110</v>
      </c>
      <c r="FF48" s="77">
        <f t="shared" si="63"/>
        <v>111</v>
      </c>
      <c r="FG48" s="77">
        <f t="shared" si="63"/>
        <v>112</v>
      </c>
      <c r="FH48" s="77">
        <f t="shared" si="63"/>
        <v>113</v>
      </c>
      <c r="FI48" s="77">
        <f t="shared" si="63"/>
        <v>114</v>
      </c>
      <c r="FJ48" s="77">
        <f t="shared" si="63"/>
        <v>115</v>
      </c>
      <c r="FK48" s="77">
        <f t="shared" si="63"/>
        <v>116</v>
      </c>
      <c r="FL48" s="77">
        <f t="shared" si="63"/>
        <v>117</v>
      </c>
      <c r="FM48" s="77">
        <f t="shared" si="63"/>
        <v>118</v>
      </c>
      <c r="FN48" s="77">
        <f t="shared" si="63"/>
        <v>119</v>
      </c>
      <c r="FO48" s="77">
        <f t="shared" si="63"/>
        <v>120</v>
      </c>
      <c r="FP48" s="77">
        <f t="shared" si="63"/>
        <v>121</v>
      </c>
      <c r="FQ48" s="77">
        <f t="shared" si="63"/>
        <v>122</v>
      </c>
      <c r="FR48" s="77">
        <f t="shared" si="63"/>
        <v>123</v>
      </c>
      <c r="FS48" s="77">
        <f t="shared" si="63"/>
        <v>124</v>
      </c>
      <c r="FT48" s="77">
        <f t="shared" si="63"/>
        <v>125</v>
      </c>
      <c r="FU48" s="77">
        <f t="shared" si="63"/>
        <v>126</v>
      </c>
      <c r="FV48" s="77">
        <f t="shared" si="63"/>
        <v>127</v>
      </c>
      <c r="FW48" s="77">
        <f t="shared" si="63"/>
        <v>128</v>
      </c>
      <c r="FX48" s="77">
        <f t="shared" si="63"/>
        <v>129</v>
      </c>
      <c r="FY48" s="77">
        <f t="shared" si="63"/>
        <v>130</v>
      </c>
      <c r="FZ48" s="77">
        <f t="shared" si="63"/>
        <v>131</v>
      </c>
      <c r="GA48" s="77">
        <f t="shared" si="63"/>
        <v>132</v>
      </c>
      <c r="GB48" s="77">
        <f t="shared" si="63"/>
        <v>133</v>
      </c>
      <c r="GC48" s="77">
        <f t="shared" si="63"/>
        <v>134</v>
      </c>
      <c r="GD48" s="77">
        <f t="shared" si="63"/>
        <v>135</v>
      </c>
      <c r="GE48" s="77">
        <f t="shared" si="63"/>
        <v>136</v>
      </c>
      <c r="GF48" s="77">
        <f t="shared" si="63"/>
        <v>137</v>
      </c>
      <c r="GG48" s="77">
        <f t="shared" si="63"/>
        <v>138</v>
      </c>
      <c r="GH48" s="77">
        <f t="shared" si="63"/>
        <v>139</v>
      </c>
      <c r="GI48" s="77">
        <f t="shared" si="63"/>
        <v>140</v>
      </c>
      <c r="GJ48" s="77">
        <f t="shared" si="63"/>
        <v>141</v>
      </c>
      <c r="GK48" s="77">
        <f t="shared" si="63"/>
        <v>142</v>
      </c>
      <c r="GL48" s="77">
        <f t="shared" si="63"/>
        <v>143</v>
      </c>
      <c r="GM48" s="77">
        <f t="shared" si="63"/>
        <v>144</v>
      </c>
      <c r="GN48" s="77">
        <f t="shared" si="63"/>
        <v>145</v>
      </c>
      <c r="GO48" s="77">
        <f t="shared" si="63"/>
        <v>146</v>
      </c>
      <c r="GP48" s="77">
        <f t="shared" si="63"/>
        <v>147</v>
      </c>
      <c r="GQ48" s="77">
        <f t="shared" si="63"/>
        <v>148</v>
      </c>
      <c r="GR48" s="77">
        <f t="shared" si="63"/>
        <v>149</v>
      </c>
      <c r="GS48" s="77">
        <f t="shared" si="63"/>
        <v>150</v>
      </c>
      <c r="GT48" s="77">
        <f t="shared" si="63"/>
        <v>151</v>
      </c>
      <c r="GU48" s="77">
        <f t="shared" si="63"/>
        <v>152</v>
      </c>
      <c r="GV48" s="77">
        <f t="shared" si="63"/>
        <v>153</v>
      </c>
      <c r="GW48" s="77">
        <f t="shared" si="63"/>
        <v>154</v>
      </c>
      <c r="GX48" s="77">
        <f t="shared" si="63"/>
        <v>155</v>
      </c>
    </row>
    <row r="49" spans="1:206" ht="15" customHeight="1" x14ac:dyDescent="0.2">
      <c r="A49" s="22" t="s">
        <v>68</v>
      </c>
      <c r="B49" s="22">
        <v>4</v>
      </c>
      <c r="C49" s="22" t="s">
        <v>93</v>
      </c>
      <c r="D49" s="22">
        <v>40</v>
      </c>
      <c r="E49" s="22" t="s">
        <v>144</v>
      </c>
      <c r="F49" s="22" t="s">
        <v>78</v>
      </c>
      <c r="G49" s="22" t="s">
        <v>79</v>
      </c>
      <c r="H49" s="22">
        <v>2010</v>
      </c>
      <c r="I49" s="22">
        <v>16</v>
      </c>
      <c r="J49" s="22">
        <v>37.950000000000003</v>
      </c>
      <c r="K49" s="22">
        <v>0</v>
      </c>
      <c r="L49" s="22">
        <v>5321</v>
      </c>
      <c r="M49" s="22">
        <v>5321</v>
      </c>
      <c r="N49" s="22" t="s">
        <v>95</v>
      </c>
      <c r="O49" s="22" t="s">
        <v>96</v>
      </c>
      <c r="P49" s="22" t="s">
        <v>75</v>
      </c>
      <c r="Q49" s="108">
        <f>IF(R49="","",'Dashboard Ciclos'!$B$2-R49)</f>
        <v>46240</v>
      </c>
      <c r="R49" s="22">
        <f>IF($E49="","",IFERROR(INDEX($W49:$GX49,MATCH('Dashboard Ciclos'!$B$2,$W$1:$GX$1,0)),""))</f>
        <v>9</v>
      </c>
      <c r="S49" s="22" t="str">
        <f t="shared" si="45"/>
        <v>En ciclo</v>
      </c>
      <c r="T49" s="22" t="str">
        <f t="shared" si="46"/>
        <v>En ciclo</v>
      </c>
      <c r="U49" s="22">
        <f t="shared" si="47"/>
        <v>3</v>
      </c>
      <c r="V49" s="23">
        <f t="shared" si="48"/>
        <v>46252</v>
      </c>
      <c r="W49" s="77">
        <f t="shared" si="49"/>
        <v>3</v>
      </c>
      <c r="X49" s="77">
        <f t="shared" si="49"/>
        <v>4</v>
      </c>
      <c r="Y49" s="77">
        <f t="shared" si="49"/>
        <v>5</v>
      </c>
      <c r="Z49" s="77">
        <f t="shared" si="49"/>
        <v>6</v>
      </c>
      <c r="AA49" s="77">
        <v>7</v>
      </c>
      <c r="AB49" s="77">
        <f t="shared" si="50"/>
        <v>8</v>
      </c>
      <c r="AC49" s="77">
        <f t="shared" si="50"/>
        <v>9</v>
      </c>
      <c r="AD49" s="77">
        <f t="shared" si="50"/>
        <v>10</v>
      </c>
      <c r="AE49" s="77">
        <f t="shared" si="50"/>
        <v>11</v>
      </c>
      <c r="AF49" s="77">
        <f t="shared" si="50"/>
        <v>12</v>
      </c>
      <c r="AG49" s="77">
        <f t="shared" si="50"/>
        <v>13</v>
      </c>
      <c r="AH49" s="77">
        <f t="shared" si="50"/>
        <v>14</v>
      </c>
      <c r="AI49" s="77">
        <f t="shared" si="50"/>
        <v>15</v>
      </c>
      <c r="AJ49" s="77">
        <f t="shared" si="50"/>
        <v>16</v>
      </c>
      <c r="AK49" s="77">
        <f t="shared" si="50"/>
        <v>17</v>
      </c>
      <c r="AL49" s="77">
        <f t="shared" si="50"/>
        <v>18</v>
      </c>
      <c r="AM49" s="77">
        <v>0</v>
      </c>
      <c r="AN49" s="77">
        <f t="shared" si="50"/>
        <v>1</v>
      </c>
      <c r="AO49" s="77">
        <f t="shared" ref="AK49:AR64" si="65">IF(AN49="","",AN49+1)</f>
        <v>2</v>
      </c>
      <c r="AP49" s="77">
        <f t="shared" si="65"/>
        <v>3</v>
      </c>
      <c r="AQ49" s="77">
        <f t="shared" si="65"/>
        <v>4</v>
      </c>
      <c r="AR49" s="77">
        <f t="shared" si="27"/>
        <v>5</v>
      </c>
      <c r="AS49" s="77">
        <f t="shared" si="64"/>
        <v>6</v>
      </c>
      <c r="AT49" s="77">
        <f t="shared" si="64"/>
        <v>7</v>
      </c>
      <c r="AU49" s="77">
        <f t="shared" si="64"/>
        <v>8</v>
      </c>
      <c r="AV49" s="77">
        <f t="shared" si="64"/>
        <v>9</v>
      </c>
      <c r="AW49" s="77">
        <f t="shared" si="64"/>
        <v>10</v>
      </c>
      <c r="AX49" s="77">
        <f t="shared" si="64"/>
        <v>11</v>
      </c>
      <c r="AY49" s="77">
        <f t="shared" si="64"/>
        <v>12</v>
      </c>
      <c r="AZ49" s="77">
        <f t="shared" si="64"/>
        <v>13</v>
      </c>
      <c r="BA49" s="77">
        <f t="shared" si="64"/>
        <v>14</v>
      </c>
      <c r="BB49" s="77">
        <f t="shared" si="64"/>
        <v>15</v>
      </c>
      <c r="BC49" s="77">
        <f t="shared" si="64"/>
        <v>16</v>
      </c>
      <c r="BD49" s="77">
        <f t="shared" si="64"/>
        <v>17</v>
      </c>
      <c r="BE49" s="77">
        <f t="shared" si="64"/>
        <v>18</v>
      </c>
      <c r="BF49" s="77">
        <f t="shared" si="64"/>
        <v>19</v>
      </c>
      <c r="BG49" s="77">
        <v>0</v>
      </c>
      <c r="BH49" s="77">
        <f t="shared" si="64"/>
        <v>1</v>
      </c>
      <c r="BI49" s="77">
        <f t="shared" si="64"/>
        <v>2</v>
      </c>
      <c r="BJ49" s="77">
        <f t="shared" si="64"/>
        <v>3</v>
      </c>
      <c r="BK49" s="77">
        <f t="shared" si="64"/>
        <v>4</v>
      </c>
      <c r="BL49" s="77">
        <f t="shared" si="64"/>
        <v>5</v>
      </c>
      <c r="BM49" s="77">
        <f t="shared" si="64"/>
        <v>6</v>
      </c>
      <c r="BN49" s="77">
        <f t="shared" si="64"/>
        <v>7</v>
      </c>
      <c r="BO49" s="77">
        <f t="shared" si="64"/>
        <v>8</v>
      </c>
      <c r="BP49" s="77">
        <f t="shared" si="64"/>
        <v>9</v>
      </c>
      <c r="BQ49" s="77">
        <f t="shared" si="64"/>
        <v>10</v>
      </c>
      <c r="BR49" s="77">
        <f t="shared" si="64"/>
        <v>11</v>
      </c>
      <c r="BS49" s="77">
        <f t="shared" si="64"/>
        <v>12</v>
      </c>
      <c r="BT49" s="77">
        <f t="shared" si="64"/>
        <v>13</v>
      </c>
      <c r="BU49" s="77">
        <f t="shared" si="64"/>
        <v>14</v>
      </c>
      <c r="BV49" s="77">
        <f t="shared" si="64"/>
        <v>15</v>
      </c>
      <c r="BW49" s="77">
        <f t="shared" si="64"/>
        <v>16</v>
      </c>
      <c r="BX49" s="77">
        <f t="shared" si="64"/>
        <v>17</v>
      </c>
      <c r="BY49" s="77">
        <f t="shared" si="64"/>
        <v>18</v>
      </c>
      <c r="BZ49" s="77">
        <f t="shared" si="64"/>
        <v>19</v>
      </c>
      <c r="CA49" s="77">
        <f t="shared" si="64"/>
        <v>20</v>
      </c>
      <c r="CB49" s="77">
        <f t="shared" si="64"/>
        <v>21</v>
      </c>
      <c r="CC49" s="77">
        <f t="shared" si="64"/>
        <v>22</v>
      </c>
      <c r="CD49" s="77">
        <f t="shared" si="64"/>
        <v>23</v>
      </c>
      <c r="CE49" s="77">
        <f t="shared" si="64"/>
        <v>24</v>
      </c>
      <c r="CF49" s="77">
        <f t="shared" si="64"/>
        <v>25</v>
      </c>
      <c r="CG49" s="77">
        <f t="shared" si="64"/>
        <v>26</v>
      </c>
      <c r="CH49" s="77">
        <f t="shared" si="64"/>
        <v>27</v>
      </c>
      <c r="CI49" s="77">
        <f t="shared" si="64"/>
        <v>28</v>
      </c>
      <c r="CJ49" s="77">
        <f t="shared" si="64"/>
        <v>29</v>
      </c>
      <c r="CK49" s="77">
        <f t="shared" si="62"/>
        <v>30</v>
      </c>
      <c r="CL49" s="77">
        <f t="shared" si="62"/>
        <v>31</v>
      </c>
      <c r="CM49" s="77">
        <f t="shared" si="62"/>
        <v>32</v>
      </c>
      <c r="CN49" s="77">
        <f t="shared" si="62"/>
        <v>33</v>
      </c>
      <c r="CO49" s="77">
        <f t="shared" si="62"/>
        <v>34</v>
      </c>
      <c r="CP49" s="77">
        <f t="shared" si="62"/>
        <v>35</v>
      </c>
      <c r="CQ49" s="77">
        <f t="shared" si="62"/>
        <v>36</v>
      </c>
      <c r="CR49" s="77">
        <f t="shared" si="62"/>
        <v>37</v>
      </c>
      <c r="CS49" s="77">
        <f t="shared" si="62"/>
        <v>38</v>
      </c>
      <c r="CT49" s="77">
        <f t="shared" si="62"/>
        <v>39</v>
      </c>
      <c r="CU49" s="77">
        <f t="shared" si="62"/>
        <v>40</v>
      </c>
      <c r="CV49" s="77">
        <f t="shared" si="62"/>
        <v>41</v>
      </c>
      <c r="CW49" s="77">
        <f t="shared" si="62"/>
        <v>42</v>
      </c>
      <c r="CX49" s="77">
        <f t="shared" si="62"/>
        <v>43</v>
      </c>
      <c r="CY49" s="77">
        <f t="shared" si="62"/>
        <v>44</v>
      </c>
      <c r="CZ49" s="77">
        <f t="shared" si="62"/>
        <v>45</v>
      </c>
      <c r="DA49" s="77">
        <f t="shared" si="62"/>
        <v>46</v>
      </c>
      <c r="DB49" s="77">
        <f t="shared" si="62"/>
        <v>47</v>
      </c>
      <c r="DC49" s="77">
        <f t="shared" si="62"/>
        <v>48</v>
      </c>
      <c r="DD49" s="77">
        <f t="shared" si="62"/>
        <v>49</v>
      </c>
      <c r="DE49" s="77">
        <f t="shared" si="62"/>
        <v>50</v>
      </c>
      <c r="DF49" s="77">
        <f t="shared" si="62"/>
        <v>51</v>
      </c>
      <c r="DG49" s="77">
        <f t="shared" si="62"/>
        <v>52</v>
      </c>
      <c r="DH49" s="77">
        <f t="shared" si="62"/>
        <v>53</v>
      </c>
      <c r="DI49" s="77">
        <f t="shared" si="62"/>
        <v>54</v>
      </c>
      <c r="DJ49" s="77">
        <f t="shared" si="62"/>
        <v>55</v>
      </c>
      <c r="DK49" s="77">
        <f t="shared" si="62"/>
        <v>56</v>
      </c>
      <c r="DL49" s="77">
        <f t="shared" si="62"/>
        <v>57</v>
      </c>
      <c r="DM49" s="77">
        <f t="shared" si="62"/>
        <v>58</v>
      </c>
      <c r="DN49" s="77">
        <f t="shared" si="62"/>
        <v>59</v>
      </c>
      <c r="DO49" s="77">
        <f t="shared" si="62"/>
        <v>60</v>
      </c>
      <c r="DP49" s="77">
        <f t="shared" si="62"/>
        <v>61</v>
      </c>
      <c r="DQ49" s="77">
        <f t="shared" si="62"/>
        <v>62</v>
      </c>
      <c r="DR49" s="77">
        <f t="shared" si="62"/>
        <v>63</v>
      </c>
      <c r="DS49" s="77">
        <f t="shared" si="62"/>
        <v>64</v>
      </c>
      <c r="DT49" s="77">
        <f t="shared" si="62"/>
        <v>65</v>
      </c>
      <c r="DU49" s="77">
        <f t="shared" si="62"/>
        <v>66</v>
      </c>
      <c r="DV49" s="77">
        <f t="shared" si="62"/>
        <v>67</v>
      </c>
      <c r="DW49" s="77">
        <f t="shared" si="62"/>
        <v>68</v>
      </c>
      <c r="DX49" s="77">
        <f t="shared" si="62"/>
        <v>69</v>
      </c>
      <c r="DY49" s="77">
        <f t="shared" si="62"/>
        <v>70</v>
      </c>
      <c r="DZ49" s="77">
        <f t="shared" si="62"/>
        <v>71</v>
      </c>
      <c r="EA49" s="77">
        <f t="shared" si="62"/>
        <v>72</v>
      </c>
      <c r="EB49" s="77">
        <f t="shared" si="62"/>
        <v>73</v>
      </c>
      <c r="EC49" s="77">
        <f t="shared" si="62"/>
        <v>74</v>
      </c>
      <c r="ED49" s="77">
        <f t="shared" si="62"/>
        <v>75</v>
      </c>
      <c r="EE49" s="77">
        <f t="shared" si="62"/>
        <v>76</v>
      </c>
      <c r="EF49" s="77">
        <f t="shared" si="62"/>
        <v>77</v>
      </c>
      <c r="EG49" s="77">
        <f t="shared" si="62"/>
        <v>78</v>
      </c>
      <c r="EH49" s="77">
        <f t="shared" si="62"/>
        <v>79</v>
      </c>
      <c r="EI49" s="77">
        <f t="shared" si="62"/>
        <v>80</v>
      </c>
      <c r="EJ49" s="77">
        <f t="shared" si="62"/>
        <v>81</v>
      </c>
      <c r="EK49" s="77">
        <f t="shared" si="62"/>
        <v>82</v>
      </c>
      <c r="EL49" s="77">
        <f t="shared" si="62"/>
        <v>83</v>
      </c>
      <c r="EM49" s="77">
        <f t="shared" si="62"/>
        <v>84</v>
      </c>
      <c r="EN49" s="77">
        <f t="shared" si="62"/>
        <v>85</v>
      </c>
      <c r="EO49" s="77">
        <f t="shared" si="62"/>
        <v>86</v>
      </c>
      <c r="EP49" s="77">
        <f t="shared" si="62"/>
        <v>87</v>
      </c>
      <c r="EQ49" s="77">
        <f t="shared" si="62"/>
        <v>88</v>
      </c>
      <c r="ER49" s="77">
        <f t="shared" si="62"/>
        <v>89</v>
      </c>
      <c r="ES49" s="77">
        <f t="shared" si="62"/>
        <v>90</v>
      </c>
      <c r="ET49" s="77">
        <f t="shared" si="62"/>
        <v>91</v>
      </c>
      <c r="EU49" s="77">
        <f t="shared" si="62"/>
        <v>92</v>
      </c>
      <c r="EV49" s="77">
        <f t="shared" si="63"/>
        <v>93</v>
      </c>
      <c r="EW49" s="77">
        <f t="shared" si="63"/>
        <v>94</v>
      </c>
      <c r="EX49" s="77">
        <f t="shared" si="63"/>
        <v>95</v>
      </c>
      <c r="EY49" s="77">
        <f t="shared" si="63"/>
        <v>96</v>
      </c>
      <c r="EZ49" s="77">
        <f t="shared" si="63"/>
        <v>97</v>
      </c>
      <c r="FA49" s="77">
        <f t="shared" si="63"/>
        <v>98</v>
      </c>
      <c r="FB49" s="77">
        <f t="shared" si="63"/>
        <v>99</v>
      </c>
      <c r="FC49" s="77">
        <f t="shared" si="63"/>
        <v>100</v>
      </c>
      <c r="FD49" s="77">
        <f t="shared" si="63"/>
        <v>101</v>
      </c>
      <c r="FE49" s="77">
        <f t="shared" si="63"/>
        <v>102</v>
      </c>
      <c r="FF49" s="77">
        <f t="shared" si="63"/>
        <v>103</v>
      </c>
      <c r="FG49" s="77">
        <f t="shared" si="63"/>
        <v>104</v>
      </c>
      <c r="FH49" s="77">
        <f t="shared" si="63"/>
        <v>105</v>
      </c>
      <c r="FI49" s="77">
        <f t="shared" si="63"/>
        <v>106</v>
      </c>
      <c r="FJ49" s="77">
        <f t="shared" si="63"/>
        <v>107</v>
      </c>
      <c r="FK49" s="77">
        <f t="shared" si="63"/>
        <v>108</v>
      </c>
      <c r="FL49" s="77">
        <f t="shared" si="63"/>
        <v>109</v>
      </c>
      <c r="FM49" s="77">
        <f t="shared" si="63"/>
        <v>110</v>
      </c>
      <c r="FN49" s="77">
        <f t="shared" si="63"/>
        <v>111</v>
      </c>
      <c r="FO49" s="77">
        <f t="shared" si="63"/>
        <v>112</v>
      </c>
      <c r="FP49" s="77">
        <f t="shared" si="63"/>
        <v>113</v>
      </c>
      <c r="FQ49" s="77">
        <f t="shared" si="63"/>
        <v>114</v>
      </c>
      <c r="FR49" s="77">
        <f t="shared" si="63"/>
        <v>115</v>
      </c>
      <c r="FS49" s="77">
        <f t="shared" si="63"/>
        <v>116</v>
      </c>
      <c r="FT49" s="77">
        <f t="shared" si="63"/>
        <v>117</v>
      </c>
      <c r="FU49" s="77">
        <f t="shared" si="63"/>
        <v>118</v>
      </c>
      <c r="FV49" s="77">
        <f t="shared" si="63"/>
        <v>119</v>
      </c>
      <c r="FW49" s="77">
        <f t="shared" si="63"/>
        <v>120</v>
      </c>
      <c r="FX49" s="77">
        <f t="shared" si="63"/>
        <v>121</v>
      </c>
      <c r="FY49" s="77">
        <f t="shared" si="63"/>
        <v>122</v>
      </c>
      <c r="FZ49" s="77">
        <f t="shared" si="63"/>
        <v>123</v>
      </c>
      <c r="GA49" s="77">
        <f t="shared" si="63"/>
        <v>124</v>
      </c>
      <c r="GB49" s="77">
        <f t="shared" si="63"/>
        <v>125</v>
      </c>
      <c r="GC49" s="77">
        <f t="shared" si="63"/>
        <v>126</v>
      </c>
      <c r="GD49" s="77">
        <f t="shared" si="63"/>
        <v>127</v>
      </c>
      <c r="GE49" s="77">
        <f t="shared" si="63"/>
        <v>128</v>
      </c>
      <c r="GF49" s="77">
        <f t="shared" si="63"/>
        <v>129</v>
      </c>
      <c r="GG49" s="77">
        <f t="shared" si="63"/>
        <v>130</v>
      </c>
      <c r="GH49" s="77">
        <f t="shared" si="63"/>
        <v>131</v>
      </c>
      <c r="GI49" s="77">
        <f t="shared" si="63"/>
        <v>132</v>
      </c>
      <c r="GJ49" s="77">
        <f t="shared" si="63"/>
        <v>133</v>
      </c>
      <c r="GK49" s="77">
        <f t="shared" si="63"/>
        <v>134</v>
      </c>
      <c r="GL49" s="77">
        <f t="shared" si="63"/>
        <v>135</v>
      </c>
      <c r="GM49" s="77">
        <f t="shared" si="63"/>
        <v>136</v>
      </c>
      <c r="GN49" s="77">
        <f t="shared" si="63"/>
        <v>137</v>
      </c>
      <c r="GO49" s="77">
        <f t="shared" si="63"/>
        <v>138</v>
      </c>
      <c r="GP49" s="77">
        <f t="shared" si="63"/>
        <v>139</v>
      </c>
      <c r="GQ49" s="77">
        <f t="shared" si="63"/>
        <v>140</v>
      </c>
      <c r="GR49" s="77">
        <f t="shared" si="63"/>
        <v>141</v>
      </c>
      <c r="GS49" s="77">
        <f t="shared" si="63"/>
        <v>142</v>
      </c>
      <c r="GT49" s="77">
        <f t="shared" si="63"/>
        <v>143</v>
      </c>
      <c r="GU49" s="77">
        <f t="shared" si="63"/>
        <v>144</v>
      </c>
      <c r="GV49" s="77">
        <f t="shared" si="63"/>
        <v>145</v>
      </c>
      <c r="GW49" s="77">
        <f t="shared" si="63"/>
        <v>146</v>
      </c>
      <c r="GX49" s="77">
        <f t="shared" si="63"/>
        <v>147</v>
      </c>
    </row>
    <row r="50" spans="1:206" ht="15" customHeight="1" x14ac:dyDescent="0.2">
      <c r="A50" s="22" t="s">
        <v>68</v>
      </c>
      <c r="B50" s="22">
        <v>4</v>
      </c>
      <c r="C50" s="22" t="s">
        <v>93</v>
      </c>
      <c r="D50" s="22">
        <v>41</v>
      </c>
      <c r="E50" s="22" t="s">
        <v>145</v>
      </c>
      <c r="F50" s="22" t="s">
        <v>134</v>
      </c>
      <c r="G50" s="22" t="s">
        <v>134</v>
      </c>
      <c r="H50" s="22">
        <v>2010</v>
      </c>
      <c r="I50" s="22">
        <v>16</v>
      </c>
      <c r="J50" s="22">
        <v>21.06</v>
      </c>
      <c r="K50" s="22">
        <v>151</v>
      </c>
      <c r="L50" s="22">
        <v>2022</v>
      </c>
      <c r="M50" s="22">
        <v>1871</v>
      </c>
      <c r="N50" s="22" t="s">
        <v>95</v>
      </c>
      <c r="O50" s="22" t="s">
        <v>96</v>
      </c>
      <c r="P50" s="22" t="s">
        <v>75</v>
      </c>
      <c r="Q50" s="108">
        <f>IF(R50="","",'Dashboard Ciclos'!$B$2-R50)</f>
        <v>46242</v>
      </c>
      <c r="R50" s="22">
        <f>IF($E50="","",IFERROR(INDEX($W50:$GX50,MATCH('Dashboard Ciclos'!$B$2,$W$1:$GX$1,0)),""))</f>
        <v>7</v>
      </c>
      <c r="S50" s="22" t="str">
        <f t="shared" si="45"/>
        <v>En ciclo</v>
      </c>
      <c r="T50" s="22" t="str">
        <f t="shared" si="46"/>
        <v>En ciclo</v>
      </c>
      <c r="U50" s="22">
        <f t="shared" si="47"/>
        <v>5</v>
      </c>
      <c r="V50" s="23">
        <f t="shared" si="48"/>
        <v>46254</v>
      </c>
      <c r="W50" s="77">
        <f t="shared" ref="W50:Z65" si="66">+X50-1</f>
        <v>36</v>
      </c>
      <c r="X50" s="77">
        <f t="shared" si="66"/>
        <v>37</v>
      </c>
      <c r="Y50" s="77">
        <f t="shared" si="66"/>
        <v>38</v>
      </c>
      <c r="Z50" s="77">
        <f t="shared" si="66"/>
        <v>39</v>
      </c>
      <c r="AA50" s="77">
        <v>40</v>
      </c>
      <c r="AB50" s="77">
        <f t="shared" si="50"/>
        <v>41</v>
      </c>
      <c r="AC50" s="77">
        <v>0</v>
      </c>
      <c r="AD50" s="77">
        <f t="shared" si="50"/>
        <v>1</v>
      </c>
      <c r="AE50" s="77">
        <f t="shared" si="50"/>
        <v>2</v>
      </c>
      <c r="AF50" s="77">
        <f t="shared" si="50"/>
        <v>3</v>
      </c>
      <c r="AG50" s="77">
        <f t="shared" si="50"/>
        <v>4</v>
      </c>
      <c r="AH50" s="77">
        <f t="shared" si="50"/>
        <v>5</v>
      </c>
      <c r="AI50" s="77">
        <f t="shared" si="50"/>
        <v>6</v>
      </c>
      <c r="AJ50" s="77">
        <f t="shared" si="50"/>
        <v>7</v>
      </c>
      <c r="AK50" s="77">
        <f t="shared" si="65"/>
        <v>8</v>
      </c>
      <c r="AL50" s="77">
        <f t="shared" si="65"/>
        <v>9</v>
      </c>
      <c r="AM50" s="77">
        <f t="shared" si="65"/>
        <v>10</v>
      </c>
      <c r="AN50" s="77">
        <f t="shared" si="50"/>
        <v>11</v>
      </c>
      <c r="AO50" s="77">
        <f t="shared" si="65"/>
        <v>12</v>
      </c>
      <c r="AP50" s="77">
        <f t="shared" si="65"/>
        <v>13</v>
      </c>
      <c r="AQ50" s="77">
        <f t="shared" si="65"/>
        <v>14</v>
      </c>
      <c r="AR50" s="77">
        <v>0</v>
      </c>
      <c r="AS50" s="77">
        <f t="shared" si="64"/>
        <v>1</v>
      </c>
      <c r="AT50" s="77">
        <f t="shared" si="64"/>
        <v>2</v>
      </c>
      <c r="AU50" s="77">
        <f t="shared" si="64"/>
        <v>3</v>
      </c>
      <c r="AV50" s="77">
        <f t="shared" si="64"/>
        <v>4</v>
      </c>
      <c r="AW50" s="77">
        <f t="shared" si="64"/>
        <v>5</v>
      </c>
      <c r="AX50" s="77">
        <f t="shared" si="64"/>
        <v>6</v>
      </c>
      <c r="AY50" s="77">
        <f t="shared" si="64"/>
        <v>7</v>
      </c>
      <c r="AZ50" s="77">
        <f t="shared" si="64"/>
        <v>8</v>
      </c>
      <c r="BA50" s="77">
        <f t="shared" si="64"/>
        <v>9</v>
      </c>
      <c r="BB50" s="77">
        <f t="shared" si="64"/>
        <v>10</v>
      </c>
      <c r="BC50" s="77">
        <f t="shared" si="64"/>
        <v>11</v>
      </c>
      <c r="BD50" s="77">
        <f t="shared" si="64"/>
        <v>12</v>
      </c>
      <c r="BE50" s="77">
        <f t="shared" si="64"/>
        <v>13</v>
      </c>
      <c r="BF50" s="77">
        <f t="shared" si="64"/>
        <v>14</v>
      </c>
      <c r="BG50" s="77">
        <f t="shared" si="64"/>
        <v>15</v>
      </c>
      <c r="BH50" s="77">
        <f t="shared" si="64"/>
        <v>16</v>
      </c>
      <c r="BI50" s="77">
        <v>0</v>
      </c>
      <c r="BJ50" s="77">
        <f t="shared" si="64"/>
        <v>1</v>
      </c>
      <c r="BK50" s="77">
        <f t="shared" si="64"/>
        <v>2</v>
      </c>
      <c r="BL50" s="77">
        <f t="shared" si="64"/>
        <v>3</v>
      </c>
      <c r="BM50" s="77">
        <f t="shared" si="64"/>
        <v>4</v>
      </c>
      <c r="BN50" s="77">
        <f t="shared" si="64"/>
        <v>5</v>
      </c>
      <c r="BO50" s="77">
        <f t="shared" si="64"/>
        <v>6</v>
      </c>
      <c r="BP50" s="77">
        <f t="shared" si="64"/>
        <v>7</v>
      </c>
      <c r="BQ50" s="77">
        <f t="shared" si="64"/>
        <v>8</v>
      </c>
      <c r="BR50" s="77">
        <f t="shared" si="64"/>
        <v>9</v>
      </c>
      <c r="BS50" s="77">
        <f t="shared" si="64"/>
        <v>10</v>
      </c>
      <c r="BT50" s="77">
        <f t="shared" si="64"/>
        <v>11</v>
      </c>
      <c r="BU50" s="77">
        <f t="shared" si="64"/>
        <v>12</v>
      </c>
      <c r="BV50" s="77">
        <f t="shared" si="64"/>
        <v>13</v>
      </c>
      <c r="BW50" s="77">
        <f t="shared" si="64"/>
        <v>14</v>
      </c>
      <c r="BX50" s="77">
        <f t="shared" si="64"/>
        <v>15</v>
      </c>
      <c r="BY50" s="77">
        <f t="shared" si="64"/>
        <v>16</v>
      </c>
      <c r="BZ50" s="77">
        <f t="shared" si="64"/>
        <v>17</v>
      </c>
      <c r="CA50" s="77">
        <f t="shared" si="64"/>
        <v>18</v>
      </c>
      <c r="CB50" s="77">
        <f t="shared" si="64"/>
        <v>19</v>
      </c>
      <c r="CC50" s="77">
        <f t="shared" si="64"/>
        <v>20</v>
      </c>
      <c r="CD50" s="77">
        <f t="shared" si="64"/>
        <v>21</v>
      </c>
      <c r="CE50" s="77">
        <f t="shared" si="64"/>
        <v>22</v>
      </c>
      <c r="CF50" s="77">
        <f t="shared" si="64"/>
        <v>23</v>
      </c>
      <c r="CG50" s="77">
        <f t="shared" si="64"/>
        <v>24</v>
      </c>
      <c r="CH50" s="77">
        <f t="shared" si="64"/>
        <v>25</v>
      </c>
      <c r="CI50" s="77">
        <f t="shared" si="64"/>
        <v>26</v>
      </c>
      <c r="CJ50" s="77">
        <f t="shared" si="64"/>
        <v>27</v>
      </c>
      <c r="CK50" s="77">
        <f t="shared" si="62"/>
        <v>28</v>
      </c>
      <c r="CL50" s="77">
        <f t="shared" si="62"/>
        <v>29</v>
      </c>
      <c r="CM50" s="77">
        <f t="shared" si="62"/>
        <v>30</v>
      </c>
      <c r="CN50" s="77">
        <f t="shared" si="62"/>
        <v>31</v>
      </c>
      <c r="CO50" s="77">
        <f t="shared" si="62"/>
        <v>32</v>
      </c>
      <c r="CP50" s="77">
        <f t="shared" si="62"/>
        <v>33</v>
      </c>
      <c r="CQ50" s="77">
        <f t="shared" si="62"/>
        <v>34</v>
      </c>
      <c r="CR50" s="77">
        <f t="shared" si="62"/>
        <v>35</v>
      </c>
      <c r="CS50" s="77">
        <f t="shared" si="62"/>
        <v>36</v>
      </c>
      <c r="CT50" s="77">
        <f t="shared" si="62"/>
        <v>37</v>
      </c>
      <c r="CU50" s="77">
        <f t="shared" si="62"/>
        <v>38</v>
      </c>
      <c r="CV50" s="77">
        <f t="shared" si="62"/>
        <v>39</v>
      </c>
      <c r="CW50" s="77">
        <f t="shared" si="62"/>
        <v>40</v>
      </c>
      <c r="CX50" s="77">
        <f t="shared" si="62"/>
        <v>41</v>
      </c>
      <c r="CY50" s="77">
        <f t="shared" si="62"/>
        <v>42</v>
      </c>
      <c r="CZ50" s="77">
        <f t="shared" si="62"/>
        <v>43</v>
      </c>
      <c r="DA50" s="77">
        <f t="shared" si="62"/>
        <v>44</v>
      </c>
      <c r="DB50" s="77">
        <f t="shared" si="62"/>
        <v>45</v>
      </c>
      <c r="DC50" s="77">
        <f t="shared" si="62"/>
        <v>46</v>
      </c>
      <c r="DD50" s="77">
        <f t="shared" si="62"/>
        <v>47</v>
      </c>
      <c r="DE50" s="77">
        <f t="shared" si="62"/>
        <v>48</v>
      </c>
      <c r="DF50" s="77">
        <f t="shared" si="62"/>
        <v>49</v>
      </c>
      <c r="DG50" s="77">
        <f t="shared" si="62"/>
        <v>50</v>
      </c>
      <c r="DH50" s="77">
        <f t="shared" si="62"/>
        <v>51</v>
      </c>
      <c r="DI50" s="77">
        <f t="shared" si="62"/>
        <v>52</v>
      </c>
      <c r="DJ50" s="77">
        <f t="shared" si="62"/>
        <v>53</v>
      </c>
      <c r="DK50" s="77">
        <f t="shared" si="62"/>
        <v>54</v>
      </c>
      <c r="DL50" s="77">
        <f t="shared" si="62"/>
        <v>55</v>
      </c>
      <c r="DM50" s="77">
        <f t="shared" si="62"/>
        <v>56</v>
      </c>
      <c r="DN50" s="77">
        <f t="shared" si="62"/>
        <v>57</v>
      </c>
      <c r="DO50" s="77">
        <f t="shared" si="62"/>
        <v>58</v>
      </c>
      <c r="DP50" s="77">
        <f t="shared" si="62"/>
        <v>59</v>
      </c>
      <c r="DQ50" s="77">
        <f t="shared" si="62"/>
        <v>60</v>
      </c>
      <c r="DR50" s="77">
        <f t="shared" si="62"/>
        <v>61</v>
      </c>
      <c r="DS50" s="77">
        <f t="shared" si="62"/>
        <v>62</v>
      </c>
      <c r="DT50" s="77">
        <f t="shared" si="62"/>
        <v>63</v>
      </c>
      <c r="DU50" s="77">
        <f t="shared" si="62"/>
        <v>64</v>
      </c>
      <c r="DV50" s="77">
        <f t="shared" si="62"/>
        <v>65</v>
      </c>
      <c r="DW50" s="77">
        <f t="shared" si="62"/>
        <v>66</v>
      </c>
      <c r="DX50" s="77">
        <f t="shared" si="62"/>
        <v>67</v>
      </c>
      <c r="DY50" s="77">
        <f t="shared" si="62"/>
        <v>68</v>
      </c>
      <c r="DZ50" s="77">
        <f t="shared" si="62"/>
        <v>69</v>
      </c>
      <c r="EA50" s="77">
        <f t="shared" si="62"/>
        <v>70</v>
      </c>
      <c r="EB50" s="77">
        <f t="shared" si="62"/>
        <v>71</v>
      </c>
      <c r="EC50" s="77">
        <f t="shared" si="62"/>
        <v>72</v>
      </c>
      <c r="ED50" s="77">
        <f t="shared" si="62"/>
        <v>73</v>
      </c>
      <c r="EE50" s="77">
        <f t="shared" si="62"/>
        <v>74</v>
      </c>
      <c r="EF50" s="77">
        <f t="shared" si="62"/>
        <v>75</v>
      </c>
      <c r="EG50" s="77">
        <f t="shared" si="62"/>
        <v>76</v>
      </c>
      <c r="EH50" s="77">
        <f t="shared" si="62"/>
        <v>77</v>
      </c>
      <c r="EI50" s="77">
        <f t="shared" si="62"/>
        <v>78</v>
      </c>
      <c r="EJ50" s="77">
        <f t="shared" si="62"/>
        <v>79</v>
      </c>
      <c r="EK50" s="77">
        <f t="shared" si="62"/>
        <v>80</v>
      </c>
      <c r="EL50" s="77">
        <f t="shared" si="62"/>
        <v>81</v>
      </c>
      <c r="EM50" s="77">
        <f t="shared" si="62"/>
        <v>82</v>
      </c>
      <c r="EN50" s="77">
        <f t="shared" si="62"/>
        <v>83</v>
      </c>
      <c r="EO50" s="77">
        <f t="shared" si="62"/>
        <v>84</v>
      </c>
      <c r="EP50" s="77">
        <f t="shared" si="62"/>
        <v>85</v>
      </c>
      <c r="EQ50" s="77">
        <f t="shared" si="62"/>
        <v>86</v>
      </c>
      <c r="ER50" s="77">
        <f t="shared" si="62"/>
        <v>87</v>
      </c>
      <c r="ES50" s="77">
        <f t="shared" si="62"/>
        <v>88</v>
      </c>
      <c r="ET50" s="77">
        <f t="shared" si="62"/>
        <v>89</v>
      </c>
      <c r="EU50" s="77">
        <f t="shared" si="62"/>
        <v>90</v>
      </c>
      <c r="EV50" s="77">
        <f t="shared" si="63"/>
        <v>91</v>
      </c>
      <c r="EW50" s="77">
        <f t="shared" si="63"/>
        <v>92</v>
      </c>
      <c r="EX50" s="77">
        <f t="shared" si="63"/>
        <v>93</v>
      </c>
      <c r="EY50" s="77">
        <f t="shared" si="63"/>
        <v>94</v>
      </c>
      <c r="EZ50" s="77">
        <f t="shared" si="63"/>
        <v>95</v>
      </c>
      <c r="FA50" s="77">
        <f t="shared" si="63"/>
        <v>96</v>
      </c>
      <c r="FB50" s="77">
        <f t="shared" si="63"/>
        <v>97</v>
      </c>
      <c r="FC50" s="77">
        <f t="shared" si="63"/>
        <v>98</v>
      </c>
      <c r="FD50" s="77">
        <f t="shared" si="63"/>
        <v>99</v>
      </c>
      <c r="FE50" s="77">
        <f t="shared" si="63"/>
        <v>100</v>
      </c>
      <c r="FF50" s="77">
        <f t="shared" si="63"/>
        <v>101</v>
      </c>
      <c r="FG50" s="77">
        <f t="shared" si="63"/>
        <v>102</v>
      </c>
      <c r="FH50" s="77">
        <f t="shared" si="63"/>
        <v>103</v>
      </c>
      <c r="FI50" s="77">
        <f t="shared" si="63"/>
        <v>104</v>
      </c>
      <c r="FJ50" s="77">
        <f t="shared" si="63"/>
        <v>105</v>
      </c>
      <c r="FK50" s="77">
        <f t="shared" si="63"/>
        <v>106</v>
      </c>
      <c r="FL50" s="77">
        <f t="shared" si="63"/>
        <v>107</v>
      </c>
      <c r="FM50" s="77">
        <f t="shared" si="63"/>
        <v>108</v>
      </c>
      <c r="FN50" s="77">
        <f t="shared" si="63"/>
        <v>109</v>
      </c>
      <c r="FO50" s="77">
        <f t="shared" si="63"/>
        <v>110</v>
      </c>
      <c r="FP50" s="77">
        <f t="shared" si="63"/>
        <v>111</v>
      </c>
      <c r="FQ50" s="77">
        <f t="shared" si="63"/>
        <v>112</v>
      </c>
      <c r="FR50" s="77">
        <f t="shared" si="63"/>
        <v>113</v>
      </c>
      <c r="FS50" s="77">
        <f t="shared" si="63"/>
        <v>114</v>
      </c>
      <c r="FT50" s="77">
        <f t="shared" si="63"/>
        <v>115</v>
      </c>
      <c r="FU50" s="77">
        <f t="shared" si="63"/>
        <v>116</v>
      </c>
      <c r="FV50" s="77">
        <f t="shared" si="63"/>
        <v>117</v>
      </c>
      <c r="FW50" s="77">
        <f t="shared" si="63"/>
        <v>118</v>
      </c>
      <c r="FX50" s="77">
        <f t="shared" si="63"/>
        <v>119</v>
      </c>
      <c r="FY50" s="77">
        <f t="shared" si="63"/>
        <v>120</v>
      </c>
      <c r="FZ50" s="77">
        <f t="shared" si="63"/>
        <v>121</v>
      </c>
      <c r="GA50" s="77">
        <f t="shared" si="63"/>
        <v>122</v>
      </c>
      <c r="GB50" s="77">
        <f t="shared" si="63"/>
        <v>123</v>
      </c>
      <c r="GC50" s="77">
        <f t="shared" si="63"/>
        <v>124</v>
      </c>
      <c r="GD50" s="77">
        <f t="shared" si="63"/>
        <v>125</v>
      </c>
      <c r="GE50" s="77">
        <f t="shared" si="63"/>
        <v>126</v>
      </c>
      <c r="GF50" s="77">
        <f t="shared" si="63"/>
        <v>127</v>
      </c>
      <c r="GG50" s="77">
        <f t="shared" si="63"/>
        <v>128</v>
      </c>
      <c r="GH50" s="77">
        <f t="shared" si="63"/>
        <v>129</v>
      </c>
      <c r="GI50" s="77">
        <f t="shared" si="63"/>
        <v>130</v>
      </c>
      <c r="GJ50" s="77">
        <f t="shared" si="63"/>
        <v>131</v>
      </c>
      <c r="GK50" s="77">
        <f t="shared" si="63"/>
        <v>132</v>
      </c>
      <c r="GL50" s="77">
        <f t="shared" si="63"/>
        <v>133</v>
      </c>
      <c r="GM50" s="77">
        <f t="shared" si="63"/>
        <v>134</v>
      </c>
      <c r="GN50" s="77">
        <f t="shared" si="63"/>
        <v>135</v>
      </c>
      <c r="GO50" s="77">
        <f t="shared" si="63"/>
        <v>136</v>
      </c>
      <c r="GP50" s="77">
        <f t="shared" si="63"/>
        <v>137</v>
      </c>
      <c r="GQ50" s="77">
        <f t="shared" si="63"/>
        <v>138</v>
      </c>
      <c r="GR50" s="77">
        <f t="shared" si="63"/>
        <v>139</v>
      </c>
      <c r="GS50" s="77">
        <f t="shared" si="63"/>
        <v>140</v>
      </c>
      <c r="GT50" s="77">
        <f t="shared" si="63"/>
        <v>141</v>
      </c>
      <c r="GU50" s="77">
        <f t="shared" si="63"/>
        <v>142</v>
      </c>
      <c r="GV50" s="77">
        <f t="shared" si="63"/>
        <v>143</v>
      </c>
      <c r="GW50" s="77">
        <f t="shared" si="63"/>
        <v>144</v>
      </c>
      <c r="GX50" s="77">
        <f t="shared" si="63"/>
        <v>145</v>
      </c>
    </row>
    <row r="51" spans="1:206" ht="15" customHeight="1" x14ac:dyDescent="0.2">
      <c r="A51" s="22" t="s">
        <v>68</v>
      </c>
      <c r="B51" s="22">
        <v>3</v>
      </c>
      <c r="C51" s="22" t="s">
        <v>138</v>
      </c>
      <c r="D51" s="22">
        <v>42</v>
      </c>
      <c r="E51" s="22" t="s">
        <v>146</v>
      </c>
      <c r="F51" s="22" t="s">
        <v>134</v>
      </c>
      <c r="G51" s="22" t="s">
        <v>134</v>
      </c>
      <c r="H51" s="22">
        <v>2010</v>
      </c>
      <c r="I51" s="22">
        <v>16</v>
      </c>
      <c r="J51" s="22">
        <v>40.909999999999997</v>
      </c>
      <c r="K51" s="22">
        <v>0</v>
      </c>
      <c r="L51" s="22">
        <v>5747</v>
      </c>
      <c r="M51" s="22">
        <v>5747</v>
      </c>
      <c r="N51" s="22" t="s">
        <v>95</v>
      </c>
      <c r="O51" s="22" t="s">
        <v>96</v>
      </c>
      <c r="P51" s="22" t="s">
        <v>75</v>
      </c>
      <c r="Q51" s="108">
        <f>IF(R51="","",'Dashboard Ciclos'!$B$2-R51)</f>
        <v>46227</v>
      </c>
      <c r="R51" s="22">
        <f>IF($E51="","",IFERROR(INDEX($W51:$GX51,MATCH('Dashboard Ciclos'!$B$2,$W$1:$GX$1,0)),""))</f>
        <v>22</v>
      </c>
      <c r="S51" s="22" t="str">
        <f t="shared" si="45"/>
        <v>Vencido 6-10 d</v>
      </c>
      <c r="T51" s="22" t="str">
        <f t="shared" si="46"/>
        <v>Fuera de ciclo</v>
      </c>
      <c r="U51" s="22">
        <f t="shared" si="47"/>
        <v>-10</v>
      </c>
      <c r="V51" s="23">
        <f t="shared" si="48"/>
        <v>46239</v>
      </c>
      <c r="W51" s="77">
        <f t="shared" si="66"/>
        <v>-1</v>
      </c>
      <c r="X51" s="77">
        <f t="shared" si="66"/>
        <v>0</v>
      </c>
      <c r="Y51" s="77">
        <f t="shared" si="66"/>
        <v>1</v>
      </c>
      <c r="Z51" s="77">
        <f t="shared" si="66"/>
        <v>2</v>
      </c>
      <c r="AA51" s="77">
        <v>3</v>
      </c>
      <c r="AB51" s="77">
        <f t="shared" ref="AB51:AQ66" si="67">IF(AA51="","",AA51+1)</f>
        <v>4</v>
      </c>
      <c r="AC51" s="77">
        <f t="shared" si="67"/>
        <v>5</v>
      </c>
      <c r="AD51" s="77">
        <f t="shared" si="67"/>
        <v>6</v>
      </c>
      <c r="AE51" s="77">
        <f t="shared" si="67"/>
        <v>7</v>
      </c>
      <c r="AF51" s="77">
        <f t="shared" si="67"/>
        <v>8</v>
      </c>
      <c r="AG51" s="77">
        <f t="shared" si="67"/>
        <v>9</v>
      </c>
      <c r="AH51" s="77">
        <f t="shared" si="67"/>
        <v>10</v>
      </c>
      <c r="AI51" s="77">
        <f t="shared" si="67"/>
        <v>11</v>
      </c>
      <c r="AJ51" s="77">
        <f t="shared" si="67"/>
        <v>12</v>
      </c>
      <c r="AK51" s="77">
        <f t="shared" si="65"/>
        <v>13</v>
      </c>
      <c r="AL51" s="77">
        <f t="shared" si="65"/>
        <v>14</v>
      </c>
      <c r="AM51" s="77">
        <f t="shared" si="65"/>
        <v>15</v>
      </c>
      <c r="AN51" s="77">
        <f t="shared" si="65"/>
        <v>16</v>
      </c>
      <c r="AO51" s="77">
        <f t="shared" si="65"/>
        <v>17</v>
      </c>
      <c r="AP51" s="77">
        <f t="shared" si="65"/>
        <v>18</v>
      </c>
      <c r="AQ51" s="77">
        <f t="shared" si="65"/>
        <v>19</v>
      </c>
      <c r="AR51" s="77">
        <f t="shared" si="27"/>
        <v>20</v>
      </c>
      <c r="AS51" s="77">
        <f t="shared" si="64"/>
        <v>21</v>
      </c>
      <c r="AT51" s="77">
        <v>0</v>
      </c>
      <c r="AU51" s="77">
        <f t="shared" si="64"/>
        <v>1</v>
      </c>
      <c r="AV51" s="77">
        <f t="shared" si="64"/>
        <v>2</v>
      </c>
      <c r="AW51" s="77">
        <f t="shared" si="64"/>
        <v>3</v>
      </c>
      <c r="AX51" s="77">
        <f t="shared" si="64"/>
        <v>4</v>
      </c>
      <c r="AY51" s="77">
        <f t="shared" si="64"/>
        <v>5</v>
      </c>
      <c r="AZ51" s="77">
        <f t="shared" si="64"/>
        <v>6</v>
      </c>
      <c r="BA51" s="77">
        <f t="shared" si="64"/>
        <v>7</v>
      </c>
      <c r="BB51" s="77">
        <f t="shared" si="64"/>
        <v>8</v>
      </c>
      <c r="BC51" s="77">
        <f t="shared" si="64"/>
        <v>9</v>
      </c>
      <c r="BD51" s="77">
        <f t="shared" si="64"/>
        <v>10</v>
      </c>
      <c r="BE51" s="77">
        <f t="shared" si="64"/>
        <v>11</v>
      </c>
      <c r="BF51" s="77">
        <f t="shared" si="64"/>
        <v>12</v>
      </c>
      <c r="BG51" s="77">
        <f t="shared" si="64"/>
        <v>13</v>
      </c>
      <c r="BH51" s="77">
        <f t="shared" si="64"/>
        <v>14</v>
      </c>
      <c r="BI51" s="77">
        <f t="shared" si="64"/>
        <v>15</v>
      </c>
      <c r="BJ51" s="77">
        <f t="shared" si="64"/>
        <v>16</v>
      </c>
      <c r="BK51" s="77">
        <f t="shared" si="64"/>
        <v>17</v>
      </c>
      <c r="BL51" s="77">
        <f t="shared" si="64"/>
        <v>18</v>
      </c>
      <c r="BM51" s="77">
        <f t="shared" si="64"/>
        <v>19</v>
      </c>
      <c r="BN51" s="77">
        <f t="shared" si="64"/>
        <v>20</v>
      </c>
      <c r="BO51" s="77">
        <f t="shared" si="64"/>
        <v>21</v>
      </c>
      <c r="BP51" s="77">
        <f t="shared" si="64"/>
        <v>22</v>
      </c>
      <c r="BQ51" s="77">
        <f t="shared" si="64"/>
        <v>23</v>
      </c>
      <c r="BR51" s="77">
        <f t="shared" si="64"/>
        <v>24</v>
      </c>
      <c r="BS51" s="77">
        <f t="shared" si="64"/>
        <v>25</v>
      </c>
      <c r="BT51" s="77">
        <f t="shared" si="64"/>
        <v>26</v>
      </c>
      <c r="BU51" s="77">
        <f t="shared" si="64"/>
        <v>27</v>
      </c>
      <c r="BV51" s="77">
        <f t="shared" si="64"/>
        <v>28</v>
      </c>
      <c r="BW51" s="77">
        <f t="shared" si="64"/>
        <v>29</v>
      </c>
      <c r="BX51" s="77">
        <f t="shared" si="64"/>
        <v>30</v>
      </c>
      <c r="BY51" s="77">
        <f t="shared" si="64"/>
        <v>31</v>
      </c>
      <c r="BZ51" s="77">
        <f t="shared" si="64"/>
        <v>32</v>
      </c>
      <c r="CA51" s="77">
        <f t="shared" si="64"/>
        <v>33</v>
      </c>
      <c r="CB51" s="77">
        <f t="shared" si="64"/>
        <v>34</v>
      </c>
      <c r="CC51" s="77">
        <f t="shared" si="64"/>
        <v>35</v>
      </c>
      <c r="CD51" s="77">
        <f t="shared" si="64"/>
        <v>36</v>
      </c>
      <c r="CE51" s="77">
        <f t="shared" si="64"/>
        <v>37</v>
      </c>
      <c r="CF51" s="77">
        <f t="shared" si="64"/>
        <v>38</v>
      </c>
      <c r="CG51" s="77">
        <f t="shared" si="64"/>
        <v>39</v>
      </c>
      <c r="CH51" s="77">
        <f t="shared" si="64"/>
        <v>40</v>
      </c>
      <c r="CI51" s="77">
        <f t="shared" si="64"/>
        <v>41</v>
      </c>
      <c r="CJ51" s="77">
        <f t="shared" ref="CJ51:EU54" si="68">IF(CI51="","",CI51+1)</f>
        <v>42</v>
      </c>
      <c r="CK51" s="77">
        <f t="shared" si="68"/>
        <v>43</v>
      </c>
      <c r="CL51" s="77">
        <f t="shared" si="68"/>
        <v>44</v>
      </c>
      <c r="CM51" s="77">
        <f t="shared" si="68"/>
        <v>45</v>
      </c>
      <c r="CN51" s="77">
        <f t="shared" si="68"/>
        <v>46</v>
      </c>
      <c r="CO51" s="77">
        <f t="shared" si="68"/>
        <v>47</v>
      </c>
      <c r="CP51" s="77">
        <f t="shared" si="68"/>
        <v>48</v>
      </c>
      <c r="CQ51" s="77">
        <f t="shared" si="68"/>
        <v>49</v>
      </c>
      <c r="CR51" s="77">
        <f t="shared" si="68"/>
        <v>50</v>
      </c>
      <c r="CS51" s="77">
        <f t="shared" si="68"/>
        <v>51</v>
      </c>
      <c r="CT51" s="77">
        <f t="shared" si="68"/>
        <v>52</v>
      </c>
      <c r="CU51" s="77">
        <f t="shared" si="68"/>
        <v>53</v>
      </c>
      <c r="CV51" s="77">
        <f t="shared" si="68"/>
        <v>54</v>
      </c>
      <c r="CW51" s="77">
        <f t="shared" si="68"/>
        <v>55</v>
      </c>
      <c r="CX51" s="77">
        <f t="shared" si="68"/>
        <v>56</v>
      </c>
      <c r="CY51" s="77">
        <f t="shared" si="68"/>
        <v>57</v>
      </c>
      <c r="CZ51" s="77">
        <f t="shared" si="68"/>
        <v>58</v>
      </c>
      <c r="DA51" s="77">
        <f t="shared" si="68"/>
        <v>59</v>
      </c>
      <c r="DB51" s="77">
        <f t="shared" si="68"/>
        <v>60</v>
      </c>
      <c r="DC51" s="77">
        <f t="shared" si="68"/>
        <v>61</v>
      </c>
      <c r="DD51" s="77">
        <f t="shared" si="68"/>
        <v>62</v>
      </c>
      <c r="DE51" s="77">
        <f t="shared" si="68"/>
        <v>63</v>
      </c>
      <c r="DF51" s="77">
        <f t="shared" si="68"/>
        <v>64</v>
      </c>
      <c r="DG51" s="77">
        <f t="shared" si="68"/>
        <v>65</v>
      </c>
      <c r="DH51" s="77">
        <f t="shared" si="68"/>
        <v>66</v>
      </c>
      <c r="DI51" s="77">
        <f t="shared" si="68"/>
        <v>67</v>
      </c>
      <c r="DJ51" s="77">
        <f t="shared" si="68"/>
        <v>68</v>
      </c>
      <c r="DK51" s="77">
        <f t="shared" si="68"/>
        <v>69</v>
      </c>
      <c r="DL51" s="77">
        <f t="shared" si="68"/>
        <v>70</v>
      </c>
      <c r="DM51" s="77">
        <f t="shared" si="68"/>
        <v>71</v>
      </c>
      <c r="DN51" s="77">
        <f t="shared" si="68"/>
        <v>72</v>
      </c>
      <c r="DO51" s="77">
        <f t="shared" si="68"/>
        <v>73</v>
      </c>
      <c r="DP51" s="77">
        <f t="shared" si="68"/>
        <v>74</v>
      </c>
      <c r="DQ51" s="77">
        <f t="shared" si="68"/>
        <v>75</v>
      </c>
      <c r="DR51" s="77">
        <f t="shared" si="68"/>
        <v>76</v>
      </c>
      <c r="DS51" s="77">
        <f t="shared" si="68"/>
        <v>77</v>
      </c>
      <c r="DT51" s="77">
        <f t="shared" si="68"/>
        <v>78</v>
      </c>
      <c r="DU51" s="77">
        <f t="shared" si="68"/>
        <v>79</v>
      </c>
      <c r="DV51" s="77">
        <f t="shared" si="68"/>
        <v>80</v>
      </c>
      <c r="DW51" s="77">
        <f t="shared" si="68"/>
        <v>81</v>
      </c>
      <c r="DX51" s="77">
        <f t="shared" si="68"/>
        <v>82</v>
      </c>
      <c r="DY51" s="77">
        <f t="shared" si="68"/>
        <v>83</v>
      </c>
      <c r="DZ51" s="77">
        <f t="shared" si="68"/>
        <v>84</v>
      </c>
      <c r="EA51" s="77">
        <f t="shared" si="68"/>
        <v>85</v>
      </c>
      <c r="EB51" s="77">
        <f t="shared" si="68"/>
        <v>86</v>
      </c>
      <c r="EC51" s="77">
        <f t="shared" si="68"/>
        <v>87</v>
      </c>
      <c r="ED51" s="77">
        <f t="shared" si="68"/>
        <v>88</v>
      </c>
      <c r="EE51" s="77">
        <f t="shared" si="68"/>
        <v>89</v>
      </c>
      <c r="EF51" s="77">
        <f t="shared" si="68"/>
        <v>90</v>
      </c>
      <c r="EG51" s="77">
        <f t="shared" si="68"/>
        <v>91</v>
      </c>
      <c r="EH51" s="77">
        <f t="shared" si="68"/>
        <v>92</v>
      </c>
      <c r="EI51" s="77">
        <f t="shared" si="68"/>
        <v>93</v>
      </c>
      <c r="EJ51" s="77">
        <f t="shared" si="68"/>
        <v>94</v>
      </c>
      <c r="EK51" s="77">
        <f t="shared" si="68"/>
        <v>95</v>
      </c>
      <c r="EL51" s="77">
        <f t="shared" si="68"/>
        <v>96</v>
      </c>
      <c r="EM51" s="77">
        <f t="shared" si="68"/>
        <v>97</v>
      </c>
      <c r="EN51" s="77">
        <f t="shared" si="68"/>
        <v>98</v>
      </c>
      <c r="EO51" s="77">
        <f t="shared" si="68"/>
        <v>99</v>
      </c>
      <c r="EP51" s="77">
        <f t="shared" si="68"/>
        <v>100</v>
      </c>
      <c r="EQ51" s="77">
        <f t="shared" si="68"/>
        <v>101</v>
      </c>
      <c r="ER51" s="77">
        <f t="shared" si="68"/>
        <v>102</v>
      </c>
      <c r="ES51" s="77">
        <f t="shared" si="68"/>
        <v>103</v>
      </c>
      <c r="ET51" s="77">
        <f t="shared" si="68"/>
        <v>104</v>
      </c>
      <c r="EU51" s="77">
        <f t="shared" si="68"/>
        <v>105</v>
      </c>
      <c r="EV51" s="77">
        <f t="shared" si="63"/>
        <v>106</v>
      </c>
      <c r="EW51" s="77">
        <f t="shared" si="63"/>
        <v>107</v>
      </c>
      <c r="EX51" s="77">
        <f t="shared" si="63"/>
        <v>108</v>
      </c>
      <c r="EY51" s="77">
        <f t="shared" si="63"/>
        <v>109</v>
      </c>
      <c r="EZ51" s="77">
        <f t="shared" si="63"/>
        <v>110</v>
      </c>
      <c r="FA51" s="77">
        <f t="shared" si="63"/>
        <v>111</v>
      </c>
      <c r="FB51" s="77">
        <f t="shared" si="63"/>
        <v>112</v>
      </c>
      <c r="FC51" s="77">
        <f t="shared" si="63"/>
        <v>113</v>
      </c>
      <c r="FD51" s="77">
        <f t="shared" si="63"/>
        <v>114</v>
      </c>
      <c r="FE51" s="77">
        <f t="shared" si="63"/>
        <v>115</v>
      </c>
      <c r="FF51" s="77">
        <f t="shared" si="63"/>
        <v>116</v>
      </c>
      <c r="FG51" s="77">
        <f t="shared" si="63"/>
        <v>117</v>
      </c>
      <c r="FH51" s="77">
        <f t="shared" si="63"/>
        <v>118</v>
      </c>
      <c r="FI51" s="77">
        <f t="shared" si="63"/>
        <v>119</v>
      </c>
      <c r="FJ51" s="77">
        <f t="shared" si="63"/>
        <v>120</v>
      </c>
      <c r="FK51" s="77">
        <f t="shared" si="63"/>
        <v>121</v>
      </c>
      <c r="FL51" s="77">
        <f t="shared" si="63"/>
        <v>122</v>
      </c>
      <c r="FM51" s="77">
        <f t="shared" si="63"/>
        <v>123</v>
      </c>
      <c r="FN51" s="77">
        <f t="shared" si="63"/>
        <v>124</v>
      </c>
      <c r="FO51" s="77">
        <f t="shared" si="63"/>
        <v>125</v>
      </c>
      <c r="FP51" s="77">
        <f t="shared" si="63"/>
        <v>126</v>
      </c>
      <c r="FQ51" s="77">
        <f t="shared" si="63"/>
        <v>127</v>
      </c>
      <c r="FR51" s="77">
        <f t="shared" si="63"/>
        <v>128</v>
      </c>
      <c r="FS51" s="77">
        <f t="shared" si="63"/>
        <v>129</v>
      </c>
      <c r="FT51" s="77">
        <f t="shared" si="63"/>
        <v>130</v>
      </c>
      <c r="FU51" s="77">
        <f t="shared" si="63"/>
        <v>131</v>
      </c>
      <c r="FV51" s="77">
        <f t="shared" si="63"/>
        <v>132</v>
      </c>
      <c r="FW51" s="77">
        <f t="shared" si="63"/>
        <v>133</v>
      </c>
      <c r="FX51" s="77">
        <f t="shared" si="63"/>
        <v>134</v>
      </c>
      <c r="FY51" s="77">
        <f t="shared" si="63"/>
        <v>135</v>
      </c>
      <c r="FZ51" s="77">
        <f t="shared" si="63"/>
        <v>136</v>
      </c>
      <c r="GA51" s="77">
        <f t="shared" si="63"/>
        <v>137</v>
      </c>
      <c r="GB51" s="77">
        <f t="shared" si="63"/>
        <v>138</v>
      </c>
      <c r="GC51" s="77">
        <f t="shared" si="63"/>
        <v>139</v>
      </c>
      <c r="GD51" s="77">
        <f t="shared" si="63"/>
        <v>140</v>
      </c>
      <c r="GE51" s="77">
        <f t="shared" ref="GE51:GX51" si="69">IF(GD51="","",GD51+1)</f>
        <v>141</v>
      </c>
      <c r="GF51" s="77">
        <f t="shared" si="69"/>
        <v>142</v>
      </c>
      <c r="GG51" s="77">
        <f t="shared" si="69"/>
        <v>143</v>
      </c>
      <c r="GH51" s="77">
        <f t="shared" si="69"/>
        <v>144</v>
      </c>
      <c r="GI51" s="77">
        <f t="shared" si="69"/>
        <v>145</v>
      </c>
      <c r="GJ51" s="77">
        <f t="shared" si="69"/>
        <v>146</v>
      </c>
      <c r="GK51" s="77">
        <f t="shared" si="69"/>
        <v>147</v>
      </c>
      <c r="GL51" s="77">
        <f t="shared" si="69"/>
        <v>148</v>
      </c>
      <c r="GM51" s="77">
        <f t="shared" si="69"/>
        <v>149</v>
      </c>
      <c r="GN51" s="77">
        <f t="shared" si="69"/>
        <v>150</v>
      </c>
      <c r="GO51" s="77">
        <f t="shared" si="69"/>
        <v>151</v>
      </c>
      <c r="GP51" s="77">
        <f t="shared" si="69"/>
        <v>152</v>
      </c>
      <c r="GQ51" s="77">
        <f t="shared" si="69"/>
        <v>153</v>
      </c>
      <c r="GR51" s="77">
        <f t="shared" si="69"/>
        <v>154</v>
      </c>
      <c r="GS51" s="77">
        <f t="shared" si="69"/>
        <v>155</v>
      </c>
      <c r="GT51" s="77">
        <f t="shared" si="69"/>
        <v>156</v>
      </c>
      <c r="GU51" s="77">
        <f t="shared" si="69"/>
        <v>157</v>
      </c>
      <c r="GV51" s="77">
        <f t="shared" si="69"/>
        <v>158</v>
      </c>
      <c r="GW51" s="77">
        <f t="shared" si="69"/>
        <v>159</v>
      </c>
      <c r="GX51" s="77">
        <f t="shared" si="69"/>
        <v>160</v>
      </c>
    </row>
    <row r="52" spans="1:206" ht="15" customHeight="1" x14ac:dyDescent="0.2">
      <c r="A52" s="22" t="s">
        <v>68</v>
      </c>
      <c r="B52" s="22">
        <v>2</v>
      </c>
      <c r="C52" s="22" t="s">
        <v>102</v>
      </c>
      <c r="D52" s="22" t="s">
        <v>147</v>
      </c>
      <c r="E52" s="22" t="s">
        <v>148</v>
      </c>
      <c r="F52" s="22" t="s">
        <v>78</v>
      </c>
      <c r="G52" s="22" t="s">
        <v>79</v>
      </c>
      <c r="H52" s="22">
        <v>2011</v>
      </c>
      <c r="I52" s="22">
        <v>15</v>
      </c>
      <c r="J52" s="22">
        <v>18.760000000000002</v>
      </c>
      <c r="K52" s="22">
        <v>109</v>
      </c>
      <c r="L52" s="22">
        <v>2823</v>
      </c>
      <c r="M52" s="22">
        <v>2714</v>
      </c>
      <c r="N52" s="22" t="s">
        <v>95</v>
      </c>
      <c r="O52" s="22" t="s">
        <v>96</v>
      </c>
      <c r="P52" s="22" t="s">
        <v>75</v>
      </c>
      <c r="Q52" s="108">
        <f>IF(R52="","",'Dashboard Ciclos'!$B$2-R52)</f>
        <v>46246</v>
      </c>
      <c r="R52" s="22">
        <f>IF($E52="","",IFERROR(INDEX($W52:$GX52,MATCH('Dashboard Ciclos'!$B$2,$W$1:$GX$1,0)),""))</f>
        <v>3</v>
      </c>
      <c r="S52" s="22" t="str">
        <f t="shared" si="45"/>
        <v>En ciclo</v>
      </c>
      <c r="T52" s="22" t="str">
        <f t="shared" si="46"/>
        <v>Recién cortado</v>
      </c>
      <c r="U52" s="22">
        <f t="shared" si="47"/>
        <v>9</v>
      </c>
      <c r="V52" s="23">
        <f t="shared" si="48"/>
        <v>46258</v>
      </c>
      <c r="W52" s="77">
        <f t="shared" si="66"/>
        <v>-1</v>
      </c>
      <c r="X52" s="77">
        <f t="shared" si="66"/>
        <v>0</v>
      </c>
      <c r="Y52" s="77">
        <f t="shared" si="66"/>
        <v>1</v>
      </c>
      <c r="Z52" s="77">
        <f t="shared" si="66"/>
        <v>2</v>
      </c>
      <c r="AA52" s="77">
        <v>3</v>
      </c>
      <c r="AB52" s="77">
        <f t="shared" si="67"/>
        <v>4</v>
      </c>
      <c r="AC52" s="77">
        <f t="shared" si="67"/>
        <v>5</v>
      </c>
      <c r="AD52" s="77">
        <f t="shared" si="67"/>
        <v>6</v>
      </c>
      <c r="AE52" s="77">
        <f t="shared" si="67"/>
        <v>7</v>
      </c>
      <c r="AF52" s="77">
        <f t="shared" si="67"/>
        <v>8</v>
      </c>
      <c r="AG52" s="77">
        <f t="shared" si="67"/>
        <v>9</v>
      </c>
      <c r="AH52" s="77">
        <f t="shared" si="67"/>
        <v>10</v>
      </c>
      <c r="AI52" s="77">
        <f t="shared" si="67"/>
        <v>11</v>
      </c>
      <c r="AJ52" s="77">
        <f t="shared" si="67"/>
        <v>12</v>
      </c>
      <c r="AK52" s="77">
        <f t="shared" si="65"/>
        <v>13</v>
      </c>
      <c r="AL52" s="77">
        <f t="shared" si="65"/>
        <v>14</v>
      </c>
      <c r="AM52" s="77">
        <f t="shared" si="65"/>
        <v>15</v>
      </c>
      <c r="AN52" s="77">
        <f t="shared" si="65"/>
        <v>16</v>
      </c>
      <c r="AO52" s="77">
        <f t="shared" si="65"/>
        <v>17</v>
      </c>
      <c r="AP52" s="77">
        <f t="shared" si="65"/>
        <v>18</v>
      </c>
      <c r="AQ52" s="77">
        <f t="shared" si="65"/>
        <v>19</v>
      </c>
      <c r="AR52" s="77">
        <f t="shared" si="27"/>
        <v>20</v>
      </c>
      <c r="AS52" s="77">
        <f t="shared" ref="AS52:CJ55" si="70">IF(AR52="","",AR52+1)</f>
        <v>21</v>
      </c>
      <c r="AT52" s="77">
        <f t="shared" si="70"/>
        <v>22</v>
      </c>
      <c r="AU52" s="77">
        <f t="shared" si="70"/>
        <v>23</v>
      </c>
      <c r="AV52" s="77">
        <f t="shared" si="70"/>
        <v>24</v>
      </c>
      <c r="AW52" s="77">
        <f t="shared" si="70"/>
        <v>25</v>
      </c>
      <c r="AX52" s="77">
        <f t="shared" si="70"/>
        <v>26</v>
      </c>
      <c r="AY52" s="77">
        <f t="shared" si="70"/>
        <v>27</v>
      </c>
      <c r="AZ52" s="77">
        <f t="shared" si="70"/>
        <v>28</v>
      </c>
      <c r="BA52" s="77">
        <f t="shared" si="70"/>
        <v>29</v>
      </c>
      <c r="BB52" s="77">
        <f t="shared" si="70"/>
        <v>30</v>
      </c>
      <c r="BC52" s="77">
        <f t="shared" si="70"/>
        <v>31</v>
      </c>
      <c r="BD52" s="77">
        <f t="shared" si="70"/>
        <v>32</v>
      </c>
      <c r="BE52" s="77">
        <f t="shared" si="70"/>
        <v>33</v>
      </c>
      <c r="BF52" s="77">
        <f t="shared" si="70"/>
        <v>34</v>
      </c>
      <c r="BG52" s="77">
        <f t="shared" si="70"/>
        <v>35</v>
      </c>
      <c r="BH52" s="77">
        <f t="shared" si="70"/>
        <v>36</v>
      </c>
      <c r="BI52" s="77">
        <f t="shared" si="70"/>
        <v>37</v>
      </c>
      <c r="BJ52" s="77">
        <f t="shared" si="70"/>
        <v>38</v>
      </c>
      <c r="BK52" s="77">
        <f t="shared" si="70"/>
        <v>39</v>
      </c>
      <c r="BL52" s="77">
        <f t="shared" si="70"/>
        <v>40</v>
      </c>
      <c r="BM52" s="77">
        <v>0</v>
      </c>
      <c r="BN52" s="77">
        <f t="shared" si="70"/>
        <v>1</v>
      </c>
      <c r="BO52" s="77">
        <f t="shared" si="70"/>
        <v>2</v>
      </c>
      <c r="BP52" s="77">
        <f t="shared" si="70"/>
        <v>3</v>
      </c>
      <c r="BQ52" s="77">
        <f t="shared" si="70"/>
        <v>4</v>
      </c>
      <c r="BR52" s="77">
        <f t="shared" si="70"/>
        <v>5</v>
      </c>
      <c r="BS52" s="77">
        <f t="shared" si="70"/>
        <v>6</v>
      </c>
      <c r="BT52" s="77">
        <f t="shared" si="70"/>
        <v>7</v>
      </c>
      <c r="BU52" s="77">
        <f t="shared" si="70"/>
        <v>8</v>
      </c>
      <c r="BV52" s="77">
        <f t="shared" si="70"/>
        <v>9</v>
      </c>
      <c r="BW52" s="77">
        <f t="shared" si="70"/>
        <v>10</v>
      </c>
      <c r="BX52" s="77">
        <f t="shared" si="70"/>
        <v>11</v>
      </c>
      <c r="BY52" s="77">
        <f t="shared" si="70"/>
        <v>12</v>
      </c>
      <c r="BZ52" s="77">
        <f t="shared" si="70"/>
        <v>13</v>
      </c>
      <c r="CA52" s="77">
        <f t="shared" si="70"/>
        <v>14</v>
      </c>
      <c r="CB52" s="77">
        <f t="shared" si="70"/>
        <v>15</v>
      </c>
      <c r="CC52" s="77">
        <f t="shared" si="70"/>
        <v>16</v>
      </c>
      <c r="CD52" s="77">
        <f t="shared" si="70"/>
        <v>17</v>
      </c>
      <c r="CE52" s="77">
        <f t="shared" si="70"/>
        <v>18</v>
      </c>
      <c r="CF52" s="77">
        <f t="shared" si="70"/>
        <v>19</v>
      </c>
      <c r="CG52" s="77">
        <f t="shared" si="70"/>
        <v>20</v>
      </c>
      <c r="CH52" s="77">
        <f t="shared" si="70"/>
        <v>21</v>
      </c>
      <c r="CI52" s="77">
        <f t="shared" si="70"/>
        <v>22</v>
      </c>
      <c r="CJ52" s="77">
        <f t="shared" si="70"/>
        <v>23</v>
      </c>
      <c r="CK52" s="77">
        <f t="shared" si="68"/>
        <v>24</v>
      </c>
      <c r="CL52" s="77">
        <f t="shared" si="68"/>
        <v>25</v>
      </c>
      <c r="CM52" s="77">
        <f t="shared" si="68"/>
        <v>26</v>
      </c>
      <c r="CN52" s="77">
        <f t="shared" si="68"/>
        <v>27</v>
      </c>
      <c r="CO52" s="77">
        <f t="shared" si="68"/>
        <v>28</v>
      </c>
      <c r="CP52" s="77">
        <f t="shared" si="68"/>
        <v>29</v>
      </c>
      <c r="CQ52" s="77">
        <f t="shared" si="68"/>
        <v>30</v>
      </c>
      <c r="CR52" s="77">
        <f t="shared" si="68"/>
        <v>31</v>
      </c>
      <c r="CS52" s="77">
        <f t="shared" si="68"/>
        <v>32</v>
      </c>
      <c r="CT52" s="77">
        <f t="shared" si="68"/>
        <v>33</v>
      </c>
      <c r="CU52" s="77">
        <f t="shared" si="68"/>
        <v>34</v>
      </c>
      <c r="CV52" s="77">
        <f t="shared" si="68"/>
        <v>35</v>
      </c>
      <c r="CW52" s="77">
        <f t="shared" si="68"/>
        <v>36</v>
      </c>
      <c r="CX52" s="77">
        <f t="shared" si="68"/>
        <v>37</v>
      </c>
      <c r="CY52" s="77">
        <f t="shared" si="68"/>
        <v>38</v>
      </c>
      <c r="CZ52" s="77">
        <f t="shared" si="68"/>
        <v>39</v>
      </c>
      <c r="DA52" s="77">
        <f t="shared" si="68"/>
        <v>40</v>
      </c>
      <c r="DB52" s="77">
        <f t="shared" si="68"/>
        <v>41</v>
      </c>
      <c r="DC52" s="77">
        <f t="shared" si="68"/>
        <v>42</v>
      </c>
      <c r="DD52" s="77">
        <f t="shared" si="68"/>
        <v>43</v>
      </c>
      <c r="DE52" s="77">
        <f t="shared" si="68"/>
        <v>44</v>
      </c>
      <c r="DF52" s="77">
        <f t="shared" si="68"/>
        <v>45</v>
      </c>
      <c r="DG52" s="77">
        <f t="shared" si="68"/>
        <v>46</v>
      </c>
      <c r="DH52" s="77">
        <f t="shared" si="68"/>
        <v>47</v>
      </c>
      <c r="DI52" s="77">
        <f t="shared" si="68"/>
        <v>48</v>
      </c>
      <c r="DJ52" s="77">
        <f t="shared" si="68"/>
        <v>49</v>
      </c>
      <c r="DK52" s="77">
        <f t="shared" si="68"/>
        <v>50</v>
      </c>
      <c r="DL52" s="77">
        <f t="shared" si="68"/>
        <v>51</v>
      </c>
      <c r="DM52" s="77">
        <f t="shared" si="68"/>
        <v>52</v>
      </c>
      <c r="DN52" s="77">
        <f t="shared" si="68"/>
        <v>53</v>
      </c>
      <c r="DO52" s="77">
        <f t="shared" si="68"/>
        <v>54</v>
      </c>
      <c r="DP52" s="77">
        <f t="shared" si="68"/>
        <v>55</v>
      </c>
      <c r="DQ52" s="77">
        <f t="shared" si="68"/>
        <v>56</v>
      </c>
      <c r="DR52" s="77">
        <f t="shared" si="68"/>
        <v>57</v>
      </c>
      <c r="DS52" s="77">
        <f t="shared" si="68"/>
        <v>58</v>
      </c>
      <c r="DT52" s="77">
        <f t="shared" si="68"/>
        <v>59</v>
      </c>
      <c r="DU52" s="77">
        <f t="shared" si="68"/>
        <v>60</v>
      </c>
      <c r="DV52" s="77">
        <f t="shared" si="68"/>
        <v>61</v>
      </c>
      <c r="DW52" s="77">
        <f t="shared" si="68"/>
        <v>62</v>
      </c>
      <c r="DX52" s="77">
        <f t="shared" si="68"/>
        <v>63</v>
      </c>
      <c r="DY52" s="77">
        <f t="shared" si="68"/>
        <v>64</v>
      </c>
      <c r="DZ52" s="77">
        <f t="shared" si="68"/>
        <v>65</v>
      </c>
      <c r="EA52" s="77">
        <f t="shared" si="68"/>
        <v>66</v>
      </c>
      <c r="EB52" s="77">
        <f t="shared" si="68"/>
        <v>67</v>
      </c>
      <c r="EC52" s="77">
        <f t="shared" si="68"/>
        <v>68</v>
      </c>
      <c r="ED52" s="77">
        <f t="shared" si="68"/>
        <v>69</v>
      </c>
      <c r="EE52" s="77">
        <f t="shared" si="68"/>
        <v>70</v>
      </c>
      <c r="EF52" s="77">
        <f t="shared" si="68"/>
        <v>71</v>
      </c>
      <c r="EG52" s="77">
        <f t="shared" si="68"/>
        <v>72</v>
      </c>
      <c r="EH52" s="77">
        <f t="shared" si="68"/>
        <v>73</v>
      </c>
      <c r="EI52" s="77">
        <f t="shared" si="68"/>
        <v>74</v>
      </c>
      <c r="EJ52" s="77">
        <f t="shared" si="68"/>
        <v>75</v>
      </c>
      <c r="EK52" s="77">
        <f t="shared" si="68"/>
        <v>76</v>
      </c>
      <c r="EL52" s="77">
        <f t="shared" si="68"/>
        <v>77</v>
      </c>
      <c r="EM52" s="77">
        <f t="shared" si="68"/>
        <v>78</v>
      </c>
      <c r="EN52" s="77">
        <f t="shared" si="68"/>
        <v>79</v>
      </c>
      <c r="EO52" s="77">
        <f t="shared" si="68"/>
        <v>80</v>
      </c>
      <c r="EP52" s="77">
        <f t="shared" si="68"/>
        <v>81</v>
      </c>
      <c r="EQ52" s="77">
        <f t="shared" si="68"/>
        <v>82</v>
      </c>
      <c r="ER52" s="77">
        <f t="shared" si="68"/>
        <v>83</v>
      </c>
      <c r="ES52" s="77">
        <f t="shared" si="68"/>
        <v>84</v>
      </c>
      <c r="ET52" s="77">
        <f t="shared" si="68"/>
        <v>85</v>
      </c>
      <c r="EU52" s="77">
        <f t="shared" si="68"/>
        <v>86</v>
      </c>
      <c r="EV52" s="77">
        <f t="shared" ref="EV52:GX56" si="71">IF(EU52="","",EU52+1)</f>
        <v>87</v>
      </c>
      <c r="EW52" s="77">
        <f t="shared" si="71"/>
        <v>88</v>
      </c>
      <c r="EX52" s="77">
        <f t="shared" si="71"/>
        <v>89</v>
      </c>
      <c r="EY52" s="77">
        <f t="shared" si="71"/>
        <v>90</v>
      </c>
      <c r="EZ52" s="77">
        <f t="shared" si="71"/>
        <v>91</v>
      </c>
      <c r="FA52" s="77">
        <f t="shared" si="71"/>
        <v>92</v>
      </c>
      <c r="FB52" s="77">
        <f t="shared" si="71"/>
        <v>93</v>
      </c>
      <c r="FC52" s="77">
        <f t="shared" si="71"/>
        <v>94</v>
      </c>
      <c r="FD52" s="77">
        <f t="shared" si="71"/>
        <v>95</v>
      </c>
      <c r="FE52" s="77">
        <f t="shared" si="71"/>
        <v>96</v>
      </c>
      <c r="FF52" s="77">
        <f t="shared" si="71"/>
        <v>97</v>
      </c>
      <c r="FG52" s="77">
        <f t="shared" si="71"/>
        <v>98</v>
      </c>
      <c r="FH52" s="77">
        <f t="shared" si="71"/>
        <v>99</v>
      </c>
      <c r="FI52" s="77">
        <f t="shared" si="71"/>
        <v>100</v>
      </c>
      <c r="FJ52" s="77">
        <f t="shared" si="71"/>
        <v>101</v>
      </c>
      <c r="FK52" s="77">
        <f t="shared" si="71"/>
        <v>102</v>
      </c>
      <c r="FL52" s="77">
        <f t="shared" si="71"/>
        <v>103</v>
      </c>
      <c r="FM52" s="77">
        <f t="shared" si="71"/>
        <v>104</v>
      </c>
      <c r="FN52" s="77">
        <f t="shared" si="71"/>
        <v>105</v>
      </c>
      <c r="FO52" s="77">
        <f t="shared" si="71"/>
        <v>106</v>
      </c>
      <c r="FP52" s="77">
        <f t="shared" si="71"/>
        <v>107</v>
      </c>
      <c r="FQ52" s="77">
        <f t="shared" si="71"/>
        <v>108</v>
      </c>
      <c r="FR52" s="77">
        <f t="shared" si="71"/>
        <v>109</v>
      </c>
      <c r="FS52" s="77">
        <f t="shared" si="71"/>
        <v>110</v>
      </c>
      <c r="FT52" s="77">
        <f t="shared" si="71"/>
        <v>111</v>
      </c>
      <c r="FU52" s="77">
        <f t="shared" si="71"/>
        <v>112</v>
      </c>
      <c r="FV52" s="77">
        <f t="shared" si="71"/>
        <v>113</v>
      </c>
      <c r="FW52" s="77">
        <f t="shared" si="71"/>
        <v>114</v>
      </c>
      <c r="FX52" s="77">
        <f t="shared" si="71"/>
        <v>115</v>
      </c>
      <c r="FY52" s="77">
        <f t="shared" si="71"/>
        <v>116</v>
      </c>
      <c r="FZ52" s="77">
        <f t="shared" si="71"/>
        <v>117</v>
      </c>
      <c r="GA52" s="77">
        <f t="shared" si="71"/>
        <v>118</v>
      </c>
      <c r="GB52" s="77">
        <f t="shared" si="71"/>
        <v>119</v>
      </c>
      <c r="GC52" s="77">
        <f t="shared" si="71"/>
        <v>120</v>
      </c>
      <c r="GD52" s="77">
        <f t="shared" si="71"/>
        <v>121</v>
      </c>
      <c r="GE52" s="77">
        <f t="shared" si="71"/>
        <v>122</v>
      </c>
      <c r="GF52" s="77">
        <f t="shared" si="71"/>
        <v>123</v>
      </c>
      <c r="GG52" s="77">
        <f t="shared" si="71"/>
        <v>124</v>
      </c>
      <c r="GH52" s="77">
        <f t="shared" si="71"/>
        <v>125</v>
      </c>
      <c r="GI52" s="77">
        <f t="shared" si="71"/>
        <v>126</v>
      </c>
      <c r="GJ52" s="77">
        <f t="shared" si="71"/>
        <v>127</v>
      </c>
      <c r="GK52" s="77">
        <f t="shared" si="71"/>
        <v>128</v>
      </c>
      <c r="GL52" s="77">
        <f t="shared" si="71"/>
        <v>129</v>
      </c>
      <c r="GM52" s="77">
        <f t="shared" si="71"/>
        <v>130</v>
      </c>
      <c r="GN52" s="77">
        <f t="shared" si="71"/>
        <v>131</v>
      </c>
      <c r="GO52" s="77">
        <f t="shared" si="71"/>
        <v>132</v>
      </c>
      <c r="GP52" s="77">
        <f t="shared" si="71"/>
        <v>133</v>
      </c>
      <c r="GQ52" s="77">
        <f t="shared" si="71"/>
        <v>134</v>
      </c>
      <c r="GR52" s="77">
        <f t="shared" si="71"/>
        <v>135</v>
      </c>
      <c r="GS52" s="77">
        <f t="shared" si="71"/>
        <v>136</v>
      </c>
      <c r="GT52" s="77">
        <f t="shared" si="71"/>
        <v>137</v>
      </c>
      <c r="GU52" s="77">
        <f t="shared" si="71"/>
        <v>138</v>
      </c>
      <c r="GV52" s="77">
        <f t="shared" si="71"/>
        <v>139</v>
      </c>
      <c r="GW52" s="77">
        <f t="shared" si="71"/>
        <v>140</v>
      </c>
      <c r="GX52" s="77">
        <f t="shared" si="71"/>
        <v>141</v>
      </c>
    </row>
    <row r="53" spans="1:206" ht="15" customHeight="1" x14ac:dyDescent="0.2">
      <c r="A53" s="22" t="s">
        <v>68</v>
      </c>
      <c r="B53" s="22">
        <v>4</v>
      </c>
      <c r="C53" s="22" t="s">
        <v>93</v>
      </c>
      <c r="D53" s="22" t="s">
        <v>149</v>
      </c>
      <c r="E53" s="22" t="s">
        <v>150</v>
      </c>
      <c r="F53" s="22" t="s">
        <v>151</v>
      </c>
      <c r="G53" s="22" t="s">
        <v>152</v>
      </c>
      <c r="H53" s="22">
        <v>2011</v>
      </c>
      <c r="I53" s="22">
        <v>15</v>
      </c>
      <c r="J53" s="22">
        <v>0.88</v>
      </c>
      <c r="K53" s="22">
        <v>25</v>
      </c>
      <c r="L53" s="22">
        <v>144</v>
      </c>
      <c r="M53" s="22">
        <v>119</v>
      </c>
      <c r="N53" s="22" t="s">
        <v>95</v>
      </c>
      <c r="O53" s="22" t="s">
        <v>96</v>
      </c>
      <c r="P53" s="22" t="s">
        <v>75</v>
      </c>
      <c r="Q53" s="108">
        <f>IF(R53="","",'Dashboard Ciclos'!$B$2-R53)</f>
        <v>46242</v>
      </c>
      <c r="R53" s="22">
        <f>IF($E53="","",IFERROR(INDEX($W53:$GX53,MATCH('Dashboard Ciclos'!$B$2,$W$1:$GX$1,0)),""))</f>
        <v>7</v>
      </c>
      <c r="S53" s="22" t="str">
        <f t="shared" si="45"/>
        <v>En ciclo</v>
      </c>
      <c r="T53" s="22" t="str">
        <f t="shared" si="46"/>
        <v>En ciclo</v>
      </c>
      <c r="U53" s="22">
        <f t="shared" si="47"/>
        <v>5</v>
      </c>
      <c r="V53" s="23">
        <f t="shared" si="48"/>
        <v>46254</v>
      </c>
      <c r="W53" s="77">
        <f t="shared" si="66"/>
        <v>36</v>
      </c>
      <c r="X53" s="77">
        <f t="shared" si="66"/>
        <v>37</v>
      </c>
      <c r="Y53" s="77">
        <f t="shared" si="66"/>
        <v>38</v>
      </c>
      <c r="Z53" s="77">
        <f t="shared" si="66"/>
        <v>39</v>
      </c>
      <c r="AA53" s="77">
        <v>40</v>
      </c>
      <c r="AB53" s="77">
        <f t="shared" si="67"/>
        <v>41</v>
      </c>
      <c r="AC53" s="77">
        <v>0</v>
      </c>
      <c r="AD53" s="77">
        <f t="shared" si="67"/>
        <v>1</v>
      </c>
      <c r="AE53" s="77">
        <f t="shared" si="67"/>
        <v>2</v>
      </c>
      <c r="AF53" s="77">
        <f t="shared" si="67"/>
        <v>3</v>
      </c>
      <c r="AG53" s="77">
        <f t="shared" si="67"/>
        <v>4</v>
      </c>
      <c r="AH53" s="77">
        <f t="shared" si="67"/>
        <v>5</v>
      </c>
      <c r="AI53" s="77">
        <f t="shared" si="67"/>
        <v>6</v>
      </c>
      <c r="AJ53" s="77">
        <f t="shared" si="67"/>
        <v>7</v>
      </c>
      <c r="AK53" s="77">
        <f t="shared" si="65"/>
        <v>8</v>
      </c>
      <c r="AL53" s="77">
        <f t="shared" si="65"/>
        <v>9</v>
      </c>
      <c r="AM53" s="77">
        <f t="shared" si="65"/>
        <v>10</v>
      </c>
      <c r="AN53" s="77">
        <f t="shared" si="65"/>
        <v>11</v>
      </c>
      <c r="AO53" s="77">
        <f t="shared" si="65"/>
        <v>12</v>
      </c>
      <c r="AP53" s="77">
        <f t="shared" si="65"/>
        <v>13</v>
      </c>
      <c r="AQ53" s="77">
        <f t="shared" si="65"/>
        <v>14</v>
      </c>
      <c r="AR53" s="77">
        <v>0</v>
      </c>
      <c r="AS53" s="77">
        <f t="shared" si="70"/>
        <v>1</v>
      </c>
      <c r="AT53" s="77">
        <f t="shared" si="70"/>
        <v>2</v>
      </c>
      <c r="AU53" s="77">
        <f t="shared" si="70"/>
        <v>3</v>
      </c>
      <c r="AV53" s="77">
        <f t="shared" si="70"/>
        <v>4</v>
      </c>
      <c r="AW53" s="77">
        <f t="shared" si="70"/>
        <v>5</v>
      </c>
      <c r="AX53" s="77">
        <f t="shared" si="70"/>
        <v>6</v>
      </c>
      <c r="AY53" s="77">
        <f t="shared" si="70"/>
        <v>7</v>
      </c>
      <c r="AZ53" s="77">
        <f t="shared" si="70"/>
        <v>8</v>
      </c>
      <c r="BA53" s="77">
        <f t="shared" si="70"/>
        <v>9</v>
      </c>
      <c r="BB53" s="77">
        <f t="shared" si="70"/>
        <v>10</v>
      </c>
      <c r="BC53" s="77">
        <f t="shared" si="70"/>
        <v>11</v>
      </c>
      <c r="BD53" s="77">
        <f t="shared" si="70"/>
        <v>12</v>
      </c>
      <c r="BE53" s="77">
        <f t="shared" si="70"/>
        <v>13</v>
      </c>
      <c r="BF53" s="77">
        <f t="shared" si="70"/>
        <v>14</v>
      </c>
      <c r="BG53" s="77">
        <f t="shared" si="70"/>
        <v>15</v>
      </c>
      <c r="BH53" s="77">
        <f t="shared" si="70"/>
        <v>16</v>
      </c>
      <c r="BI53" s="77">
        <v>0</v>
      </c>
      <c r="BJ53" s="77">
        <f t="shared" si="70"/>
        <v>1</v>
      </c>
      <c r="BK53" s="77">
        <f t="shared" si="70"/>
        <v>2</v>
      </c>
      <c r="BL53" s="77">
        <f t="shared" si="70"/>
        <v>3</v>
      </c>
      <c r="BM53" s="77">
        <f t="shared" si="70"/>
        <v>4</v>
      </c>
      <c r="BN53" s="77">
        <f t="shared" si="70"/>
        <v>5</v>
      </c>
      <c r="BO53" s="77">
        <f t="shared" si="70"/>
        <v>6</v>
      </c>
      <c r="BP53" s="77">
        <f t="shared" si="70"/>
        <v>7</v>
      </c>
      <c r="BQ53" s="77">
        <f t="shared" si="70"/>
        <v>8</v>
      </c>
      <c r="BR53" s="77">
        <f t="shared" si="70"/>
        <v>9</v>
      </c>
      <c r="BS53" s="77">
        <f t="shared" si="70"/>
        <v>10</v>
      </c>
      <c r="BT53" s="77">
        <f t="shared" si="70"/>
        <v>11</v>
      </c>
      <c r="BU53" s="77">
        <f t="shared" si="70"/>
        <v>12</v>
      </c>
      <c r="BV53" s="77">
        <f t="shared" si="70"/>
        <v>13</v>
      </c>
      <c r="BW53" s="77">
        <f t="shared" si="70"/>
        <v>14</v>
      </c>
      <c r="BX53" s="77">
        <f t="shared" si="70"/>
        <v>15</v>
      </c>
      <c r="BY53" s="77">
        <f t="shared" si="70"/>
        <v>16</v>
      </c>
      <c r="BZ53" s="77">
        <f t="shared" si="70"/>
        <v>17</v>
      </c>
      <c r="CA53" s="77">
        <f t="shared" si="70"/>
        <v>18</v>
      </c>
      <c r="CB53" s="77">
        <f t="shared" si="70"/>
        <v>19</v>
      </c>
      <c r="CC53" s="77">
        <f t="shared" si="70"/>
        <v>20</v>
      </c>
      <c r="CD53" s="77">
        <f t="shared" si="70"/>
        <v>21</v>
      </c>
      <c r="CE53" s="77">
        <f t="shared" si="70"/>
        <v>22</v>
      </c>
      <c r="CF53" s="77">
        <f t="shared" si="70"/>
        <v>23</v>
      </c>
      <c r="CG53" s="77">
        <f t="shared" si="70"/>
        <v>24</v>
      </c>
      <c r="CH53" s="77">
        <f t="shared" si="70"/>
        <v>25</v>
      </c>
      <c r="CI53" s="77">
        <f t="shared" si="70"/>
        <v>26</v>
      </c>
      <c r="CJ53" s="77">
        <f t="shared" si="70"/>
        <v>27</v>
      </c>
      <c r="CK53" s="77">
        <f t="shared" si="68"/>
        <v>28</v>
      </c>
      <c r="CL53" s="77">
        <f t="shared" si="68"/>
        <v>29</v>
      </c>
      <c r="CM53" s="77">
        <f t="shared" si="68"/>
        <v>30</v>
      </c>
      <c r="CN53" s="77">
        <f t="shared" si="68"/>
        <v>31</v>
      </c>
      <c r="CO53" s="77">
        <f t="shared" si="68"/>
        <v>32</v>
      </c>
      <c r="CP53" s="77">
        <f t="shared" si="68"/>
        <v>33</v>
      </c>
      <c r="CQ53" s="77">
        <f t="shared" si="68"/>
        <v>34</v>
      </c>
      <c r="CR53" s="77">
        <f t="shared" si="68"/>
        <v>35</v>
      </c>
      <c r="CS53" s="77">
        <f t="shared" si="68"/>
        <v>36</v>
      </c>
      <c r="CT53" s="77">
        <f t="shared" si="68"/>
        <v>37</v>
      </c>
      <c r="CU53" s="77">
        <f t="shared" si="68"/>
        <v>38</v>
      </c>
      <c r="CV53" s="77">
        <f t="shared" si="68"/>
        <v>39</v>
      </c>
      <c r="CW53" s="77">
        <f t="shared" si="68"/>
        <v>40</v>
      </c>
      <c r="CX53" s="77">
        <f t="shared" si="68"/>
        <v>41</v>
      </c>
      <c r="CY53" s="77">
        <f t="shared" si="68"/>
        <v>42</v>
      </c>
      <c r="CZ53" s="77">
        <f t="shared" si="68"/>
        <v>43</v>
      </c>
      <c r="DA53" s="77">
        <f t="shared" si="68"/>
        <v>44</v>
      </c>
      <c r="DB53" s="77">
        <f t="shared" si="68"/>
        <v>45</v>
      </c>
      <c r="DC53" s="77">
        <f t="shared" si="68"/>
        <v>46</v>
      </c>
      <c r="DD53" s="77">
        <f t="shared" si="68"/>
        <v>47</v>
      </c>
      <c r="DE53" s="77">
        <f t="shared" si="68"/>
        <v>48</v>
      </c>
      <c r="DF53" s="77">
        <f t="shared" si="68"/>
        <v>49</v>
      </c>
      <c r="DG53" s="77">
        <f t="shared" si="68"/>
        <v>50</v>
      </c>
      <c r="DH53" s="77">
        <f t="shared" si="68"/>
        <v>51</v>
      </c>
      <c r="DI53" s="77">
        <f t="shared" si="68"/>
        <v>52</v>
      </c>
      <c r="DJ53" s="77">
        <f t="shared" si="68"/>
        <v>53</v>
      </c>
      <c r="DK53" s="77">
        <f t="shared" si="68"/>
        <v>54</v>
      </c>
      <c r="DL53" s="77">
        <f t="shared" si="68"/>
        <v>55</v>
      </c>
      <c r="DM53" s="77">
        <f t="shared" si="68"/>
        <v>56</v>
      </c>
      <c r="DN53" s="77">
        <f t="shared" si="68"/>
        <v>57</v>
      </c>
      <c r="DO53" s="77">
        <f t="shared" si="68"/>
        <v>58</v>
      </c>
      <c r="DP53" s="77">
        <f t="shared" si="68"/>
        <v>59</v>
      </c>
      <c r="DQ53" s="77">
        <f t="shared" si="68"/>
        <v>60</v>
      </c>
      <c r="DR53" s="77">
        <f t="shared" si="68"/>
        <v>61</v>
      </c>
      <c r="DS53" s="77">
        <f t="shared" si="68"/>
        <v>62</v>
      </c>
      <c r="DT53" s="77">
        <f t="shared" si="68"/>
        <v>63</v>
      </c>
      <c r="DU53" s="77">
        <f t="shared" si="68"/>
        <v>64</v>
      </c>
      <c r="DV53" s="77">
        <f t="shared" si="68"/>
        <v>65</v>
      </c>
      <c r="DW53" s="77">
        <f t="shared" si="68"/>
        <v>66</v>
      </c>
      <c r="DX53" s="77">
        <f t="shared" si="68"/>
        <v>67</v>
      </c>
      <c r="DY53" s="77">
        <f t="shared" si="68"/>
        <v>68</v>
      </c>
      <c r="DZ53" s="77">
        <f t="shared" si="68"/>
        <v>69</v>
      </c>
      <c r="EA53" s="77">
        <f t="shared" si="68"/>
        <v>70</v>
      </c>
      <c r="EB53" s="77">
        <f t="shared" si="68"/>
        <v>71</v>
      </c>
      <c r="EC53" s="77">
        <f t="shared" si="68"/>
        <v>72</v>
      </c>
      <c r="ED53" s="77">
        <f t="shared" si="68"/>
        <v>73</v>
      </c>
      <c r="EE53" s="77">
        <f t="shared" si="68"/>
        <v>74</v>
      </c>
      <c r="EF53" s="77">
        <f t="shared" si="68"/>
        <v>75</v>
      </c>
      <c r="EG53" s="77">
        <f t="shared" si="68"/>
        <v>76</v>
      </c>
      <c r="EH53" s="77">
        <f t="shared" si="68"/>
        <v>77</v>
      </c>
      <c r="EI53" s="77">
        <f t="shared" si="68"/>
        <v>78</v>
      </c>
      <c r="EJ53" s="77">
        <f t="shared" si="68"/>
        <v>79</v>
      </c>
      <c r="EK53" s="77">
        <f t="shared" si="68"/>
        <v>80</v>
      </c>
      <c r="EL53" s="77">
        <f t="shared" si="68"/>
        <v>81</v>
      </c>
      <c r="EM53" s="77">
        <f t="shared" si="68"/>
        <v>82</v>
      </c>
      <c r="EN53" s="77">
        <f t="shared" si="68"/>
        <v>83</v>
      </c>
      <c r="EO53" s="77">
        <f t="shared" si="68"/>
        <v>84</v>
      </c>
      <c r="EP53" s="77">
        <f t="shared" si="68"/>
        <v>85</v>
      </c>
      <c r="EQ53" s="77">
        <f t="shared" si="68"/>
        <v>86</v>
      </c>
      <c r="ER53" s="77">
        <f t="shared" si="68"/>
        <v>87</v>
      </c>
      <c r="ES53" s="77">
        <f t="shared" si="68"/>
        <v>88</v>
      </c>
      <c r="ET53" s="77">
        <f t="shared" si="68"/>
        <v>89</v>
      </c>
      <c r="EU53" s="77">
        <f t="shared" si="68"/>
        <v>90</v>
      </c>
      <c r="EV53" s="77">
        <f t="shared" si="71"/>
        <v>91</v>
      </c>
      <c r="EW53" s="77">
        <f t="shared" si="71"/>
        <v>92</v>
      </c>
      <c r="EX53" s="77">
        <f t="shared" si="71"/>
        <v>93</v>
      </c>
      <c r="EY53" s="77">
        <f t="shared" si="71"/>
        <v>94</v>
      </c>
      <c r="EZ53" s="77">
        <f t="shared" si="71"/>
        <v>95</v>
      </c>
      <c r="FA53" s="77">
        <f t="shared" si="71"/>
        <v>96</v>
      </c>
      <c r="FB53" s="77">
        <f t="shared" si="71"/>
        <v>97</v>
      </c>
      <c r="FC53" s="77">
        <f t="shared" si="71"/>
        <v>98</v>
      </c>
      <c r="FD53" s="77">
        <f t="shared" si="71"/>
        <v>99</v>
      </c>
      <c r="FE53" s="77">
        <f t="shared" si="71"/>
        <v>100</v>
      </c>
      <c r="FF53" s="77">
        <f t="shared" si="71"/>
        <v>101</v>
      </c>
      <c r="FG53" s="77">
        <f t="shared" si="71"/>
        <v>102</v>
      </c>
      <c r="FH53" s="77">
        <f t="shared" si="71"/>
        <v>103</v>
      </c>
      <c r="FI53" s="77">
        <f t="shared" si="71"/>
        <v>104</v>
      </c>
      <c r="FJ53" s="77">
        <f t="shared" si="71"/>
        <v>105</v>
      </c>
      <c r="FK53" s="77">
        <f t="shared" si="71"/>
        <v>106</v>
      </c>
      <c r="FL53" s="77">
        <f t="shared" si="71"/>
        <v>107</v>
      </c>
      <c r="FM53" s="77">
        <f t="shared" si="71"/>
        <v>108</v>
      </c>
      <c r="FN53" s="77">
        <f t="shared" si="71"/>
        <v>109</v>
      </c>
      <c r="FO53" s="77">
        <f t="shared" si="71"/>
        <v>110</v>
      </c>
      <c r="FP53" s="77">
        <f t="shared" si="71"/>
        <v>111</v>
      </c>
      <c r="FQ53" s="77">
        <f t="shared" si="71"/>
        <v>112</v>
      </c>
      <c r="FR53" s="77">
        <f t="shared" si="71"/>
        <v>113</v>
      </c>
      <c r="FS53" s="77">
        <f t="shared" si="71"/>
        <v>114</v>
      </c>
      <c r="FT53" s="77">
        <f t="shared" si="71"/>
        <v>115</v>
      </c>
      <c r="FU53" s="77">
        <f t="shared" si="71"/>
        <v>116</v>
      </c>
      <c r="FV53" s="77">
        <f t="shared" si="71"/>
        <v>117</v>
      </c>
      <c r="FW53" s="77">
        <f t="shared" si="71"/>
        <v>118</v>
      </c>
      <c r="FX53" s="77">
        <f t="shared" si="71"/>
        <v>119</v>
      </c>
      <c r="FY53" s="77">
        <f t="shared" si="71"/>
        <v>120</v>
      </c>
      <c r="FZ53" s="77">
        <f t="shared" si="71"/>
        <v>121</v>
      </c>
      <c r="GA53" s="77">
        <f t="shared" si="71"/>
        <v>122</v>
      </c>
      <c r="GB53" s="77">
        <f t="shared" si="71"/>
        <v>123</v>
      </c>
      <c r="GC53" s="77">
        <f t="shared" si="71"/>
        <v>124</v>
      </c>
      <c r="GD53" s="77">
        <f t="shared" si="71"/>
        <v>125</v>
      </c>
      <c r="GE53" s="77">
        <f t="shared" si="71"/>
        <v>126</v>
      </c>
      <c r="GF53" s="77">
        <f t="shared" si="71"/>
        <v>127</v>
      </c>
      <c r="GG53" s="77">
        <f t="shared" si="71"/>
        <v>128</v>
      </c>
      <c r="GH53" s="77">
        <f t="shared" si="71"/>
        <v>129</v>
      </c>
      <c r="GI53" s="77">
        <f t="shared" si="71"/>
        <v>130</v>
      </c>
      <c r="GJ53" s="77">
        <f t="shared" si="71"/>
        <v>131</v>
      </c>
      <c r="GK53" s="77">
        <f t="shared" si="71"/>
        <v>132</v>
      </c>
      <c r="GL53" s="77">
        <f t="shared" si="71"/>
        <v>133</v>
      </c>
      <c r="GM53" s="77">
        <f t="shared" si="71"/>
        <v>134</v>
      </c>
      <c r="GN53" s="77">
        <f t="shared" si="71"/>
        <v>135</v>
      </c>
      <c r="GO53" s="77">
        <f t="shared" si="71"/>
        <v>136</v>
      </c>
      <c r="GP53" s="77">
        <f t="shared" si="71"/>
        <v>137</v>
      </c>
      <c r="GQ53" s="77">
        <f t="shared" si="71"/>
        <v>138</v>
      </c>
      <c r="GR53" s="77">
        <f t="shared" si="71"/>
        <v>139</v>
      </c>
      <c r="GS53" s="77">
        <f t="shared" si="71"/>
        <v>140</v>
      </c>
      <c r="GT53" s="77">
        <f t="shared" si="71"/>
        <v>141</v>
      </c>
      <c r="GU53" s="77">
        <f t="shared" si="71"/>
        <v>142</v>
      </c>
      <c r="GV53" s="77">
        <f t="shared" si="71"/>
        <v>143</v>
      </c>
      <c r="GW53" s="77">
        <f t="shared" si="71"/>
        <v>144</v>
      </c>
      <c r="GX53" s="77">
        <f t="shared" si="71"/>
        <v>145</v>
      </c>
    </row>
    <row r="54" spans="1:206" ht="15" customHeight="1" x14ac:dyDescent="0.2">
      <c r="A54" s="22" t="s">
        <v>68</v>
      </c>
      <c r="B54" s="22">
        <v>3</v>
      </c>
      <c r="C54" s="22" t="s">
        <v>138</v>
      </c>
      <c r="D54" s="22" t="s">
        <v>153</v>
      </c>
      <c r="E54" s="22" t="s">
        <v>154</v>
      </c>
      <c r="F54" s="22" t="s">
        <v>78</v>
      </c>
      <c r="G54" s="22" t="s">
        <v>79</v>
      </c>
      <c r="H54" s="22">
        <v>2011</v>
      </c>
      <c r="I54" s="22">
        <v>15</v>
      </c>
      <c r="J54" s="22">
        <v>11.94</v>
      </c>
      <c r="K54" s="22">
        <v>88</v>
      </c>
      <c r="L54" s="22">
        <v>1779</v>
      </c>
      <c r="M54" s="22">
        <v>1691</v>
      </c>
      <c r="N54" s="22" t="s">
        <v>95</v>
      </c>
      <c r="O54" s="22" t="s">
        <v>96</v>
      </c>
      <c r="P54" s="22" t="s">
        <v>75</v>
      </c>
      <c r="Q54" s="108">
        <f>IF(R54="","",'Dashboard Ciclos'!$B$2-R54)</f>
        <v>46232</v>
      </c>
      <c r="R54" s="22">
        <f>IF($E54="","",IFERROR(INDEX($W54:$GX54,MATCH('Dashboard Ciclos'!$B$2,$W$1:$GX$1,0)),""))</f>
        <v>17</v>
      </c>
      <c r="S54" s="22" t="str">
        <f t="shared" si="45"/>
        <v>Vencido 1-5 d</v>
      </c>
      <c r="T54" s="22" t="str">
        <f t="shared" si="46"/>
        <v>Fuera de ciclo</v>
      </c>
      <c r="U54" s="22">
        <f t="shared" si="47"/>
        <v>-5</v>
      </c>
      <c r="V54" s="23">
        <f t="shared" si="48"/>
        <v>46244</v>
      </c>
      <c r="W54" s="77">
        <f t="shared" si="66"/>
        <v>35</v>
      </c>
      <c r="X54" s="77">
        <f t="shared" si="66"/>
        <v>36</v>
      </c>
      <c r="Y54" s="77">
        <f t="shared" si="66"/>
        <v>37</v>
      </c>
      <c r="Z54" s="77">
        <f t="shared" si="66"/>
        <v>38</v>
      </c>
      <c r="AA54" s="77">
        <v>39</v>
      </c>
      <c r="AB54" s="77">
        <f t="shared" si="67"/>
        <v>40</v>
      </c>
      <c r="AC54" s="77">
        <v>0</v>
      </c>
      <c r="AD54" s="77">
        <f t="shared" si="67"/>
        <v>1</v>
      </c>
      <c r="AE54" s="77">
        <f t="shared" si="67"/>
        <v>2</v>
      </c>
      <c r="AF54" s="77">
        <f t="shared" si="67"/>
        <v>3</v>
      </c>
      <c r="AG54" s="77">
        <f t="shared" si="67"/>
        <v>4</v>
      </c>
      <c r="AH54" s="77">
        <f t="shared" si="67"/>
        <v>5</v>
      </c>
      <c r="AI54" s="77">
        <f t="shared" si="67"/>
        <v>6</v>
      </c>
      <c r="AJ54" s="77">
        <f t="shared" si="67"/>
        <v>7</v>
      </c>
      <c r="AK54" s="77">
        <f t="shared" si="65"/>
        <v>8</v>
      </c>
      <c r="AL54" s="77">
        <f t="shared" si="65"/>
        <v>9</v>
      </c>
      <c r="AM54" s="77">
        <f t="shared" si="65"/>
        <v>10</v>
      </c>
      <c r="AN54" s="77">
        <f t="shared" si="65"/>
        <v>11</v>
      </c>
      <c r="AO54" s="77">
        <f t="shared" si="65"/>
        <v>12</v>
      </c>
      <c r="AP54" s="77">
        <f t="shared" si="65"/>
        <v>13</v>
      </c>
      <c r="AQ54" s="77">
        <f t="shared" si="65"/>
        <v>14</v>
      </c>
      <c r="AR54" s="77">
        <f t="shared" si="27"/>
        <v>15</v>
      </c>
      <c r="AS54" s="77">
        <f t="shared" si="70"/>
        <v>16</v>
      </c>
      <c r="AT54" s="77">
        <f t="shared" si="70"/>
        <v>17</v>
      </c>
      <c r="AU54" s="77">
        <f t="shared" si="70"/>
        <v>18</v>
      </c>
      <c r="AV54" s="77">
        <f t="shared" si="70"/>
        <v>19</v>
      </c>
      <c r="AW54" s="77">
        <f t="shared" si="70"/>
        <v>20</v>
      </c>
      <c r="AX54" s="77">
        <f t="shared" si="70"/>
        <v>21</v>
      </c>
      <c r="AY54" s="77">
        <v>0</v>
      </c>
      <c r="AZ54" s="77">
        <f t="shared" si="70"/>
        <v>1</v>
      </c>
      <c r="BA54" s="77">
        <f t="shared" si="70"/>
        <v>2</v>
      </c>
      <c r="BB54" s="77">
        <f t="shared" si="70"/>
        <v>3</v>
      </c>
      <c r="BC54" s="77">
        <f t="shared" si="70"/>
        <v>4</v>
      </c>
      <c r="BD54" s="77">
        <f t="shared" si="70"/>
        <v>5</v>
      </c>
      <c r="BE54" s="77">
        <f t="shared" si="70"/>
        <v>6</v>
      </c>
      <c r="BF54" s="77">
        <f t="shared" si="70"/>
        <v>7</v>
      </c>
      <c r="BG54" s="77">
        <f t="shared" si="70"/>
        <v>8</v>
      </c>
      <c r="BH54" s="77">
        <f t="shared" si="70"/>
        <v>9</v>
      </c>
      <c r="BI54" s="77">
        <f t="shared" si="70"/>
        <v>10</v>
      </c>
      <c r="BJ54" s="77">
        <f t="shared" si="70"/>
        <v>11</v>
      </c>
      <c r="BK54" s="77">
        <f t="shared" si="70"/>
        <v>12</v>
      </c>
      <c r="BL54" s="77">
        <f t="shared" si="70"/>
        <v>13</v>
      </c>
      <c r="BM54" s="77">
        <f t="shared" si="70"/>
        <v>14</v>
      </c>
      <c r="BN54" s="77">
        <f t="shared" si="70"/>
        <v>15</v>
      </c>
      <c r="BO54" s="77">
        <f t="shared" si="70"/>
        <v>16</v>
      </c>
      <c r="BP54" s="77">
        <f t="shared" si="70"/>
        <v>17</v>
      </c>
      <c r="BQ54" s="77">
        <f t="shared" si="70"/>
        <v>18</v>
      </c>
      <c r="BR54" s="77">
        <f t="shared" si="70"/>
        <v>19</v>
      </c>
      <c r="BS54" s="77">
        <f t="shared" si="70"/>
        <v>20</v>
      </c>
      <c r="BT54" s="77">
        <f t="shared" si="70"/>
        <v>21</v>
      </c>
      <c r="BU54" s="77">
        <f t="shared" si="70"/>
        <v>22</v>
      </c>
      <c r="BV54" s="77">
        <f t="shared" si="70"/>
        <v>23</v>
      </c>
      <c r="BW54" s="77">
        <f t="shared" si="70"/>
        <v>24</v>
      </c>
      <c r="BX54" s="77">
        <f t="shared" si="70"/>
        <v>25</v>
      </c>
      <c r="BY54" s="77">
        <f t="shared" si="70"/>
        <v>26</v>
      </c>
      <c r="BZ54" s="77">
        <f t="shared" si="70"/>
        <v>27</v>
      </c>
      <c r="CA54" s="77">
        <f t="shared" si="70"/>
        <v>28</v>
      </c>
      <c r="CB54" s="77">
        <f t="shared" si="70"/>
        <v>29</v>
      </c>
      <c r="CC54" s="77">
        <f t="shared" si="70"/>
        <v>30</v>
      </c>
      <c r="CD54" s="77">
        <f t="shared" si="70"/>
        <v>31</v>
      </c>
      <c r="CE54" s="77">
        <f t="shared" si="70"/>
        <v>32</v>
      </c>
      <c r="CF54" s="77">
        <f t="shared" si="70"/>
        <v>33</v>
      </c>
      <c r="CG54" s="77">
        <f t="shared" si="70"/>
        <v>34</v>
      </c>
      <c r="CH54" s="77">
        <f t="shared" si="70"/>
        <v>35</v>
      </c>
      <c r="CI54" s="77">
        <f t="shared" si="70"/>
        <v>36</v>
      </c>
      <c r="CJ54" s="77">
        <f t="shared" si="70"/>
        <v>37</v>
      </c>
      <c r="CK54" s="77">
        <f t="shared" si="68"/>
        <v>38</v>
      </c>
      <c r="CL54" s="77">
        <f t="shared" si="68"/>
        <v>39</v>
      </c>
      <c r="CM54" s="77">
        <f t="shared" si="68"/>
        <v>40</v>
      </c>
      <c r="CN54" s="77">
        <f t="shared" si="68"/>
        <v>41</v>
      </c>
      <c r="CO54" s="77">
        <f t="shared" si="68"/>
        <v>42</v>
      </c>
      <c r="CP54" s="77">
        <f t="shared" si="68"/>
        <v>43</v>
      </c>
      <c r="CQ54" s="77">
        <f t="shared" si="68"/>
        <v>44</v>
      </c>
      <c r="CR54" s="77">
        <f t="shared" si="68"/>
        <v>45</v>
      </c>
      <c r="CS54" s="77">
        <f t="shared" si="68"/>
        <v>46</v>
      </c>
      <c r="CT54" s="77">
        <f t="shared" si="68"/>
        <v>47</v>
      </c>
      <c r="CU54" s="77">
        <f t="shared" si="68"/>
        <v>48</v>
      </c>
      <c r="CV54" s="77">
        <f t="shared" si="68"/>
        <v>49</v>
      </c>
      <c r="CW54" s="77">
        <f t="shared" si="68"/>
        <v>50</v>
      </c>
      <c r="CX54" s="77">
        <f t="shared" si="68"/>
        <v>51</v>
      </c>
      <c r="CY54" s="77">
        <f t="shared" si="68"/>
        <v>52</v>
      </c>
      <c r="CZ54" s="77">
        <f t="shared" si="68"/>
        <v>53</v>
      </c>
      <c r="DA54" s="77">
        <f t="shared" si="68"/>
        <v>54</v>
      </c>
      <c r="DB54" s="77">
        <f t="shared" si="68"/>
        <v>55</v>
      </c>
      <c r="DC54" s="77">
        <f t="shared" si="68"/>
        <v>56</v>
      </c>
      <c r="DD54" s="77">
        <f t="shared" si="68"/>
        <v>57</v>
      </c>
      <c r="DE54" s="77">
        <f t="shared" si="68"/>
        <v>58</v>
      </c>
      <c r="DF54" s="77">
        <f t="shared" si="68"/>
        <v>59</v>
      </c>
      <c r="DG54" s="77">
        <f t="shared" si="68"/>
        <v>60</v>
      </c>
      <c r="DH54" s="77">
        <f t="shared" si="68"/>
        <v>61</v>
      </c>
      <c r="DI54" s="77">
        <f t="shared" si="68"/>
        <v>62</v>
      </c>
      <c r="DJ54" s="77">
        <f t="shared" si="68"/>
        <v>63</v>
      </c>
      <c r="DK54" s="77">
        <f t="shared" si="68"/>
        <v>64</v>
      </c>
      <c r="DL54" s="77">
        <f t="shared" si="68"/>
        <v>65</v>
      </c>
      <c r="DM54" s="77">
        <f t="shared" si="68"/>
        <v>66</v>
      </c>
      <c r="DN54" s="77">
        <f t="shared" si="68"/>
        <v>67</v>
      </c>
      <c r="DO54" s="77">
        <f t="shared" si="68"/>
        <v>68</v>
      </c>
      <c r="DP54" s="77">
        <f t="shared" si="68"/>
        <v>69</v>
      </c>
      <c r="DQ54" s="77">
        <f t="shared" si="68"/>
        <v>70</v>
      </c>
      <c r="DR54" s="77">
        <f t="shared" si="68"/>
        <v>71</v>
      </c>
      <c r="DS54" s="77">
        <f t="shared" si="68"/>
        <v>72</v>
      </c>
      <c r="DT54" s="77">
        <f t="shared" si="68"/>
        <v>73</v>
      </c>
      <c r="DU54" s="77">
        <f t="shared" si="68"/>
        <v>74</v>
      </c>
      <c r="DV54" s="77">
        <f t="shared" si="68"/>
        <v>75</v>
      </c>
      <c r="DW54" s="77">
        <f t="shared" si="68"/>
        <v>76</v>
      </c>
      <c r="DX54" s="77">
        <f t="shared" si="68"/>
        <v>77</v>
      </c>
      <c r="DY54" s="77">
        <f t="shared" si="68"/>
        <v>78</v>
      </c>
      <c r="DZ54" s="77">
        <f t="shared" si="68"/>
        <v>79</v>
      </c>
      <c r="EA54" s="77">
        <f t="shared" si="68"/>
        <v>80</v>
      </c>
      <c r="EB54" s="77">
        <f t="shared" si="68"/>
        <v>81</v>
      </c>
      <c r="EC54" s="77">
        <f t="shared" si="68"/>
        <v>82</v>
      </c>
      <c r="ED54" s="77">
        <f t="shared" si="68"/>
        <v>83</v>
      </c>
      <c r="EE54" s="77">
        <f t="shared" si="68"/>
        <v>84</v>
      </c>
      <c r="EF54" s="77">
        <f t="shared" si="68"/>
        <v>85</v>
      </c>
      <c r="EG54" s="77">
        <f t="shared" si="68"/>
        <v>86</v>
      </c>
      <c r="EH54" s="77">
        <f t="shared" si="68"/>
        <v>87</v>
      </c>
      <c r="EI54" s="77">
        <f t="shared" si="68"/>
        <v>88</v>
      </c>
      <c r="EJ54" s="77">
        <f t="shared" si="68"/>
        <v>89</v>
      </c>
      <c r="EK54" s="77">
        <f t="shared" si="68"/>
        <v>90</v>
      </c>
      <c r="EL54" s="77">
        <f t="shared" si="68"/>
        <v>91</v>
      </c>
      <c r="EM54" s="77">
        <f t="shared" si="68"/>
        <v>92</v>
      </c>
      <c r="EN54" s="77">
        <f t="shared" si="68"/>
        <v>93</v>
      </c>
      <c r="EO54" s="77">
        <f t="shared" si="68"/>
        <v>94</v>
      </c>
      <c r="EP54" s="77">
        <f t="shared" si="68"/>
        <v>95</v>
      </c>
      <c r="EQ54" s="77">
        <f t="shared" si="68"/>
        <v>96</v>
      </c>
      <c r="ER54" s="77">
        <f t="shared" si="68"/>
        <v>97</v>
      </c>
      <c r="ES54" s="77">
        <f t="shared" si="68"/>
        <v>98</v>
      </c>
      <c r="ET54" s="77">
        <f t="shared" si="68"/>
        <v>99</v>
      </c>
      <c r="EU54" s="77">
        <f t="shared" si="68"/>
        <v>100</v>
      </c>
      <c r="EV54" s="77">
        <f t="shared" si="71"/>
        <v>101</v>
      </c>
      <c r="EW54" s="77">
        <f t="shared" si="71"/>
        <v>102</v>
      </c>
      <c r="EX54" s="77">
        <f t="shared" si="71"/>
        <v>103</v>
      </c>
      <c r="EY54" s="77">
        <f t="shared" si="71"/>
        <v>104</v>
      </c>
      <c r="EZ54" s="77">
        <f t="shared" si="71"/>
        <v>105</v>
      </c>
      <c r="FA54" s="77">
        <f t="shared" si="71"/>
        <v>106</v>
      </c>
      <c r="FB54" s="77">
        <f t="shared" si="71"/>
        <v>107</v>
      </c>
      <c r="FC54" s="77">
        <f t="shared" si="71"/>
        <v>108</v>
      </c>
      <c r="FD54" s="77">
        <f t="shared" si="71"/>
        <v>109</v>
      </c>
      <c r="FE54" s="77">
        <f t="shared" si="71"/>
        <v>110</v>
      </c>
      <c r="FF54" s="77">
        <f t="shared" si="71"/>
        <v>111</v>
      </c>
      <c r="FG54" s="77">
        <f t="shared" si="71"/>
        <v>112</v>
      </c>
      <c r="FH54" s="77">
        <f t="shared" si="71"/>
        <v>113</v>
      </c>
      <c r="FI54" s="77">
        <f t="shared" si="71"/>
        <v>114</v>
      </c>
      <c r="FJ54" s="77">
        <f t="shared" si="71"/>
        <v>115</v>
      </c>
      <c r="FK54" s="77">
        <f t="shared" si="71"/>
        <v>116</v>
      </c>
      <c r="FL54" s="77">
        <f t="shared" si="71"/>
        <v>117</v>
      </c>
      <c r="FM54" s="77">
        <f t="shared" si="71"/>
        <v>118</v>
      </c>
      <c r="FN54" s="77">
        <f t="shared" si="71"/>
        <v>119</v>
      </c>
      <c r="FO54" s="77">
        <f t="shared" si="71"/>
        <v>120</v>
      </c>
      <c r="FP54" s="77">
        <f t="shared" si="71"/>
        <v>121</v>
      </c>
      <c r="FQ54" s="77">
        <f t="shared" si="71"/>
        <v>122</v>
      </c>
      <c r="FR54" s="77">
        <f t="shared" si="71"/>
        <v>123</v>
      </c>
      <c r="FS54" s="77">
        <f t="shared" si="71"/>
        <v>124</v>
      </c>
      <c r="FT54" s="77">
        <f t="shared" si="71"/>
        <v>125</v>
      </c>
      <c r="FU54" s="77">
        <f t="shared" si="71"/>
        <v>126</v>
      </c>
      <c r="FV54" s="77">
        <f t="shared" si="71"/>
        <v>127</v>
      </c>
      <c r="FW54" s="77">
        <f t="shared" si="71"/>
        <v>128</v>
      </c>
      <c r="FX54" s="77">
        <f t="shared" si="71"/>
        <v>129</v>
      </c>
      <c r="FY54" s="77">
        <f t="shared" si="71"/>
        <v>130</v>
      </c>
      <c r="FZ54" s="77">
        <f t="shared" si="71"/>
        <v>131</v>
      </c>
      <c r="GA54" s="77">
        <f t="shared" si="71"/>
        <v>132</v>
      </c>
      <c r="GB54" s="77">
        <f t="shared" si="71"/>
        <v>133</v>
      </c>
      <c r="GC54" s="77">
        <f t="shared" si="71"/>
        <v>134</v>
      </c>
      <c r="GD54" s="77">
        <f t="shared" si="71"/>
        <v>135</v>
      </c>
      <c r="GE54" s="77">
        <f t="shared" si="71"/>
        <v>136</v>
      </c>
      <c r="GF54" s="77">
        <f t="shared" si="71"/>
        <v>137</v>
      </c>
      <c r="GG54" s="77">
        <f t="shared" si="71"/>
        <v>138</v>
      </c>
      <c r="GH54" s="77">
        <f t="shared" si="71"/>
        <v>139</v>
      </c>
      <c r="GI54" s="77">
        <f t="shared" si="71"/>
        <v>140</v>
      </c>
      <c r="GJ54" s="77">
        <f t="shared" si="71"/>
        <v>141</v>
      </c>
      <c r="GK54" s="77">
        <f t="shared" si="71"/>
        <v>142</v>
      </c>
      <c r="GL54" s="77">
        <f t="shared" si="71"/>
        <v>143</v>
      </c>
      <c r="GM54" s="77">
        <f t="shared" si="71"/>
        <v>144</v>
      </c>
      <c r="GN54" s="77">
        <f t="shared" si="71"/>
        <v>145</v>
      </c>
      <c r="GO54" s="77">
        <f t="shared" si="71"/>
        <v>146</v>
      </c>
      <c r="GP54" s="77">
        <f t="shared" si="71"/>
        <v>147</v>
      </c>
      <c r="GQ54" s="77">
        <f t="shared" si="71"/>
        <v>148</v>
      </c>
      <c r="GR54" s="77">
        <f t="shared" si="71"/>
        <v>149</v>
      </c>
      <c r="GS54" s="77">
        <f t="shared" si="71"/>
        <v>150</v>
      </c>
      <c r="GT54" s="77">
        <f t="shared" si="71"/>
        <v>151</v>
      </c>
      <c r="GU54" s="77">
        <f t="shared" si="71"/>
        <v>152</v>
      </c>
      <c r="GV54" s="77">
        <f t="shared" si="71"/>
        <v>153</v>
      </c>
      <c r="GW54" s="77">
        <f t="shared" si="71"/>
        <v>154</v>
      </c>
      <c r="GX54" s="77">
        <f t="shared" si="71"/>
        <v>155</v>
      </c>
    </row>
    <row r="55" spans="1:206" ht="15" customHeight="1" x14ac:dyDescent="0.2">
      <c r="A55" s="22" t="s">
        <v>68</v>
      </c>
      <c r="B55" s="22">
        <v>2</v>
      </c>
      <c r="C55" s="22" t="s">
        <v>105</v>
      </c>
      <c r="D55" s="22">
        <v>43</v>
      </c>
      <c r="E55" s="22" t="s">
        <v>155</v>
      </c>
      <c r="F55" s="22" t="s">
        <v>71</v>
      </c>
      <c r="G55" s="22" t="s">
        <v>79</v>
      </c>
      <c r="H55" s="22">
        <v>2011</v>
      </c>
      <c r="I55" s="22">
        <v>15</v>
      </c>
      <c r="J55" s="22">
        <v>40.29</v>
      </c>
      <c r="K55" s="22">
        <v>67</v>
      </c>
      <c r="L55" s="22">
        <v>5759</v>
      </c>
      <c r="M55" s="22">
        <v>5692</v>
      </c>
      <c r="N55" s="22" t="s">
        <v>95</v>
      </c>
      <c r="O55" s="22" t="s">
        <v>96</v>
      </c>
      <c r="P55" s="22" t="s">
        <v>75</v>
      </c>
      <c r="Q55" s="108">
        <f>IF(R55="","",'Dashboard Ciclos'!$B$2-R55)</f>
        <v>46246</v>
      </c>
      <c r="R55" s="22">
        <f>IF($E55="","",IFERROR(INDEX($W55:$GX55,MATCH('Dashboard Ciclos'!$B$2,$W$1:$GX$1,0)),""))</f>
        <v>3</v>
      </c>
      <c r="S55" s="22" t="str">
        <f t="shared" si="45"/>
        <v>En ciclo</v>
      </c>
      <c r="T55" s="22" t="str">
        <f t="shared" si="46"/>
        <v>Recién cortado</v>
      </c>
      <c r="U55" s="22">
        <f t="shared" si="47"/>
        <v>9</v>
      </c>
      <c r="V55" s="23">
        <f t="shared" si="48"/>
        <v>46258</v>
      </c>
      <c r="W55" s="77">
        <f t="shared" si="66"/>
        <v>-3</v>
      </c>
      <c r="X55" s="77">
        <f t="shared" si="66"/>
        <v>-2</v>
      </c>
      <c r="Y55" s="77">
        <f t="shared" si="66"/>
        <v>-1</v>
      </c>
      <c r="Z55" s="77">
        <f t="shared" si="66"/>
        <v>0</v>
      </c>
      <c r="AA55" s="77">
        <v>1</v>
      </c>
      <c r="AB55" s="77">
        <f t="shared" si="67"/>
        <v>2</v>
      </c>
      <c r="AC55" s="77">
        <f t="shared" si="67"/>
        <v>3</v>
      </c>
      <c r="AD55" s="77">
        <f t="shared" si="67"/>
        <v>4</v>
      </c>
      <c r="AE55" s="77">
        <f t="shared" si="67"/>
        <v>5</v>
      </c>
      <c r="AF55" s="77">
        <f t="shared" si="67"/>
        <v>6</v>
      </c>
      <c r="AG55" s="77">
        <f t="shared" si="67"/>
        <v>7</v>
      </c>
      <c r="AH55" s="77">
        <f t="shared" si="67"/>
        <v>8</v>
      </c>
      <c r="AI55" s="77">
        <f t="shared" si="67"/>
        <v>9</v>
      </c>
      <c r="AJ55" s="77">
        <f t="shared" si="67"/>
        <v>10</v>
      </c>
      <c r="AK55" s="77">
        <f t="shared" si="65"/>
        <v>11</v>
      </c>
      <c r="AL55" s="77">
        <f t="shared" si="65"/>
        <v>12</v>
      </c>
      <c r="AM55" s="77">
        <f t="shared" si="65"/>
        <v>13</v>
      </c>
      <c r="AN55" s="77">
        <f t="shared" si="65"/>
        <v>14</v>
      </c>
      <c r="AO55" s="77">
        <f t="shared" si="65"/>
        <v>15</v>
      </c>
      <c r="AP55" s="77">
        <f t="shared" si="65"/>
        <v>16</v>
      </c>
      <c r="AQ55" s="77">
        <f t="shared" si="65"/>
        <v>17</v>
      </c>
      <c r="AR55" s="77">
        <f t="shared" si="27"/>
        <v>18</v>
      </c>
      <c r="AS55" s="77">
        <f t="shared" si="70"/>
        <v>19</v>
      </c>
      <c r="AT55" s="77">
        <f t="shared" si="70"/>
        <v>20</v>
      </c>
      <c r="AU55" s="77">
        <f t="shared" si="70"/>
        <v>21</v>
      </c>
      <c r="AV55" s="77">
        <f t="shared" si="70"/>
        <v>22</v>
      </c>
      <c r="AW55" s="77">
        <f t="shared" si="70"/>
        <v>23</v>
      </c>
      <c r="AX55" s="77">
        <f t="shared" si="70"/>
        <v>24</v>
      </c>
      <c r="AY55" s="77">
        <f t="shared" si="70"/>
        <v>25</v>
      </c>
      <c r="AZ55" s="77">
        <f t="shared" si="70"/>
        <v>26</v>
      </c>
      <c r="BA55" s="77">
        <f t="shared" si="70"/>
        <v>27</v>
      </c>
      <c r="BB55" s="77">
        <f t="shared" si="70"/>
        <v>28</v>
      </c>
      <c r="BC55" s="77">
        <f t="shared" si="70"/>
        <v>29</v>
      </c>
      <c r="BD55" s="77">
        <f t="shared" si="70"/>
        <v>30</v>
      </c>
      <c r="BE55" s="77">
        <f t="shared" si="70"/>
        <v>31</v>
      </c>
      <c r="BF55" s="77">
        <f t="shared" si="70"/>
        <v>32</v>
      </c>
      <c r="BG55" s="77">
        <f t="shared" si="70"/>
        <v>33</v>
      </c>
      <c r="BH55" s="77">
        <f t="shared" si="70"/>
        <v>34</v>
      </c>
      <c r="BI55" s="77">
        <f t="shared" si="70"/>
        <v>35</v>
      </c>
      <c r="BJ55" s="77">
        <f t="shared" si="70"/>
        <v>36</v>
      </c>
      <c r="BK55" s="77">
        <f t="shared" si="70"/>
        <v>37</v>
      </c>
      <c r="BL55" s="77">
        <f t="shared" si="70"/>
        <v>38</v>
      </c>
      <c r="BM55" s="77">
        <v>0</v>
      </c>
      <c r="BN55" s="77">
        <f t="shared" si="70"/>
        <v>1</v>
      </c>
      <c r="BO55" s="77">
        <f t="shared" si="70"/>
        <v>2</v>
      </c>
      <c r="BP55" s="77">
        <f t="shared" si="70"/>
        <v>3</v>
      </c>
      <c r="BQ55" s="77">
        <f t="shared" si="70"/>
        <v>4</v>
      </c>
      <c r="BR55" s="77">
        <f t="shared" si="70"/>
        <v>5</v>
      </c>
      <c r="BS55" s="77">
        <f t="shared" si="70"/>
        <v>6</v>
      </c>
      <c r="BT55" s="77">
        <f t="shared" si="70"/>
        <v>7</v>
      </c>
      <c r="BU55" s="77">
        <f t="shared" si="70"/>
        <v>8</v>
      </c>
      <c r="BV55" s="77">
        <f t="shared" si="70"/>
        <v>9</v>
      </c>
      <c r="BW55" s="77">
        <f t="shared" si="70"/>
        <v>10</v>
      </c>
      <c r="BX55" s="77">
        <f t="shared" si="70"/>
        <v>11</v>
      </c>
      <c r="BY55" s="77">
        <f t="shared" si="70"/>
        <v>12</v>
      </c>
      <c r="BZ55" s="77">
        <f t="shared" si="70"/>
        <v>13</v>
      </c>
      <c r="CA55" s="77">
        <f t="shared" si="70"/>
        <v>14</v>
      </c>
      <c r="CB55" s="77">
        <f t="shared" si="70"/>
        <v>15</v>
      </c>
      <c r="CC55" s="77">
        <f t="shared" si="70"/>
        <v>16</v>
      </c>
      <c r="CD55" s="77">
        <f t="shared" si="70"/>
        <v>17</v>
      </c>
      <c r="CE55" s="77">
        <f t="shared" si="70"/>
        <v>18</v>
      </c>
      <c r="CF55" s="77">
        <f t="shared" si="70"/>
        <v>19</v>
      </c>
      <c r="CG55" s="77">
        <f t="shared" si="70"/>
        <v>20</v>
      </c>
      <c r="CH55" s="77">
        <f t="shared" si="70"/>
        <v>21</v>
      </c>
      <c r="CI55" s="77">
        <f t="shared" si="70"/>
        <v>22</v>
      </c>
      <c r="CJ55" s="77">
        <f t="shared" ref="CJ55:EU58" si="72">IF(CI55="","",CI55+1)</f>
        <v>23</v>
      </c>
      <c r="CK55" s="77">
        <f t="shared" si="72"/>
        <v>24</v>
      </c>
      <c r="CL55" s="77">
        <f t="shared" si="72"/>
        <v>25</v>
      </c>
      <c r="CM55" s="77">
        <f t="shared" si="72"/>
        <v>26</v>
      </c>
      <c r="CN55" s="77">
        <f t="shared" si="72"/>
        <v>27</v>
      </c>
      <c r="CO55" s="77">
        <f t="shared" si="72"/>
        <v>28</v>
      </c>
      <c r="CP55" s="77">
        <f t="shared" si="72"/>
        <v>29</v>
      </c>
      <c r="CQ55" s="77">
        <f t="shared" si="72"/>
        <v>30</v>
      </c>
      <c r="CR55" s="77">
        <f t="shared" si="72"/>
        <v>31</v>
      </c>
      <c r="CS55" s="77">
        <f t="shared" si="72"/>
        <v>32</v>
      </c>
      <c r="CT55" s="77">
        <f t="shared" si="72"/>
        <v>33</v>
      </c>
      <c r="CU55" s="77">
        <f t="shared" si="72"/>
        <v>34</v>
      </c>
      <c r="CV55" s="77">
        <f t="shared" si="72"/>
        <v>35</v>
      </c>
      <c r="CW55" s="77">
        <f t="shared" si="72"/>
        <v>36</v>
      </c>
      <c r="CX55" s="77">
        <f t="shared" si="72"/>
        <v>37</v>
      </c>
      <c r="CY55" s="77">
        <f t="shared" si="72"/>
        <v>38</v>
      </c>
      <c r="CZ55" s="77">
        <f t="shared" si="72"/>
        <v>39</v>
      </c>
      <c r="DA55" s="77">
        <f t="shared" si="72"/>
        <v>40</v>
      </c>
      <c r="DB55" s="77">
        <f t="shared" si="72"/>
        <v>41</v>
      </c>
      <c r="DC55" s="77">
        <f t="shared" si="72"/>
        <v>42</v>
      </c>
      <c r="DD55" s="77">
        <f t="shared" si="72"/>
        <v>43</v>
      </c>
      <c r="DE55" s="77">
        <f t="shared" si="72"/>
        <v>44</v>
      </c>
      <c r="DF55" s="77">
        <f t="shared" si="72"/>
        <v>45</v>
      </c>
      <c r="DG55" s="77">
        <f t="shared" si="72"/>
        <v>46</v>
      </c>
      <c r="DH55" s="77">
        <f t="shared" si="72"/>
        <v>47</v>
      </c>
      <c r="DI55" s="77">
        <f t="shared" si="72"/>
        <v>48</v>
      </c>
      <c r="DJ55" s="77">
        <f t="shared" si="72"/>
        <v>49</v>
      </c>
      <c r="DK55" s="77">
        <f t="shared" si="72"/>
        <v>50</v>
      </c>
      <c r="DL55" s="77">
        <f t="shared" si="72"/>
        <v>51</v>
      </c>
      <c r="DM55" s="77">
        <f t="shared" si="72"/>
        <v>52</v>
      </c>
      <c r="DN55" s="77">
        <f t="shared" si="72"/>
        <v>53</v>
      </c>
      <c r="DO55" s="77">
        <f t="shared" si="72"/>
        <v>54</v>
      </c>
      <c r="DP55" s="77">
        <f t="shared" si="72"/>
        <v>55</v>
      </c>
      <c r="DQ55" s="77">
        <f t="shared" si="72"/>
        <v>56</v>
      </c>
      <c r="DR55" s="77">
        <f t="shared" si="72"/>
        <v>57</v>
      </c>
      <c r="DS55" s="77">
        <f t="shared" si="72"/>
        <v>58</v>
      </c>
      <c r="DT55" s="77">
        <f t="shared" si="72"/>
        <v>59</v>
      </c>
      <c r="DU55" s="77">
        <f t="shared" si="72"/>
        <v>60</v>
      </c>
      <c r="DV55" s="77">
        <f t="shared" si="72"/>
        <v>61</v>
      </c>
      <c r="DW55" s="77">
        <f t="shared" si="72"/>
        <v>62</v>
      </c>
      <c r="DX55" s="77">
        <f t="shared" si="72"/>
        <v>63</v>
      </c>
      <c r="DY55" s="77">
        <f t="shared" si="72"/>
        <v>64</v>
      </c>
      <c r="DZ55" s="77">
        <f t="shared" si="72"/>
        <v>65</v>
      </c>
      <c r="EA55" s="77">
        <f t="shared" si="72"/>
        <v>66</v>
      </c>
      <c r="EB55" s="77">
        <f t="shared" si="72"/>
        <v>67</v>
      </c>
      <c r="EC55" s="77">
        <f t="shared" si="72"/>
        <v>68</v>
      </c>
      <c r="ED55" s="77">
        <f t="shared" si="72"/>
        <v>69</v>
      </c>
      <c r="EE55" s="77">
        <f t="shared" si="72"/>
        <v>70</v>
      </c>
      <c r="EF55" s="77">
        <f t="shared" si="72"/>
        <v>71</v>
      </c>
      <c r="EG55" s="77">
        <f t="shared" si="72"/>
        <v>72</v>
      </c>
      <c r="EH55" s="77">
        <f t="shared" si="72"/>
        <v>73</v>
      </c>
      <c r="EI55" s="77">
        <f t="shared" si="72"/>
        <v>74</v>
      </c>
      <c r="EJ55" s="77">
        <f t="shared" si="72"/>
        <v>75</v>
      </c>
      <c r="EK55" s="77">
        <f t="shared" si="72"/>
        <v>76</v>
      </c>
      <c r="EL55" s="77">
        <f t="shared" si="72"/>
        <v>77</v>
      </c>
      <c r="EM55" s="77">
        <f t="shared" si="72"/>
        <v>78</v>
      </c>
      <c r="EN55" s="77">
        <f t="shared" si="72"/>
        <v>79</v>
      </c>
      <c r="EO55" s="77">
        <f t="shared" si="72"/>
        <v>80</v>
      </c>
      <c r="EP55" s="77">
        <f t="shared" si="72"/>
        <v>81</v>
      </c>
      <c r="EQ55" s="77">
        <f t="shared" si="72"/>
        <v>82</v>
      </c>
      <c r="ER55" s="77">
        <f t="shared" si="72"/>
        <v>83</v>
      </c>
      <c r="ES55" s="77">
        <f t="shared" si="72"/>
        <v>84</v>
      </c>
      <c r="ET55" s="77">
        <f t="shared" si="72"/>
        <v>85</v>
      </c>
      <c r="EU55" s="77">
        <f t="shared" si="72"/>
        <v>86</v>
      </c>
      <c r="EV55" s="77">
        <f t="shared" si="71"/>
        <v>87</v>
      </c>
      <c r="EW55" s="77">
        <f t="shared" si="71"/>
        <v>88</v>
      </c>
      <c r="EX55" s="77">
        <f t="shared" si="71"/>
        <v>89</v>
      </c>
      <c r="EY55" s="77">
        <f t="shared" si="71"/>
        <v>90</v>
      </c>
      <c r="EZ55" s="77">
        <f t="shared" si="71"/>
        <v>91</v>
      </c>
      <c r="FA55" s="77">
        <f t="shared" si="71"/>
        <v>92</v>
      </c>
      <c r="FB55" s="77">
        <f t="shared" si="71"/>
        <v>93</v>
      </c>
      <c r="FC55" s="77">
        <f t="shared" si="71"/>
        <v>94</v>
      </c>
      <c r="FD55" s="77">
        <f t="shared" si="71"/>
        <v>95</v>
      </c>
      <c r="FE55" s="77">
        <f t="shared" si="71"/>
        <v>96</v>
      </c>
      <c r="FF55" s="77">
        <f t="shared" si="71"/>
        <v>97</v>
      </c>
      <c r="FG55" s="77">
        <f t="shared" si="71"/>
        <v>98</v>
      </c>
      <c r="FH55" s="77">
        <f t="shared" si="71"/>
        <v>99</v>
      </c>
      <c r="FI55" s="77">
        <f t="shared" si="71"/>
        <v>100</v>
      </c>
      <c r="FJ55" s="77">
        <f t="shared" si="71"/>
        <v>101</v>
      </c>
      <c r="FK55" s="77">
        <f t="shared" si="71"/>
        <v>102</v>
      </c>
      <c r="FL55" s="77">
        <f t="shared" si="71"/>
        <v>103</v>
      </c>
      <c r="FM55" s="77">
        <f t="shared" si="71"/>
        <v>104</v>
      </c>
      <c r="FN55" s="77">
        <f t="shared" si="71"/>
        <v>105</v>
      </c>
      <c r="FO55" s="77">
        <f t="shared" si="71"/>
        <v>106</v>
      </c>
      <c r="FP55" s="77">
        <f t="shared" si="71"/>
        <v>107</v>
      </c>
      <c r="FQ55" s="77">
        <f t="shared" si="71"/>
        <v>108</v>
      </c>
      <c r="FR55" s="77">
        <f t="shared" si="71"/>
        <v>109</v>
      </c>
      <c r="FS55" s="77">
        <f t="shared" si="71"/>
        <v>110</v>
      </c>
      <c r="FT55" s="77">
        <f t="shared" si="71"/>
        <v>111</v>
      </c>
      <c r="FU55" s="77">
        <f t="shared" si="71"/>
        <v>112</v>
      </c>
      <c r="FV55" s="77">
        <f t="shared" si="71"/>
        <v>113</v>
      </c>
      <c r="FW55" s="77">
        <f t="shared" si="71"/>
        <v>114</v>
      </c>
      <c r="FX55" s="77">
        <f t="shared" si="71"/>
        <v>115</v>
      </c>
      <c r="FY55" s="77">
        <f t="shared" si="71"/>
        <v>116</v>
      </c>
      <c r="FZ55" s="77">
        <f t="shared" si="71"/>
        <v>117</v>
      </c>
      <c r="GA55" s="77">
        <f t="shared" si="71"/>
        <v>118</v>
      </c>
      <c r="GB55" s="77">
        <f t="shared" si="71"/>
        <v>119</v>
      </c>
      <c r="GC55" s="77">
        <f t="shared" si="71"/>
        <v>120</v>
      </c>
      <c r="GD55" s="77">
        <f t="shared" si="71"/>
        <v>121</v>
      </c>
      <c r="GE55" s="77">
        <f t="shared" si="71"/>
        <v>122</v>
      </c>
      <c r="GF55" s="77">
        <f t="shared" si="71"/>
        <v>123</v>
      </c>
      <c r="GG55" s="77">
        <f t="shared" si="71"/>
        <v>124</v>
      </c>
      <c r="GH55" s="77">
        <f t="shared" si="71"/>
        <v>125</v>
      </c>
      <c r="GI55" s="77">
        <f t="shared" si="71"/>
        <v>126</v>
      </c>
      <c r="GJ55" s="77">
        <f t="shared" si="71"/>
        <v>127</v>
      </c>
      <c r="GK55" s="77">
        <f t="shared" si="71"/>
        <v>128</v>
      </c>
      <c r="GL55" s="77">
        <f t="shared" si="71"/>
        <v>129</v>
      </c>
      <c r="GM55" s="77">
        <f t="shared" si="71"/>
        <v>130</v>
      </c>
      <c r="GN55" s="77">
        <f t="shared" si="71"/>
        <v>131</v>
      </c>
      <c r="GO55" s="77">
        <f t="shared" si="71"/>
        <v>132</v>
      </c>
      <c r="GP55" s="77">
        <f t="shared" si="71"/>
        <v>133</v>
      </c>
      <c r="GQ55" s="77">
        <f t="shared" si="71"/>
        <v>134</v>
      </c>
      <c r="GR55" s="77">
        <f t="shared" si="71"/>
        <v>135</v>
      </c>
      <c r="GS55" s="77">
        <f t="shared" si="71"/>
        <v>136</v>
      </c>
      <c r="GT55" s="77">
        <f t="shared" si="71"/>
        <v>137</v>
      </c>
      <c r="GU55" s="77">
        <f t="shared" si="71"/>
        <v>138</v>
      </c>
      <c r="GV55" s="77">
        <f t="shared" si="71"/>
        <v>139</v>
      </c>
      <c r="GW55" s="77">
        <f t="shared" si="71"/>
        <v>140</v>
      </c>
      <c r="GX55" s="77">
        <f t="shared" si="71"/>
        <v>141</v>
      </c>
    </row>
    <row r="56" spans="1:206" ht="15" customHeight="1" x14ac:dyDescent="0.2">
      <c r="A56" s="22" t="s">
        <v>68</v>
      </c>
      <c r="B56" s="22">
        <v>3</v>
      </c>
      <c r="C56" s="22" t="s">
        <v>105</v>
      </c>
      <c r="D56" s="22">
        <v>44</v>
      </c>
      <c r="E56" s="22" t="s">
        <v>156</v>
      </c>
      <c r="F56" s="22" t="s">
        <v>134</v>
      </c>
      <c r="G56" s="22" t="s">
        <v>79</v>
      </c>
      <c r="H56" s="22">
        <v>2011</v>
      </c>
      <c r="I56" s="22">
        <v>15</v>
      </c>
      <c r="J56" s="22">
        <v>21.43</v>
      </c>
      <c r="K56" s="22">
        <v>389</v>
      </c>
      <c r="L56" s="22">
        <v>3108</v>
      </c>
      <c r="M56" s="22">
        <v>2719</v>
      </c>
      <c r="N56" s="22" t="s">
        <v>95</v>
      </c>
      <c r="O56" s="22" t="s">
        <v>96</v>
      </c>
      <c r="P56" s="22" t="s">
        <v>75</v>
      </c>
      <c r="Q56" s="108">
        <f>IF(R56="","",'Dashboard Ciclos'!$B$2-R56)</f>
        <v>46246</v>
      </c>
      <c r="R56" s="22">
        <f>IF($E56="","",IFERROR(INDEX($W56:$GX56,MATCH('Dashboard Ciclos'!$B$2,$W$1:$GX$1,0)),""))</f>
        <v>3</v>
      </c>
      <c r="S56" s="22" t="str">
        <f t="shared" si="45"/>
        <v>En ciclo</v>
      </c>
      <c r="T56" s="22" t="str">
        <f t="shared" si="46"/>
        <v>Recién cortado</v>
      </c>
      <c r="U56" s="22">
        <f t="shared" si="47"/>
        <v>9</v>
      </c>
      <c r="V56" s="23">
        <f t="shared" si="48"/>
        <v>46258</v>
      </c>
      <c r="W56" s="77">
        <f t="shared" si="66"/>
        <v>18</v>
      </c>
      <c r="X56" s="77">
        <f t="shared" si="66"/>
        <v>19</v>
      </c>
      <c r="Y56" s="77">
        <f t="shared" si="66"/>
        <v>20</v>
      </c>
      <c r="Z56" s="77">
        <f t="shared" si="66"/>
        <v>21</v>
      </c>
      <c r="AA56" s="77">
        <v>22</v>
      </c>
      <c r="AB56" s="77">
        <f t="shared" si="67"/>
        <v>23</v>
      </c>
      <c r="AC56" s="77">
        <f t="shared" si="67"/>
        <v>24</v>
      </c>
      <c r="AD56" s="77">
        <f t="shared" si="67"/>
        <v>25</v>
      </c>
      <c r="AE56" s="77">
        <f t="shared" si="67"/>
        <v>26</v>
      </c>
      <c r="AF56" s="77">
        <v>0</v>
      </c>
      <c r="AG56" s="77">
        <f t="shared" si="67"/>
        <v>1</v>
      </c>
      <c r="AH56" s="77">
        <f t="shared" si="67"/>
        <v>2</v>
      </c>
      <c r="AI56" s="77">
        <f t="shared" si="67"/>
        <v>3</v>
      </c>
      <c r="AJ56" s="77">
        <f t="shared" si="67"/>
        <v>4</v>
      </c>
      <c r="AK56" s="77">
        <f t="shared" si="65"/>
        <v>5</v>
      </c>
      <c r="AL56" s="77">
        <f t="shared" si="65"/>
        <v>6</v>
      </c>
      <c r="AM56" s="77">
        <f t="shared" si="65"/>
        <v>7</v>
      </c>
      <c r="AN56" s="77">
        <f t="shared" si="65"/>
        <v>8</v>
      </c>
      <c r="AO56" s="77">
        <f t="shared" si="65"/>
        <v>9</v>
      </c>
      <c r="AP56" s="77">
        <f t="shared" si="65"/>
        <v>10</v>
      </c>
      <c r="AQ56" s="77">
        <f t="shared" si="65"/>
        <v>11</v>
      </c>
      <c r="AR56" s="77">
        <f t="shared" si="27"/>
        <v>12</v>
      </c>
      <c r="AS56" s="77">
        <f t="shared" ref="AS56:CJ59" si="73">IF(AR56="","",AR56+1)</f>
        <v>13</v>
      </c>
      <c r="AT56" s="77">
        <f t="shared" si="73"/>
        <v>14</v>
      </c>
      <c r="AU56" s="77">
        <f t="shared" si="73"/>
        <v>15</v>
      </c>
      <c r="AV56" s="77">
        <f t="shared" si="73"/>
        <v>16</v>
      </c>
      <c r="AW56" s="77">
        <f t="shared" si="73"/>
        <v>17</v>
      </c>
      <c r="AX56" s="77">
        <f t="shared" si="73"/>
        <v>18</v>
      </c>
      <c r="AY56" s="77">
        <f t="shared" si="73"/>
        <v>19</v>
      </c>
      <c r="AZ56" s="77">
        <f t="shared" si="73"/>
        <v>20</v>
      </c>
      <c r="BA56" s="77">
        <f t="shared" si="73"/>
        <v>21</v>
      </c>
      <c r="BB56" s="77">
        <f t="shared" si="73"/>
        <v>22</v>
      </c>
      <c r="BC56" s="77">
        <f t="shared" si="73"/>
        <v>23</v>
      </c>
      <c r="BD56" s="77">
        <f t="shared" si="73"/>
        <v>24</v>
      </c>
      <c r="BE56" s="77">
        <f t="shared" si="73"/>
        <v>25</v>
      </c>
      <c r="BF56" s="77">
        <f t="shared" si="73"/>
        <v>26</v>
      </c>
      <c r="BG56" s="77">
        <f t="shared" si="73"/>
        <v>27</v>
      </c>
      <c r="BH56" s="77">
        <f t="shared" si="73"/>
        <v>28</v>
      </c>
      <c r="BI56" s="77">
        <f t="shared" si="73"/>
        <v>29</v>
      </c>
      <c r="BJ56" s="77">
        <f t="shared" si="73"/>
        <v>30</v>
      </c>
      <c r="BK56" s="77">
        <f t="shared" si="73"/>
        <v>31</v>
      </c>
      <c r="BL56" s="77">
        <f t="shared" si="73"/>
        <v>32</v>
      </c>
      <c r="BM56" s="77">
        <v>0</v>
      </c>
      <c r="BN56" s="77">
        <f t="shared" si="73"/>
        <v>1</v>
      </c>
      <c r="BO56" s="77">
        <f t="shared" si="73"/>
        <v>2</v>
      </c>
      <c r="BP56" s="77">
        <f t="shared" si="73"/>
        <v>3</v>
      </c>
      <c r="BQ56" s="77">
        <f t="shared" si="73"/>
        <v>4</v>
      </c>
      <c r="BR56" s="77">
        <f t="shared" si="73"/>
        <v>5</v>
      </c>
      <c r="BS56" s="77">
        <f t="shared" si="73"/>
        <v>6</v>
      </c>
      <c r="BT56" s="77">
        <f t="shared" si="73"/>
        <v>7</v>
      </c>
      <c r="BU56" s="77">
        <f t="shared" si="73"/>
        <v>8</v>
      </c>
      <c r="BV56" s="77">
        <f t="shared" si="73"/>
        <v>9</v>
      </c>
      <c r="BW56" s="77">
        <f t="shared" si="73"/>
        <v>10</v>
      </c>
      <c r="BX56" s="77">
        <f t="shared" si="73"/>
        <v>11</v>
      </c>
      <c r="BY56" s="77">
        <f t="shared" si="73"/>
        <v>12</v>
      </c>
      <c r="BZ56" s="77">
        <f t="shared" si="73"/>
        <v>13</v>
      </c>
      <c r="CA56" s="77">
        <f t="shared" si="73"/>
        <v>14</v>
      </c>
      <c r="CB56" s="77">
        <f t="shared" si="73"/>
        <v>15</v>
      </c>
      <c r="CC56" s="77">
        <f t="shared" si="73"/>
        <v>16</v>
      </c>
      <c r="CD56" s="77">
        <f t="shared" si="73"/>
        <v>17</v>
      </c>
      <c r="CE56" s="77">
        <f t="shared" si="73"/>
        <v>18</v>
      </c>
      <c r="CF56" s="77">
        <f t="shared" si="73"/>
        <v>19</v>
      </c>
      <c r="CG56" s="77">
        <f t="shared" si="73"/>
        <v>20</v>
      </c>
      <c r="CH56" s="77">
        <f t="shared" si="73"/>
        <v>21</v>
      </c>
      <c r="CI56" s="77">
        <f t="shared" si="73"/>
        <v>22</v>
      </c>
      <c r="CJ56" s="77">
        <f t="shared" si="73"/>
        <v>23</v>
      </c>
      <c r="CK56" s="77">
        <f t="shared" si="72"/>
        <v>24</v>
      </c>
      <c r="CL56" s="77">
        <f t="shared" si="72"/>
        <v>25</v>
      </c>
      <c r="CM56" s="77">
        <f t="shared" si="72"/>
        <v>26</v>
      </c>
      <c r="CN56" s="77">
        <f t="shared" si="72"/>
        <v>27</v>
      </c>
      <c r="CO56" s="77">
        <f t="shared" si="72"/>
        <v>28</v>
      </c>
      <c r="CP56" s="77">
        <f t="shared" si="72"/>
        <v>29</v>
      </c>
      <c r="CQ56" s="77">
        <f t="shared" si="72"/>
        <v>30</v>
      </c>
      <c r="CR56" s="77">
        <f t="shared" si="72"/>
        <v>31</v>
      </c>
      <c r="CS56" s="77">
        <f t="shared" si="72"/>
        <v>32</v>
      </c>
      <c r="CT56" s="77">
        <f t="shared" si="72"/>
        <v>33</v>
      </c>
      <c r="CU56" s="77">
        <f t="shared" si="72"/>
        <v>34</v>
      </c>
      <c r="CV56" s="77">
        <f t="shared" si="72"/>
        <v>35</v>
      </c>
      <c r="CW56" s="77">
        <f t="shared" si="72"/>
        <v>36</v>
      </c>
      <c r="CX56" s="77">
        <f t="shared" si="72"/>
        <v>37</v>
      </c>
      <c r="CY56" s="77">
        <f t="shared" si="72"/>
        <v>38</v>
      </c>
      <c r="CZ56" s="77">
        <f t="shared" si="72"/>
        <v>39</v>
      </c>
      <c r="DA56" s="77">
        <f t="shared" si="72"/>
        <v>40</v>
      </c>
      <c r="DB56" s="77">
        <f t="shared" si="72"/>
        <v>41</v>
      </c>
      <c r="DC56" s="77">
        <f t="shared" si="72"/>
        <v>42</v>
      </c>
      <c r="DD56" s="77">
        <f t="shared" si="72"/>
        <v>43</v>
      </c>
      <c r="DE56" s="77">
        <f t="shared" si="72"/>
        <v>44</v>
      </c>
      <c r="DF56" s="77">
        <f t="shared" si="72"/>
        <v>45</v>
      </c>
      <c r="DG56" s="77">
        <f t="shared" si="72"/>
        <v>46</v>
      </c>
      <c r="DH56" s="77">
        <f t="shared" si="72"/>
        <v>47</v>
      </c>
      <c r="DI56" s="77">
        <f t="shared" si="72"/>
        <v>48</v>
      </c>
      <c r="DJ56" s="77">
        <f t="shared" si="72"/>
        <v>49</v>
      </c>
      <c r="DK56" s="77">
        <f t="shared" si="72"/>
        <v>50</v>
      </c>
      <c r="DL56" s="77">
        <f t="shared" si="72"/>
        <v>51</v>
      </c>
      <c r="DM56" s="77">
        <f t="shared" si="72"/>
        <v>52</v>
      </c>
      <c r="DN56" s="77">
        <f t="shared" si="72"/>
        <v>53</v>
      </c>
      <c r="DO56" s="77">
        <f t="shared" si="72"/>
        <v>54</v>
      </c>
      <c r="DP56" s="77">
        <f t="shared" si="72"/>
        <v>55</v>
      </c>
      <c r="DQ56" s="77">
        <f t="shared" si="72"/>
        <v>56</v>
      </c>
      <c r="DR56" s="77">
        <f t="shared" si="72"/>
        <v>57</v>
      </c>
      <c r="DS56" s="77">
        <f t="shared" si="72"/>
        <v>58</v>
      </c>
      <c r="DT56" s="77">
        <f t="shared" si="72"/>
        <v>59</v>
      </c>
      <c r="DU56" s="77">
        <f t="shared" si="72"/>
        <v>60</v>
      </c>
      <c r="DV56" s="77">
        <f t="shared" si="72"/>
        <v>61</v>
      </c>
      <c r="DW56" s="77">
        <f t="shared" si="72"/>
        <v>62</v>
      </c>
      <c r="DX56" s="77">
        <f t="shared" si="72"/>
        <v>63</v>
      </c>
      <c r="DY56" s="77">
        <f t="shared" si="72"/>
        <v>64</v>
      </c>
      <c r="DZ56" s="77">
        <f t="shared" si="72"/>
        <v>65</v>
      </c>
      <c r="EA56" s="77">
        <f t="shared" si="72"/>
        <v>66</v>
      </c>
      <c r="EB56" s="77">
        <f t="shared" si="72"/>
        <v>67</v>
      </c>
      <c r="EC56" s="77">
        <f t="shared" si="72"/>
        <v>68</v>
      </c>
      <c r="ED56" s="77">
        <f t="shared" si="72"/>
        <v>69</v>
      </c>
      <c r="EE56" s="77">
        <f t="shared" si="72"/>
        <v>70</v>
      </c>
      <c r="EF56" s="77">
        <f t="shared" si="72"/>
        <v>71</v>
      </c>
      <c r="EG56" s="77">
        <f t="shared" si="72"/>
        <v>72</v>
      </c>
      <c r="EH56" s="77">
        <f t="shared" si="72"/>
        <v>73</v>
      </c>
      <c r="EI56" s="77">
        <f t="shared" si="72"/>
        <v>74</v>
      </c>
      <c r="EJ56" s="77">
        <f t="shared" si="72"/>
        <v>75</v>
      </c>
      <c r="EK56" s="77">
        <f t="shared" si="72"/>
        <v>76</v>
      </c>
      <c r="EL56" s="77">
        <f t="shared" si="72"/>
        <v>77</v>
      </c>
      <c r="EM56" s="77">
        <f t="shared" si="72"/>
        <v>78</v>
      </c>
      <c r="EN56" s="77">
        <f t="shared" si="72"/>
        <v>79</v>
      </c>
      <c r="EO56" s="77">
        <f t="shared" si="72"/>
        <v>80</v>
      </c>
      <c r="EP56" s="77">
        <f t="shared" si="72"/>
        <v>81</v>
      </c>
      <c r="EQ56" s="77">
        <f t="shared" si="72"/>
        <v>82</v>
      </c>
      <c r="ER56" s="77">
        <f t="shared" si="72"/>
        <v>83</v>
      </c>
      <c r="ES56" s="77">
        <f t="shared" si="72"/>
        <v>84</v>
      </c>
      <c r="ET56" s="77">
        <f t="shared" si="72"/>
        <v>85</v>
      </c>
      <c r="EU56" s="77">
        <f t="shared" si="72"/>
        <v>86</v>
      </c>
      <c r="EV56" s="77">
        <f t="shared" si="71"/>
        <v>87</v>
      </c>
      <c r="EW56" s="77">
        <f t="shared" si="71"/>
        <v>88</v>
      </c>
      <c r="EX56" s="77">
        <f t="shared" si="71"/>
        <v>89</v>
      </c>
      <c r="EY56" s="77">
        <f t="shared" si="71"/>
        <v>90</v>
      </c>
      <c r="EZ56" s="77">
        <f t="shared" si="71"/>
        <v>91</v>
      </c>
      <c r="FA56" s="77">
        <f t="shared" si="71"/>
        <v>92</v>
      </c>
      <c r="FB56" s="77">
        <f t="shared" si="71"/>
        <v>93</v>
      </c>
      <c r="FC56" s="77">
        <f t="shared" si="71"/>
        <v>94</v>
      </c>
      <c r="FD56" s="77">
        <f t="shared" si="71"/>
        <v>95</v>
      </c>
      <c r="FE56" s="77">
        <f t="shared" si="71"/>
        <v>96</v>
      </c>
      <c r="FF56" s="77">
        <f t="shared" si="71"/>
        <v>97</v>
      </c>
      <c r="FG56" s="77">
        <f t="shared" si="71"/>
        <v>98</v>
      </c>
      <c r="FH56" s="77">
        <f t="shared" si="71"/>
        <v>99</v>
      </c>
      <c r="FI56" s="77">
        <f t="shared" si="71"/>
        <v>100</v>
      </c>
      <c r="FJ56" s="77">
        <f t="shared" si="71"/>
        <v>101</v>
      </c>
      <c r="FK56" s="77">
        <f t="shared" si="71"/>
        <v>102</v>
      </c>
      <c r="FL56" s="77">
        <f t="shared" si="71"/>
        <v>103</v>
      </c>
      <c r="FM56" s="77">
        <f t="shared" si="71"/>
        <v>104</v>
      </c>
      <c r="FN56" s="77">
        <f t="shared" si="71"/>
        <v>105</v>
      </c>
      <c r="FO56" s="77">
        <f t="shared" si="71"/>
        <v>106</v>
      </c>
      <c r="FP56" s="77">
        <f t="shared" si="71"/>
        <v>107</v>
      </c>
      <c r="FQ56" s="77">
        <f t="shared" si="71"/>
        <v>108</v>
      </c>
      <c r="FR56" s="77">
        <f t="shared" si="71"/>
        <v>109</v>
      </c>
      <c r="FS56" s="77">
        <f t="shared" si="71"/>
        <v>110</v>
      </c>
      <c r="FT56" s="77">
        <f t="shared" si="71"/>
        <v>111</v>
      </c>
      <c r="FU56" s="77">
        <f t="shared" si="71"/>
        <v>112</v>
      </c>
      <c r="FV56" s="77">
        <f t="shared" si="71"/>
        <v>113</v>
      </c>
      <c r="FW56" s="77">
        <f t="shared" si="71"/>
        <v>114</v>
      </c>
      <c r="FX56" s="77">
        <f t="shared" si="71"/>
        <v>115</v>
      </c>
      <c r="FY56" s="77">
        <f t="shared" si="71"/>
        <v>116</v>
      </c>
      <c r="FZ56" s="77">
        <f t="shared" si="71"/>
        <v>117</v>
      </c>
      <c r="GA56" s="77">
        <f t="shared" si="71"/>
        <v>118</v>
      </c>
      <c r="GB56" s="77">
        <f t="shared" si="71"/>
        <v>119</v>
      </c>
      <c r="GC56" s="77">
        <f t="shared" si="71"/>
        <v>120</v>
      </c>
      <c r="GD56" s="77">
        <f t="shared" si="71"/>
        <v>121</v>
      </c>
      <c r="GE56" s="77">
        <f t="shared" ref="GE56:GX56" si="74">IF(GD56="","",GD56+1)</f>
        <v>122</v>
      </c>
      <c r="GF56" s="77">
        <f t="shared" si="74"/>
        <v>123</v>
      </c>
      <c r="GG56" s="77">
        <f t="shared" si="74"/>
        <v>124</v>
      </c>
      <c r="GH56" s="77">
        <f t="shared" si="74"/>
        <v>125</v>
      </c>
      <c r="GI56" s="77">
        <f t="shared" si="74"/>
        <v>126</v>
      </c>
      <c r="GJ56" s="77">
        <f t="shared" si="74"/>
        <v>127</v>
      </c>
      <c r="GK56" s="77">
        <f t="shared" si="74"/>
        <v>128</v>
      </c>
      <c r="GL56" s="77">
        <f t="shared" si="74"/>
        <v>129</v>
      </c>
      <c r="GM56" s="77">
        <f t="shared" si="74"/>
        <v>130</v>
      </c>
      <c r="GN56" s="77">
        <f t="shared" si="74"/>
        <v>131</v>
      </c>
      <c r="GO56" s="77">
        <f t="shared" si="74"/>
        <v>132</v>
      </c>
      <c r="GP56" s="77">
        <f t="shared" si="74"/>
        <v>133</v>
      </c>
      <c r="GQ56" s="77">
        <f t="shared" si="74"/>
        <v>134</v>
      </c>
      <c r="GR56" s="77">
        <f t="shared" si="74"/>
        <v>135</v>
      </c>
      <c r="GS56" s="77">
        <f t="shared" si="74"/>
        <v>136</v>
      </c>
      <c r="GT56" s="77">
        <f t="shared" si="74"/>
        <v>137</v>
      </c>
      <c r="GU56" s="77">
        <f t="shared" si="74"/>
        <v>138</v>
      </c>
      <c r="GV56" s="77">
        <f t="shared" si="74"/>
        <v>139</v>
      </c>
      <c r="GW56" s="77">
        <f t="shared" si="74"/>
        <v>140</v>
      </c>
      <c r="GX56" s="77">
        <f t="shared" si="74"/>
        <v>141</v>
      </c>
    </row>
    <row r="57" spans="1:206" ht="15" customHeight="1" x14ac:dyDescent="0.2">
      <c r="A57" s="22" t="s">
        <v>68</v>
      </c>
      <c r="B57" s="22">
        <v>4</v>
      </c>
      <c r="C57" s="22" t="s">
        <v>138</v>
      </c>
      <c r="D57" s="22">
        <v>45</v>
      </c>
      <c r="E57" s="22" t="s">
        <v>157</v>
      </c>
      <c r="F57" s="22" t="s">
        <v>78</v>
      </c>
      <c r="G57" s="22" t="s">
        <v>79</v>
      </c>
      <c r="H57" s="22">
        <v>2011</v>
      </c>
      <c r="I57" s="22">
        <v>15</v>
      </c>
      <c r="J57" s="22">
        <v>21.22</v>
      </c>
      <c r="K57" s="22">
        <v>0</v>
      </c>
      <c r="L57" s="22">
        <v>3021</v>
      </c>
      <c r="M57" s="22">
        <v>3021</v>
      </c>
      <c r="N57" s="22" t="s">
        <v>95</v>
      </c>
      <c r="O57" s="22" t="s">
        <v>96</v>
      </c>
      <c r="P57" s="22" t="s">
        <v>75</v>
      </c>
      <c r="Q57" s="108">
        <f>IF(R57="","",'Dashboard Ciclos'!$B$2-R57)</f>
        <v>46239</v>
      </c>
      <c r="R57" s="22">
        <f>IF($E57="","",IFERROR(INDEX($W57:$GX57,MATCH('Dashboard Ciclos'!$B$2,$W$1:$GX$1,0)),""))</f>
        <v>10</v>
      </c>
      <c r="S57" s="22" t="str">
        <f t="shared" si="45"/>
        <v>En ciclo</v>
      </c>
      <c r="T57" s="22" t="str">
        <f t="shared" si="46"/>
        <v>En ciclo</v>
      </c>
      <c r="U57" s="22">
        <f t="shared" si="47"/>
        <v>2</v>
      </c>
      <c r="V57" s="23">
        <f t="shared" si="48"/>
        <v>46251</v>
      </c>
      <c r="W57" s="77">
        <f t="shared" si="66"/>
        <v>5</v>
      </c>
      <c r="X57" s="77">
        <f t="shared" si="66"/>
        <v>6</v>
      </c>
      <c r="Y57" s="77">
        <f t="shared" si="66"/>
        <v>7</v>
      </c>
      <c r="Z57" s="77">
        <f t="shared" si="66"/>
        <v>8</v>
      </c>
      <c r="AA57" s="77">
        <v>9</v>
      </c>
      <c r="AB57" s="77">
        <f t="shared" si="67"/>
        <v>10</v>
      </c>
      <c r="AC57" s="77">
        <f t="shared" si="67"/>
        <v>11</v>
      </c>
      <c r="AD57" s="77">
        <f t="shared" si="67"/>
        <v>12</v>
      </c>
      <c r="AE57" s="77">
        <f t="shared" si="67"/>
        <v>13</v>
      </c>
      <c r="AF57" s="77">
        <f t="shared" si="67"/>
        <v>14</v>
      </c>
      <c r="AG57" s="77">
        <f t="shared" si="67"/>
        <v>15</v>
      </c>
      <c r="AH57" s="77">
        <f t="shared" si="67"/>
        <v>16</v>
      </c>
      <c r="AI57" s="77">
        <f t="shared" si="67"/>
        <v>17</v>
      </c>
      <c r="AJ57" s="77">
        <f t="shared" si="67"/>
        <v>18</v>
      </c>
      <c r="AK57" s="77">
        <f t="shared" si="65"/>
        <v>19</v>
      </c>
      <c r="AL57" s="77">
        <f t="shared" si="65"/>
        <v>20</v>
      </c>
      <c r="AM57" s="77">
        <f t="shared" si="65"/>
        <v>21</v>
      </c>
      <c r="AN57" s="77">
        <f t="shared" si="65"/>
        <v>22</v>
      </c>
      <c r="AO57" s="77">
        <f t="shared" si="65"/>
        <v>23</v>
      </c>
      <c r="AP57" s="77">
        <f t="shared" si="65"/>
        <v>24</v>
      </c>
      <c r="AQ57" s="77">
        <f t="shared" si="65"/>
        <v>25</v>
      </c>
      <c r="AR57" s="77">
        <v>0</v>
      </c>
      <c r="AS57" s="77">
        <f t="shared" si="73"/>
        <v>1</v>
      </c>
      <c r="AT57" s="77">
        <f t="shared" si="73"/>
        <v>2</v>
      </c>
      <c r="AU57" s="77">
        <f t="shared" si="73"/>
        <v>3</v>
      </c>
      <c r="AV57" s="77">
        <f t="shared" si="73"/>
        <v>4</v>
      </c>
      <c r="AW57" s="77">
        <f t="shared" si="73"/>
        <v>5</v>
      </c>
      <c r="AX57" s="77">
        <f t="shared" si="73"/>
        <v>6</v>
      </c>
      <c r="AY57" s="77">
        <f t="shared" si="73"/>
        <v>7</v>
      </c>
      <c r="AZ57" s="77">
        <f t="shared" si="73"/>
        <v>8</v>
      </c>
      <c r="BA57" s="77">
        <f t="shared" si="73"/>
        <v>9</v>
      </c>
      <c r="BB57" s="77">
        <f t="shared" si="73"/>
        <v>10</v>
      </c>
      <c r="BC57" s="77">
        <f t="shared" si="73"/>
        <v>11</v>
      </c>
      <c r="BD57" s="77">
        <f t="shared" si="73"/>
        <v>12</v>
      </c>
      <c r="BE57" s="77">
        <f t="shared" si="73"/>
        <v>13</v>
      </c>
      <c r="BF57" s="77">
        <v>0</v>
      </c>
      <c r="BG57" s="77">
        <f t="shared" si="73"/>
        <v>1</v>
      </c>
      <c r="BH57" s="77">
        <f t="shared" si="73"/>
        <v>2</v>
      </c>
      <c r="BI57" s="77">
        <f t="shared" si="73"/>
        <v>3</v>
      </c>
      <c r="BJ57" s="77">
        <f t="shared" si="73"/>
        <v>4</v>
      </c>
      <c r="BK57" s="77">
        <f t="shared" si="73"/>
        <v>5</v>
      </c>
      <c r="BL57" s="77">
        <f t="shared" si="73"/>
        <v>6</v>
      </c>
      <c r="BM57" s="77">
        <f t="shared" si="73"/>
        <v>7</v>
      </c>
      <c r="BN57" s="77">
        <f t="shared" si="73"/>
        <v>8</v>
      </c>
      <c r="BO57" s="77">
        <f t="shared" si="73"/>
        <v>9</v>
      </c>
      <c r="BP57" s="77">
        <f t="shared" si="73"/>
        <v>10</v>
      </c>
      <c r="BQ57" s="77">
        <f t="shared" si="73"/>
        <v>11</v>
      </c>
      <c r="BR57" s="77">
        <f t="shared" si="73"/>
        <v>12</v>
      </c>
      <c r="BS57" s="77">
        <f t="shared" si="73"/>
        <v>13</v>
      </c>
      <c r="BT57" s="77">
        <f t="shared" si="73"/>
        <v>14</v>
      </c>
      <c r="BU57" s="77">
        <f t="shared" si="73"/>
        <v>15</v>
      </c>
      <c r="BV57" s="77">
        <f t="shared" si="73"/>
        <v>16</v>
      </c>
      <c r="BW57" s="77">
        <f t="shared" si="73"/>
        <v>17</v>
      </c>
      <c r="BX57" s="77">
        <f t="shared" si="73"/>
        <v>18</v>
      </c>
      <c r="BY57" s="77">
        <f t="shared" si="73"/>
        <v>19</v>
      </c>
      <c r="BZ57" s="77">
        <f t="shared" si="73"/>
        <v>20</v>
      </c>
      <c r="CA57" s="77">
        <f t="shared" si="73"/>
        <v>21</v>
      </c>
      <c r="CB57" s="77">
        <f t="shared" si="73"/>
        <v>22</v>
      </c>
      <c r="CC57" s="77">
        <f t="shared" si="73"/>
        <v>23</v>
      </c>
      <c r="CD57" s="77">
        <f t="shared" si="73"/>
        <v>24</v>
      </c>
      <c r="CE57" s="77">
        <f t="shared" si="73"/>
        <v>25</v>
      </c>
      <c r="CF57" s="77">
        <f t="shared" si="73"/>
        <v>26</v>
      </c>
      <c r="CG57" s="77">
        <f t="shared" si="73"/>
        <v>27</v>
      </c>
      <c r="CH57" s="77">
        <f t="shared" si="73"/>
        <v>28</v>
      </c>
      <c r="CI57" s="77">
        <f t="shared" si="73"/>
        <v>29</v>
      </c>
      <c r="CJ57" s="77">
        <f t="shared" si="73"/>
        <v>30</v>
      </c>
      <c r="CK57" s="77">
        <f t="shared" si="72"/>
        <v>31</v>
      </c>
      <c r="CL57" s="77">
        <f t="shared" si="72"/>
        <v>32</v>
      </c>
      <c r="CM57" s="77">
        <f t="shared" si="72"/>
        <v>33</v>
      </c>
      <c r="CN57" s="77">
        <f t="shared" si="72"/>
        <v>34</v>
      </c>
      <c r="CO57" s="77">
        <f t="shared" si="72"/>
        <v>35</v>
      </c>
      <c r="CP57" s="77">
        <f t="shared" si="72"/>
        <v>36</v>
      </c>
      <c r="CQ57" s="77">
        <f t="shared" si="72"/>
        <v>37</v>
      </c>
      <c r="CR57" s="77">
        <f t="shared" si="72"/>
        <v>38</v>
      </c>
      <c r="CS57" s="77">
        <f t="shared" si="72"/>
        <v>39</v>
      </c>
      <c r="CT57" s="77">
        <f t="shared" si="72"/>
        <v>40</v>
      </c>
      <c r="CU57" s="77">
        <f t="shared" si="72"/>
        <v>41</v>
      </c>
      <c r="CV57" s="77">
        <f t="shared" si="72"/>
        <v>42</v>
      </c>
      <c r="CW57" s="77">
        <f t="shared" si="72"/>
        <v>43</v>
      </c>
      <c r="CX57" s="77">
        <f t="shared" si="72"/>
        <v>44</v>
      </c>
      <c r="CY57" s="77">
        <f t="shared" si="72"/>
        <v>45</v>
      </c>
      <c r="CZ57" s="77">
        <f t="shared" si="72"/>
        <v>46</v>
      </c>
      <c r="DA57" s="77">
        <f t="shared" si="72"/>
        <v>47</v>
      </c>
      <c r="DB57" s="77">
        <f t="shared" si="72"/>
        <v>48</v>
      </c>
      <c r="DC57" s="77">
        <f t="shared" si="72"/>
        <v>49</v>
      </c>
      <c r="DD57" s="77">
        <f t="shared" si="72"/>
        <v>50</v>
      </c>
      <c r="DE57" s="77">
        <f t="shared" si="72"/>
        <v>51</v>
      </c>
      <c r="DF57" s="77">
        <f t="shared" si="72"/>
        <v>52</v>
      </c>
      <c r="DG57" s="77">
        <f t="shared" si="72"/>
        <v>53</v>
      </c>
      <c r="DH57" s="77">
        <f t="shared" si="72"/>
        <v>54</v>
      </c>
      <c r="DI57" s="77">
        <f t="shared" si="72"/>
        <v>55</v>
      </c>
      <c r="DJ57" s="77">
        <f t="shared" si="72"/>
        <v>56</v>
      </c>
      <c r="DK57" s="77">
        <f t="shared" si="72"/>
        <v>57</v>
      </c>
      <c r="DL57" s="77">
        <f t="shared" si="72"/>
        <v>58</v>
      </c>
      <c r="DM57" s="77">
        <f t="shared" si="72"/>
        <v>59</v>
      </c>
      <c r="DN57" s="77">
        <f t="shared" si="72"/>
        <v>60</v>
      </c>
      <c r="DO57" s="77">
        <f t="shared" si="72"/>
        <v>61</v>
      </c>
      <c r="DP57" s="77">
        <f t="shared" si="72"/>
        <v>62</v>
      </c>
      <c r="DQ57" s="77">
        <f t="shared" si="72"/>
        <v>63</v>
      </c>
      <c r="DR57" s="77">
        <f t="shared" si="72"/>
        <v>64</v>
      </c>
      <c r="DS57" s="77">
        <f t="shared" si="72"/>
        <v>65</v>
      </c>
      <c r="DT57" s="77">
        <f t="shared" si="72"/>
        <v>66</v>
      </c>
      <c r="DU57" s="77">
        <f t="shared" si="72"/>
        <v>67</v>
      </c>
      <c r="DV57" s="77">
        <f t="shared" si="72"/>
        <v>68</v>
      </c>
      <c r="DW57" s="77">
        <f t="shared" si="72"/>
        <v>69</v>
      </c>
      <c r="DX57" s="77">
        <f t="shared" si="72"/>
        <v>70</v>
      </c>
      <c r="DY57" s="77">
        <f t="shared" si="72"/>
        <v>71</v>
      </c>
      <c r="DZ57" s="77">
        <f t="shared" si="72"/>
        <v>72</v>
      </c>
      <c r="EA57" s="77">
        <f t="shared" si="72"/>
        <v>73</v>
      </c>
      <c r="EB57" s="77">
        <f t="shared" si="72"/>
        <v>74</v>
      </c>
      <c r="EC57" s="77">
        <f t="shared" si="72"/>
        <v>75</v>
      </c>
      <c r="ED57" s="77">
        <f t="shared" si="72"/>
        <v>76</v>
      </c>
      <c r="EE57" s="77">
        <f t="shared" si="72"/>
        <v>77</v>
      </c>
      <c r="EF57" s="77">
        <f t="shared" si="72"/>
        <v>78</v>
      </c>
      <c r="EG57" s="77">
        <f t="shared" si="72"/>
        <v>79</v>
      </c>
      <c r="EH57" s="77">
        <f t="shared" si="72"/>
        <v>80</v>
      </c>
      <c r="EI57" s="77">
        <f t="shared" si="72"/>
        <v>81</v>
      </c>
      <c r="EJ57" s="77">
        <f t="shared" si="72"/>
        <v>82</v>
      </c>
      <c r="EK57" s="77">
        <f t="shared" si="72"/>
        <v>83</v>
      </c>
      <c r="EL57" s="77">
        <f t="shared" si="72"/>
        <v>84</v>
      </c>
      <c r="EM57" s="77">
        <f t="shared" si="72"/>
        <v>85</v>
      </c>
      <c r="EN57" s="77">
        <f t="shared" si="72"/>
        <v>86</v>
      </c>
      <c r="EO57" s="77">
        <f t="shared" si="72"/>
        <v>87</v>
      </c>
      <c r="EP57" s="77">
        <f t="shared" si="72"/>
        <v>88</v>
      </c>
      <c r="EQ57" s="77">
        <f t="shared" si="72"/>
        <v>89</v>
      </c>
      <c r="ER57" s="77">
        <f t="shared" si="72"/>
        <v>90</v>
      </c>
      <c r="ES57" s="77">
        <f t="shared" si="72"/>
        <v>91</v>
      </c>
      <c r="ET57" s="77">
        <f t="shared" si="72"/>
        <v>92</v>
      </c>
      <c r="EU57" s="77">
        <f t="shared" si="72"/>
        <v>93</v>
      </c>
      <c r="EV57" s="77">
        <f t="shared" ref="EV57:GX61" si="75">IF(EU57="","",EU57+1)</f>
        <v>94</v>
      </c>
      <c r="EW57" s="77">
        <f t="shared" si="75"/>
        <v>95</v>
      </c>
      <c r="EX57" s="77">
        <f t="shared" si="75"/>
        <v>96</v>
      </c>
      <c r="EY57" s="77">
        <f t="shared" si="75"/>
        <v>97</v>
      </c>
      <c r="EZ57" s="77">
        <f t="shared" si="75"/>
        <v>98</v>
      </c>
      <c r="FA57" s="77">
        <f t="shared" si="75"/>
        <v>99</v>
      </c>
      <c r="FB57" s="77">
        <f t="shared" si="75"/>
        <v>100</v>
      </c>
      <c r="FC57" s="77">
        <f t="shared" si="75"/>
        <v>101</v>
      </c>
      <c r="FD57" s="77">
        <f t="shared" si="75"/>
        <v>102</v>
      </c>
      <c r="FE57" s="77">
        <f t="shared" si="75"/>
        <v>103</v>
      </c>
      <c r="FF57" s="77">
        <f t="shared" si="75"/>
        <v>104</v>
      </c>
      <c r="FG57" s="77">
        <f t="shared" si="75"/>
        <v>105</v>
      </c>
      <c r="FH57" s="77">
        <f t="shared" si="75"/>
        <v>106</v>
      </c>
      <c r="FI57" s="77">
        <f t="shared" si="75"/>
        <v>107</v>
      </c>
      <c r="FJ57" s="77">
        <f t="shared" si="75"/>
        <v>108</v>
      </c>
      <c r="FK57" s="77">
        <f t="shared" si="75"/>
        <v>109</v>
      </c>
      <c r="FL57" s="77">
        <f t="shared" si="75"/>
        <v>110</v>
      </c>
      <c r="FM57" s="77">
        <f t="shared" si="75"/>
        <v>111</v>
      </c>
      <c r="FN57" s="77">
        <f t="shared" si="75"/>
        <v>112</v>
      </c>
      <c r="FO57" s="77">
        <f t="shared" si="75"/>
        <v>113</v>
      </c>
      <c r="FP57" s="77">
        <f t="shared" si="75"/>
        <v>114</v>
      </c>
      <c r="FQ57" s="77">
        <f t="shared" si="75"/>
        <v>115</v>
      </c>
      <c r="FR57" s="77">
        <f t="shared" si="75"/>
        <v>116</v>
      </c>
      <c r="FS57" s="77">
        <f t="shared" si="75"/>
        <v>117</v>
      </c>
      <c r="FT57" s="77">
        <f t="shared" si="75"/>
        <v>118</v>
      </c>
      <c r="FU57" s="77">
        <f t="shared" si="75"/>
        <v>119</v>
      </c>
      <c r="FV57" s="77">
        <f t="shared" si="75"/>
        <v>120</v>
      </c>
      <c r="FW57" s="77">
        <f t="shared" si="75"/>
        <v>121</v>
      </c>
      <c r="FX57" s="77">
        <f t="shared" si="75"/>
        <v>122</v>
      </c>
      <c r="FY57" s="77">
        <f t="shared" si="75"/>
        <v>123</v>
      </c>
      <c r="FZ57" s="77">
        <f t="shared" si="75"/>
        <v>124</v>
      </c>
      <c r="GA57" s="77">
        <f t="shared" si="75"/>
        <v>125</v>
      </c>
      <c r="GB57" s="77">
        <f t="shared" si="75"/>
        <v>126</v>
      </c>
      <c r="GC57" s="77">
        <f t="shared" si="75"/>
        <v>127</v>
      </c>
      <c r="GD57" s="77">
        <f t="shared" si="75"/>
        <v>128</v>
      </c>
      <c r="GE57" s="77">
        <f t="shared" si="75"/>
        <v>129</v>
      </c>
      <c r="GF57" s="77">
        <f t="shared" si="75"/>
        <v>130</v>
      </c>
      <c r="GG57" s="77">
        <f t="shared" si="75"/>
        <v>131</v>
      </c>
      <c r="GH57" s="77">
        <f t="shared" si="75"/>
        <v>132</v>
      </c>
      <c r="GI57" s="77">
        <f t="shared" si="75"/>
        <v>133</v>
      </c>
      <c r="GJ57" s="77">
        <f t="shared" si="75"/>
        <v>134</v>
      </c>
      <c r="GK57" s="77">
        <f t="shared" si="75"/>
        <v>135</v>
      </c>
      <c r="GL57" s="77">
        <f t="shared" si="75"/>
        <v>136</v>
      </c>
      <c r="GM57" s="77">
        <f t="shared" si="75"/>
        <v>137</v>
      </c>
      <c r="GN57" s="77">
        <f t="shared" si="75"/>
        <v>138</v>
      </c>
      <c r="GO57" s="77">
        <f t="shared" si="75"/>
        <v>139</v>
      </c>
      <c r="GP57" s="77">
        <f t="shared" si="75"/>
        <v>140</v>
      </c>
      <c r="GQ57" s="77">
        <f t="shared" si="75"/>
        <v>141</v>
      </c>
      <c r="GR57" s="77">
        <f t="shared" si="75"/>
        <v>142</v>
      </c>
      <c r="GS57" s="77">
        <f t="shared" si="75"/>
        <v>143</v>
      </c>
      <c r="GT57" s="77">
        <f t="shared" si="75"/>
        <v>144</v>
      </c>
      <c r="GU57" s="77">
        <f t="shared" si="75"/>
        <v>145</v>
      </c>
      <c r="GV57" s="77">
        <f t="shared" si="75"/>
        <v>146</v>
      </c>
      <c r="GW57" s="77">
        <f t="shared" si="75"/>
        <v>147</v>
      </c>
      <c r="GX57" s="77">
        <f t="shared" si="75"/>
        <v>148</v>
      </c>
    </row>
    <row r="58" spans="1:206" ht="15" customHeight="1" x14ac:dyDescent="0.2">
      <c r="A58" s="22" t="s">
        <v>68</v>
      </c>
      <c r="B58" s="22">
        <v>4</v>
      </c>
      <c r="C58" s="22" t="s">
        <v>138</v>
      </c>
      <c r="D58" s="22">
        <v>46</v>
      </c>
      <c r="E58" s="22" t="s">
        <v>158</v>
      </c>
      <c r="F58" s="22" t="s">
        <v>159</v>
      </c>
      <c r="G58" s="22" t="s">
        <v>134</v>
      </c>
      <c r="H58" s="22">
        <v>2011</v>
      </c>
      <c r="I58" s="22">
        <v>15</v>
      </c>
      <c r="J58" s="22">
        <v>6.76</v>
      </c>
      <c r="K58" s="22">
        <v>0</v>
      </c>
      <c r="L58" s="22">
        <v>921</v>
      </c>
      <c r="M58" s="22">
        <v>921</v>
      </c>
      <c r="N58" s="22" t="s">
        <v>95</v>
      </c>
      <c r="O58" s="22" t="s">
        <v>96</v>
      </c>
      <c r="P58" s="22" t="s">
        <v>75</v>
      </c>
      <c r="Q58" s="108">
        <f>IF(R58="","",'Dashboard Ciclos'!$B$2-R58)</f>
        <v>46239</v>
      </c>
      <c r="R58" s="22">
        <f>IF($E58="","",IFERROR(INDEX($W58:$GX58,MATCH('Dashboard Ciclos'!$B$2,$W$1:$GX$1,0)),""))</f>
        <v>10</v>
      </c>
      <c r="S58" s="22" t="str">
        <f t="shared" si="45"/>
        <v>En ciclo</v>
      </c>
      <c r="T58" s="22" t="str">
        <f t="shared" si="46"/>
        <v>En ciclo</v>
      </c>
      <c r="U58" s="22">
        <f t="shared" si="47"/>
        <v>2</v>
      </c>
      <c r="V58" s="23">
        <f t="shared" si="48"/>
        <v>46251</v>
      </c>
      <c r="W58" s="77">
        <f t="shared" si="66"/>
        <v>7</v>
      </c>
      <c r="X58" s="77">
        <f t="shared" si="66"/>
        <v>8</v>
      </c>
      <c r="Y58" s="77">
        <f t="shared" si="66"/>
        <v>9</v>
      </c>
      <c r="Z58" s="77">
        <f t="shared" si="66"/>
        <v>10</v>
      </c>
      <c r="AA58" s="77">
        <v>11</v>
      </c>
      <c r="AB58" s="77">
        <f t="shared" si="67"/>
        <v>12</v>
      </c>
      <c r="AC58" s="77">
        <f t="shared" si="67"/>
        <v>13</v>
      </c>
      <c r="AD58" s="77">
        <f t="shared" si="67"/>
        <v>14</v>
      </c>
      <c r="AE58" s="77">
        <f t="shared" si="67"/>
        <v>15</v>
      </c>
      <c r="AF58" s="77">
        <f t="shared" si="67"/>
        <v>16</v>
      </c>
      <c r="AG58" s="77">
        <f t="shared" si="67"/>
        <v>17</v>
      </c>
      <c r="AH58" s="77">
        <f t="shared" si="67"/>
        <v>18</v>
      </c>
      <c r="AI58" s="77">
        <f t="shared" si="67"/>
        <v>19</v>
      </c>
      <c r="AJ58" s="77">
        <f t="shared" si="67"/>
        <v>20</v>
      </c>
      <c r="AK58" s="77">
        <f t="shared" si="65"/>
        <v>21</v>
      </c>
      <c r="AL58" s="77">
        <f t="shared" si="65"/>
        <v>22</v>
      </c>
      <c r="AM58" s="77">
        <v>0</v>
      </c>
      <c r="AN58" s="77">
        <f t="shared" si="65"/>
        <v>1</v>
      </c>
      <c r="AO58" s="77">
        <f t="shared" si="65"/>
        <v>2</v>
      </c>
      <c r="AP58" s="77">
        <f t="shared" si="65"/>
        <v>3</v>
      </c>
      <c r="AQ58" s="77">
        <f t="shared" si="65"/>
        <v>4</v>
      </c>
      <c r="AR58" s="77">
        <f t="shared" si="27"/>
        <v>5</v>
      </c>
      <c r="AS58" s="77">
        <f t="shared" si="73"/>
        <v>6</v>
      </c>
      <c r="AT58" s="77">
        <f t="shared" si="73"/>
        <v>7</v>
      </c>
      <c r="AU58" s="77">
        <f t="shared" si="73"/>
        <v>8</v>
      </c>
      <c r="AV58" s="77">
        <f t="shared" si="73"/>
        <v>9</v>
      </c>
      <c r="AW58" s="77">
        <f t="shared" si="73"/>
        <v>10</v>
      </c>
      <c r="AX58" s="77">
        <f t="shared" si="73"/>
        <v>11</v>
      </c>
      <c r="AY58" s="77">
        <f t="shared" si="73"/>
        <v>12</v>
      </c>
      <c r="AZ58" s="77">
        <f t="shared" si="73"/>
        <v>13</v>
      </c>
      <c r="BA58" s="77">
        <f t="shared" si="73"/>
        <v>14</v>
      </c>
      <c r="BB58" s="77">
        <f t="shared" si="73"/>
        <v>15</v>
      </c>
      <c r="BC58" s="77">
        <f t="shared" si="73"/>
        <v>16</v>
      </c>
      <c r="BD58" s="77">
        <f t="shared" si="73"/>
        <v>17</v>
      </c>
      <c r="BE58" s="77">
        <f t="shared" si="73"/>
        <v>18</v>
      </c>
      <c r="BF58" s="77">
        <v>0</v>
      </c>
      <c r="BG58" s="77">
        <f t="shared" si="73"/>
        <v>1</v>
      </c>
      <c r="BH58" s="77">
        <f t="shared" si="73"/>
        <v>2</v>
      </c>
      <c r="BI58" s="77">
        <f t="shared" si="73"/>
        <v>3</v>
      </c>
      <c r="BJ58" s="77">
        <f t="shared" si="73"/>
        <v>4</v>
      </c>
      <c r="BK58" s="77">
        <f t="shared" si="73"/>
        <v>5</v>
      </c>
      <c r="BL58" s="77">
        <f t="shared" si="73"/>
        <v>6</v>
      </c>
      <c r="BM58" s="77">
        <f t="shared" si="73"/>
        <v>7</v>
      </c>
      <c r="BN58" s="77">
        <f t="shared" si="73"/>
        <v>8</v>
      </c>
      <c r="BO58" s="77">
        <f t="shared" si="73"/>
        <v>9</v>
      </c>
      <c r="BP58" s="77">
        <f t="shared" si="73"/>
        <v>10</v>
      </c>
      <c r="BQ58" s="77">
        <f t="shared" si="73"/>
        <v>11</v>
      </c>
      <c r="BR58" s="77">
        <f t="shared" si="73"/>
        <v>12</v>
      </c>
      <c r="BS58" s="77">
        <f t="shared" si="73"/>
        <v>13</v>
      </c>
      <c r="BT58" s="77">
        <f t="shared" si="73"/>
        <v>14</v>
      </c>
      <c r="BU58" s="77">
        <f t="shared" si="73"/>
        <v>15</v>
      </c>
      <c r="BV58" s="77">
        <f t="shared" si="73"/>
        <v>16</v>
      </c>
      <c r="BW58" s="77">
        <f t="shared" si="73"/>
        <v>17</v>
      </c>
      <c r="BX58" s="77">
        <f t="shared" si="73"/>
        <v>18</v>
      </c>
      <c r="BY58" s="77">
        <f t="shared" si="73"/>
        <v>19</v>
      </c>
      <c r="BZ58" s="77">
        <f t="shared" si="73"/>
        <v>20</v>
      </c>
      <c r="CA58" s="77">
        <f t="shared" si="73"/>
        <v>21</v>
      </c>
      <c r="CB58" s="77">
        <f t="shared" si="73"/>
        <v>22</v>
      </c>
      <c r="CC58" s="77">
        <f t="shared" si="73"/>
        <v>23</v>
      </c>
      <c r="CD58" s="77">
        <f t="shared" si="73"/>
        <v>24</v>
      </c>
      <c r="CE58" s="77">
        <f t="shared" si="73"/>
        <v>25</v>
      </c>
      <c r="CF58" s="77">
        <f t="shared" si="73"/>
        <v>26</v>
      </c>
      <c r="CG58" s="77">
        <f t="shared" si="73"/>
        <v>27</v>
      </c>
      <c r="CH58" s="77">
        <f t="shared" si="73"/>
        <v>28</v>
      </c>
      <c r="CI58" s="77">
        <f t="shared" si="73"/>
        <v>29</v>
      </c>
      <c r="CJ58" s="77">
        <f t="shared" si="73"/>
        <v>30</v>
      </c>
      <c r="CK58" s="77">
        <f t="shared" si="72"/>
        <v>31</v>
      </c>
      <c r="CL58" s="77">
        <f t="shared" si="72"/>
        <v>32</v>
      </c>
      <c r="CM58" s="77">
        <f t="shared" si="72"/>
        <v>33</v>
      </c>
      <c r="CN58" s="77">
        <f t="shared" si="72"/>
        <v>34</v>
      </c>
      <c r="CO58" s="77">
        <f t="shared" si="72"/>
        <v>35</v>
      </c>
      <c r="CP58" s="77">
        <f t="shared" si="72"/>
        <v>36</v>
      </c>
      <c r="CQ58" s="77">
        <f t="shared" si="72"/>
        <v>37</v>
      </c>
      <c r="CR58" s="77">
        <f t="shared" si="72"/>
        <v>38</v>
      </c>
      <c r="CS58" s="77">
        <f t="shared" si="72"/>
        <v>39</v>
      </c>
      <c r="CT58" s="77">
        <f t="shared" si="72"/>
        <v>40</v>
      </c>
      <c r="CU58" s="77">
        <f t="shared" si="72"/>
        <v>41</v>
      </c>
      <c r="CV58" s="77">
        <f t="shared" si="72"/>
        <v>42</v>
      </c>
      <c r="CW58" s="77">
        <f t="shared" si="72"/>
        <v>43</v>
      </c>
      <c r="CX58" s="77">
        <f t="shared" si="72"/>
        <v>44</v>
      </c>
      <c r="CY58" s="77">
        <f t="shared" si="72"/>
        <v>45</v>
      </c>
      <c r="CZ58" s="77">
        <f t="shared" si="72"/>
        <v>46</v>
      </c>
      <c r="DA58" s="77">
        <f t="shared" si="72"/>
        <v>47</v>
      </c>
      <c r="DB58" s="77">
        <f t="shared" si="72"/>
        <v>48</v>
      </c>
      <c r="DC58" s="77">
        <f t="shared" si="72"/>
        <v>49</v>
      </c>
      <c r="DD58" s="77">
        <f t="shared" si="72"/>
        <v>50</v>
      </c>
      <c r="DE58" s="77">
        <f t="shared" si="72"/>
        <v>51</v>
      </c>
      <c r="DF58" s="77">
        <f t="shared" si="72"/>
        <v>52</v>
      </c>
      <c r="DG58" s="77">
        <f t="shared" si="72"/>
        <v>53</v>
      </c>
      <c r="DH58" s="77">
        <f t="shared" si="72"/>
        <v>54</v>
      </c>
      <c r="DI58" s="77">
        <f t="shared" si="72"/>
        <v>55</v>
      </c>
      <c r="DJ58" s="77">
        <f t="shared" si="72"/>
        <v>56</v>
      </c>
      <c r="DK58" s="77">
        <f t="shared" si="72"/>
        <v>57</v>
      </c>
      <c r="DL58" s="77">
        <f t="shared" si="72"/>
        <v>58</v>
      </c>
      <c r="DM58" s="77">
        <f t="shared" si="72"/>
        <v>59</v>
      </c>
      <c r="DN58" s="77">
        <f t="shared" si="72"/>
        <v>60</v>
      </c>
      <c r="DO58" s="77">
        <f t="shared" si="72"/>
        <v>61</v>
      </c>
      <c r="DP58" s="77">
        <f t="shared" si="72"/>
        <v>62</v>
      </c>
      <c r="DQ58" s="77">
        <f t="shared" si="72"/>
        <v>63</v>
      </c>
      <c r="DR58" s="77">
        <f t="shared" si="72"/>
        <v>64</v>
      </c>
      <c r="DS58" s="77">
        <f t="shared" si="72"/>
        <v>65</v>
      </c>
      <c r="DT58" s="77">
        <f t="shared" si="72"/>
        <v>66</v>
      </c>
      <c r="DU58" s="77">
        <f t="shared" si="72"/>
        <v>67</v>
      </c>
      <c r="DV58" s="77">
        <f t="shared" si="72"/>
        <v>68</v>
      </c>
      <c r="DW58" s="77">
        <f t="shared" si="72"/>
        <v>69</v>
      </c>
      <c r="DX58" s="77">
        <f t="shared" si="72"/>
        <v>70</v>
      </c>
      <c r="DY58" s="77">
        <f t="shared" si="72"/>
        <v>71</v>
      </c>
      <c r="DZ58" s="77">
        <f t="shared" si="72"/>
        <v>72</v>
      </c>
      <c r="EA58" s="77">
        <f t="shared" si="72"/>
        <v>73</v>
      </c>
      <c r="EB58" s="77">
        <f t="shared" si="72"/>
        <v>74</v>
      </c>
      <c r="EC58" s="77">
        <f t="shared" si="72"/>
        <v>75</v>
      </c>
      <c r="ED58" s="77">
        <f t="shared" si="72"/>
        <v>76</v>
      </c>
      <c r="EE58" s="77">
        <f t="shared" si="72"/>
        <v>77</v>
      </c>
      <c r="EF58" s="77">
        <f t="shared" si="72"/>
        <v>78</v>
      </c>
      <c r="EG58" s="77">
        <f t="shared" si="72"/>
        <v>79</v>
      </c>
      <c r="EH58" s="77">
        <f t="shared" si="72"/>
        <v>80</v>
      </c>
      <c r="EI58" s="77">
        <f t="shared" si="72"/>
        <v>81</v>
      </c>
      <c r="EJ58" s="77">
        <f t="shared" si="72"/>
        <v>82</v>
      </c>
      <c r="EK58" s="77">
        <f t="shared" si="72"/>
        <v>83</v>
      </c>
      <c r="EL58" s="77">
        <f t="shared" si="72"/>
        <v>84</v>
      </c>
      <c r="EM58" s="77">
        <f t="shared" si="72"/>
        <v>85</v>
      </c>
      <c r="EN58" s="77">
        <f t="shared" si="72"/>
        <v>86</v>
      </c>
      <c r="EO58" s="77">
        <f t="shared" si="72"/>
        <v>87</v>
      </c>
      <c r="EP58" s="77">
        <f t="shared" si="72"/>
        <v>88</v>
      </c>
      <c r="EQ58" s="77">
        <f t="shared" si="72"/>
        <v>89</v>
      </c>
      <c r="ER58" s="77">
        <f t="shared" si="72"/>
        <v>90</v>
      </c>
      <c r="ES58" s="77">
        <f t="shared" si="72"/>
        <v>91</v>
      </c>
      <c r="ET58" s="77">
        <f t="shared" si="72"/>
        <v>92</v>
      </c>
      <c r="EU58" s="77">
        <f t="shared" si="72"/>
        <v>93</v>
      </c>
      <c r="EV58" s="77">
        <f t="shared" si="75"/>
        <v>94</v>
      </c>
      <c r="EW58" s="77">
        <f t="shared" si="75"/>
        <v>95</v>
      </c>
      <c r="EX58" s="77">
        <f t="shared" si="75"/>
        <v>96</v>
      </c>
      <c r="EY58" s="77">
        <f t="shared" si="75"/>
        <v>97</v>
      </c>
      <c r="EZ58" s="77">
        <f t="shared" si="75"/>
        <v>98</v>
      </c>
      <c r="FA58" s="77">
        <f t="shared" si="75"/>
        <v>99</v>
      </c>
      <c r="FB58" s="77">
        <f t="shared" si="75"/>
        <v>100</v>
      </c>
      <c r="FC58" s="77">
        <f t="shared" si="75"/>
        <v>101</v>
      </c>
      <c r="FD58" s="77">
        <f t="shared" si="75"/>
        <v>102</v>
      </c>
      <c r="FE58" s="77">
        <f t="shared" si="75"/>
        <v>103</v>
      </c>
      <c r="FF58" s="77">
        <f t="shared" si="75"/>
        <v>104</v>
      </c>
      <c r="FG58" s="77">
        <f t="shared" si="75"/>
        <v>105</v>
      </c>
      <c r="FH58" s="77">
        <f t="shared" si="75"/>
        <v>106</v>
      </c>
      <c r="FI58" s="77">
        <f t="shared" si="75"/>
        <v>107</v>
      </c>
      <c r="FJ58" s="77">
        <f t="shared" si="75"/>
        <v>108</v>
      </c>
      <c r="FK58" s="77">
        <f t="shared" si="75"/>
        <v>109</v>
      </c>
      <c r="FL58" s="77">
        <f t="shared" si="75"/>
        <v>110</v>
      </c>
      <c r="FM58" s="77">
        <f t="shared" si="75"/>
        <v>111</v>
      </c>
      <c r="FN58" s="77">
        <f t="shared" si="75"/>
        <v>112</v>
      </c>
      <c r="FO58" s="77">
        <f t="shared" si="75"/>
        <v>113</v>
      </c>
      <c r="FP58" s="77">
        <f t="shared" si="75"/>
        <v>114</v>
      </c>
      <c r="FQ58" s="77">
        <f t="shared" si="75"/>
        <v>115</v>
      </c>
      <c r="FR58" s="77">
        <f t="shared" si="75"/>
        <v>116</v>
      </c>
      <c r="FS58" s="77">
        <f t="shared" si="75"/>
        <v>117</v>
      </c>
      <c r="FT58" s="77">
        <f t="shared" si="75"/>
        <v>118</v>
      </c>
      <c r="FU58" s="77">
        <f t="shared" si="75"/>
        <v>119</v>
      </c>
      <c r="FV58" s="77">
        <f t="shared" si="75"/>
        <v>120</v>
      </c>
      <c r="FW58" s="77">
        <f t="shared" si="75"/>
        <v>121</v>
      </c>
      <c r="FX58" s="77">
        <f t="shared" si="75"/>
        <v>122</v>
      </c>
      <c r="FY58" s="77">
        <f t="shared" si="75"/>
        <v>123</v>
      </c>
      <c r="FZ58" s="77">
        <f t="shared" si="75"/>
        <v>124</v>
      </c>
      <c r="GA58" s="77">
        <f t="shared" si="75"/>
        <v>125</v>
      </c>
      <c r="GB58" s="77">
        <f t="shared" si="75"/>
        <v>126</v>
      </c>
      <c r="GC58" s="77">
        <f t="shared" si="75"/>
        <v>127</v>
      </c>
      <c r="GD58" s="77">
        <f t="shared" si="75"/>
        <v>128</v>
      </c>
      <c r="GE58" s="77">
        <f t="shared" si="75"/>
        <v>129</v>
      </c>
      <c r="GF58" s="77">
        <f t="shared" si="75"/>
        <v>130</v>
      </c>
      <c r="GG58" s="77">
        <f t="shared" si="75"/>
        <v>131</v>
      </c>
      <c r="GH58" s="77">
        <f t="shared" si="75"/>
        <v>132</v>
      </c>
      <c r="GI58" s="77">
        <f t="shared" si="75"/>
        <v>133</v>
      </c>
      <c r="GJ58" s="77">
        <f t="shared" si="75"/>
        <v>134</v>
      </c>
      <c r="GK58" s="77">
        <f t="shared" si="75"/>
        <v>135</v>
      </c>
      <c r="GL58" s="77">
        <f t="shared" si="75"/>
        <v>136</v>
      </c>
      <c r="GM58" s="77">
        <f t="shared" si="75"/>
        <v>137</v>
      </c>
      <c r="GN58" s="77">
        <f t="shared" si="75"/>
        <v>138</v>
      </c>
      <c r="GO58" s="77">
        <f t="shared" si="75"/>
        <v>139</v>
      </c>
      <c r="GP58" s="77">
        <f t="shared" si="75"/>
        <v>140</v>
      </c>
      <c r="GQ58" s="77">
        <f t="shared" si="75"/>
        <v>141</v>
      </c>
      <c r="GR58" s="77">
        <f t="shared" si="75"/>
        <v>142</v>
      </c>
      <c r="GS58" s="77">
        <f t="shared" si="75"/>
        <v>143</v>
      </c>
      <c r="GT58" s="77">
        <f t="shared" si="75"/>
        <v>144</v>
      </c>
      <c r="GU58" s="77">
        <f t="shared" si="75"/>
        <v>145</v>
      </c>
      <c r="GV58" s="77">
        <f t="shared" si="75"/>
        <v>146</v>
      </c>
      <c r="GW58" s="77">
        <f t="shared" si="75"/>
        <v>147</v>
      </c>
      <c r="GX58" s="77">
        <f t="shared" si="75"/>
        <v>148</v>
      </c>
    </row>
    <row r="59" spans="1:206" ht="15" customHeight="1" x14ac:dyDescent="0.2">
      <c r="A59" s="22" t="s">
        <v>68</v>
      </c>
      <c r="B59" s="22">
        <v>4</v>
      </c>
      <c r="C59" s="22" t="s">
        <v>138</v>
      </c>
      <c r="D59" s="22">
        <v>47</v>
      </c>
      <c r="E59" s="22" t="s">
        <v>160</v>
      </c>
      <c r="F59" s="22" t="s">
        <v>71</v>
      </c>
      <c r="G59" s="22" t="s">
        <v>79</v>
      </c>
      <c r="H59" s="22">
        <v>2011</v>
      </c>
      <c r="I59" s="22">
        <v>15</v>
      </c>
      <c r="J59" s="22">
        <v>7.17</v>
      </c>
      <c r="K59" s="22">
        <v>63</v>
      </c>
      <c r="L59" s="22">
        <v>890</v>
      </c>
      <c r="M59" s="22">
        <v>827</v>
      </c>
      <c r="N59" s="22" t="s">
        <v>95</v>
      </c>
      <c r="O59" s="22" t="s">
        <v>96</v>
      </c>
      <c r="P59" s="22" t="s">
        <v>75</v>
      </c>
      <c r="Q59" s="108">
        <f>IF(R59="","",'Dashboard Ciclos'!$B$2-R59)</f>
        <v>46239</v>
      </c>
      <c r="R59" s="22">
        <f>IF($E59="","",IFERROR(INDEX($W59:$GX59,MATCH('Dashboard Ciclos'!$B$2,$W$1:$GX$1,0)),""))</f>
        <v>10</v>
      </c>
      <c r="S59" s="22" t="str">
        <f t="shared" si="45"/>
        <v>En ciclo</v>
      </c>
      <c r="T59" s="22" t="str">
        <f t="shared" si="46"/>
        <v>En ciclo</v>
      </c>
      <c r="U59" s="22">
        <f t="shared" si="47"/>
        <v>2</v>
      </c>
      <c r="V59" s="23">
        <f t="shared" si="48"/>
        <v>46251</v>
      </c>
      <c r="W59" s="77">
        <f t="shared" si="66"/>
        <v>6</v>
      </c>
      <c r="X59" s="77">
        <f t="shared" si="66"/>
        <v>7</v>
      </c>
      <c r="Y59" s="77">
        <f t="shared" si="66"/>
        <v>8</v>
      </c>
      <c r="Z59" s="77">
        <f t="shared" si="66"/>
        <v>9</v>
      </c>
      <c r="AA59" s="77">
        <v>10</v>
      </c>
      <c r="AB59" s="77">
        <f t="shared" si="67"/>
        <v>11</v>
      </c>
      <c r="AC59" s="77">
        <f t="shared" si="67"/>
        <v>12</v>
      </c>
      <c r="AD59" s="77">
        <f t="shared" si="67"/>
        <v>13</v>
      </c>
      <c r="AE59" s="77">
        <f t="shared" si="67"/>
        <v>14</v>
      </c>
      <c r="AF59" s="77">
        <f t="shared" si="67"/>
        <v>15</v>
      </c>
      <c r="AG59" s="77">
        <f t="shared" si="67"/>
        <v>16</v>
      </c>
      <c r="AH59" s="77">
        <f t="shared" si="67"/>
        <v>17</v>
      </c>
      <c r="AI59" s="77">
        <f t="shared" si="67"/>
        <v>18</v>
      </c>
      <c r="AJ59" s="77">
        <f t="shared" si="67"/>
        <v>19</v>
      </c>
      <c r="AK59" s="77">
        <f t="shared" si="65"/>
        <v>20</v>
      </c>
      <c r="AL59" s="77">
        <f t="shared" si="65"/>
        <v>21</v>
      </c>
      <c r="AM59" s="77">
        <f t="shared" si="65"/>
        <v>22</v>
      </c>
      <c r="AN59" s="77">
        <v>0</v>
      </c>
      <c r="AO59" s="77">
        <f t="shared" si="65"/>
        <v>1</v>
      </c>
      <c r="AP59" s="77">
        <f t="shared" si="65"/>
        <v>2</v>
      </c>
      <c r="AQ59" s="77">
        <f t="shared" si="65"/>
        <v>3</v>
      </c>
      <c r="AR59" s="77">
        <f t="shared" si="27"/>
        <v>4</v>
      </c>
      <c r="AS59" s="77">
        <f t="shared" si="73"/>
        <v>5</v>
      </c>
      <c r="AT59" s="77">
        <f t="shared" si="73"/>
        <v>6</v>
      </c>
      <c r="AU59" s="77">
        <f t="shared" si="73"/>
        <v>7</v>
      </c>
      <c r="AV59" s="77">
        <f t="shared" si="73"/>
        <v>8</v>
      </c>
      <c r="AW59" s="77">
        <f t="shared" si="73"/>
        <v>9</v>
      </c>
      <c r="AX59" s="77">
        <f t="shared" si="73"/>
        <v>10</v>
      </c>
      <c r="AY59" s="77">
        <f t="shared" si="73"/>
        <v>11</v>
      </c>
      <c r="AZ59" s="77">
        <f t="shared" si="73"/>
        <v>12</v>
      </c>
      <c r="BA59" s="77">
        <f t="shared" si="73"/>
        <v>13</v>
      </c>
      <c r="BB59" s="77">
        <f t="shared" si="73"/>
        <v>14</v>
      </c>
      <c r="BC59" s="77">
        <f t="shared" si="73"/>
        <v>15</v>
      </c>
      <c r="BD59" s="77">
        <f t="shared" si="73"/>
        <v>16</v>
      </c>
      <c r="BE59" s="77">
        <f t="shared" si="73"/>
        <v>17</v>
      </c>
      <c r="BF59" s="77">
        <v>0</v>
      </c>
      <c r="BG59" s="77">
        <f t="shared" si="73"/>
        <v>1</v>
      </c>
      <c r="BH59" s="77">
        <f t="shared" si="73"/>
        <v>2</v>
      </c>
      <c r="BI59" s="77">
        <f t="shared" si="73"/>
        <v>3</v>
      </c>
      <c r="BJ59" s="77">
        <f t="shared" si="73"/>
        <v>4</v>
      </c>
      <c r="BK59" s="77">
        <f t="shared" si="73"/>
        <v>5</v>
      </c>
      <c r="BL59" s="77">
        <f t="shared" si="73"/>
        <v>6</v>
      </c>
      <c r="BM59" s="77">
        <f t="shared" si="73"/>
        <v>7</v>
      </c>
      <c r="BN59" s="77">
        <f t="shared" si="73"/>
        <v>8</v>
      </c>
      <c r="BO59" s="77">
        <f t="shared" si="73"/>
        <v>9</v>
      </c>
      <c r="BP59" s="77">
        <f t="shared" si="73"/>
        <v>10</v>
      </c>
      <c r="BQ59" s="77">
        <f t="shared" si="73"/>
        <v>11</v>
      </c>
      <c r="BR59" s="77">
        <f t="shared" si="73"/>
        <v>12</v>
      </c>
      <c r="BS59" s="77">
        <f t="shared" si="73"/>
        <v>13</v>
      </c>
      <c r="BT59" s="77">
        <f t="shared" si="73"/>
        <v>14</v>
      </c>
      <c r="BU59" s="77">
        <f t="shared" si="73"/>
        <v>15</v>
      </c>
      <c r="BV59" s="77">
        <f t="shared" si="73"/>
        <v>16</v>
      </c>
      <c r="BW59" s="77">
        <f t="shared" si="73"/>
        <v>17</v>
      </c>
      <c r="BX59" s="77">
        <f t="shared" si="73"/>
        <v>18</v>
      </c>
      <c r="BY59" s="77">
        <f t="shared" si="73"/>
        <v>19</v>
      </c>
      <c r="BZ59" s="77">
        <f t="shared" si="73"/>
        <v>20</v>
      </c>
      <c r="CA59" s="77">
        <f t="shared" si="73"/>
        <v>21</v>
      </c>
      <c r="CB59" s="77">
        <f t="shared" si="73"/>
        <v>22</v>
      </c>
      <c r="CC59" s="77">
        <f t="shared" si="73"/>
        <v>23</v>
      </c>
      <c r="CD59" s="77">
        <f t="shared" si="73"/>
        <v>24</v>
      </c>
      <c r="CE59" s="77">
        <f t="shared" si="73"/>
        <v>25</v>
      </c>
      <c r="CF59" s="77">
        <f t="shared" si="73"/>
        <v>26</v>
      </c>
      <c r="CG59" s="77">
        <f t="shared" si="73"/>
        <v>27</v>
      </c>
      <c r="CH59" s="77">
        <f t="shared" si="73"/>
        <v>28</v>
      </c>
      <c r="CI59" s="77">
        <f t="shared" si="73"/>
        <v>29</v>
      </c>
      <c r="CJ59" s="77">
        <f t="shared" ref="CJ59:EU62" si="76">IF(CI59="","",CI59+1)</f>
        <v>30</v>
      </c>
      <c r="CK59" s="77">
        <f t="shared" si="76"/>
        <v>31</v>
      </c>
      <c r="CL59" s="77">
        <f t="shared" si="76"/>
        <v>32</v>
      </c>
      <c r="CM59" s="77">
        <f t="shared" si="76"/>
        <v>33</v>
      </c>
      <c r="CN59" s="77">
        <f t="shared" si="76"/>
        <v>34</v>
      </c>
      <c r="CO59" s="77">
        <f t="shared" si="76"/>
        <v>35</v>
      </c>
      <c r="CP59" s="77">
        <f t="shared" si="76"/>
        <v>36</v>
      </c>
      <c r="CQ59" s="77">
        <f t="shared" si="76"/>
        <v>37</v>
      </c>
      <c r="CR59" s="77">
        <f t="shared" si="76"/>
        <v>38</v>
      </c>
      <c r="CS59" s="77">
        <f t="shared" si="76"/>
        <v>39</v>
      </c>
      <c r="CT59" s="77">
        <f t="shared" si="76"/>
        <v>40</v>
      </c>
      <c r="CU59" s="77">
        <f t="shared" si="76"/>
        <v>41</v>
      </c>
      <c r="CV59" s="77">
        <f t="shared" si="76"/>
        <v>42</v>
      </c>
      <c r="CW59" s="77">
        <f t="shared" si="76"/>
        <v>43</v>
      </c>
      <c r="CX59" s="77">
        <f t="shared" si="76"/>
        <v>44</v>
      </c>
      <c r="CY59" s="77">
        <f t="shared" si="76"/>
        <v>45</v>
      </c>
      <c r="CZ59" s="77">
        <f t="shared" si="76"/>
        <v>46</v>
      </c>
      <c r="DA59" s="77">
        <f t="shared" si="76"/>
        <v>47</v>
      </c>
      <c r="DB59" s="77">
        <f t="shared" si="76"/>
        <v>48</v>
      </c>
      <c r="DC59" s="77">
        <f t="shared" si="76"/>
        <v>49</v>
      </c>
      <c r="DD59" s="77">
        <f t="shared" si="76"/>
        <v>50</v>
      </c>
      <c r="DE59" s="77">
        <f t="shared" si="76"/>
        <v>51</v>
      </c>
      <c r="DF59" s="77">
        <f t="shared" si="76"/>
        <v>52</v>
      </c>
      <c r="DG59" s="77">
        <f t="shared" si="76"/>
        <v>53</v>
      </c>
      <c r="DH59" s="77">
        <f t="shared" si="76"/>
        <v>54</v>
      </c>
      <c r="DI59" s="77">
        <f t="shared" si="76"/>
        <v>55</v>
      </c>
      <c r="DJ59" s="77">
        <f t="shared" si="76"/>
        <v>56</v>
      </c>
      <c r="DK59" s="77">
        <f t="shared" si="76"/>
        <v>57</v>
      </c>
      <c r="DL59" s="77">
        <f t="shared" si="76"/>
        <v>58</v>
      </c>
      <c r="DM59" s="77">
        <f t="shared" si="76"/>
        <v>59</v>
      </c>
      <c r="DN59" s="77">
        <f t="shared" si="76"/>
        <v>60</v>
      </c>
      <c r="DO59" s="77">
        <f t="shared" si="76"/>
        <v>61</v>
      </c>
      <c r="DP59" s="77">
        <f t="shared" si="76"/>
        <v>62</v>
      </c>
      <c r="DQ59" s="77">
        <f t="shared" si="76"/>
        <v>63</v>
      </c>
      <c r="DR59" s="77">
        <f t="shared" si="76"/>
        <v>64</v>
      </c>
      <c r="DS59" s="77">
        <f t="shared" si="76"/>
        <v>65</v>
      </c>
      <c r="DT59" s="77">
        <f t="shared" si="76"/>
        <v>66</v>
      </c>
      <c r="DU59" s="77">
        <f t="shared" si="76"/>
        <v>67</v>
      </c>
      <c r="DV59" s="77">
        <f t="shared" si="76"/>
        <v>68</v>
      </c>
      <c r="DW59" s="77">
        <f t="shared" si="76"/>
        <v>69</v>
      </c>
      <c r="DX59" s="77">
        <f t="shared" si="76"/>
        <v>70</v>
      </c>
      <c r="DY59" s="77">
        <f t="shared" si="76"/>
        <v>71</v>
      </c>
      <c r="DZ59" s="77">
        <f t="shared" si="76"/>
        <v>72</v>
      </c>
      <c r="EA59" s="77">
        <f t="shared" si="76"/>
        <v>73</v>
      </c>
      <c r="EB59" s="77">
        <f t="shared" si="76"/>
        <v>74</v>
      </c>
      <c r="EC59" s="77">
        <f t="shared" si="76"/>
        <v>75</v>
      </c>
      <c r="ED59" s="77">
        <f t="shared" si="76"/>
        <v>76</v>
      </c>
      <c r="EE59" s="77">
        <f t="shared" si="76"/>
        <v>77</v>
      </c>
      <c r="EF59" s="77">
        <f t="shared" si="76"/>
        <v>78</v>
      </c>
      <c r="EG59" s="77">
        <f t="shared" si="76"/>
        <v>79</v>
      </c>
      <c r="EH59" s="77">
        <f t="shared" si="76"/>
        <v>80</v>
      </c>
      <c r="EI59" s="77">
        <f t="shared" si="76"/>
        <v>81</v>
      </c>
      <c r="EJ59" s="77">
        <f t="shared" si="76"/>
        <v>82</v>
      </c>
      <c r="EK59" s="77">
        <f t="shared" si="76"/>
        <v>83</v>
      </c>
      <c r="EL59" s="77">
        <f t="shared" si="76"/>
        <v>84</v>
      </c>
      <c r="EM59" s="77">
        <f t="shared" si="76"/>
        <v>85</v>
      </c>
      <c r="EN59" s="77">
        <f t="shared" si="76"/>
        <v>86</v>
      </c>
      <c r="EO59" s="77">
        <f t="shared" si="76"/>
        <v>87</v>
      </c>
      <c r="EP59" s="77">
        <f t="shared" si="76"/>
        <v>88</v>
      </c>
      <c r="EQ59" s="77">
        <f t="shared" si="76"/>
        <v>89</v>
      </c>
      <c r="ER59" s="77">
        <f t="shared" si="76"/>
        <v>90</v>
      </c>
      <c r="ES59" s="77">
        <f t="shared" si="76"/>
        <v>91</v>
      </c>
      <c r="ET59" s="77">
        <f t="shared" si="76"/>
        <v>92</v>
      </c>
      <c r="EU59" s="77">
        <f t="shared" si="76"/>
        <v>93</v>
      </c>
      <c r="EV59" s="77">
        <f t="shared" si="75"/>
        <v>94</v>
      </c>
      <c r="EW59" s="77">
        <f t="shared" si="75"/>
        <v>95</v>
      </c>
      <c r="EX59" s="77">
        <f t="shared" si="75"/>
        <v>96</v>
      </c>
      <c r="EY59" s="77">
        <f t="shared" si="75"/>
        <v>97</v>
      </c>
      <c r="EZ59" s="77">
        <f t="shared" si="75"/>
        <v>98</v>
      </c>
      <c r="FA59" s="77">
        <f t="shared" si="75"/>
        <v>99</v>
      </c>
      <c r="FB59" s="77">
        <f t="shared" si="75"/>
        <v>100</v>
      </c>
      <c r="FC59" s="77">
        <f t="shared" si="75"/>
        <v>101</v>
      </c>
      <c r="FD59" s="77">
        <f t="shared" si="75"/>
        <v>102</v>
      </c>
      <c r="FE59" s="77">
        <f t="shared" si="75"/>
        <v>103</v>
      </c>
      <c r="FF59" s="77">
        <f t="shared" si="75"/>
        <v>104</v>
      </c>
      <c r="FG59" s="77">
        <f t="shared" si="75"/>
        <v>105</v>
      </c>
      <c r="FH59" s="77">
        <f t="shared" si="75"/>
        <v>106</v>
      </c>
      <c r="FI59" s="77">
        <f t="shared" si="75"/>
        <v>107</v>
      </c>
      <c r="FJ59" s="77">
        <f t="shared" si="75"/>
        <v>108</v>
      </c>
      <c r="FK59" s="77">
        <f t="shared" si="75"/>
        <v>109</v>
      </c>
      <c r="FL59" s="77">
        <f t="shared" si="75"/>
        <v>110</v>
      </c>
      <c r="FM59" s="77">
        <f t="shared" si="75"/>
        <v>111</v>
      </c>
      <c r="FN59" s="77">
        <f t="shared" si="75"/>
        <v>112</v>
      </c>
      <c r="FO59" s="77">
        <f t="shared" si="75"/>
        <v>113</v>
      </c>
      <c r="FP59" s="77">
        <f t="shared" si="75"/>
        <v>114</v>
      </c>
      <c r="FQ59" s="77">
        <f t="shared" si="75"/>
        <v>115</v>
      </c>
      <c r="FR59" s="77">
        <f t="shared" si="75"/>
        <v>116</v>
      </c>
      <c r="FS59" s="77">
        <f t="shared" si="75"/>
        <v>117</v>
      </c>
      <c r="FT59" s="77">
        <f t="shared" si="75"/>
        <v>118</v>
      </c>
      <c r="FU59" s="77">
        <f t="shared" si="75"/>
        <v>119</v>
      </c>
      <c r="FV59" s="77">
        <f t="shared" si="75"/>
        <v>120</v>
      </c>
      <c r="FW59" s="77">
        <f t="shared" si="75"/>
        <v>121</v>
      </c>
      <c r="FX59" s="77">
        <f t="shared" si="75"/>
        <v>122</v>
      </c>
      <c r="FY59" s="77">
        <f t="shared" si="75"/>
        <v>123</v>
      </c>
      <c r="FZ59" s="77">
        <f t="shared" si="75"/>
        <v>124</v>
      </c>
      <c r="GA59" s="77">
        <f t="shared" si="75"/>
        <v>125</v>
      </c>
      <c r="GB59" s="77">
        <f t="shared" si="75"/>
        <v>126</v>
      </c>
      <c r="GC59" s="77">
        <f t="shared" si="75"/>
        <v>127</v>
      </c>
      <c r="GD59" s="77">
        <f t="shared" si="75"/>
        <v>128</v>
      </c>
      <c r="GE59" s="77">
        <f t="shared" si="75"/>
        <v>129</v>
      </c>
      <c r="GF59" s="77">
        <f t="shared" si="75"/>
        <v>130</v>
      </c>
      <c r="GG59" s="77">
        <f t="shared" si="75"/>
        <v>131</v>
      </c>
      <c r="GH59" s="77">
        <f t="shared" si="75"/>
        <v>132</v>
      </c>
      <c r="GI59" s="77">
        <f t="shared" si="75"/>
        <v>133</v>
      </c>
      <c r="GJ59" s="77">
        <f t="shared" si="75"/>
        <v>134</v>
      </c>
      <c r="GK59" s="77">
        <f t="shared" si="75"/>
        <v>135</v>
      </c>
      <c r="GL59" s="77">
        <f t="shared" si="75"/>
        <v>136</v>
      </c>
      <c r="GM59" s="77">
        <f t="shared" si="75"/>
        <v>137</v>
      </c>
      <c r="GN59" s="77">
        <f t="shared" si="75"/>
        <v>138</v>
      </c>
      <c r="GO59" s="77">
        <f t="shared" si="75"/>
        <v>139</v>
      </c>
      <c r="GP59" s="77">
        <f t="shared" si="75"/>
        <v>140</v>
      </c>
      <c r="GQ59" s="77">
        <f t="shared" si="75"/>
        <v>141</v>
      </c>
      <c r="GR59" s="77">
        <f t="shared" si="75"/>
        <v>142</v>
      </c>
      <c r="GS59" s="77">
        <f t="shared" si="75"/>
        <v>143</v>
      </c>
      <c r="GT59" s="77">
        <f t="shared" si="75"/>
        <v>144</v>
      </c>
      <c r="GU59" s="77">
        <f t="shared" si="75"/>
        <v>145</v>
      </c>
      <c r="GV59" s="77">
        <f t="shared" si="75"/>
        <v>146</v>
      </c>
      <c r="GW59" s="77">
        <f t="shared" si="75"/>
        <v>147</v>
      </c>
      <c r="GX59" s="77">
        <f t="shared" si="75"/>
        <v>148</v>
      </c>
    </row>
    <row r="60" spans="1:206" ht="15" customHeight="1" x14ac:dyDescent="0.2">
      <c r="A60" s="22" t="s">
        <v>68</v>
      </c>
      <c r="B60" s="22">
        <v>4</v>
      </c>
      <c r="C60" s="22" t="s">
        <v>138</v>
      </c>
      <c r="D60" s="22">
        <v>48</v>
      </c>
      <c r="E60" s="22" t="s">
        <v>161</v>
      </c>
      <c r="F60" s="22" t="s">
        <v>78</v>
      </c>
      <c r="G60" s="22" t="s">
        <v>79</v>
      </c>
      <c r="H60" s="22">
        <v>2011</v>
      </c>
      <c r="I60" s="22">
        <v>15</v>
      </c>
      <c r="J60" s="22">
        <v>15.01</v>
      </c>
      <c r="K60" s="22">
        <v>0</v>
      </c>
      <c r="L60" s="22">
        <v>2114</v>
      </c>
      <c r="M60" s="22">
        <v>2114</v>
      </c>
      <c r="N60" s="22" t="s">
        <v>95</v>
      </c>
      <c r="O60" s="22" t="s">
        <v>96</v>
      </c>
      <c r="P60" s="22" t="s">
        <v>75</v>
      </c>
      <c r="Q60" s="108">
        <f>IF(R60="","",'Dashboard Ciclos'!$B$2-R60)</f>
        <v>46239</v>
      </c>
      <c r="R60" s="22">
        <f>IF($E60="","",IFERROR(INDEX($W60:$GX60,MATCH('Dashboard Ciclos'!$B$2,$W$1:$GX$1,0)),""))</f>
        <v>10</v>
      </c>
      <c r="S60" s="22" t="str">
        <f t="shared" si="45"/>
        <v>En ciclo</v>
      </c>
      <c r="T60" s="22" t="str">
        <f t="shared" si="46"/>
        <v>En ciclo</v>
      </c>
      <c r="U60" s="22">
        <f t="shared" si="47"/>
        <v>2</v>
      </c>
      <c r="V60" s="23">
        <f t="shared" si="48"/>
        <v>46251</v>
      </c>
      <c r="W60" s="77">
        <f t="shared" si="66"/>
        <v>6</v>
      </c>
      <c r="X60" s="77">
        <f t="shared" si="66"/>
        <v>7</v>
      </c>
      <c r="Y60" s="77">
        <f t="shared" si="66"/>
        <v>8</v>
      </c>
      <c r="Z60" s="77">
        <f t="shared" si="66"/>
        <v>9</v>
      </c>
      <c r="AA60" s="77">
        <v>10</v>
      </c>
      <c r="AB60" s="77">
        <f t="shared" si="67"/>
        <v>11</v>
      </c>
      <c r="AC60" s="77">
        <f t="shared" si="67"/>
        <v>12</v>
      </c>
      <c r="AD60" s="77">
        <f t="shared" si="67"/>
        <v>13</v>
      </c>
      <c r="AE60" s="77">
        <f t="shared" si="67"/>
        <v>14</v>
      </c>
      <c r="AF60" s="77">
        <f t="shared" si="67"/>
        <v>15</v>
      </c>
      <c r="AG60" s="77">
        <f t="shared" si="67"/>
        <v>16</v>
      </c>
      <c r="AH60" s="77">
        <f t="shared" si="67"/>
        <v>17</v>
      </c>
      <c r="AI60" s="77">
        <f t="shared" si="67"/>
        <v>18</v>
      </c>
      <c r="AJ60" s="77">
        <f t="shared" si="67"/>
        <v>19</v>
      </c>
      <c r="AK60" s="77">
        <f t="shared" si="65"/>
        <v>20</v>
      </c>
      <c r="AL60" s="77">
        <f t="shared" si="65"/>
        <v>21</v>
      </c>
      <c r="AM60" s="77">
        <f t="shared" si="65"/>
        <v>22</v>
      </c>
      <c r="AN60" s="77">
        <v>0</v>
      </c>
      <c r="AO60" s="77">
        <f t="shared" si="65"/>
        <v>1</v>
      </c>
      <c r="AP60" s="77">
        <f t="shared" si="65"/>
        <v>2</v>
      </c>
      <c r="AQ60" s="77">
        <f t="shared" si="65"/>
        <v>3</v>
      </c>
      <c r="AR60" s="77">
        <f t="shared" si="27"/>
        <v>4</v>
      </c>
      <c r="AS60" s="77">
        <f t="shared" ref="AS60:CJ63" si="77">IF(AR60="","",AR60+1)</f>
        <v>5</v>
      </c>
      <c r="AT60" s="77">
        <f t="shared" si="77"/>
        <v>6</v>
      </c>
      <c r="AU60" s="77">
        <f t="shared" si="77"/>
        <v>7</v>
      </c>
      <c r="AV60" s="77">
        <f t="shared" si="77"/>
        <v>8</v>
      </c>
      <c r="AW60" s="77">
        <f t="shared" si="77"/>
        <v>9</v>
      </c>
      <c r="AX60" s="77">
        <f t="shared" si="77"/>
        <v>10</v>
      </c>
      <c r="AY60" s="77">
        <f t="shared" si="77"/>
        <v>11</v>
      </c>
      <c r="AZ60" s="77">
        <f t="shared" si="77"/>
        <v>12</v>
      </c>
      <c r="BA60" s="77">
        <f t="shared" si="77"/>
        <v>13</v>
      </c>
      <c r="BB60" s="77">
        <f t="shared" si="77"/>
        <v>14</v>
      </c>
      <c r="BC60" s="77">
        <f t="shared" si="77"/>
        <v>15</v>
      </c>
      <c r="BD60" s="77">
        <f t="shared" si="77"/>
        <v>16</v>
      </c>
      <c r="BE60" s="77">
        <f t="shared" si="77"/>
        <v>17</v>
      </c>
      <c r="BF60" s="77">
        <v>0</v>
      </c>
      <c r="BG60" s="77">
        <f t="shared" si="77"/>
        <v>1</v>
      </c>
      <c r="BH60" s="77">
        <f t="shared" si="77"/>
        <v>2</v>
      </c>
      <c r="BI60" s="77">
        <f t="shared" si="77"/>
        <v>3</v>
      </c>
      <c r="BJ60" s="77">
        <f t="shared" si="77"/>
        <v>4</v>
      </c>
      <c r="BK60" s="77">
        <f t="shared" si="77"/>
        <v>5</v>
      </c>
      <c r="BL60" s="77">
        <f t="shared" si="77"/>
        <v>6</v>
      </c>
      <c r="BM60" s="77">
        <f t="shared" si="77"/>
        <v>7</v>
      </c>
      <c r="BN60" s="77">
        <f t="shared" si="77"/>
        <v>8</v>
      </c>
      <c r="BO60" s="77">
        <f t="shared" si="77"/>
        <v>9</v>
      </c>
      <c r="BP60" s="77">
        <f t="shared" si="77"/>
        <v>10</v>
      </c>
      <c r="BQ60" s="77">
        <f t="shared" si="77"/>
        <v>11</v>
      </c>
      <c r="BR60" s="77">
        <f t="shared" si="77"/>
        <v>12</v>
      </c>
      <c r="BS60" s="77">
        <f t="shared" si="77"/>
        <v>13</v>
      </c>
      <c r="BT60" s="77">
        <f t="shared" si="77"/>
        <v>14</v>
      </c>
      <c r="BU60" s="77">
        <f t="shared" si="77"/>
        <v>15</v>
      </c>
      <c r="BV60" s="77">
        <f t="shared" si="77"/>
        <v>16</v>
      </c>
      <c r="BW60" s="77">
        <f t="shared" si="77"/>
        <v>17</v>
      </c>
      <c r="BX60" s="77">
        <f t="shared" si="77"/>
        <v>18</v>
      </c>
      <c r="BY60" s="77">
        <f t="shared" si="77"/>
        <v>19</v>
      </c>
      <c r="BZ60" s="77">
        <f t="shared" si="77"/>
        <v>20</v>
      </c>
      <c r="CA60" s="77">
        <f t="shared" si="77"/>
        <v>21</v>
      </c>
      <c r="CB60" s="77">
        <f t="shared" si="77"/>
        <v>22</v>
      </c>
      <c r="CC60" s="77">
        <f t="shared" si="77"/>
        <v>23</v>
      </c>
      <c r="CD60" s="77">
        <f t="shared" si="77"/>
        <v>24</v>
      </c>
      <c r="CE60" s="77">
        <f t="shared" si="77"/>
        <v>25</v>
      </c>
      <c r="CF60" s="77">
        <f t="shared" si="77"/>
        <v>26</v>
      </c>
      <c r="CG60" s="77">
        <f t="shared" si="77"/>
        <v>27</v>
      </c>
      <c r="CH60" s="77">
        <f t="shared" si="77"/>
        <v>28</v>
      </c>
      <c r="CI60" s="77">
        <f t="shared" si="77"/>
        <v>29</v>
      </c>
      <c r="CJ60" s="77">
        <f t="shared" si="77"/>
        <v>30</v>
      </c>
      <c r="CK60" s="77">
        <f t="shared" si="76"/>
        <v>31</v>
      </c>
      <c r="CL60" s="77">
        <f t="shared" si="76"/>
        <v>32</v>
      </c>
      <c r="CM60" s="77">
        <f t="shared" si="76"/>
        <v>33</v>
      </c>
      <c r="CN60" s="77">
        <f t="shared" si="76"/>
        <v>34</v>
      </c>
      <c r="CO60" s="77">
        <f t="shared" si="76"/>
        <v>35</v>
      </c>
      <c r="CP60" s="77">
        <f t="shared" si="76"/>
        <v>36</v>
      </c>
      <c r="CQ60" s="77">
        <f t="shared" si="76"/>
        <v>37</v>
      </c>
      <c r="CR60" s="77">
        <f t="shared" si="76"/>
        <v>38</v>
      </c>
      <c r="CS60" s="77">
        <f t="shared" si="76"/>
        <v>39</v>
      </c>
      <c r="CT60" s="77">
        <f t="shared" si="76"/>
        <v>40</v>
      </c>
      <c r="CU60" s="77">
        <f t="shared" si="76"/>
        <v>41</v>
      </c>
      <c r="CV60" s="77">
        <f t="shared" si="76"/>
        <v>42</v>
      </c>
      <c r="CW60" s="77">
        <f t="shared" si="76"/>
        <v>43</v>
      </c>
      <c r="CX60" s="77">
        <f t="shared" si="76"/>
        <v>44</v>
      </c>
      <c r="CY60" s="77">
        <f t="shared" si="76"/>
        <v>45</v>
      </c>
      <c r="CZ60" s="77">
        <f t="shared" si="76"/>
        <v>46</v>
      </c>
      <c r="DA60" s="77">
        <f t="shared" si="76"/>
        <v>47</v>
      </c>
      <c r="DB60" s="77">
        <f t="shared" si="76"/>
        <v>48</v>
      </c>
      <c r="DC60" s="77">
        <f t="shared" si="76"/>
        <v>49</v>
      </c>
      <c r="DD60" s="77">
        <f t="shared" si="76"/>
        <v>50</v>
      </c>
      <c r="DE60" s="77">
        <f t="shared" si="76"/>
        <v>51</v>
      </c>
      <c r="DF60" s="77">
        <f t="shared" si="76"/>
        <v>52</v>
      </c>
      <c r="DG60" s="77">
        <f t="shared" si="76"/>
        <v>53</v>
      </c>
      <c r="DH60" s="77">
        <f t="shared" si="76"/>
        <v>54</v>
      </c>
      <c r="DI60" s="77">
        <f t="shared" si="76"/>
        <v>55</v>
      </c>
      <c r="DJ60" s="77">
        <f t="shared" si="76"/>
        <v>56</v>
      </c>
      <c r="DK60" s="77">
        <f t="shared" si="76"/>
        <v>57</v>
      </c>
      <c r="DL60" s="77">
        <f t="shared" si="76"/>
        <v>58</v>
      </c>
      <c r="DM60" s="77">
        <f t="shared" si="76"/>
        <v>59</v>
      </c>
      <c r="DN60" s="77">
        <f t="shared" si="76"/>
        <v>60</v>
      </c>
      <c r="DO60" s="77">
        <f t="shared" si="76"/>
        <v>61</v>
      </c>
      <c r="DP60" s="77">
        <f t="shared" si="76"/>
        <v>62</v>
      </c>
      <c r="DQ60" s="77">
        <f t="shared" si="76"/>
        <v>63</v>
      </c>
      <c r="DR60" s="77">
        <f t="shared" si="76"/>
        <v>64</v>
      </c>
      <c r="DS60" s="77">
        <f t="shared" si="76"/>
        <v>65</v>
      </c>
      <c r="DT60" s="77">
        <f t="shared" si="76"/>
        <v>66</v>
      </c>
      <c r="DU60" s="77">
        <f t="shared" si="76"/>
        <v>67</v>
      </c>
      <c r="DV60" s="77">
        <f t="shared" si="76"/>
        <v>68</v>
      </c>
      <c r="DW60" s="77">
        <f t="shared" si="76"/>
        <v>69</v>
      </c>
      <c r="DX60" s="77">
        <f t="shared" si="76"/>
        <v>70</v>
      </c>
      <c r="DY60" s="77">
        <f t="shared" si="76"/>
        <v>71</v>
      </c>
      <c r="DZ60" s="77">
        <f t="shared" si="76"/>
        <v>72</v>
      </c>
      <c r="EA60" s="77">
        <f t="shared" si="76"/>
        <v>73</v>
      </c>
      <c r="EB60" s="77">
        <f t="shared" si="76"/>
        <v>74</v>
      </c>
      <c r="EC60" s="77">
        <f t="shared" si="76"/>
        <v>75</v>
      </c>
      <c r="ED60" s="77">
        <f t="shared" si="76"/>
        <v>76</v>
      </c>
      <c r="EE60" s="77">
        <f t="shared" si="76"/>
        <v>77</v>
      </c>
      <c r="EF60" s="77">
        <f t="shared" si="76"/>
        <v>78</v>
      </c>
      <c r="EG60" s="77">
        <f t="shared" si="76"/>
        <v>79</v>
      </c>
      <c r="EH60" s="77">
        <f t="shared" si="76"/>
        <v>80</v>
      </c>
      <c r="EI60" s="77">
        <f t="shared" si="76"/>
        <v>81</v>
      </c>
      <c r="EJ60" s="77">
        <f t="shared" si="76"/>
        <v>82</v>
      </c>
      <c r="EK60" s="77">
        <f t="shared" si="76"/>
        <v>83</v>
      </c>
      <c r="EL60" s="77">
        <f t="shared" si="76"/>
        <v>84</v>
      </c>
      <c r="EM60" s="77">
        <f t="shared" si="76"/>
        <v>85</v>
      </c>
      <c r="EN60" s="77">
        <f t="shared" si="76"/>
        <v>86</v>
      </c>
      <c r="EO60" s="77">
        <f t="shared" si="76"/>
        <v>87</v>
      </c>
      <c r="EP60" s="77">
        <f t="shared" si="76"/>
        <v>88</v>
      </c>
      <c r="EQ60" s="77">
        <f t="shared" si="76"/>
        <v>89</v>
      </c>
      <c r="ER60" s="77">
        <f t="shared" si="76"/>
        <v>90</v>
      </c>
      <c r="ES60" s="77">
        <f t="shared" si="76"/>
        <v>91</v>
      </c>
      <c r="ET60" s="77">
        <f t="shared" si="76"/>
        <v>92</v>
      </c>
      <c r="EU60" s="77">
        <f t="shared" si="76"/>
        <v>93</v>
      </c>
      <c r="EV60" s="77">
        <f t="shared" si="75"/>
        <v>94</v>
      </c>
      <c r="EW60" s="77">
        <f t="shared" si="75"/>
        <v>95</v>
      </c>
      <c r="EX60" s="77">
        <f t="shared" si="75"/>
        <v>96</v>
      </c>
      <c r="EY60" s="77">
        <f t="shared" si="75"/>
        <v>97</v>
      </c>
      <c r="EZ60" s="77">
        <f t="shared" si="75"/>
        <v>98</v>
      </c>
      <c r="FA60" s="77">
        <f t="shared" si="75"/>
        <v>99</v>
      </c>
      <c r="FB60" s="77">
        <f t="shared" si="75"/>
        <v>100</v>
      </c>
      <c r="FC60" s="77">
        <f t="shared" si="75"/>
        <v>101</v>
      </c>
      <c r="FD60" s="77">
        <f t="shared" si="75"/>
        <v>102</v>
      </c>
      <c r="FE60" s="77">
        <f t="shared" si="75"/>
        <v>103</v>
      </c>
      <c r="FF60" s="77">
        <f t="shared" si="75"/>
        <v>104</v>
      </c>
      <c r="FG60" s="77">
        <f t="shared" si="75"/>
        <v>105</v>
      </c>
      <c r="FH60" s="77">
        <f t="shared" si="75"/>
        <v>106</v>
      </c>
      <c r="FI60" s="77">
        <f t="shared" si="75"/>
        <v>107</v>
      </c>
      <c r="FJ60" s="77">
        <f t="shared" si="75"/>
        <v>108</v>
      </c>
      <c r="FK60" s="77">
        <f t="shared" si="75"/>
        <v>109</v>
      </c>
      <c r="FL60" s="77">
        <f t="shared" si="75"/>
        <v>110</v>
      </c>
      <c r="FM60" s="77">
        <f t="shared" si="75"/>
        <v>111</v>
      </c>
      <c r="FN60" s="77">
        <f t="shared" si="75"/>
        <v>112</v>
      </c>
      <c r="FO60" s="77">
        <f t="shared" si="75"/>
        <v>113</v>
      </c>
      <c r="FP60" s="77">
        <f t="shared" si="75"/>
        <v>114</v>
      </c>
      <c r="FQ60" s="77">
        <f t="shared" si="75"/>
        <v>115</v>
      </c>
      <c r="FR60" s="77">
        <f t="shared" si="75"/>
        <v>116</v>
      </c>
      <c r="FS60" s="77">
        <f t="shared" si="75"/>
        <v>117</v>
      </c>
      <c r="FT60" s="77">
        <f t="shared" si="75"/>
        <v>118</v>
      </c>
      <c r="FU60" s="77">
        <f t="shared" si="75"/>
        <v>119</v>
      </c>
      <c r="FV60" s="77">
        <f t="shared" si="75"/>
        <v>120</v>
      </c>
      <c r="FW60" s="77">
        <f t="shared" si="75"/>
        <v>121</v>
      </c>
      <c r="FX60" s="77">
        <f t="shared" si="75"/>
        <v>122</v>
      </c>
      <c r="FY60" s="77">
        <f t="shared" si="75"/>
        <v>123</v>
      </c>
      <c r="FZ60" s="77">
        <f t="shared" si="75"/>
        <v>124</v>
      </c>
      <c r="GA60" s="77">
        <f t="shared" si="75"/>
        <v>125</v>
      </c>
      <c r="GB60" s="77">
        <f t="shared" si="75"/>
        <v>126</v>
      </c>
      <c r="GC60" s="77">
        <f t="shared" si="75"/>
        <v>127</v>
      </c>
      <c r="GD60" s="77">
        <f t="shared" si="75"/>
        <v>128</v>
      </c>
      <c r="GE60" s="77">
        <f t="shared" si="75"/>
        <v>129</v>
      </c>
      <c r="GF60" s="77">
        <f t="shared" si="75"/>
        <v>130</v>
      </c>
      <c r="GG60" s="77">
        <f t="shared" si="75"/>
        <v>131</v>
      </c>
      <c r="GH60" s="77">
        <f t="shared" si="75"/>
        <v>132</v>
      </c>
      <c r="GI60" s="77">
        <f t="shared" si="75"/>
        <v>133</v>
      </c>
      <c r="GJ60" s="77">
        <f t="shared" si="75"/>
        <v>134</v>
      </c>
      <c r="GK60" s="77">
        <f t="shared" si="75"/>
        <v>135</v>
      </c>
      <c r="GL60" s="77">
        <f t="shared" si="75"/>
        <v>136</v>
      </c>
      <c r="GM60" s="77">
        <f t="shared" si="75"/>
        <v>137</v>
      </c>
      <c r="GN60" s="77">
        <f t="shared" si="75"/>
        <v>138</v>
      </c>
      <c r="GO60" s="77">
        <f t="shared" si="75"/>
        <v>139</v>
      </c>
      <c r="GP60" s="77">
        <f t="shared" si="75"/>
        <v>140</v>
      </c>
      <c r="GQ60" s="77">
        <f t="shared" si="75"/>
        <v>141</v>
      </c>
      <c r="GR60" s="77">
        <f t="shared" si="75"/>
        <v>142</v>
      </c>
      <c r="GS60" s="77">
        <f t="shared" si="75"/>
        <v>143</v>
      </c>
      <c r="GT60" s="77">
        <f t="shared" si="75"/>
        <v>144</v>
      </c>
      <c r="GU60" s="77">
        <f t="shared" si="75"/>
        <v>145</v>
      </c>
      <c r="GV60" s="77">
        <f t="shared" si="75"/>
        <v>146</v>
      </c>
      <c r="GW60" s="77">
        <f t="shared" si="75"/>
        <v>147</v>
      </c>
      <c r="GX60" s="77">
        <f t="shared" si="75"/>
        <v>148</v>
      </c>
    </row>
    <row r="61" spans="1:206" ht="15" customHeight="1" x14ac:dyDescent="0.2">
      <c r="A61" s="22" t="s">
        <v>68</v>
      </c>
      <c r="B61" s="22">
        <v>4</v>
      </c>
      <c r="C61" s="22" t="s">
        <v>162</v>
      </c>
      <c r="D61" s="22">
        <v>49</v>
      </c>
      <c r="E61" s="22" t="s">
        <v>163</v>
      </c>
      <c r="F61" s="22" t="s">
        <v>71</v>
      </c>
      <c r="G61" s="22" t="s">
        <v>79</v>
      </c>
      <c r="H61" s="22">
        <v>2011</v>
      </c>
      <c r="I61" s="22">
        <v>15</v>
      </c>
      <c r="J61" s="22">
        <v>11.96</v>
      </c>
      <c r="K61" s="22">
        <v>20</v>
      </c>
      <c r="L61" s="22">
        <v>2811</v>
      </c>
      <c r="M61" s="22">
        <v>2791</v>
      </c>
      <c r="N61" s="22" t="s">
        <v>95</v>
      </c>
      <c r="O61" s="22" t="s">
        <v>96</v>
      </c>
      <c r="P61" s="22" t="s">
        <v>75</v>
      </c>
      <c r="Q61" s="108">
        <f>IF(R61="","",'Dashboard Ciclos'!$B$2-R61)</f>
        <v>46242</v>
      </c>
      <c r="R61" s="22">
        <f>IF($E61="","",IFERROR(INDEX($W61:$GX61,MATCH('Dashboard Ciclos'!$B$2,$W$1:$GX$1,0)),""))</f>
        <v>7</v>
      </c>
      <c r="S61" s="22" t="str">
        <f t="shared" si="45"/>
        <v>En ciclo</v>
      </c>
      <c r="T61" s="22" t="str">
        <f t="shared" si="46"/>
        <v>En ciclo</v>
      </c>
      <c r="U61" s="22">
        <f t="shared" si="47"/>
        <v>5</v>
      </c>
      <c r="V61" s="23">
        <f t="shared" si="48"/>
        <v>46254</v>
      </c>
      <c r="W61" s="77">
        <f t="shared" si="66"/>
        <v>2</v>
      </c>
      <c r="X61" s="77">
        <f t="shared" si="66"/>
        <v>3</v>
      </c>
      <c r="Y61" s="77">
        <f t="shared" si="66"/>
        <v>4</v>
      </c>
      <c r="Z61" s="77">
        <f t="shared" si="66"/>
        <v>5</v>
      </c>
      <c r="AA61" s="77">
        <v>6</v>
      </c>
      <c r="AB61" s="77">
        <f t="shared" si="67"/>
        <v>7</v>
      </c>
      <c r="AC61" s="77">
        <f t="shared" si="67"/>
        <v>8</v>
      </c>
      <c r="AD61" s="77">
        <f t="shared" si="67"/>
        <v>9</v>
      </c>
      <c r="AE61" s="77">
        <f t="shared" si="67"/>
        <v>10</v>
      </c>
      <c r="AF61" s="77">
        <f t="shared" si="67"/>
        <v>11</v>
      </c>
      <c r="AG61" s="77">
        <f t="shared" si="67"/>
        <v>12</v>
      </c>
      <c r="AH61" s="77">
        <f t="shared" si="67"/>
        <v>13</v>
      </c>
      <c r="AI61" s="77">
        <f t="shared" si="67"/>
        <v>14</v>
      </c>
      <c r="AJ61" s="77">
        <f t="shared" si="67"/>
        <v>15</v>
      </c>
      <c r="AK61" s="77">
        <f t="shared" si="65"/>
        <v>16</v>
      </c>
      <c r="AL61" s="77">
        <f t="shared" si="65"/>
        <v>17</v>
      </c>
      <c r="AM61" s="77">
        <f t="shared" si="65"/>
        <v>18</v>
      </c>
      <c r="AN61" s="77">
        <f t="shared" si="65"/>
        <v>19</v>
      </c>
      <c r="AO61" s="77">
        <f t="shared" si="65"/>
        <v>20</v>
      </c>
      <c r="AP61" s="77">
        <f t="shared" si="65"/>
        <v>21</v>
      </c>
      <c r="AQ61" s="77">
        <f t="shared" si="65"/>
        <v>22</v>
      </c>
      <c r="AR61" s="77">
        <v>0</v>
      </c>
      <c r="AS61" s="77">
        <f t="shared" si="77"/>
        <v>1</v>
      </c>
      <c r="AT61" s="77">
        <f t="shared" si="77"/>
        <v>2</v>
      </c>
      <c r="AU61" s="77">
        <f t="shared" si="77"/>
        <v>3</v>
      </c>
      <c r="AV61" s="77">
        <f t="shared" si="77"/>
        <v>4</v>
      </c>
      <c r="AW61" s="77">
        <f t="shared" si="77"/>
        <v>5</v>
      </c>
      <c r="AX61" s="77">
        <f t="shared" si="77"/>
        <v>6</v>
      </c>
      <c r="AY61" s="77">
        <f t="shared" si="77"/>
        <v>7</v>
      </c>
      <c r="AZ61" s="77">
        <f t="shared" si="77"/>
        <v>8</v>
      </c>
      <c r="BA61" s="77">
        <f t="shared" si="77"/>
        <v>9</v>
      </c>
      <c r="BB61" s="77">
        <f t="shared" si="77"/>
        <v>10</v>
      </c>
      <c r="BC61" s="77">
        <f t="shared" si="77"/>
        <v>11</v>
      </c>
      <c r="BD61" s="77">
        <f t="shared" si="77"/>
        <v>12</v>
      </c>
      <c r="BE61" s="77">
        <f t="shared" si="77"/>
        <v>13</v>
      </c>
      <c r="BF61" s="77">
        <f t="shared" si="77"/>
        <v>14</v>
      </c>
      <c r="BG61" s="77">
        <f t="shared" si="77"/>
        <v>15</v>
      </c>
      <c r="BH61" s="77">
        <f t="shared" si="77"/>
        <v>16</v>
      </c>
      <c r="BI61" s="77">
        <v>0</v>
      </c>
      <c r="BJ61" s="77">
        <f t="shared" si="77"/>
        <v>1</v>
      </c>
      <c r="BK61" s="77">
        <f t="shared" si="77"/>
        <v>2</v>
      </c>
      <c r="BL61" s="77">
        <f t="shared" si="77"/>
        <v>3</v>
      </c>
      <c r="BM61" s="77">
        <f t="shared" si="77"/>
        <v>4</v>
      </c>
      <c r="BN61" s="77">
        <f t="shared" si="77"/>
        <v>5</v>
      </c>
      <c r="BO61" s="77">
        <f t="shared" si="77"/>
        <v>6</v>
      </c>
      <c r="BP61" s="77">
        <f t="shared" si="77"/>
        <v>7</v>
      </c>
      <c r="BQ61" s="77">
        <f t="shared" si="77"/>
        <v>8</v>
      </c>
      <c r="BR61" s="77">
        <f t="shared" si="77"/>
        <v>9</v>
      </c>
      <c r="BS61" s="77">
        <f t="shared" si="77"/>
        <v>10</v>
      </c>
      <c r="BT61" s="77">
        <f t="shared" si="77"/>
        <v>11</v>
      </c>
      <c r="BU61" s="77">
        <f t="shared" si="77"/>
        <v>12</v>
      </c>
      <c r="BV61" s="77">
        <f t="shared" si="77"/>
        <v>13</v>
      </c>
      <c r="BW61" s="77">
        <f t="shared" si="77"/>
        <v>14</v>
      </c>
      <c r="BX61" s="77">
        <f t="shared" si="77"/>
        <v>15</v>
      </c>
      <c r="BY61" s="77">
        <f t="shared" si="77"/>
        <v>16</v>
      </c>
      <c r="BZ61" s="77">
        <f t="shared" si="77"/>
        <v>17</v>
      </c>
      <c r="CA61" s="77">
        <f t="shared" si="77"/>
        <v>18</v>
      </c>
      <c r="CB61" s="77">
        <f t="shared" si="77"/>
        <v>19</v>
      </c>
      <c r="CC61" s="77">
        <f t="shared" si="77"/>
        <v>20</v>
      </c>
      <c r="CD61" s="77">
        <f t="shared" si="77"/>
        <v>21</v>
      </c>
      <c r="CE61" s="77">
        <f t="shared" si="77"/>
        <v>22</v>
      </c>
      <c r="CF61" s="77">
        <f t="shared" si="77"/>
        <v>23</v>
      </c>
      <c r="CG61" s="77">
        <f t="shared" si="77"/>
        <v>24</v>
      </c>
      <c r="CH61" s="77">
        <f t="shared" si="77"/>
        <v>25</v>
      </c>
      <c r="CI61" s="77">
        <f t="shared" si="77"/>
        <v>26</v>
      </c>
      <c r="CJ61" s="77">
        <f t="shared" si="77"/>
        <v>27</v>
      </c>
      <c r="CK61" s="77">
        <f t="shared" si="76"/>
        <v>28</v>
      </c>
      <c r="CL61" s="77">
        <f t="shared" si="76"/>
        <v>29</v>
      </c>
      <c r="CM61" s="77">
        <f t="shared" si="76"/>
        <v>30</v>
      </c>
      <c r="CN61" s="77">
        <f t="shared" si="76"/>
        <v>31</v>
      </c>
      <c r="CO61" s="77">
        <f t="shared" si="76"/>
        <v>32</v>
      </c>
      <c r="CP61" s="77">
        <f t="shared" si="76"/>
        <v>33</v>
      </c>
      <c r="CQ61" s="77">
        <f t="shared" si="76"/>
        <v>34</v>
      </c>
      <c r="CR61" s="77">
        <f t="shared" si="76"/>
        <v>35</v>
      </c>
      <c r="CS61" s="77">
        <f t="shared" si="76"/>
        <v>36</v>
      </c>
      <c r="CT61" s="77">
        <f t="shared" si="76"/>
        <v>37</v>
      </c>
      <c r="CU61" s="77">
        <f t="shared" si="76"/>
        <v>38</v>
      </c>
      <c r="CV61" s="77">
        <f t="shared" si="76"/>
        <v>39</v>
      </c>
      <c r="CW61" s="77">
        <f t="shared" si="76"/>
        <v>40</v>
      </c>
      <c r="CX61" s="77">
        <f t="shared" si="76"/>
        <v>41</v>
      </c>
      <c r="CY61" s="77">
        <f t="shared" si="76"/>
        <v>42</v>
      </c>
      <c r="CZ61" s="77">
        <f t="shared" si="76"/>
        <v>43</v>
      </c>
      <c r="DA61" s="77">
        <f t="shared" si="76"/>
        <v>44</v>
      </c>
      <c r="DB61" s="77">
        <f t="shared" si="76"/>
        <v>45</v>
      </c>
      <c r="DC61" s="77">
        <f t="shared" si="76"/>
        <v>46</v>
      </c>
      <c r="DD61" s="77">
        <f t="shared" si="76"/>
        <v>47</v>
      </c>
      <c r="DE61" s="77">
        <f t="shared" si="76"/>
        <v>48</v>
      </c>
      <c r="DF61" s="77">
        <f t="shared" si="76"/>
        <v>49</v>
      </c>
      <c r="DG61" s="77">
        <f t="shared" si="76"/>
        <v>50</v>
      </c>
      <c r="DH61" s="77">
        <f t="shared" si="76"/>
        <v>51</v>
      </c>
      <c r="DI61" s="77">
        <f t="shared" si="76"/>
        <v>52</v>
      </c>
      <c r="DJ61" s="77">
        <f t="shared" si="76"/>
        <v>53</v>
      </c>
      <c r="DK61" s="77">
        <f t="shared" si="76"/>
        <v>54</v>
      </c>
      <c r="DL61" s="77">
        <f t="shared" si="76"/>
        <v>55</v>
      </c>
      <c r="DM61" s="77">
        <f t="shared" si="76"/>
        <v>56</v>
      </c>
      <c r="DN61" s="77">
        <f t="shared" si="76"/>
        <v>57</v>
      </c>
      <c r="DO61" s="77">
        <f t="shared" si="76"/>
        <v>58</v>
      </c>
      <c r="DP61" s="77">
        <f t="shared" si="76"/>
        <v>59</v>
      </c>
      <c r="DQ61" s="77">
        <f t="shared" si="76"/>
        <v>60</v>
      </c>
      <c r="DR61" s="77">
        <f t="shared" si="76"/>
        <v>61</v>
      </c>
      <c r="DS61" s="77">
        <f t="shared" si="76"/>
        <v>62</v>
      </c>
      <c r="DT61" s="77">
        <f t="shared" si="76"/>
        <v>63</v>
      </c>
      <c r="DU61" s="77">
        <f t="shared" si="76"/>
        <v>64</v>
      </c>
      <c r="DV61" s="77">
        <f t="shared" si="76"/>
        <v>65</v>
      </c>
      <c r="DW61" s="77">
        <f t="shared" si="76"/>
        <v>66</v>
      </c>
      <c r="DX61" s="77">
        <f t="shared" si="76"/>
        <v>67</v>
      </c>
      <c r="DY61" s="77">
        <f t="shared" si="76"/>
        <v>68</v>
      </c>
      <c r="DZ61" s="77">
        <f t="shared" si="76"/>
        <v>69</v>
      </c>
      <c r="EA61" s="77">
        <f t="shared" si="76"/>
        <v>70</v>
      </c>
      <c r="EB61" s="77">
        <f t="shared" si="76"/>
        <v>71</v>
      </c>
      <c r="EC61" s="77">
        <f t="shared" si="76"/>
        <v>72</v>
      </c>
      <c r="ED61" s="77">
        <f t="shared" si="76"/>
        <v>73</v>
      </c>
      <c r="EE61" s="77">
        <f t="shared" si="76"/>
        <v>74</v>
      </c>
      <c r="EF61" s="77">
        <f t="shared" si="76"/>
        <v>75</v>
      </c>
      <c r="EG61" s="77">
        <f t="shared" si="76"/>
        <v>76</v>
      </c>
      <c r="EH61" s="77">
        <f t="shared" si="76"/>
        <v>77</v>
      </c>
      <c r="EI61" s="77">
        <f t="shared" si="76"/>
        <v>78</v>
      </c>
      <c r="EJ61" s="77">
        <f t="shared" si="76"/>
        <v>79</v>
      </c>
      <c r="EK61" s="77">
        <f t="shared" si="76"/>
        <v>80</v>
      </c>
      <c r="EL61" s="77">
        <f t="shared" si="76"/>
        <v>81</v>
      </c>
      <c r="EM61" s="77">
        <f t="shared" si="76"/>
        <v>82</v>
      </c>
      <c r="EN61" s="77">
        <f t="shared" si="76"/>
        <v>83</v>
      </c>
      <c r="EO61" s="77">
        <f t="shared" si="76"/>
        <v>84</v>
      </c>
      <c r="EP61" s="77">
        <f t="shared" si="76"/>
        <v>85</v>
      </c>
      <c r="EQ61" s="77">
        <f t="shared" si="76"/>
        <v>86</v>
      </c>
      <c r="ER61" s="77">
        <f t="shared" si="76"/>
        <v>87</v>
      </c>
      <c r="ES61" s="77">
        <f t="shared" si="76"/>
        <v>88</v>
      </c>
      <c r="ET61" s="77">
        <f t="shared" si="76"/>
        <v>89</v>
      </c>
      <c r="EU61" s="77">
        <f t="shared" si="76"/>
        <v>90</v>
      </c>
      <c r="EV61" s="77">
        <f t="shared" si="75"/>
        <v>91</v>
      </c>
      <c r="EW61" s="77">
        <f t="shared" si="75"/>
        <v>92</v>
      </c>
      <c r="EX61" s="77">
        <f t="shared" si="75"/>
        <v>93</v>
      </c>
      <c r="EY61" s="77">
        <f t="shared" si="75"/>
        <v>94</v>
      </c>
      <c r="EZ61" s="77">
        <f t="shared" si="75"/>
        <v>95</v>
      </c>
      <c r="FA61" s="77">
        <f t="shared" si="75"/>
        <v>96</v>
      </c>
      <c r="FB61" s="77">
        <f t="shared" si="75"/>
        <v>97</v>
      </c>
      <c r="FC61" s="77">
        <f t="shared" si="75"/>
        <v>98</v>
      </c>
      <c r="FD61" s="77">
        <f t="shared" si="75"/>
        <v>99</v>
      </c>
      <c r="FE61" s="77">
        <f t="shared" si="75"/>
        <v>100</v>
      </c>
      <c r="FF61" s="77">
        <f t="shared" si="75"/>
        <v>101</v>
      </c>
      <c r="FG61" s="77">
        <f t="shared" si="75"/>
        <v>102</v>
      </c>
      <c r="FH61" s="77">
        <f t="shared" si="75"/>
        <v>103</v>
      </c>
      <c r="FI61" s="77">
        <f t="shared" si="75"/>
        <v>104</v>
      </c>
      <c r="FJ61" s="77">
        <f t="shared" si="75"/>
        <v>105</v>
      </c>
      <c r="FK61" s="77">
        <f t="shared" si="75"/>
        <v>106</v>
      </c>
      <c r="FL61" s="77">
        <f t="shared" si="75"/>
        <v>107</v>
      </c>
      <c r="FM61" s="77">
        <f t="shared" si="75"/>
        <v>108</v>
      </c>
      <c r="FN61" s="77">
        <f t="shared" si="75"/>
        <v>109</v>
      </c>
      <c r="FO61" s="77">
        <f t="shared" si="75"/>
        <v>110</v>
      </c>
      <c r="FP61" s="77">
        <f t="shared" si="75"/>
        <v>111</v>
      </c>
      <c r="FQ61" s="77">
        <f t="shared" si="75"/>
        <v>112</v>
      </c>
      <c r="FR61" s="77">
        <f t="shared" si="75"/>
        <v>113</v>
      </c>
      <c r="FS61" s="77">
        <f t="shared" si="75"/>
        <v>114</v>
      </c>
      <c r="FT61" s="77">
        <f t="shared" si="75"/>
        <v>115</v>
      </c>
      <c r="FU61" s="77">
        <f t="shared" si="75"/>
        <v>116</v>
      </c>
      <c r="FV61" s="77">
        <f t="shared" si="75"/>
        <v>117</v>
      </c>
      <c r="FW61" s="77">
        <f t="shared" si="75"/>
        <v>118</v>
      </c>
      <c r="FX61" s="77">
        <f t="shared" si="75"/>
        <v>119</v>
      </c>
      <c r="FY61" s="77">
        <f t="shared" si="75"/>
        <v>120</v>
      </c>
      <c r="FZ61" s="77">
        <f t="shared" si="75"/>
        <v>121</v>
      </c>
      <c r="GA61" s="77">
        <f t="shared" si="75"/>
        <v>122</v>
      </c>
      <c r="GB61" s="77">
        <f t="shared" si="75"/>
        <v>123</v>
      </c>
      <c r="GC61" s="77">
        <f t="shared" si="75"/>
        <v>124</v>
      </c>
      <c r="GD61" s="77">
        <f t="shared" si="75"/>
        <v>125</v>
      </c>
      <c r="GE61" s="77">
        <f t="shared" ref="GE61:GX61" si="78">IF(GD61="","",GD61+1)</f>
        <v>126</v>
      </c>
      <c r="GF61" s="77">
        <f t="shared" si="78"/>
        <v>127</v>
      </c>
      <c r="GG61" s="77">
        <f t="shared" si="78"/>
        <v>128</v>
      </c>
      <c r="GH61" s="77">
        <f t="shared" si="78"/>
        <v>129</v>
      </c>
      <c r="GI61" s="77">
        <f t="shared" si="78"/>
        <v>130</v>
      </c>
      <c r="GJ61" s="77">
        <f t="shared" si="78"/>
        <v>131</v>
      </c>
      <c r="GK61" s="77">
        <f t="shared" si="78"/>
        <v>132</v>
      </c>
      <c r="GL61" s="77">
        <f t="shared" si="78"/>
        <v>133</v>
      </c>
      <c r="GM61" s="77">
        <f t="shared" si="78"/>
        <v>134</v>
      </c>
      <c r="GN61" s="77">
        <f t="shared" si="78"/>
        <v>135</v>
      </c>
      <c r="GO61" s="77">
        <f t="shared" si="78"/>
        <v>136</v>
      </c>
      <c r="GP61" s="77">
        <f t="shared" si="78"/>
        <v>137</v>
      </c>
      <c r="GQ61" s="77">
        <f t="shared" si="78"/>
        <v>138</v>
      </c>
      <c r="GR61" s="77">
        <f t="shared" si="78"/>
        <v>139</v>
      </c>
      <c r="GS61" s="77">
        <f t="shared" si="78"/>
        <v>140</v>
      </c>
      <c r="GT61" s="77">
        <f t="shared" si="78"/>
        <v>141</v>
      </c>
      <c r="GU61" s="77">
        <f t="shared" si="78"/>
        <v>142</v>
      </c>
      <c r="GV61" s="77">
        <f t="shared" si="78"/>
        <v>143</v>
      </c>
      <c r="GW61" s="77">
        <f t="shared" si="78"/>
        <v>144</v>
      </c>
      <c r="GX61" s="77">
        <f t="shared" si="78"/>
        <v>145</v>
      </c>
    </row>
    <row r="62" spans="1:206" ht="15" customHeight="1" x14ac:dyDescent="0.2">
      <c r="A62" s="22" t="s">
        <v>68</v>
      </c>
      <c r="B62" s="22">
        <v>4</v>
      </c>
      <c r="C62" s="22" t="s">
        <v>162</v>
      </c>
      <c r="D62" s="22">
        <v>50</v>
      </c>
      <c r="E62" s="22" t="s">
        <v>164</v>
      </c>
      <c r="F62" s="22" t="s">
        <v>71</v>
      </c>
      <c r="G62" s="22" t="s">
        <v>79</v>
      </c>
      <c r="H62" s="22">
        <v>2011</v>
      </c>
      <c r="I62" s="22">
        <v>15</v>
      </c>
      <c r="J62" s="22">
        <v>16.62</v>
      </c>
      <c r="K62" s="22">
        <v>49</v>
      </c>
      <c r="L62" s="22">
        <v>2476</v>
      </c>
      <c r="M62" s="22">
        <v>2427</v>
      </c>
      <c r="N62" s="22" t="s">
        <v>95</v>
      </c>
      <c r="O62" s="22" t="s">
        <v>96</v>
      </c>
      <c r="P62" s="22" t="s">
        <v>75</v>
      </c>
      <c r="Q62" s="108">
        <f>IF(R62="","",'Dashboard Ciclos'!$B$2-R62)</f>
        <v>46244</v>
      </c>
      <c r="R62" s="22">
        <f>IF($E62="","",IFERROR(INDEX($W62:$GX62,MATCH('Dashboard Ciclos'!$B$2,$W$1:$GX$1,0)),""))</f>
        <v>5</v>
      </c>
      <c r="S62" s="22" t="str">
        <f t="shared" si="45"/>
        <v>En ciclo</v>
      </c>
      <c r="T62" s="22" t="str">
        <f t="shared" si="46"/>
        <v>En ciclo</v>
      </c>
      <c r="U62" s="22">
        <f t="shared" si="47"/>
        <v>7</v>
      </c>
      <c r="V62" s="23">
        <f t="shared" si="48"/>
        <v>46256</v>
      </c>
      <c r="W62" s="77">
        <f t="shared" si="66"/>
        <v>0</v>
      </c>
      <c r="X62" s="77">
        <f t="shared" si="66"/>
        <v>1</v>
      </c>
      <c r="Y62" s="77">
        <f t="shared" si="66"/>
        <v>2</v>
      </c>
      <c r="Z62" s="77">
        <f t="shared" si="66"/>
        <v>3</v>
      </c>
      <c r="AA62" s="77">
        <v>4</v>
      </c>
      <c r="AB62" s="77">
        <f t="shared" si="67"/>
        <v>5</v>
      </c>
      <c r="AC62" s="77">
        <f t="shared" si="67"/>
        <v>6</v>
      </c>
      <c r="AD62" s="77">
        <f t="shared" si="67"/>
        <v>7</v>
      </c>
      <c r="AE62" s="77">
        <f t="shared" si="67"/>
        <v>8</v>
      </c>
      <c r="AF62" s="77">
        <f t="shared" si="67"/>
        <v>9</v>
      </c>
      <c r="AG62" s="77">
        <f t="shared" si="67"/>
        <v>10</v>
      </c>
      <c r="AH62" s="77">
        <f t="shared" si="67"/>
        <v>11</v>
      </c>
      <c r="AI62" s="77">
        <f t="shared" si="67"/>
        <v>12</v>
      </c>
      <c r="AJ62" s="77">
        <f t="shared" si="67"/>
        <v>13</v>
      </c>
      <c r="AK62" s="77">
        <f t="shared" si="65"/>
        <v>14</v>
      </c>
      <c r="AL62" s="77">
        <f t="shared" si="65"/>
        <v>15</v>
      </c>
      <c r="AM62" s="77">
        <f t="shared" si="65"/>
        <v>16</v>
      </c>
      <c r="AN62" s="77">
        <f t="shared" si="65"/>
        <v>17</v>
      </c>
      <c r="AO62" s="77">
        <f t="shared" si="65"/>
        <v>18</v>
      </c>
      <c r="AP62" s="77">
        <f t="shared" si="65"/>
        <v>19</v>
      </c>
      <c r="AQ62" s="77">
        <f t="shared" si="65"/>
        <v>20</v>
      </c>
      <c r="AR62" s="77">
        <v>0</v>
      </c>
      <c r="AS62" s="77">
        <f t="shared" si="77"/>
        <v>1</v>
      </c>
      <c r="AT62" s="77">
        <f t="shared" si="77"/>
        <v>2</v>
      </c>
      <c r="AU62" s="77">
        <f t="shared" si="77"/>
        <v>3</v>
      </c>
      <c r="AV62" s="77">
        <f t="shared" si="77"/>
        <v>4</v>
      </c>
      <c r="AW62" s="77">
        <f t="shared" si="77"/>
        <v>5</v>
      </c>
      <c r="AX62" s="77">
        <f t="shared" si="77"/>
        <v>6</v>
      </c>
      <c r="AY62" s="77">
        <f t="shared" si="77"/>
        <v>7</v>
      </c>
      <c r="AZ62" s="77">
        <f t="shared" si="77"/>
        <v>8</v>
      </c>
      <c r="BA62" s="77">
        <f t="shared" si="77"/>
        <v>9</v>
      </c>
      <c r="BB62" s="77">
        <f t="shared" si="77"/>
        <v>10</v>
      </c>
      <c r="BC62" s="77">
        <f t="shared" si="77"/>
        <v>11</v>
      </c>
      <c r="BD62" s="77">
        <f t="shared" si="77"/>
        <v>12</v>
      </c>
      <c r="BE62" s="77">
        <f t="shared" si="77"/>
        <v>13</v>
      </c>
      <c r="BF62" s="77">
        <f t="shared" si="77"/>
        <v>14</v>
      </c>
      <c r="BG62" s="77">
        <f t="shared" si="77"/>
        <v>15</v>
      </c>
      <c r="BH62" s="77">
        <f t="shared" si="77"/>
        <v>16</v>
      </c>
      <c r="BI62" s="77">
        <f t="shared" si="77"/>
        <v>17</v>
      </c>
      <c r="BJ62" s="77">
        <f t="shared" si="77"/>
        <v>18</v>
      </c>
      <c r="BK62" s="77">
        <v>0</v>
      </c>
      <c r="BL62" s="77">
        <f t="shared" si="77"/>
        <v>1</v>
      </c>
      <c r="BM62" s="77">
        <f t="shared" si="77"/>
        <v>2</v>
      </c>
      <c r="BN62" s="77">
        <f t="shared" si="77"/>
        <v>3</v>
      </c>
      <c r="BO62" s="77">
        <f t="shared" si="77"/>
        <v>4</v>
      </c>
      <c r="BP62" s="77">
        <f t="shared" si="77"/>
        <v>5</v>
      </c>
      <c r="BQ62" s="77">
        <f t="shared" si="77"/>
        <v>6</v>
      </c>
      <c r="BR62" s="77">
        <f t="shared" si="77"/>
        <v>7</v>
      </c>
      <c r="BS62" s="77">
        <f t="shared" si="77"/>
        <v>8</v>
      </c>
      <c r="BT62" s="77">
        <f t="shared" si="77"/>
        <v>9</v>
      </c>
      <c r="BU62" s="77">
        <f t="shared" si="77"/>
        <v>10</v>
      </c>
      <c r="BV62" s="77">
        <f t="shared" si="77"/>
        <v>11</v>
      </c>
      <c r="BW62" s="77">
        <f t="shared" si="77"/>
        <v>12</v>
      </c>
      <c r="BX62" s="77">
        <f t="shared" si="77"/>
        <v>13</v>
      </c>
      <c r="BY62" s="77">
        <f t="shared" si="77"/>
        <v>14</v>
      </c>
      <c r="BZ62" s="77">
        <f t="shared" si="77"/>
        <v>15</v>
      </c>
      <c r="CA62" s="77">
        <f t="shared" si="77"/>
        <v>16</v>
      </c>
      <c r="CB62" s="77">
        <f t="shared" si="77"/>
        <v>17</v>
      </c>
      <c r="CC62" s="77">
        <f t="shared" si="77"/>
        <v>18</v>
      </c>
      <c r="CD62" s="77">
        <f t="shared" si="77"/>
        <v>19</v>
      </c>
      <c r="CE62" s="77">
        <f t="shared" si="77"/>
        <v>20</v>
      </c>
      <c r="CF62" s="77">
        <f t="shared" si="77"/>
        <v>21</v>
      </c>
      <c r="CG62" s="77">
        <f t="shared" si="77"/>
        <v>22</v>
      </c>
      <c r="CH62" s="77">
        <f t="shared" si="77"/>
        <v>23</v>
      </c>
      <c r="CI62" s="77">
        <f t="shared" si="77"/>
        <v>24</v>
      </c>
      <c r="CJ62" s="77">
        <f t="shared" si="77"/>
        <v>25</v>
      </c>
      <c r="CK62" s="77">
        <f t="shared" si="76"/>
        <v>26</v>
      </c>
      <c r="CL62" s="77">
        <f t="shared" si="76"/>
        <v>27</v>
      </c>
      <c r="CM62" s="77">
        <f t="shared" si="76"/>
        <v>28</v>
      </c>
      <c r="CN62" s="77">
        <f t="shared" si="76"/>
        <v>29</v>
      </c>
      <c r="CO62" s="77">
        <f t="shared" si="76"/>
        <v>30</v>
      </c>
      <c r="CP62" s="77">
        <f t="shared" si="76"/>
        <v>31</v>
      </c>
      <c r="CQ62" s="77">
        <f t="shared" si="76"/>
        <v>32</v>
      </c>
      <c r="CR62" s="77">
        <f t="shared" si="76"/>
        <v>33</v>
      </c>
      <c r="CS62" s="77">
        <f t="shared" si="76"/>
        <v>34</v>
      </c>
      <c r="CT62" s="77">
        <f t="shared" si="76"/>
        <v>35</v>
      </c>
      <c r="CU62" s="77">
        <f t="shared" si="76"/>
        <v>36</v>
      </c>
      <c r="CV62" s="77">
        <f t="shared" si="76"/>
        <v>37</v>
      </c>
      <c r="CW62" s="77">
        <f t="shared" si="76"/>
        <v>38</v>
      </c>
      <c r="CX62" s="77">
        <f t="shared" si="76"/>
        <v>39</v>
      </c>
      <c r="CY62" s="77">
        <f t="shared" si="76"/>
        <v>40</v>
      </c>
      <c r="CZ62" s="77">
        <f t="shared" si="76"/>
        <v>41</v>
      </c>
      <c r="DA62" s="77">
        <f t="shared" si="76"/>
        <v>42</v>
      </c>
      <c r="DB62" s="77">
        <f t="shared" si="76"/>
        <v>43</v>
      </c>
      <c r="DC62" s="77">
        <f t="shared" si="76"/>
        <v>44</v>
      </c>
      <c r="DD62" s="77">
        <f t="shared" si="76"/>
        <v>45</v>
      </c>
      <c r="DE62" s="77">
        <f t="shared" si="76"/>
        <v>46</v>
      </c>
      <c r="DF62" s="77">
        <f t="shared" si="76"/>
        <v>47</v>
      </c>
      <c r="DG62" s="77">
        <f t="shared" si="76"/>
        <v>48</v>
      </c>
      <c r="DH62" s="77">
        <f t="shared" si="76"/>
        <v>49</v>
      </c>
      <c r="DI62" s="77">
        <f t="shared" si="76"/>
        <v>50</v>
      </c>
      <c r="DJ62" s="77">
        <f t="shared" si="76"/>
        <v>51</v>
      </c>
      <c r="DK62" s="77">
        <f t="shared" si="76"/>
        <v>52</v>
      </c>
      <c r="DL62" s="77">
        <f t="shared" si="76"/>
        <v>53</v>
      </c>
      <c r="DM62" s="77">
        <f t="shared" si="76"/>
        <v>54</v>
      </c>
      <c r="DN62" s="77">
        <f t="shared" si="76"/>
        <v>55</v>
      </c>
      <c r="DO62" s="77">
        <f t="shared" si="76"/>
        <v>56</v>
      </c>
      <c r="DP62" s="77">
        <f t="shared" si="76"/>
        <v>57</v>
      </c>
      <c r="DQ62" s="77">
        <f t="shared" si="76"/>
        <v>58</v>
      </c>
      <c r="DR62" s="77">
        <f t="shared" si="76"/>
        <v>59</v>
      </c>
      <c r="DS62" s="77">
        <f t="shared" si="76"/>
        <v>60</v>
      </c>
      <c r="DT62" s="77">
        <f t="shared" si="76"/>
        <v>61</v>
      </c>
      <c r="DU62" s="77">
        <f t="shared" si="76"/>
        <v>62</v>
      </c>
      <c r="DV62" s="77">
        <f t="shared" si="76"/>
        <v>63</v>
      </c>
      <c r="DW62" s="77">
        <f t="shared" si="76"/>
        <v>64</v>
      </c>
      <c r="DX62" s="77">
        <f t="shared" si="76"/>
        <v>65</v>
      </c>
      <c r="DY62" s="77">
        <f t="shared" si="76"/>
        <v>66</v>
      </c>
      <c r="DZ62" s="77">
        <f t="shared" si="76"/>
        <v>67</v>
      </c>
      <c r="EA62" s="77">
        <f t="shared" si="76"/>
        <v>68</v>
      </c>
      <c r="EB62" s="77">
        <f t="shared" si="76"/>
        <v>69</v>
      </c>
      <c r="EC62" s="77">
        <f t="shared" si="76"/>
        <v>70</v>
      </c>
      <c r="ED62" s="77">
        <f t="shared" si="76"/>
        <v>71</v>
      </c>
      <c r="EE62" s="77">
        <f t="shared" si="76"/>
        <v>72</v>
      </c>
      <c r="EF62" s="77">
        <f t="shared" si="76"/>
        <v>73</v>
      </c>
      <c r="EG62" s="77">
        <f t="shared" si="76"/>
        <v>74</v>
      </c>
      <c r="EH62" s="77">
        <f t="shared" si="76"/>
        <v>75</v>
      </c>
      <c r="EI62" s="77">
        <f t="shared" si="76"/>
        <v>76</v>
      </c>
      <c r="EJ62" s="77">
        <f t="shared" si="76"/>
        <v>77</v>
      </c>
      <c r="EK62" s="77">
        <f t="shared" si="76"/>
        <v>78</v>
      </c>
      <c r="EL62" s="77">
        <f t="shared" si="76"/>
        <v>79</v>
      </c>
      <c r="EM62" s="77">
        <f t="shared" si="76"/>
        <v>80</v>
      </c>
      <c r="EN62" s="77">
        <f t="shared" si="76"/>
        <v>81</v>
      </c>
      <c r="EO62" s="77">
        <f t="shared" si="76"/>
        <v>82</v>
      </c>
      <c r="EP62" s="77">
        <f t="shared" si="76"/>
        <v>83</v>
      </c>
      <c r="EQ62" s="77">
        <f t="shared" si="76"/>
        <v>84</v>
      </c>
      <c r="ER62" s="77">
        <f t="shared" si="76"/>
        <v>85</v>
      </c>
      <c r="ES62" s="77">
        <f t="shared" si="76"/>
        <v>86</v>
      </c>
      <c r="ET62" s="77">
        <f t="shared" si="76"/>
        <v>87</v>
      </c>
      <c r="EU62" s="77">
        <f t="shared" si="76"/>
        <v>88</v>
      </c>
      <c r="EV62" s="77">
        <f t="shared" ref="EV62:GX66" si="79">IF(EU62="","",EU62+1)</f>
        <v>89</v>
      </c>
      <c r="EW62" s="77">
        <f t="shared" si="79"/>
        <v>90</v>
      </c>
      <c r="EX62" s="77">
        <f t="shared" si="79"/>
        <v>91</v>
      </c>
      <c r="EY62" s="77">
        <f t="shared" si="79"/>
        <v>92</v>
      </c>
      <c r="EZ62" s="77">
        <f t="shared" si="79"/>
        <v>93</v>
      </c>
      <c r="FA62" s="77">
        <f t="shared" si="79"/>
        <v>94</v>
      </c>
      <c r="FB62" s="77">
        <f t="shared" si="79"/>
        <v>95</v>
      </c>
      <c r="FC62" s="77">
        <f t="shared" si="79"/>
        <v>96</v>
      </c>
      <c r="FD62" s="77">
        <f t="shared" si="79"/>
        <v>97</v>
      </c>
      <c r="FE62" s="77">
        <f t="shared" si="79"/>
        <v>98</v>
      </c>
      <c r="FF62" s="77">
        <f t="shared" si="79"/>
        <v>99</v>
      </c>
      <c r="FG62" s="77">
        <f t="shared" si="79"/>
        <v>100</v>
      </c>
      <c r="FH62" s="77">
        <f t="shared" si="79"/>
        <v>101</v>
      </c>
      <c r="FI62" s="77">
        <f t="shared" si="79"/>
        <v>102</v>
      </c>
      <c r="FJ62" s="77">
        <f t="shared" si="79"/>
        <v>103</v>
      </c>
      <c r="FK62" s="77">
        <f t="shared" si="79"/>
        <v>104</v>
      </c>
      <c r="FL62" s="77">
        <f t="shared" si="79"/>
        <v>105</v>
      </c>
      <c r="FM62" s="77">
        <f t="shared" si="79"/>
        <v>106</v>
      </c>
      <c r="FN62" s="77">
        <f t="shared" si="79"/>
        <v>107</v>
      </c>
      <c r="FO62" s="77">
        <f t="shared" si="79"/>
        <v>108</v>
      </c>
      <c r="FP62" s="77">
        <f t="shared" si="79"/>
        <v>109</v>
      </c>
      <c r="FQ62" s="77">
        <f t="shared" si="79"/>
        <v>110</v>
      </c>
      <c r="FR62" s="77">
        <f t="shared" si="79"/>
        <v>111</v>
      </c>
      <c r="FS62" s="77">
        <f t="shared" si="79"/>
        <v>112</v>
      </c>
      <c r="FT62" s="77">
        <f t="shared" si="79"/>
        <v>113</v>
      </c>
      <c r="FU62" s="77">
        <f t="shared" si="79"/>
        <v>114</v>
      </c>
      <c r="FV62" s="77">
        <f t="shared" si="79"/>
        <v>115</v>
      </c>
      <c r="FW62" s="77">
        <f t="shared" si="79"/>
        <v>116</v>
      </c>
      <c r="FX62" s="77">
        <f t="shared" si="79"/>
        <v>117</v>
      </c>
      <c r="FY62" s="77">
        <f t="shared" si="79"/>
        <v>118</v>
      </c>
      <c r="FZ62" s="77">
        <f t="shared" si="79"/>
        <v>119</v>
      </c>
      <c r="GA62" s="77">
        <f t="shared" si="79"/>
        <v>120</v>
      </c>
      <c r="GB62" s="77">
        <f t="shared" si="79"/>
        <v>121</v>
      </c>
      <c r="GC62" s="77">
        <f t="shared" si="79"/>
        <v>122</v>
      </c>
      <c r="GD62" s="77">
        <f t="shared" si="79"/>
        <v>123</v>
      </c>
      <c r="GE62" s="77">
        <f t="shared" si="79"/>
        <v>124</v>
      </c>
      <c r="GF62" s="77">
        <f t="shared" si="79"/>
        <v>125</v>
      </c>
      <c r="GG62" s="77">
        <f t="shared" si="79"/>
        <v>126</v>
      </c>
      <c r="GH62" s="77">
        <f t="shared" si="79"/>
        <v>127</v>
      </c>
      <c r="GI62" s="77">
        <f t="shared" si="79"/>
        <v>128</v>
      </c>
      <c r="GJ62" s="77">
        <f t="shared" si="79"/>
        <v>129</v>
      </c>
      <c r="GK62" s="77">
        <f t="shared" si="79"/>
        <v>130</v>
      </c>
      <c r="GL62" s="77">
        <f t="shared" si="79"/>
        <v>131</v>
      </c>
      <c r="GM62" s="77">
        <f t="shared" si="79"/>
        <v>132</v>
      </c>
      <c r="GN62" s="77">
        <f t="shared" si="79"/>
        <v>133</v>
      </c>
      <c r="GO62" s="77">
        <f t="shared" si="79"/>
        <v>134</v>
      </c>
      <c r="GP62" s="77">
        <f t="shared" si="79"/>
        <v>135</v>
      </c>
      <c r="GQ62" s="77">
        <f t="shared" si="79"/>
        <v>136</v>
      </c>
      <c r="GR62" s="77">
        <f t="shared" si="79"/>
        <v>137</v>
      </c>
      <c r="GS62" s="77">
        <f t="shared" si="79"/>
        <v>138</v>
      </c>
      <c r="GT62" s="77">
        <f t="shared" si="79"/>
        <v>139</v>
      </c>
      <c r="GU62" s="77">
        <f t="shared" si="79"/>
        <v>140</v>
      </c>
      <c r="GV62" s="77">
        <f t="shared" si="79"/>
        <v>141</v>
      </c>
      <c r="GW62" s="77">
        <f t="shared" si="79"/>
        <v>142</v>
      </c>
      <c r="GX62" s="77">
        <f t="shared" si="79"/>
        <v>143</v>
      </c>
    </row>
    <row r="63" spans="1:206" ht="15" customHeight="1" x14ac:dyDescent="0.2">
      <c r="A63" s="22" t="s">
        <v>68</v>
      </c>
      <c r="B63" s="22">
        <v>4</v>
      </c>
      <c r="C63" s="22" t="s">
        <v>162</v>
      </c>
      <c r="D63" s="22">
        <v>51</v>
      </c>
      <c r="E63" s="22" t="s">
        <v>165</v>
      </c>
      <c r="F63" s="22" t="s">
        <v>71</v>
      </c>
      <c r="G63" s="22" t="s">
        <v>79</v>
      </c>
      <c r="H63" s="22">
        <v>2011</v>
      </c>
      <c r="I63" s="22">
        <v>15</v>
      </c>
      <c r="J63" s="22">
        <v>7.58</v>
      </c>
      <c r="K63" s="22">
        <v>0</v>
      </c>
      <c r="L63" s="22">
        <v>1057</v>
      </c>
      <c r="M63" s="22">
        <v>1057</v>
      </c>
      <c r="N63" s="22" t="s">
        <v>95</v>
      </c>
      <c r="O63" s="22" t="s">
        <v>96</v>
      </c>
      <c r="P63" s="22" t="s">
        <v>75</v>
      </c>
      <c r="Q63" s="108">
        <f>IF(R63="","",'Dashboard Ciclos'!$B$2-R63)</f>
        <v>46244</v>
      </c>
      <c r="R63" s="22">
        <f>IF($E63="","",IFERROR(INDEX($W63:$GX63,MATCH('Dashboard Ciclos'!$B$2,$W$1:$GX$1,0)),""))</f>
        <v>5</v>
      </c>
      <c r="S63" s="22" t="str">
        <f t="shared" si="45"/>
        <v>En ciclo</v>
      </c>
      <c r="T63" s="22" t="str">
        <f t="shared" si="46"/>
        <v>En ciclo</v>
      </c>
      <c r="U63" s="22">
        <f t="shared" si="47"/>
        <v>7</v>
      </c>
      <c r="V63" s="23">
        <f t="shared" si="48"/>
        <v>46256</v>
      </c>
      <c r="W63" s="77">
        <f t="shared" si="66"/>
        <v>0</v>
      </c>
      <c r="X63" s="77">
        <f t="shared" si="66"/>
        <v>1</v>
      </c>
      <c r="Y63" s="77">
        <f t="shared" si="66"/>
        <v>2</v>
      </c>
      <c r="Z63" s="77">
        <f t="shared" si="66"/>
        <v>3</v>
      </c>
      <c r="AA63" s="77">
        <v>4</v>
      </c>
      <c r="AB63" s="77">
        <f t="shared" si="67"/>
        <v>5</v>
      </c>
      <c r="AC63" s="77">
        <f t="shared" si="67"/>
        <v>6</v>
      </c>
      <c r="AD63" s="77">
        <f t="shared" si="67"/>
        <v>7</v>
      </c>
      <c r="AE63" s="77">
        <f t="shared" si="67"/>
        <v>8</v>
      </c>
      <c r="AF63" s="77">
        <f t="shared" si="67"/>
        <v>9</v>
      </c>
      <c r="AG63" s="77">
        <f t="shared" si="67"/>
        <v>10</v>
      </c>
      <c r="AH63" s="77">
        <f t="shared" si="67"/>
        <v>11</v>
      </c>
      <c r="AI63" s="77">
        <f t="shared" si="67"/>
        <v>12</v>
      </c>
      <c r="AJ63" s="77">
        <f t="shared" si="67"/>
        <v>13</v>
      </c>
      <c r="AK63" s="77">
        <f t="shared" si="65"/>
        <v>14</v>
      </c>
      <c r="AL63" s="77">
        <f t="shared" si="65"/>
        <v>15</v>
      </c>
      <c r="AM63" s="77">
        <f t="shared" si="65"/>
        <v>16</v>
      </c>
      <c r="AN63" s="77">
        <f t="shared" si="65"/>
        <v>17</v>
      </c>
      <c r="AO63" s="77">
        <f t="shared" si="65"/>
        <v>18</v>
      </c>
      <c r="AP63" s="77">
        <f t="shared" si="65"/>
        <v>19</v>
      </c>
      <c r="AQ63" s="77">
        <f t="shared" si="65"/>
        <v>20</v>
      </c>
      <c r="AR63" s="77">
        <v>0</v>
      </c>
      <c r="AS63" s="77">
        <f t="shared" si="77"/>
        <v>1</v>
      </c>
      <c r="AT63" s="77">
        <f t="shared" si="77"/>
        <v>2</v>
      </c>
      <c r="AU63" s="77">
        <f t="shared" si="77"/>
        <v>3</v>
      </c>
      <c r="AV63" s="77">
        <f t="shared" si="77"/>
        <v>4</v>
      </c>
      <c r="AW63" s="77">
        <f t="shared" si="77"/>
        <v>5</v>
      </c>
      <c r="AX63" s="77">
        <f t="shared" si="77"/>
        <v>6</v>
      </c>
      <c r="AY63" s="77">
        <f t="shared" si="77"/>
        <v>7</v>
      </c>
      <c r="AZ63" s="77">
        <f t="shared" si="77"/>
        <v>8</v>
      </c>
      <c r="BA63" s="77">
        <f t="shared" si="77"/>
        <v>9</v>
      </c>
      <c r="BB63" s="77">
        <f t="shared" si="77"/>
        <v>10</v>
      </c>
      <c r="BC63" s="77">
        <f t="shared" si="77"/>
        <v>11</v>
      </c>
      <c r="BD63" s="77">
        <f t="shared" si="77"/>
        <v>12</v>
      </c>
      <c r="BE63" s="77">
        <f t="shared" si="77"/>
        <v>13</v>
      </c>
      <c r="BF63" s="77">
        <f t="shared" si="77"/>
        <v>14</v>
      </c>
      <c r="BG63" s="77">
        <f t="shared" si="77"/>
        <v>15</v>
      </c>
      <c r="BH63" s="77">
        <f t="shared" si="77"/>
        <v>16</v>
      </c>
      <c r="BI63" s="77">
        <f t="shared" si="77"/>
        <v>17</v>
      </c>
      <c r="BJ63" s="77">
        <f t="shared" si="77"/>
        <v>18</v>
      </c>
      <c r="BK63" s="77">
        <v>0</v>
      </c>
      <c r="BL63" s="77">
        <f t="shared" si="77"/>
        <v>1</v>
      </c>
      <c r="BM63" s="77">
        <f t="shared" si="77"/>
        <v>2</v>
      </c>
      <c r="BN63" s="77">
        <f t="shared" si="77"/>
        <v>3</v>
      </c>
      <c r="BO63" s="77">
        <f t="shared" si="77"/>
        <v>4</v>
      </c>
      <c r="BP63" s="77">
        <f t="shared" si="77"/>
        <v>5</v>
      </c>
      <c r="BQ63" s="77">
        <f t="shared" si="77"/>
        <v>6</v>
      </c>
      <c r="BR63" s="77">
        <f t="shared" si="77"/>
        <v>7</v>
      </c>
      <c r="BS63" s="77">
        <f t="shared" si="77"/>
        <v>8</v>
      </c>
      <c r="BT63" s="77">
        <f t="shared" si="77"/>
        <v>9</v>
      </c>
      <c r="BU63" s="77">
        <f t="shared" si="77"/>
        <v>10</v>
      </c>
      <c r="BV63" s="77">
        <f t="shared" si="77"/>
        <v>11</v>
      </c>
      <c r="BW63" s="77">
        <f t="shared" si="77"/>
        <v>12</v>
      </c>
      <c r="BX63" s="77">
        <f t="shared" si="77"/>
        <v>13</v>
      </c>
      <c r="BY63" s="77">
        <f t="shared" si="77"/>
        <v>14</v>
      </c>
      <c r="BZ63" s="77">
        <f t="shared" si="77"/>
        <v>15</v>
      </c>
      <c r="CA63" s="77">
        <f t="shared" si="77"/>
        <v>16</v>
      </c>
      <c r="CB63" s="77">
        <f t="shared" si="77"/>
        <v>17</v>
      </c>
      <c r="CC63" s="77">
        <f t="shared" si="77"/>
        <v>18</v>
      </c>
      <c r="CD63" s="77">
        <f t="shared" si="77"/>
        <v>19</v>
      </c>
      <c r="CE63" s="77">
        <f t="shared" si="77"/>
        <v>20</v>
      </c>
      <c r="CF63" s="77">
        <f t="shared" si="77"/>
        <v>21</v>
      </c>
      <c r="CG63" s="77">
        <f t="shared" si="77"/>
        <v>22</v>
      </c>
      <c r="CH63" s="77">
        <f t="shared" si="77"/>
        <v>23</v>
      </c>
      <c r="CI63" s="77">
        <f t="shared" si="77"/>
        <v>24</v>
      </c>
      <c r="CJ63" s="77">
        <f t="shared" ref="CJ63:EU67" si="80">IF(CI63="","",CI63+1)</f>
        <v>25</v>
      </c>
      <c r="CK63" s="77">
        <f t="shared" si="80"/>
        <v>26</v>
      </c>
      <c r="CL63" s="77">
        <f t="shared" si="80"/>
        <v>27</v>
      </c>
      <c r="CM63" s="77">
        <f t="shared" si="80"/>
        <v>28</v>
      </c>
      <c r="CN63" s="77">
        <f t="shared" si="80"/>
        <v>29</v>
      </c>
      <c r="CO63" s="77">
        <f t="shared" si="80"/>
        <v>30</v>
      </c>
      <c r="CP63" s="77">
        <f t="shared" si="80"/>
        <v>31</v>
      </c>
      <c r="CQ63" s="77">
        <f t="shared" si="80"/>
        <v>32</v>
      </c>
      <c r="CR63" s="77">
        <f t="shared" si="80"/>
        <v>33</v>
      </c>
      <c r="CS63" s="77">
        <f t="shared" si="80"/>
        <v>34</v>
      </c>
      <c r="CT63" s="77">
        <f t="shared" si="80"/>
        <v>35</v>
      </c>
      <c r="CU63" s="77">
        <f t="shared" si="80"/>
        <v>36</v>
      </c>
      <c r="CV63" s="77">
        <f t="shared" si="80"/>
        <v>37</v>
      </c>
      <c r="CW63" s="77">
        <f t="shared" si="80"/>
        <v>38</v>
      </c>
      <c r="CX63" s="77">
        <f t="shared" si="80"/>
        <v>39</v>
      </c>
      <c r="CY63" s="77">
        <f t="shared" si="80"/>
        <v>40</v>
      </c>
      <c r="CZ63" s="77">
        <f t="shared" si="80"/>
        <v>41</v>
      </c>
      <c r="DA63" s="77">
        <f t="shared" si="80"/>
        <v>42</v>
      </c>
      <c r="DB63" s="77">
        <f t="shared" si="80"/>
        <v>43</v>
      </c>
      <c r="DC63" s="77">
        <f t="shared" si="80"/>
        <v>44</v>
      </c>
      <c r="DD63" s="77">
        <f t="shared" si="80"/>
        <v>45</v>
      </c>
      <c r="DE63" s="77">
        <f t="shared" si="80"/>
        <v>46</v>
      </c>
      <c r="DF63" s="77">
        <f t="shared" si="80"/>
        <v>47</v>
      </c>
      <c r="DG63" s="77">
        <f t="shared" si="80"/>
        <v>48</v>
      </c>
      <c r="DH63" s="77">
        <f t="shared" si="80"/>
        <v>49</v>
      </c>
      <c r="DI63" s="77">
        <f t="shared" si="80"/>
        <v>50</v>
      </c>
      <c r="DJ63" s="77">
        <f t="shared" si="80"/>
        <v>51</v>
      </c>
      <c r="DK63" s="77">
        <f t="shared" si="80"/>
        <v>52</v>
      </c>
      <c r="DL63" s="77">
        <f t="shared" si="80"/>
        <v>53</v>
      </c>
      <c r="DM63" s="77">
        <f t="shared" si="80"/>
        <v>54</v>
      </c>
      <c r="DN63" s="77">
        <f t="shared" si="80"/>
        <v>55</v>
      </c>
      <c r="DO63" s="77">
        <f t="shared" si="80"/>
        <v>56</v>
      </c>
      <c r="DP63" s="77">
        <f t="shared" si="80"/>
        <v>57</v>
      </c>
      <c r="DQ63" s="77">
        <f t="shared" si="80"/>
        <v>58</v>
      </c>
      <c r="DR63" s="77">
        <f t="shared" si="80"/>
        <v>59</v>
      </c>
      <c r="DS63" s="77">
        <f t="shared" si="80"/>
        <v>60</v>
      </c>
      <c r="DT63" s="77">
        <f t="shared" si="80"/>
        <v>61</v>
      </c>
      <c r="DU63" s="77">
        <f t="shared" si="80"/>
        <v>62</v>
      </c>
      <c r="DV63" s="77">
        <f t="shared" si="80"/>
        <v>63</v>
      </c>
      <c r="DW63" s="77">
        <f t="shared" si="80"/>
        <v>64</v>
      </c>
      <c r="DX63" s="77">
        <f t="shared" si="80"/>
        <v>65</v>
      </c>
      <c r="DY63" s="77">
        <f t="shared" si="80"/>
        <v>66</v>
      </c>
      <c r="DZ63" s="77">
        <f t="shared" si="80"/>
        <v>67</v>
      </c>
      <c r="EA63" s="77">
        <f t="shared" si="80"/>
        <v>68</v>
      </c>
      <c r="EB63" s="77">
        <f t="shared" si="80"/>
        <v>69</v>
      </c>
      <c r="EC63" s="77">
        <f t="shared" si="80"/>
        <v>70</v>
      </c>
      <c r="ED63" s="77">
        <f t="shared" si="80"/>
        <v>71</v>
      </c>
      <c r="EE63" s="77">
        <f t="shared" si="80"/>
        <v>72</v>
      </c>
      <c r="EF63" s="77">
        <f t="shared" si="80"/>
        <v>73</v>
      </c>
      <c r="EG63" s="77">
        <f t="shared" si="80"/>
        <v>74</v>
      </c>
      <c r="EH63" s="77">
        <f t="shared" si="80"/>
        <v>75</v>
      </c>
      <c r="EI63" s="77">
        <f t="shared" si="80"/>
        <v>76</v>
      </c>
      <c r="EJ63" s="77">
        <f t="shared" si="80"/>
        <v>77</v>
      </c>
      <c r="EK63" s="77">
        <f t="shared" si="80"/>
        <v>78</v>
      </c>
      <c r="EL63" s="77">
        <f t="shared" si="80"/>
        <v>79</v>
      </c>
      <c r="EM63" s="77">
        <f t="shared" si="80"/>
        <v>80</v>
      </c>
      <c r="EN63" s="77">
        <f t="shared" si="80"/>
        <v>81</v>
      </c>
      <c r="EO63" s="77">
        <f t="shared" si="80"/>
        <v>82</v>
      </c>
      <c r="EP63" s="77">
        <f t="shared" si="80"/>
        <v>83</v>
      </c>
      <c r="EQ63" s="77">
        <f t="shared" si="80"/>
        <v>84</v>
      </c>
      <c r="ER63" s="77">
        <f t="shared" si="80"/>
        <v>85</v>
      </c>
      <c r="ES63" s="77">
        <f t="shared" si="80"/>
        <v>86</v>
      </c>
      <c r="ET63" s="77">
        <f t="shared" si="80"/>
        <v>87</v>
      </c>
      <c r="EU63" s="77">
        <f t="shared" si="80"/>
        <v>88</v>
      </c>
      <c r="EV63" s="77">
        <f t="shared" si="79"/>
        <v>89</v>
      </c>
      <c r="EW63" s="77">
        <f t="shared" si="79"/>
        <v>90</v>
      </c>
      <c r="EX63" s="77">
        <f t="shared" si="79"/>
        <v>91</v>
      </c>
      <c r="EY63" s="77">
        <f t="shared" si="79"/>
        <v>92</v>
      </c>
      <c r="EZ63" s="77">
        <f t="shared" si="79"/>
        <v>93</v>
      </c>
      <c r="FA63" s="77">
        <f t="shared" si="79"/>
        <v>94</v>
      </c>
      <c r="FB63" s="77">
        <f t="shared" si="79"/>
        <v>95</v>
      </c>
      <c r="FC63" s="77">
        <f t="shared" si="79"/>
        <v>96</v>
      </c>
      <c r="FD63" s="77">
        <f t="shared" si="79"/>
        <v>97</v>
      </c>
      <c r="FE63" s="77">
        <f t="shared" si="79"/>
        <v>98</v>
      </c>
      <c r="FF63" s="77">
        <f t="shared" si="79"/>
        <v>99</v>
      </c>
      <c r="FG63" s="77">
        <f t="shared" si="79"/>
        <v>100</v>
      </c>
      <c r="FH63" s="77">
        <f t="shared" si="79"/>
        <v>101</v>
      </c>
      <c r="FI63" s="77">
        <f t="shared" si="79"/>
        <v>102</v>
      </c>
      <c r="FJ63" s="77">
        <f t="shared" si="79"/>
        <v>103</v>
      </c>
      <c r="FK63" s="77">
        <f t="shared" si="79"/>
        <v>104</v>
      </c>
      <c r="FL63" s="77">
        <f t="shared" si="79"/>
        <v>105</v>
      </c>
      <c r="FM63" s="77">
        <f t="shared" si="79"/>
        <v>106</v>
      </c>
      <c r="FN63" s="77">
        <f t="shared" si="79"/>
        <v>107</v>
      </c>
      <c r="FO63" s="77">
        <f t="shared" si="79"/>
        <v>108</v>
      </c>
      <c r="FP63" s="77">
        <f t="shared" si="79"/>
        <v>109</v>
      </c>
      <c r="FQ63" s="77">
        <f t="shared" si="79"/>
        <v>110</v>
      </c>
      <c r="FR63" s="77">
        <f t="shared" si="79"/>
        <v>111</v>
      </c>
      <c r="FS63" s="77">
        <f t="shared" si="79"/>
        <v>112</v>
      </c>
      <c r="FT63" s="77">
        <f t="shared" si="79"/>
        <v>113</v>
      </c>
      <c r="FU63" s="77">
        <f t="shared" si="79"/>
        <v>114</v>
      </c>
      <c r="FV63" s="77">
        <f t="shared" si="79"/>
        <v>115</v>
      </c>
      <c r="FW63" s="77">
        <f t="shared" si="79"/>
        <v>116</v>
      </c>
      <c r="FX63" s="77">
        <f t="shared" si="79"/>
        <v>117</v>
      </c>
      <c r="FY63" s="77">
        <f t="shared" si="79"/>
        <v>118</v>
      </c>
      <c r="FZ63" s="77">
        <f t="shared" si="79"/>
        <v>119</v>
      </c>
      <c r="GA63" s="77">
        <f t="shared" si="79"/>
        <v>120</v>
      </c>
      <c r="GB63" s="77">
        <f t="shared" si="79"/>
        <v>121</v>
      </c>
      <c r="GC63" s="77">
        <f t="shared" si="79"/>
        <v>122</v>
      </c>
      <c r="GD63" s="77">
        <f t="shared" si="79"/>
        <v>123</v>
      </c>
      <c r="GE63" s="77">
        <f t="shared" si="79"/>
        <v>124</v>
      </c>
      <c r="GF63" s="77">
        <f t="shared" si="79"/>
        <v>125</v>
      </c>
      <c r="GG63" s="77">
        <f t="shared" si="79"/>
        <v>126</v>
      </c>
      <c r="GH63" s="77">
        <f t="shared" si="79"/>
        <v>127</v>
      </c>
      <c r="GI63" s="77">
        <f t="shared" si="79"/>
        <v>128</v>
      </c>
      <c r="GJ63" s="77">
        <f t="shared" si="79"/>
        <v>129</v>
      </c>
      <c r="GK63" s="77">
        <f t="shared" si="79"/>
        <v>130</v>
      </c>
      <c r="GL63" s="77">
        <f t="shared" si="79"/>
        <v>131</v>
      </c>
      <c r="GM63" s="77">
        <f t="shared" si="79"/>
        <v>132</v>
      </c>
      <c r="GN63" s="77">
        <f t="shared" si="79"/>
        <v>133</v>
      </c>
      <c r="GO63" s="77">
        <f t="shared" si="79"/>
        <v>134</v>
      </c>
      <c r="GP63" s="77">
        <f t="shared" si="79"/>
        <v>135</v>
      </c>
      <c r="GQ63" s="77">
        <f t="shared" si="79"/>
        <v>136</v>
      </c>
      <c r="GR63" s="77">
        <f t="shared" si="79"/>
        <v>137</v>
      </c>
      <c r="GS63" s="77">
        <f t="shared" si="79"/>
        <v>138</v>
      </c>
      <c r="GT63" s="77">
        <f t="shared" si="79"/>
        <v>139</v>
      </c>
      <c r="GU63" s="77">
        <f t="shared" si="79"/>
        <v>140</v>
      </c>
      <c r="GV63" s="77">
        <f t="shared" si="79"/>
        <v>141</v>
      </c>
      <c r="GW63" s="77">
        <f t="shared" si="79"/>
        <v>142</v>
      </c>
      <c r="GX63" s="77">
        <f t="shared" si="79"/>
        <v>143</v>
      </c>
    </row>
    <row r="64" spans="1:206" ht="15" customHeight="1" x14ac:dyDescent="0.2">
      <c r="A64" s="22" t="s">
        <v>68</v>
      </c>
      <c r="B64" s="22">
        <v>4</v>
      </c>
      <c r="C64" s="22" t="s">
        <v>162</v>
      </c>
      <c r="D64" s="22">
        <v>52</v>
      </c>
      <c r="E64" s="22" t="s">
        <v>166</v>
      </c>
      <c r="F64" s="22" t="s">
        <v>78</v>
      </c>
      <c r="G64" s="22" t="s">
        <v>79</v>
      </c>
      <c r="H64" s="22">
        <v>2011</v>
      </c>
      <c r="I64" s="22">
        <v>15</v>
      </c>
      <c r="J64" s="22">
        <v>20.2</v>
      </c>
      <c r="K64" s="22">
        <v>40</v>
      </c>
      <c r="L64" s="22">
        <v>2858</v>
      </c>
      <c r="M64" s="22">
        <v>2818</v>
      </c>
      <c r="N64" s="22" t="s">
        <v>95</v>
      </c>
      <c r="O64" s="22" t="s">
        <v>96</v>
      </c>
      <c r="P64" s="22" t="s">
        <v>75</v>
      </c>
      <c r="Q64" s="108">
        <f>IF(R64="","",'Dashboard Ciclos'!$B$2-R64)</f>
        <v>46244</v>
      </c>
      <c r="R64" s="22">
        <f>IF($E64="","",IFERROR(INDEX($W64:$GX64,MATCH('Dashboard Ciclos'!$B$2,$W$1:$GX$1,0)),""))</f>
        <v>5</v>
      </c>
      <c r="S64" s="22" t="str">
        <f t="shared" si="45"/>
        <v>En ciclo</v>
      </c>
      <c r="T64" s="22" t="str">
        <f t="shared" si="46"/>
        <v>En ciclo</v>
      </c>
      <c r="U64" s="22">
        <f t="shared" si="47"/>
        <v>7</v>
      </c>
      <c r="V64" s="23">
        <f t="shared" si="48"/>
        <v>46256</v>
      </c>
      <c r="W64" s="77">
        <f t="shared" si="66"/>
        <v>-1</v>
      </c>
      <c r="X64" s="77">
        <f t="shared" si="66"/>
        <v>0</v>
      </c>
      <c r="Y64" s="77">
        <f t="shared" si="66"/>
        <v>1</v>
      </c>
      <c r="Z64" s="77">
        <f t="shared" si="66"/>
        <v>2</v>
      </c>
      <c r="AA64" s="77">
        <v>3</v>
      </c>
      <c r="AB64" s="77">
        <f t="shared" si="67"/>
        <v>4</v>
      </c>
      <c r="AC64" s="77">
        <f t="shared" si="67"/>
        <v>5</v>
      </c>
      <c r="AD64" s="77">
        <f t="shared" si="67"/>
        <v>6</v>
      </c>
      <c r="AE64" s="77">
        <f t="shared" si="67"/>
        <v>7</v>
      </c>
      <c r="AF64" s="77">
        <f t="shared" si="67"/>
        <v>8</v>
      </c>
      <c r="AG64" s="77">
        <f t="shared" si="67"/>
        <v>9</v>
      </c>
      <c r="AH64" s="77">
        <f t="shared" si="67"/>
        <v>10</v>
      </c>
      <c r="AI64" s="77">
        <f t="shared" si="67"/>
        <v>11</v>
      </c>
      <c r="AJ64" s="77">
        <f t="shared" si="67"/>
        <v>12</v>
      </c>
      <c r="AK64" s="77">
        <f t="shared" si="65"/>
        <v>13</v>
      </c>
      <c r="AL64" s="77">
        <f t="shared" si="65"/>
        <v>14</v>
      </c>
      <c r="AM64" s="77">
        <f t="shared" si="65"/>
        <v>15</v>
      </c>
      <c r="AN64" s="77">
        <f t="shared" si="65"/>
        <v>16</v>
      </c>
      <c r="AO64" s="77">
        <f t="shared" si="65"/>
        <v>17</v>
      </c>
      <c r="AP64" s="77">
        <f t="shared" si="65"/>
        <v>18</v>
      </c>
      <c r="AQ64" s="77">
        <f t="shared" si="65"/>
        <v>19</v>
      </c>
      <c r="AR64" s="77">
        <f t="shared" si="65"/>
        <v>20</v>
      </c>
      <c r="AS64" s="77">
        <v>0</v>
      </c>
      <c r="AT64" s="77">
        <f t="shared" ref="AS64:CJ67" si="81">IF(AS64="","",AS64+1)</f>
        <v>1</v>
      </c>
      <c r="AU64" s="77">
        <f t="shared" si="81"/>
        <v>2</v>
      </c>
      <c r="AV64" s="77">
        <f t="shared" si="81"/>
        <v>3</v>
      </c>
      <c r="AW64" s="77">
        <f t="shared" si="81"/>
        <v>4</v>
      </c>
      <c r="AX64" s="77">
        <f t="shared" si="81"/>
        <v>5</v>
      </c>
      <c r="AY64" s="77">
        <f t="shared" si="81"/>
        <v>6</v>
      </c>
      <c r="AZ64" s="77">
        <f t="shared" si="81"/>
        <v>7</v>
      </c>
      <c r="BA64" s="77">
        <f t="shared" si="81"/>
        <v>8</v>
      </c>
      <c r="BB64" s="77">
        <f t="shared" si="81"/>
        <v>9</v>
      </c>
      <c r="BC64" s="77">
        <f t="shared" si="81"/>
        <v>10</v>
      </c>
      <c r="BD64" s="77">
        <f t="shared" si="81"/>
        <v>11</v>
      </c>
      <c r="BE64" s="77">
        <f t="shared" si="81"/>
        <v>12</v>
      </c>
      <c r="BF64" s="77">
        <f t="shared" si="81"/>
        <v>13</v>
      </c>
      <c r="BG64" s="77">
        <f t="shared" si="81"/>
        <v>14</v>
      </c>
      <c r="BH64" s="77">
        <f t="shared" si="81"/>
        <v>15</v>
      </c>
      <c r="BI64" s="77">
        <f t="shared" si="81"/>
        <v>16</v>
      </c>
      <c r="BJ64" s="77">
        <f t="shared" si="81"/>
        <v>17</v>
      </c>
      <c r="BK64" s="77">
        <v>0</v>
      </c>
      <c r="BL64" s="77">
        <f t="shared" si="81"/>
        <v>1</v>
      </c>
      <c r="BM64" s="77">
        <f t="shared" si="81"/>
        <v>2</v>
      </c>
      <c r="BN64" s="77">
        <f t="shared" si="81"/>
        <v>3</v>
      </c>
      <c r="BO64" s="77">
        <f t="shared" si="81"/>
        <v>4</v>
      </c>
      <c r="BP64" s="77">
        <f t="shared" si="81"/>
        <v>5</v>
      </c>
      <c r="BQ64" s="77">
        <f t="shared" si="81"/>
        <v>6</v>
      </c>
      <c r="BR64" s="77">
        <f t="shared" si="81"/>
        <v>7</v>
      </c>
      <c r="BS64" s="77">
        <f t="shared" si="81"/>
        <v>8</v>
      </c>
      <c r="BT64" s="77">
        <f t="shared" si="81"/>
        <v>9</v>
      </c>
      <c r="BU64" s="77">
        <f t="shared" si="81"/>
        <v>10</v>
      </c>
      <c r="BV64" s="77">
        <f t="shared" si="81"/>
        <v>11</v>
      </c>
      <c r="BW64" s="77">
        <f t="shared" si="81"/>
        <v>12</v>
      </c>
      <c r="BX64" s="77">
        <f t="shared" si="81"/>
        <v>13</v>
      </c>
      <c r="BY64" s="77">
        <f t="shared" si="81"/>
        <v>14</v>
      </c>
      <c r="BZ64" s="77">
        <f t="shared" si="81"/>
        <v>15</v>
      </c>
      <c r="CA64" s="77">
        <f t="shared" si="81"/>
        <v>16</v>
      </c>
      <c r="CB64" s="77">
        <f t="shared" si="81"/>
        <v>17</v>
      </c>
      <c r="CC64" s="77">
        <f t="shared" si="81"/>
        <v>18</v>
      </c>
      <c r="CD64" s="77">
        <f t="shared" si="81"/>
        <v>19</v>
      </c>
      <c r="CE64" s="77">
        <f t="shared" si="81"/>
        <v>20</v>
      </c>
      <c r="CF64" s="77">
        <f t="shared" si="81"/>
        <v>21</v>
      </c>
      <c r="CG64" s="77">
        <f t="shared" si="81"/>
        <v>22</v>
      </c>
      <c r="CH64" s="77">
        <f t="shared" si="81"/>
        <v>23</v>
      </c>
      <c r="CI64" s="77">
        <f t="shared" si="81"/>
        <v>24</v>
      </c>
      <c r="CJ64" s="77">
        <f t="shared" si="81"/>
        <v>25</v>
      </c>
      <c r="CK64" s="77">
        <f t="shared" si="80"/>
        <v>26</v>
      </c>
      <c r="CL64" s="77">
        <f t="shared" si="80"/>
        <v>27</v>
      </c>
      <c r="CM64" s="77">
        <f t="shared" si="80"/>
        <v>28</v>
      </c>
      <c r="CN64" s="77">
        <f t="shared" si="80"/>
        <v>29</v>
      </c>
      <c r="CO64" s="77">
        <f t="shared" si="80"/>
        <v>30</v>
      </c>
      <c r="CP64" s="77">
        <f t="shared" si="80"/>
        <v>31</v>
      </c>
      <c r="CQ64" s="77">
        <f t="shared" si="80"/>
        <v>32</v>
      </c>
      <c r="CR64" s="77">
        <f t="shared" si="80"/>
        <v>33</v>
      </c>
      <c r="CS64" s="77">
        <f t="shared" si="80"/>
        <v>34</v>
      </c>
      <c r="CT64" s="77">
        <f t="shared" si="80"/>
        <v>35</v>
      </c>
      <c r="CU64" s="77">
        <f t="shared" si="80"/>
        <v>36</v>
      </c>
      <c r="CV64" s="77">
        <f t="shared" si="80"/>
        <v>37</v>
      </c>
      <c r="CW64" s="77">
        <f t="shared" si="80"/>
        <v>38</v>
      </c>
      <c r="CX64" s="77">
        <f t="shared" si="80"/>
        <v>39</v>
      </c>
      <c r="CY64" s="77">
        <f t="shared" si="80"/>
        <v>40</v>
      </c>
      <c r="CZ64" s="77">
        <f t="shared" si="80"/>
        <v>41</v>
      </c>
      <c r="DA64" s="77">
        <f t="shared" si="80"/>
        <v>42</v>
      </c>
      <c r="DB64" s="77">
        <f t="shared" si="80"/>
        <v>43</v>
      </c>
      <c r="DC64" s="77">
        <f t="shared" si="80"/>
        <v>44</v>
      </c>
      <c r="DD64" s="77">
        <f t="shared" si="80"/>
        <v>45</v>
      </c>
      <c r="DE64" s="77">
        <f t="shared" si="80"/>
        <v>46</v>
      </c>
      <c r="DF64" s="77">
        <f t="shared" si="80"/>
        <v>47</v>
      </c>
      <c r="DG64" s="77">
        <f t="shared" si="80"/>
        <v>48</v>
      </c>
      <c r="DH64" s="77">
        <f t="shared" si="80"/>
        <v>49</v>
      </c>
      <c r="DI64" s="77">
        <f t="shared" si="80"/>
        <v>50</v>
      </c>
      <c r="DJ64" s="77">
        <f t="shared" si="80"/>
        <v>51</v>
      </c>
      <c r="DK64" s="77">
        <f t="shared" si="80"/>
        <v>52</v>
      </c>
      <c r="DL64" s="77">
        <f t="shared" si="80"/>
        <v>53</v>
      </c>
      <c r="DM64" s="77">
        <f t="shared" si="80"/>
        <v>54</v>
      </c>
      <c r="DN64" s="77">
        <f t="shared" si="80"/>
        <v>55</v>
      </c>
      <c r="DO64" s="77">
        <f t="shared" si="80"/>
        <v>56</v>
      </c>
      <c r="DP64" s="77">
        <f t="shared" si="80"/>
        <v>57</v>
      </c>
      <c r="DQ64" s="77">
        <f t="shared" si="80"/>
        <v>58</v>
      </c>
      <c r="DR64" s="77">
        <f t="shared" si="80"/>
        <v>59</v>
      </c>
      <c r="DS64" s="77">
        <f t="shared" si="80"/>
        <v>60</v>
      </c>
      <c r="DT64" s="77">
        <f t="shared" si="80"/>
        <v>61</v>
      </c>
      <c r="DU64" s="77">
        <f t="shared" si="80"/>
        <v>62</v>
      </c>
      <c r="DV64" s="77">
        <f t="shared" si="80"/>
        <v>63</v>
      </c>
      <c r="DW64" s="77">
        <f t="shared" si="80"/>
        <v>64</v>
      </c>
      <c r="DX64" s="77">
        <f t="shared" si="80"/>
        <v>65</v>
      </c>
      <c r="DY64" s="77">
        <f t="shared" si="80"/>
        <v>66</v>
      </c>
      <c r="DZ64" s="77">
        <f t="shared" si="80"/>
        <v>67</v>
      </c>
      <c r="EA64" s="77">
        <f t="shared" si="80"/>
        <v>68</v>
      </c>
      <c r="EB64" s="77">
        <f t="shared" si="80"/>
        <v>69</v>
      </c>
      <c r="EC64" s="77">
        <f t="shared" si="80"/>
        <v>70</v>
      </c>
      <c r="ED64" s="77">
        <f t="shared" si="80"/>
        <v>71</v>
      </c>
      <c r="EE64" s="77">
        <f t="shared" si="80"/>
        <v>72</v>
      </c>
      <c r="EF64" s="77">
        <f t="shared" si="80"/>
        <v>73</v>
      </c>
      <c r="EG64" s="77">
        <f t="shared" si="80"/>
        <v>74</v>
      </c>
      <c r="EH64" s="77">
        <f t="shared" si="80"/>
        <v>75</v>
      </c>
      <c r="EI64" s="77">
        <f t="shared" si="80"/>
        <v>76</v>
      </c>
      <c r="EJ64" s="77">
        <f t="shared" si="80"/>
        <v>77</v>
      </c>
      <c r="EK64" s="77">
        <f t="shared" si="80"/>
        <v>78</v>
      </c>
      <c r="EL64" s="77">
        <f t="shared" si="80"/>
        <v>79</v>
      </c>
      <c r="EM64" s="77">
        <f t="shared" si="80"/>
        <v>80</v>
      </c>
      <c r="EN64" s="77">
        <f t="shared" si="80"/>
        <v>81</v>
      </c>
      <c r="EO64" s="77">
        <f t="shared" si="80"/>
        <v>82</v>
      </c>
      <c r="EP64" s="77">
        <f t="shared" si="80"/>
        <v>83</v>
      </c>
      <c r="EQ64" s="77">
        <f t="shared" si="80"/>
        <v>84</v>
      </c>
      <c r="ER64" s="77">
        <f t="shared" si="80"/>
        <v>85</v>
      </c>
      <c r="ES64" s="77">
        <f t="shared" si="80"/>
        <v>86</v>
      </c>
      <c r="ET64" s="77">
        <f t="shared" si="80"/>
        <v>87</v>
      </c>
      <c r="EU64" s="77">
        <f t="shared" si="80"/>
        <v>88</v>
      </c>
      <c r="EV64" s="77">
        <f t="shared" si="79"/>
        <v>89</v>
      </c>
      <c r="EW64" s="77">
        <f t="shared" si="79"/>
        <v>90</v>
      </c>
      <c r="EX64" s="77">
        <f t="shared" si="79"/>
        <v>91</v>
      </c>
      <c r="EY64" s="77">
        <f t="shared" si="79"/>
        <v>92</v>
      </c>
      <c r="EZ64" s="77">
        <f t="shared" si="79"/>
        <v>93</v>
      </c>
      <c r="FA64" s="77">
        <f t="shared" si="79"/>
        <v>94</v>
      </c>
      <c r="FB64" s="77">
        <f t="shared" si="79"/>
        <v>95</v>
      </c>
      <c r="FC64" s="77">
        <f t="shared" si="79"/>
        <v>96</v>
      </c>
      <c r="FD64" s="77">
        <f t="shared" si="79"/>
        <v>97</v>
      </c>
      <c r="FE64" s="77">
        <f t="shared" si="79"/>
        <v>98</v>
      </c>
      <c r="FF64" s="77">
        <f t="shared" si="79"/>
        <v>99</v>
      </c>
      <c r="FG64" s="77">
        <f t="shared" si="79"/>
        <v>100</v>
      </c>
      <c r="FH64" s="77">
        <f t="shared" si="79"/>
        <v>101</v>
      </c>
      <c r="FI64" s="77">
        <f t="shared" si="79"/>
        <v>102</v>
      </c>
      <c r="FJ64" s="77">
        <f t="shared" si="79"/>
        <v>103</v>
      </c>
      <c r="FK64" s="77">
        <f t="shared" si="79"/>
        <v>104</v>
      </c>
      <c r="FL64" s="77">
        <f t="shared" si="79"/>
        <v>105</v>
      </c>
      <c r="FM64" s="77">
        <f t="shared" si="79"/>
        <v>106</v>
      </c>
      <c r="FN64" s="77">
        <f t="shared" si="79"/>
        <v>107</v>
      </c>
      <c r="FO64" s="77">
        <f t="shared" si="79"/>
        <v>108</v>
      </c>
      <c r="FP64" s="77">
        <f t="shared" si="79"/>
        <v>109</v>
      </c>
      <c r="FQ64" s="77">
        <f t="shared" si="79"/>
        <v>110</v>
      </c>
      <c r="FR64" s="77">
        <f t="shared" si="79"/>
        <v>111</v>
      </c>
      <c r="FS64" s="77">
        <f t="shared" si="79"/>
        <v>112</v>
      </c>
      <c r="FT64" s="77">
        <f t="shared" si="79"/>
        <v>113</v>
      </c>
      <c r="FU64" s="77">
        <f t="shared" si="79"/>
        <v>114</v>
      </c>
      <c r="FV64" s="77">
        <f t="shared" si="79"/>
        <v>115</v>
      </c>
      <c r="FW64" s="77">
        <f t="shared" si="79"/>
        <v>116</v>
      </c>
      <c r="FX64" s="77">
        <f t="shared" si="79"/>
        <v>117</v>
      </c>
      <c r="FY64" s="77">
        <f t="shared" si="79"/>
        <v>118</v>
      </c>
      <c r="FZ64" s="77">
        <f t="shared" si="79"/>
        <v>119</v>
      </c>
      <c r="GA64" s="77">
        <f t="shared" si="79"/>
        <v>120</v>
      </c>
      <c r="GB64" s="77">
        <f t="shared" si="79"/>
        <v>121</v>
      </c>
      <c r="GC64" s="77">
        <f t="shared" si="79"/>
        <v>122</v>
      </c>
      <c r="GD64" s="77">
        <f t="shared" si="79"/>
        <v>123</v>
      </c>
      <c r="GE64" s="77">
        <f t="shared" si="79"/>
        <v>124</v>
      </c>
      <c r="GF64" s="77">
        <f t="shared" si="79"/>
        <v>125</v>
      </c>
      <c r="GG64" s="77">
        <f t="shared" si="79"/>
        <v>126</v>
      </c>
      <c r="GH64" s="77">
        <f t="shared" si="79"/>
        <v>127</v>
      </c>
      <c r="GI64" s="77">
        <f t="shared" si="79"/>
        <v>128</v>
      </c>
      <c r="GJ64" s="77">
        <f t="shared" si="79"/>
        <v>129</v>
      </c>
      <c r="GK64" s="77">
        <f t="shared" si="79"/>
        <v>130</v>
      </c>
      <c r="GL64" s="77">
        <f t="shared" si="79"/>
        <v>131</v>
      </c>
      <c r="GM64" s="77">
        <f t="shared" si="79"/>
        <v>132</v>
      </c>
      <c r="GN64" s="77">
        <f t="shared" si="79"/>
        <v>133</v>
      </c>
      <c r="GO64" s="77">
        <f t="shared" si="79"/>
        <v>134</v>
      </c>
      <c r="GP64" s="77">
        <f t="shared" si="79"/>
        <v>135</v>
      </c>
      <c r="GQ64" s="77">
        <f t="shared" si="79"/>
        <v>136</v>
      </c>
      <c r="GR64" s="77">
        <f t="shared" si="79"/>
        <v>137</v>
      </c>
      <c r="GS64" s="77">
        <f t="shared" si="79"/>
        <v>138</v>
      </c>
      <c r="GT64" s="77">
        <f t="shared" si="79"/>
        <v>139</v>
      </c>
      <c r="GU64" s="77">
        <f t="shared" si="79"/>
        <v>140</v>
      </c>
      <c r="GV64" s="77">
        <f t="shared" si="79"/>
        <v>141</v>
      </c>
      <c r="GW64" s="77">
        <f t="shared" si="79"/>
        <v>142</v>
      </c>
      <c r="GX64" s="77">
        <f t="shared" si="79"/>
        <v>143</v>
      </c>
    </row>
    <row r="65" spans="1:206" ht="15" customHeight="1" x14ac:dyDescent="0.2">
      <c r="A65" s="22" t="s">
        <v>68</v>
      </c>
      <c r="B65" s="22">
        <v>4</v>
      </c>
      <c r="C65" s="22" t="s">
        <v>162</v>
      </c>
      <c r="D65" s="22">
        <v>53</v>
      </c>
      <c r="E65" s="22" t="s">
        <v>167</v>
      </c>
      <c r="F65" s="22" t="s">
        <v>71</v>
      </c>
      <c r="G65" s="22" t="s">
        <v>79</v>
      </c>
      <c r="H65" s="22">
        <v>2011</v>
      </c>
      <c r="I65" s="22">
        <v>15</v>
      </c>
      <c r="J65" s="22">
        <v>20.76</v>
      </c>
      <c r="K65" s="22">
        <v>74</v>
      </c>
      <c r="L65" s="22">
        <v>3003</v>
      </c>
      <c r="M65" s="22">
        <v>2929</v>
      </c>
      <c r="N65" s="22" t="s">
        <v>95</v>
      </c>
      <c r="O65" s="22" t="s">
        <v>96</v>
      </c>
      <c r="P65" s="22" t="s">
        <v>75</v>
      </c>
      <c r="Q65" s="108">
        <f>IF(R65="","",'Dashboard Ciclos'!$B$2-R65)</f>
        <v>46245</v>
      </c>
      <c r="R65" s="22">
        <f>IF($E65="","",IFERROR(INDEX($W65:$GX65,MATCH('Dashboard Ciclos'!$B$2,$W$1:$GX$1,0)),""))</f>
        <v>4</v>
      </c>
      <c r="S65" s="22" t="str">
        <f t="shared" si="45"/>
        <v>En ciclo</v>
      </c>
      <c r="T65" s="22" t="str">
        <f t="shared" si="46"/>
        <v>Recién cortado</v>
      </c>
      <c r="U65" s="22">
        <f t="shared" si="47"/>
        <v>8</v>
      </c>
      <c r="V65" s="23">
        <f t="shared" si="48"/>
        <v>46257</v>
      </c>
      <c r="W65" s="77">
        <f t="shared" si="66"/>
        <v>-3</v>
      </c>
      <c r="X65" s="77">
        <f t="shared" si="66"/>
        <v>-2</v>
      </c>
      <c r="Y65" s="77">
        <f t="shared" si="66"/>
        <v>-1</v>
      </c>
      <c r="Z65" s="77">
        <f t="shared" si="66"/>
        <v>0</v>
      </c>
      <c r="AA65" s="77">
        <v>1</v>
      </c>
      <c r="AB65" s="77">
        <f t="shared" si="67"/>
        <v>2</v>
      </c>
      <c r="AC65" s="77">
        <f t="shared" si="67"/>
        <v>3</v>
      </c>
      <c r="AD65" s="77">
        <f t="shared" si="67"/>
        <v>4</v>
      </c>
      <c r="AE65" s="77">
        <f t="shared" si="67"/>
        <v>5</v>
      </c>
      <c r="AF65" s="77">
        <f t="shared" si="67"/>
        <v>6</v>
      </c>
      <c r="AG65" s="77">
        <f t="shared" si="67"/>
        <v>7</v>
      </c>
      <c r="AH65" s="77">
        <f t="shared" si="67"/>
        <v>8</v>
      </c>
      <c r="AI65" s="77">
        <f t="shared" si="67"/>
        <v>9</v>
      </c>
      <c r="AJ65" s="77">
        <f t="shared" si="67"/>
        <v>10</v>
      </c>
      <c r="AK65" s="77">
        <f t="shared" si="67"/>
        <v>11</v>
      </c>
      <c r="AL65" s="77">
        <f t="shared" si="67"/>
        <v>12</v>
      </c>
      <c r="AM65" s="77">
        <f t="shared" si="67"/>
        <v>13</v>
      </c>
      <c r="AN65" s="77">
        <f t="shared" si="67"/>
        <v>14</v>
      </c>
      <c r="AO65" s="77">
        <f t="shared" si="67"/>
        <v>15</v>
      </c>
      <c r="AP65" s="77">
        <f t="shared" si="67"/>
        <v>16</v>
      </c>
      <c r="AQ65" s="77">
        <f t="shared" si="67"/>
        <v>17</v>
      </c>
      <c r="AR65" s="77">
        <f t="shared" ref="AR65:AR78" si="82">IF(AQ65="","",AQ65+1)</f>
        <v>18</v>
      </c>
      <c r="AS65" s="77">
        <v>0</v>
      </c>
      <c r="AT65" s="77">
        <f t="shared" si="81"/>
        <v>1</v>
      </c>
      <c r="AU65" s="77">
        <f t="shared" si="81"/>
        <v>2</v>
      </c>
      <c r="AV65" s="77">
        <f t="shared" si="81"/>
        <v>3</v>
      </c>
      <c r="AW65" s="77">
        <f t="shared" si="81"/>
        <v>4</v>
      </c>
      <c r="AX65" s="77">
        <f t="shared" si="81"/>
        <v>5</v>
      </c>
      <c r="AY65" s="77">
        <f t="shared" si="81"/>
        <v>6</v>
      </c>
      <c r="AZ65" s="77">
        <f t="shared" si="81"/>
        <v>7</v>
      </c>
      <c r="BA65" s="77">
        <f t="shared" si="81"/>
        <v>8</v>
      </c>
      <c r="BB65" s="77">
        <f t="shared" si="81"/>
        <v>9</v>
      </c>
      <c r="BC65" s="77">
        <f t="shared" si="81"/>
        <v>10</v>
      </c>
      <c r="BD65" s="77">
        <f t="shared" si="81"/>
        <v>11</v>
      </c>
      <c r="BE65" s="77">
        <f t="shared" si="81"/>
        <v>12</v>
      </c>
      <c r="BF65" s="77">
        <f t="shared" si="81"/>
        <v>13</v>
      </c>
      <c r="BG65" s="77">
        <f t="shared" si="81"/>
        <v>14</v>
      </c>
      <c r="BH65" s="77">
        <f t="shared" si="81"/>
        <v>15</v>
      </c>
      <c r="BI65" s="77">
        <f t="shared" si="81"/>
        <v>16</v>
      </c>
      <c r="BJ65" s="77">
        <f t="shared" si="81"/>
        <v>17</v>
      </c>
      <c r="BK65" s="77">
        <f t="shared" si="81"/>
        <v>18</v>
      </c>
      <c r="BL65" s="77">
        <v>0</v>
      </c>
      <c r="BM65" s="77">
        <f t="shared" si="81"/>
        <v>1</v>
      </c>
      <c r="BN65" s="77">
        <f t="shared" si="81"/>
        <v>2</v>
      </c>
      <c r="BO65" s="77">
        <f t="shared" si="81"/>
        <v>3</v>
      </c>
      <c r="BP65" s="77">
        <f t="shared" si="81"/>
        <v>4</v>
      </c>
      <c r="BQ65" s="77">
        <f t="shared" si="81"/>
        <v>5</v>
      </c>
      <c r="BR65" s="77">
        <f t="shared" si="81"/>
        <v>6</v>
      </c>
      <c r="BS65" s="77">
        <f t="shared" si="81"/>
        <v>7</v>
      </c>
      <c r="BT65" s="77">
        <f t="shared" si="81"/>
        <v>8</v>
      </c>
      <c r="BU65" s="77">
        <f t="shared" si="81"/>
        <v>9</v>
      </c>
      <c r="BV65" s="77">
        <f t="shared" si="81"/>
        <v>10</v>
      </c>
      <c r="BW65" s="77">
        <f t="shared" si="81"/>
        <v>11</v>
      </c>
      <c r="BX65" s="77">
        <f t="shared" si="81"/>
        <v>12</v>
      </c>
      <c r="BY65" s="77">
        <f t="shared" si="81"/>
        <v>13</v>
      </c>
      <c r="BZ65" s="77">
        <f t="shared" si="81"/>
        <v>14</v>
      </c>
      <c r="CA65" s="77">
        <f t="shared" si="81"/>
        <v>15</v>
      </c>
      <c r="CB65" s="77">
        <f t="shared" si="81"/>
        <v>16</v>
      </c>
      <c r="CC65" s="77">
        <f t="shared" si="81"/>
        <v>17</v>
      </c>
      <c r="CD65" s="77">
        <f t="shared" si="81"/>
        <v>18</v>
      </c>
      <c r="CE65" s="77">
        <f t="shared" si="81"/>
        <v>19</v>
      </c>
      <c r="CF65" s="77">
        <f t="shared" si="81"/>
        <v>20</v>
      </c>
      <c r="CG65" s="77">
        <f t="shared" si="81"/>
        <v>21</v>
      </c>
      <c r="CH65" s="77">
        <f t="shared" si="81"/>
        <v>22</v>
      </c>
      <c r="CI65" s="77">
        <f t="shared" si="81"/>
        <v>23</v>
      </c>
      <c r="CJ65" s="77">
        <f t="shared" si="81"/>
        <v>24</v>
      </c>
      <c r="CK65" s="77">
        <f t="shared" si="80"/>
        <v>25</v>
      </c>
      <c r="CL65" s="77">
        <f t="shared" si="80"/>
        <v>26</v>
      </c>
      <c r="CM65" s="77">
        <f t="shared" si="80"/>
        <v>27</v>
      </c>
      <c r="CN65" s="77">
        <f t="shared" si="80"/>
        <v>28</v>
      </c>
      <c r="CO65" s="77">
        <f t="shared" si="80"/>
        <v>29</v>
      </c>
      <c r="CP65" s="77">
        <f t="shared" si="80"/>
        <v>30</v>
      </c>
      <c r="CQ65" s="77">
        <f t="shared" si="80"/>
        <v>31</v>
      </c>
      <c r="CR65" s="77">
        <f t="shared" si="80"/>
        <v>32</v>
      </c>
      <c r="CS65" s="77">
        <f t="shared" si="80"/>
        <v>33</v>
      </c>
      <c r="CT65" s="77">
        <f t="shared" si="80"/>
        <v>34</v>
      </c>
      <c r="CU65" s="77">
        <f t="shared" si="80"/>
        <v>35</v>
      </c>
      <c r="CV65" s="77">
        <f t="shared" si="80"/>
        <v>36</v>
      </c>
      <c r="CW65" s="77">
        <f t="shared" si="80"/>
        <v>37</v>
      </c>
      <c r="CX65" s="77">
        <f t="shared" si="80"/>
        <v>38</v>
      </c>
      <c r="CY65" s="77">
        <f t="shared" si="80"/>
        <v>39</v>
      </c>
      <c r="CZ65" s="77">
        <f t="shared" si="80"/>
        <v>40</v>
      </c>
      <c r="DA65" s="77">
        <f t="shared" si="80"/>
        <v>41</v>
      </c>
      <c r="DB65" s="77">
        <f t="shared" si="80"/>
        <v>42</v>
      </c>
      <c r="DC65" s="77">
        <f t="shared" si="80"/>
        <v>43</v>
      </c>
      <c r="DD65" s="77">
        <f t="shared" si="80"/>
        <v>44</v>
      </c>
      <c r="DE65" s="77">
        <f t="shared" si="80"/>
        <v>45</v>
      </c>
      <c r="DF65" s="77">
        <f t="shared" si="80"/>
        <v>46</v>
      </c>
      <c r="DG65" s="77">
        <f t="shared" si="80"/>
        <v>47</v>
      </c>
      <c r="DH65" s="77">
        <f t="shared" si="80"/>
        <v>48</v>
      </c>
      <c r="DI65" s="77">
        <f t="shared" si="80"/>
        <v>49</v>
      </c>
      <c r="DJ65" s="77">
        <f t="shared" si="80"/>
        <v>50</v>
      </c>
      <c r="DK65" s="77">
        <f t="shared" si="80"/>
        <v>51</v>
      </c>
      <c r="DL65" s="77">
        <f t="shared" si="80"/>
        <v>52</v>
      </c>
      <c r="DM65" s="77">
        <f t="shared" si="80"/>
        <v>53</v>
      </c>
      <c r="DN65" s="77">
        <f t="shared" si="80"/>
        <v>54</v>
      </c>
      <c r="DO65" s="77">
        <f t="shared" si="80"/>
        <v>55</v>
      </c>
      <c r="DP65" s="77">
        <f t="shared" si="80"/>
        <v>56</v>
      </c>
      <c r="DQ65" s="77">
        <f t="shared" si="80"/>
        <v>57</v>
      </c>
      <c r="DR65" s="77">
        <f t="shared" si="80"/>
        <v>58</v>
      </c>
      <c r="DS65" s="77">
        <f t="shared" si="80"/>
        <v>59</v>
      </c>
      <c r="DT65" s="77">
        <f t="shared" si="80"/>
        <v>60</v>
      </c>
      <c r="DU65" s="77">
        <f t="shared" si="80"/>
        <v>61</v>
      </c>
      <c r="DV65" s="77">
        <f t="shared" si="80"/>
        <v>62</v>
      </c>
      <c r="DW65" s="77">
        <f t="shared" si="80"/>
        <v>63</v>
      </c>
      <c r="DX65" s="77">
        <f t="shared" si="80"/>
        <v>64</v>
      </c>
      <c r="DY65" s="77">
        <f t="shared" si="80"/>
        <v>65</v>
      </c>
      <c r="DZ65" s="77">
        <f t="shared" si="80"/>
        <v>66</v>
      </c>
      <c r="EA65" s="77">
        <f t="shared" si="80"/>
        <v>67</v>
      </c>
      <c r="EB65" s="77">
        <f t="shared" si="80"/>
        <v>68</v>
      </c>
      <c r="EC65" s="77">
        <f t="shared" si="80"/>
        <v>69</v>
      </c>
      <c r="ED65" s="77">
        <f t="shared" si="80"/>
        <v>70</v>
      </c>
      <c r="EE65" s="77">
        <f t="shared" si="80"/>
        <v>71</v>
      </c>
      <c r="EF65" s="77">
        <f t="shared" si="80"/>
        <v>72</v>
      </c>
      <c r="EG65" s="77">
        <f t="shared" si="80"/>
        <v>73</v>
      </c>
      <c r="EH65" s="77">
        <f t="shared" si="80"/>
        <v>74</v>
      </c>
      <c r="EI65" s="77">
        <f t="shared" si="80"/>
        <v>75</v>
      </c>
      <c r="EJ65" s="77">
        <f t="shared" si="80"/>
        <v>76</v>
      </c>
      <c r="EK65" s="77">
        <f t="shared" si="80"/>
        <v>77</v>
      </c>
      <c r="EL65" s="77">
        <f t="shared" si="80"/>
        <v>78</v>
      </c>
      <c r="EM65" s="77">
        <f t="shared" si="80"/>
        <v>79</v>
      </c>
      <c r="EN65" s="77">
        <f t="shared" si="80"/>
        <v>80</v>
      </c>
      <c r="EO65" s="77">
        <f t="shared" si="80"/>
        <v>81</v>
      </c>
      <c r="EP65" s="77">
        <f t="shared" si="80"/>
        <v>82</v>
      </c>
      <c r="EQ65" s="77">
        <f t="shared" si="80"/>
        <v>83</v>
      </c>
      <c r="ER65" s="77">
        <f t="shared" si="80"/>
        <v>84</v>
      </c>
      <c r="ES65" s="77">
        <f t="shared" si="80"/>
        <v>85</v>
      </c>
      <c r="ET65" s="77">
        <f t="shared" si="80"/>
        <v>86</v>
      </c>
      <c r="EU65" s="77">
        <f t="shared" si="80"/>
        <v>87</v>
      </c>
      <c r="EV65" s="77">
        <f t="shared" si="79"/>
        <v>88</v>
      </c>
      <c r="EW65" s="77">
        <f t="shared" si="79"/>
        <v>89</v>
      </c>
      <c r="EX65" s="77">
        <f t="shared" si="79"/>
        <v>90</v>
      </c>
      <c r="EY65" s="77">
        <f t="shared" si="79"/>
        <v>91</v>
      </c>
      <c r="EZ65" s="77">
        <f t="shared" si="79"/>
        <v>92</v>
      </c>
      <c r="FA65" s="77">
        <f t="shared" si="79"/>
        <v>93</v>
      </c>
      <c r="FB65" s="77">
        <f t="shared" si="79"/>
        <v>94</v>
      </c>
      <c r="FC65" s="77">
        <f t="shared" si="79"/>
        <v>95</v>
      </c>
      <c r="FD65" s="77">
        <f t="shared" si="79"/>
        <v>96</v>
      </c>
      <c r="FE65" s="77">
        <f t="shared" si="79"/>
        <v>97</v>
      </c>
      <c r="FF65" s="77">
        <f t="shared" si="79"/>
        <v>98</v>
      </c>
      <c r="FG65" s="77">
        <f t="shared" si="79"/>
        <v>99</v>
      </c>
      <c r="FH65" s="77">
        <f t="shared" si="79"/>
        <v>100</v>
      </c>
      <c r="FI65" s="77">
        <f t="shared" si="79"/>
        <v>101</v>
      </c>
      <c r="FJ65" s="77">
        <f t="shared" si="79"/>
        <v>102</v>
      </c>
      <c r="FK65" s="77">
        <f t="shared" si="79"/>
        <v>103</v>
      </c>
      <c r="FL65" s="77">
        <f t="shared" si="79"/>
        <v>104</v>
      </c>
      <c r="FM65" s="77">
        <f t="shared" si="79"/>
        <v>105</v>
      </c>
      <c r="FN65" s="77">
        <f t="shared" si="79"/>
        <v>106</v>
      </c>
      <c r="FO65" s="77">
        <f t="shared" si="79"/>
        <v>107</v>
      </c>
      <c r="FP65" s="77">
        <f t="shared" si="79"/>
        <v>108</v>
      </c>
      <c r="FQ65" s="77">
        <f t="shared" si="79"/>
        <v>109</v>
      </c>
      <c r="FR65" s="77">
        <f t="shared" si="79"/>
        <v>110</v>
      </c>
      <c r="FS65" s="77">
        <f t="shared" si="79"/>
        <v>111</v>
      </c>
      <c r="FT65" s="77">
        <f t="shared" si="79"/>
        <v>112</v>
      </c>
      <c r="FU65" s="77">
        <f t="shared" si="79"/>
        <v>113</v>
      </c>
      <c r="FV65" s="77">
        <f t="shared" si="79"/>
        <v>114</v>
      </c>
      <c r="FW65" s="77">
        <f t="shared" si="79"/>
        <v>115</v>
      </c>
      <c r="FX65" s="77">
        <f t="shared" si="79"/>
        <v>116</v>
      </c>
      <c r="FY65" s="77">
        <f t="shared" si="79"/>
        <v>117</v>
      </c>
      <c r="FZ65" s="77">
        <f t="shared" si="79"/>
        <v>118</v>
      </c>
      <c r="GA65" s="77">
        <f t="shared" si="79"/>
        <v>119</v>
      </c>
      <c r="GB65" s="77">
        <f t="shared" si="79"/>
        <v>120</v>
      </c>
      <c r="GC65" s="77">
        <f t="shared" si="79"/>
        <v>121</v>
      </c>
      <c r="GD65" s="77">
        <f t="shared" si="79"/>
        <v>122</v>
      </c>
      <c r="GE65" s="77">
        <f t="shared" si="79"/>
        <v>123</v>
      </c>
      <c r="GF65" s="77">
        <f t="shared" si="79"/>
        <v>124</v>
      </c>
      <c r="GG65" s="77">
        <f t="shared" si="79"/>
        <v>125</v>
      </c>
      <c r="GH65" s="77">
        <f t="shared" si="79"/>
        <v>126</v>
      </c>
      <c r="GI65" s="77">
        <f t="shared" si="79"/>
        <v>127</v>
      </c>
      <c r="GJ65" s="77">
        <f t="shared" si="79"/>
        <v>128</v>
      </c>
      <c r="GK65" s="77">
        <f t="shared" si="79"/>
        <v>129</v>
      </c>
      <c r="GL65" s="77">
        <f t="shared" si="79"/>
        <v>130</v>
      </c>
      <c r="GM65" s="77">
        <f t="shared" si="79"/>
        <v>131</v>
      </c>
      <c r="GN65" s="77">
        <f t="shared" si="79"/>
        <v>132</v>
      </c>
      <c r="GO65" s="77">
        <f t="shared" si="79"/>
        <v>133</v>
      </c>
      <c r="GP65" s="77">
        <f t="shared" si="79"/>
        <v>134</v>
      </c>
      <c r="GQ65" s="77">
        <f t="shared" si="79"/>
        <v>135</v>
      </c>
      <c r="GR65" s="77">
        <f t="shared" si="79"/>
        <v>136</v>
      </c>
      <c r="GS65" s="77">
        <f t="shared" si="79"/>
        <v>137</v>
      </c>
      <c r="GT65" s="77">
        <f t="shared" si="79"/>
        <v>138</v>
      </c>
      <c r="GU65" s="77">
        <f t="shared" si="79"/>
        <v>139</v>
      </c>
      <c r="GV65" s="77">
        <f t="shared" si="79"/>
        <v>140</v>
      </c>
      <c r="GW65" s="77">
        <f t="shared" si="79"/>
        <v>141</v>
      </c>
      <c r="GX65" s="77">
        <f t="shared" si="79"/>
        <v>142</v>
      </c>
    </row>
    <row r="66" spans="1:206" ht="15" customHeight="1" x14ac:dyDescent="0.2">
      <c r="A66" s="22" t="s">
        <v>68</v>
      </c>
      <c r="B66" s="22">
        <v>4</v>
      </c>
      <c r="C66" s="22" t="s">
        <v>162</v>
      </c>
      <c r="D66" s="22">
        <v>54</v>
      </c>
      <c r="E66" s="22" t="s">
        <v>168</v>
      </c>
      <c r="F66" s="22" t="s">
        <v>71</v>
      </c>
      <c r="G66" s="22" t="s">
        <v>134</v>
      </c>
      <c r="H66" s="22">
        <v>2011</v>
      </c>
      <c r="I66" s="22">
        <v>15</v>
      </c>
      <c r="J66" s="22">
        <v>5.64</v>
      </c>
      <c r="K66" s="22">
        <v>0</v>
      </c>
      <c r="L66" s="22">
        <v>816</v>
      </c>
      <c r="M66" s="22">
        <v>816</v>
      </c>
      <c r="N66" s="22" t="s">
        <v>95</v>
      </c>
      <c r="O66" s="22" t="s">
        <v>96</v>
      </c>
      <c r="P66" s="22" t="s">
        <v>75</v>
      </c>
      <c r="Q66" s="108">
        <f>IF(R66="","",'Dashboard Ciclos'!$B$2-R66)</f>
        <v>46246</v>
      </c>
      <c r="R66" s="22">
        <f>IF($E66="","",IFERROR(INDEX($W66:$GX66,MATCH('Dashboard Ciclos'!$B$2,$W$1:$GX$1,0)),""))</f>
        <v>3</v>
      </c>
      <c r="S66" s="22" t="str">
        <f t="shared" ref="S66:S98" si="83">IF($Q66="","Sin dato",IF($R66&lt;=CicloObjetivo,"En ciclo",IF($R66-CicloObjetivo&lt;=5,"Vencido 1-5 d",IF($R66-CicloObjetivo&lt;=10,"Vencido 6-10 d",IF($R66-CicloObjetivo&lt;=15,"Vencido 11-15 d","Vencido +15 d")))))</f>
        <v>En ciclo</v>
      </c>
      <c r="T66" s="22" t="str">
        <f t="shared" ref="T66:T98" si="84">IF($Q66="","Sin dato",IF($R66&lt;VentanaCosecha,"Recién cortado",IF($R66&lt;=CicloObjetivo,"En ciclo","Fuera de ciclo")))</f>
        <v>Recién cortado</v>
      </c>
      <c r="U66" s="22">
        <f t="shared" ref="U66:U98" si="85">IF($Q66="","",CicloObjetivo-$R66)</f>
        <v>9</v>
      </c>
      <c r="V66" s="23">
        <f t="shared" ref="V66:V98" si="86">IF($Q66="","",$Q66+CicloObjetivo)</f>
        <v>46258</v>
      </c>
      <c r="W66" s="77">
        <f t="shared" ref="W66:Z81" si="87">+X66-1</f>
        <v>26</v>
      </c>
      <c r="X66" s="77">
        <f t="shared" si="87"/>
        <v>27</v>
      </c>
      <c r="Y66" s="77">
        <f t="shared" si="87"/>
        <v>28</v>
      </c>
      <c r="Z66" s="77">
        <f t="shared" si="87"/>
        <v>29</v>
      </c>
      <c r="AA66" s="77">
        <v>30</v>
      </c>
      <c r="AB66" s="77">
        <f t="shared" si="67"/>
        <v>31</v>
      </c>
      <c r="AC66" s="77">
        <f t="shared" si="67"/>
        <v>32</v>
      </c>
      <c r="AD66" s="77">
        <v>0</v>
      </c>
      <c r="AE66" s="77">
        <f t="shared" si="67"/>
        <v>1</v>
      </c>
      <c r="AF66" s="77">
        <f t="shared" si="67"/>
        <v>2</v>
      </c>
      <c r="AG66" s="77">
        <f t="shared" si="67"/>
        <v>3</v>
      </c>
      <c r="AH66" s="77">
        <f t="shared" si="67"/>
        <v>4</v>
      </c>
      <c r="AI66" s="77">
        <f t="shared" si="67"/>
        <v>5</v>
      </c>
      <c r="AJ66" s="77">
        <f t="shared" si="67"/>
        <v>6</v>
      </c>
      <c r="AK66" s="77">
        <f t="shared" si="67"/>
        <v>7</v>
      </c>
      <c r="AL66" s="77">
        <f t="shared" si="67"/>
        <v>8</v>
      </c>
      <c r="AM66" s="77">
        <f t="shared" si="67"/>
        <v>9</v>
      </c>
      <c r="AN66" s="77">
        <f t="shared" si="67"/>
        <v>10</v>
      </c>
      <c r="AO66" s="77">
        <f t="shared" si="67"/>
        <v>11</v>
      </c>
      <c r="AP66" s="77">
        <f t="shared" si="67"/>
        <v>12</v>
      </c>
      <c r="AQ66" s="77">
        <f t="shared" si="67"/>
        <v>13</v>
      </c>
      <c r="AR66" s="77">
        <f t="shared" si="82"/>
        <v>14</v>
      </c>
      <c r="AS66" s="77">
        <f t="shared" si="81"/>
        <v>15</v>
      </c>
      <c r="AT66" s="77">
        <v>0</v>
      </c>
      <c r="AU66" s="77">
        <f t="shared" si="81"/>
        <v>1</v>
      </c>
      <c r="AV66" s="77">
        <f t="shared" si="81"/>
        <v>2</v>
      </c>
      <c r="AW66" s="77">
        <f t="shared" si="81"/>
        <v>3</v>
      </c>
      <c r="AX66" s="77">
        <f t="shared" si="81"/>
        <v>4</v>
      </c>
      <c r="AY66" s="77">
        <f t="shared" si="81"/>
        <v>5</v>
      </c>
      <c r="AZ66" s="77">
        <f t="shared" si="81"/>
        <v>6</v>
      </c>
      <c r="BA66" s="77">
        <f t="shared" si="81"/>
        <v>7</v>
      </c>
      <c r="BB66" s="77">
        <f t="shared" si="81"/>
        <v>8</v>
      </c>
      <c r="BC66" s="77">
        <f t="shared" si="81"/>
        <v>9</v>
      </c>
      <c r="BD66" s="77">
        <f t="shared" si="81"/>
        <v>10</v>
      </c>
      <c r="BE66" s="77">
        <f t="shared" si="81"/>
        <v>11</v>
      </c>
      <c r="BF66" s="77">
        <f t="shared" si="81"/>
        <v>12</v>
      </c>
      <c r="BG66" s="77">
        <f t="shared" si="81"/>
        <v>13</v>
      </c>
      <c r="BH66" s="77">
        <f t="shared" si="81"/>
        <v>14</v>
      </c>
      <c r="BI66" s="77">
        <f t="shared" si="81"/>
        <v>15</v>
      </c>
      <c r="BJ66" s="77">
        <f t="shared" si="81"/>
        <v>16</v>
      </c>
      <c r="BK66" s="77">
        <f t="shared" si="81"/>
        <v>17</v>
      </c>
      <c r="BL66" s="77">
        <f t="shared" si="81"/>
        <v>18</v>
      </c>
      <c r="BM66" s="77">
        <v>0</v>
      </c>
      <c r="BN66" s="77">
        <f t="shared" si="81"/>
        <v>1</v>
      </c>
      <c r="BO66" s="77">
        <f t="shared" si="81"/>
        <v>2</v>
      </c>
      <c r="BP66" s="77">
        <f t="shared" si="81"/>
        <v>3</v>
      </c>
      <c r="BQ66" s="77">
        <f t="shared" si="81"/>
        <v>4</v>
      </c>
      <c r="BR66" s="77">
        <f t="shared" si="81"/>
        <v>5</v>
      </c>
      <c r="BS66" s="77">
        <f t="shared" si="81"/>
        <v>6</v>
      </c>
      <c r="BT66" s="77">
        <f t="shared" si="81"/>
        <v>7</v>
      </c>
      <c r="BU66" s="77">
        <f t="shared" si="81"/>
        <v>8</v>
      </c>
      <c r="BV66" s="77">
        <f t="shared" si="81"/>
        <v>9</v>
      </c>
      <c r="BW66" s="77">
        <f t="shared" si="81"/>
        <v>10</v>
      </c>
      <c r="BX66" s="77">
        <f t="shared" si="81"/>
        <v>11</v>
      </c>
      <c r="BY66" s="77">
        <f t="shared" si="81"/>
        <v>12</v>
      </c>
      <c r="BZ66" s="77">
        <f t="shared" si="81"/>
        <v>13</v>
      </c>
      <c r="CA66" s="77">
        <f t="shared" si="81"/>
        <v>14</v>
      </c>
      <c r="CB66" s="77">
        <f t="shared" si="81"/>
        <v>15</v>
      </c>
      <c r="CC66" s="77">
        <f t="shared" si="81"/>
        <v>16</v>
      </c>
      <c r="CD66" s="77">
        <f t="shared" si="81"/>
        <v>17</v>
      </c>
      <c r="CE66" s="77">
        <f t="shared" si="81"/>
        <v>18</v>
      </c>
      <c r="CF66" s="77">
        <f t="shared" si="81"/>
        <v>19</v>
      </c>
      <c r="CG66" s="77">
        <f t="shared" si="81"/>
        <v>20</v>
      </c>
      <c r="CH66" s="77">
        <f t="shared" si="81"/>
        <v>21</v>
      </c>
      <c r="CI66" s="77">
        <f t="shared" si="81"/>
        <v>22</v>
      </c>
      <c r="CJ66" s="77">
        <f t="shared" si="81"/>
        <v>23</v>
      </c>
      <c r="CK66" s="77">
        <f t="shared" si="80"/>
        <v>24</v>
      </c>
      <c r="CL66" s="77">
        <f t="shared" si="80"/>
        <v>25</v>
      </c>
      <c r="CM66" s="77">
        <f t="shared" si="80"/>
        <v>26</v>
      </c>
      <c r="CN66" s="77">
        <f t="shared" si="80"/>
        <v>27</v>
      </c>
      <c r="CO66" s="77">
        <f t="shared" si="80"/>
        <v>28</v>
      </c>
      <c r="CP66" s="77">
        <f t="shared" si="80"/>
        <v>29</v>
      </c>
      <c r="CQ66" s="77">
        <f t="shared" si="80"/>
        <v>30</v>
      </c>
      <c r="CR66" s="77">
        <f t="shared" si="80"/>
        <v>31</v>
      </c>
      <c r="CS66" s="77">
        <f t="shared" si="80"/>
        <v>32</v>
      </c>
      <c r="CT66" s="77">
        <f t="shared" si="80"/>
        <v>33</v>
      </c>
      <c r="CU66" s="77">
        <f t="shared" si="80"/>
        <v>34</v>
      </c>
      <c r="CV66" s="77">
        <f t="shared" si="80"/>
        <v>35</v>
      </c>
      <c r="CW66" s="77">
        <f t="shared" si="80"/>
        <v>36</v>
      </c>
      <c r="CX66" s="77">
        <f t="shared" si="80"/>
        <v>37</v>
      </c>
      <c r="CY66" s="77">
        <f t="shared" si="80"/>
        <v>38</v>
      </c>
      <c r="CZ66" s="77">
        <f t="shared" si="80"/>
        <v>39</v>
      </c>
      <c r="DA66" s="77">
        <f t="shared" si="80"/>
        <v>40</v>
      </c>
      <c r="DB66" s="77">
        <f t="shared" si="80"/>
        <v>41</v>
      </c>
      <c r="DC66" s="77">
        <f t="shared" si="80"/>
        <v>42</v>
      </c>
      <c r="DD66" s="77">
        <f t="shared" si="80"/>
        <v>43</v>
      </c>
      <c r="DE66" s="77">
        <f t="shared" si="80"/>
        <v>44</v>
      </c>
      <c r="DF66" s="77">
        <f t="shared" si="80"/>
        <v>45</v>
      </c>
      <c r="DG66" s="77">
        <f t="shared" si="80"/>
        <v>46</v>
      </c>
      <c r="DH66" s="77">
        <f t="shared" si="80"/>
        <v>47</v>
      </c>
      <c r="DI66" s="77">
        <f t="shared" si="80"/>
        <v>48</v>
      </c>
      <c r="DJ66" s="77">
        <f t="shared" si="80"/>
        <v>49</v>
      </c>
      <c r="DK66" s="77">
        <f t="shared" si="80"/>
        <v>50</v>
      </c>
      <c r="DL66" s="77">
        <f t="shared" si="80"/>
        <v>51</v>
      </c>
      <c r="DM66" s="77">
        <f t="shared" si="80"/>
        <v>52</v>
      </c>
      <c r="DN66" s="77">
        <f t="shared" si="80"/>
        <v>53</v>
      </c>
      <c r="DO66" s="77">
        <f t="shared" si="80"/>
        <v>54</v>
      </c>
      <c r="DP66" s="77">
        <f t="shared" si="80"/>
        <v>55</v>
      </c>
      <c r="DQ66" s="77">
        <f t="shared" si="80"/>
        <v>56</v>
      </c>
      <c r="DR66" s="77">
        <f t="shared" si="80"/>
        <v>57</v>
      </c>
      <c r="DS66" s="77">
        <f t="shared" si="80"/>
        <v>58</v>
      </c>
      <c r="DT66" s="77">
        <f t="shared" si="80"/>
        <v>59</v>
      </c>
      <c r="DU66" s="77">
        <f t="shared" si="80"/>
        <v>60</v>
      </c>
      <c r="DV66" s="77">
        <f t="shared" si="80"/>
        <v>61</v>
      </c>
      <c r="DW66" s="77">
        <f t="shared" si="80"/>
        <v>62</v>
      </c>
      <c r="DX66" s="77">
        <f t="shared" si="80"/>
        <v>63</v>
      </c>
      <c r="DY66" s="77">
        <f t="shared" si="80"/>
        <v>64</v>
      </c>
      <c r="DZ66" s="77">
        <f t="shared" si="80"/>
        <v>65</v>
      </c>
      <c r="EA66" s="77">
        <f t="shared" si="80"/>
        <v>66</v>
      </c>
      <c r="EB66" s="77">
        <f t="shared" si="80"/>
        <v>67</v>
      </c>
      <c r="EC66" s="77">
        <f t="shared" si="80"/>
        <v>68</v>
      </c>
      <c r="ED66" s="77">
        <f t="shared" si="80"/>
        <v>69</v>
      </c>
      <c r="EE66" s="77">
        <f t="shared" si="80"/>
        <v>70</v>
      </c>
      <c r="EF66" s="77">
        <f t="shared" si="80"/>
        <v>71</v>
      </c>
      <c r="EG66" s="77">
        <f t="shared" si="80"/>
        <v>72</v>
      </c>
      <c r="EH66" s="77">
        <f t="shared" si="80"/>
        <v>73</v>
      </c>
      <c r="EI66" s="77">
        <f t="shared" si="80"/>
        <v>74</v>
      </c>
      <c r="EJ66" s="77">
        <f t="shared" si="80"/>
        <v>75</v>
      </c>
      <c r="EK66" s="77">
        <f t="shared" si="80"/>
        <v>76</v>
      </c>
      <c r="EL66" s="77">
        <f t="shared" si="80"/>
        <v>77</v>
      </c>
      <c r="EM66" s="77">
        <f t="shared" si="80"/>
        <v>78</v>
      </c>
      <c r="EN66" s="77">
        <f t="shared" si="80"/>
        <v>79</v>
      </c>
      <c r="EO66" s="77">
        <f t="shared" si="80"/>
        <v>80</v>
      </c>
      <c r="EP66" s="77">
        <f t="shared" si="80"/>
        <v>81</v>
      </c>
      <c r="EQ66" s="77">
        <f t="shared" si="80"/>
        <v>82</v>
      </c>
      <c r="ER66" s="77">
        <f t="shared" si="80"/>
        <v>83</v>
      </c>
      <c r="ES66" s="77">
        <f t="shared" si="80"/>
        <v>84</v>
      </c>
      <c r="ET66" s="77">
        <f t="shared" si="80"/>
        <v>85</v>
      </c>
      <c r="EU66" s="77">
        <f t="shared" si="80"/>
        <v>86</v>
      </c>
      <c r="EV66" s="77">
        <f t="shared" si="79"/>
        <v>87</v>
      </c>
      <c r="EW66" s="77">
        <f t="shared" si="79"/>
        <v>88</v>
      </c>
      <c r="EX66" s="77">
        <f t="shared" si="79"/>
        <v>89</v>
      </c>
      <c r="EY66" s="77">
        <f t="shared" si="79"/>
        <v>90</v>
      </c>
      <c r="EZ66" s="77">
        <f t="shared" si="79"/>
        <v>91</v>
      </c>
      <c r="FA66" s="77">
        <f t="shared" si="79"/>
        <v>92</v>
      </c>
      <c r="FB66" s="77">
        <f t="shared" si="79"/>
        <v>93</v>
      </c>
      <c r="FC66" s="77">
        <f t="shared" si="79"/>
        <v>94</v>
      </c>
      <c r="FD66" s="77">
        <f t="shared" si="79"/>
        <v>95</v>
      </c>
      <c r="FE66" s="77">
        <f t="shared" si="79"/>
        <v>96</v>
      </c>
      <c r="FF66" s="77">
        <f t="shared" si="79"/>
        <v>97</v>
      </c>
      <c r="FG66" s="77">
        <f t="shared" si="79"/>
        <v>98</v>
      </c>
      <c r="FH66" s="77">
        <f t="shared" si="79"/>
        <v>99</v>
      </c>
      <c r="FI66" s="77">
        <f t="shared" si="79"/>
        <v>100</v>
      </c>
      <c r="FJ66" s="77">
        <f t="shared" si="79"/>
        <v>101</v>
      </c>
      <c r="FK66" s="77">
        <f t="shared" si="79"/>
        <v>102</v>
      </c>
      <c r="FL66" s="77">
        <f t="shared" si="79"/>
        <v>103</v>
      </c>
      <c r="FM66" s="77">
        <f t="shared" si="79"/>
        <v>104</v>
      </c>
      <c r="FN66" s="77">
        <f t="shared" si="79"/>
        <v>105</v>
      </c>
      <c r="FO66" s="77">
        <f t="shared" si="79"/>
        <v>106</v>
      </c>
      <c r="FP66" s="77">
        <f t="shared" si="79"/>
        <v>107</v>
      </c>
      <c r="FQ66" s="77">
        <f t="shared" si="79"/>
        <v>108</v>
      </c>
      <c r="FR66" s="77">
        <f t="shared" si="79"/>
        <v>109</v>
      </c>
      <c r="FS66" s="77">
        <f t="shared" si="79"/>
        <v>110</v>
      </c>
      <c r="FT66" s="77">
        <f t="shared" si="79"/>
        <v>111</v>
      </c>
      <c r="FU66" s="77">
        <f t="shared" si="79"/>
        <v>112</v>
      </c>
      <c r="FV66" s="77">
        <f t="shared" si="79"/>
        <v>113</v>
      </c>
      <c r="FW66" s="77">
        <f t="shared" si="79"/>
        <v>114</v>
      </c>
      <c r="FX66" s="77">
        <f t="shared" si="79"/>
        <v>115</v>
      </c>
      <c r="FY66" s="77">
        <f t="shared" si="79"/>
        <v>116</v>
      </c>
      <c r="FZ66" s="77">
        <f t="shared" si="79"/>
        <v>117</v>
      </c>
      <c r="GA66" s="77">
        <f t="shared" si="79"/>
        <v>118</v>
      </c>
      <c r="GB66" s="77">
        <f t="shared" si="79"/>
        <v>119</v>
      </c>
      <c r="GC66" s="77">
        <f t="shared" si="79"/>
        <v>120</v>
      </c>
      <c r="GD66" s="77">
        <f t="shared" si="79"/>
        <v>121</v>
      </c>
      <c r="GE66" s="77">
        <f t="shared" ref="GE66:GX66" si="88">IF(GD66="","",GD66+1)</f>
        <v>122</v>
      </c>
      <c r="GF66" s="77">
        <f t="shared" si="88"/>
        <v>123</v>
      </c>
      <c r="GG66" s="77">
        <f t="shared" si="88"/>
        <v>124</v>
      </c>
      <c r="GH66" s="77">
        <f t="shared" si="88"/>
        <v>125</v>
      </c>
      <c r="GI66" s="77">
        <f t="shared" si="88"/>
        <v>126</v>
      </c>
      <c r="GJ66" s="77">
        <f t="shared" si="88"/>
        <v>127</v>
      </c>
      <c r="GK66" s="77">
        <f t="shared" si="88"/>
        <v>128</v>
      </c>
      <c r="GL66" s="77">
        <f t="shared" si="88"/>
        <v>129</v>
      </c>
      <c r="GM66" s="77">
        <f t="shared" si="88"/>
        <v>130</v>
      </c>
      <c r="GN66" s="77">
        <f t="shared" si="88"/>
        <v>131</v>
      </c>
      <c r="GO66" s="77">
        <f t="shared" si="88"/>
        <v>132</v>
      </c>
      <c r="GP66" s="77">
        <f t="shared" si="88"/>
        <v>133</v>
      </c>
      <c r="GQ66" s="77">
        <f t="shared" si="88"/>
        <v>134</v>
      </c>
      <c r="GR66" s="77">
        <f t="shared" si="88"/>
        <v>135</v>
      </c>
      <c r="GS66" s="77">
        <f t="shared" si="88"/>
        <v>136</v>
      </c>
      <c r="GT66" s="77">
        <f t="shared" si="88"/>
        <v>137</v>
      </c>
      <c r="GU66" s="77">
        <f t="shared" si="88"/>
        <v>138</v>
      </c>
      <c r="GV66" s="77">
        <f t="shared" si="88"/>
        <v>139</v>
      </c>
      <c r="GW66" s="77">
        <f t="shared" si="88"/>
        <v>140</v>
      </c>
      <c r="GX66" s="77">
        <f t="shared" si="88"/>
        <v>141</v>
      </c>
    </row>
    <row r="67" spans="1:206" ht="15" customHeight="1" x14ac:dyDescent="0.2">
      <c r="A67" s="22" t="s">
        <v>68</v>
      </c>
      <c r="B67" s="22">
        <v>4</v>
      </c>
      <c r="C67" s="22" t="s">
        <v>162</v>
      </c>
      <c r="D67" s="22" t="s">
        <v>169</v>
      </c>
      <c r="E67" s="22" t="s">
        <v>170</v>
      </c>
      <c r="F67" s="22" t="s">
        <v>71</v>
      </c>
      <c r="G67" s="22" t="s">
        <v>79</v>
      </c>
      <c r="H67" s="22">
        <v>2012</v>
      </c>
      <c r="I67" s="22">
        <v>14</v>
      </c>
      <c r="J67" s="22">
        <v>23.37</v>
      </c>
      <c r="K67" s="22">
        <v>0</v>
      </c>
      <c r="L67" s="22">
        <v>3304</v>
      </c>
      <c r="M67" s="22">
        <v>3304</v>
      </c>
      <c r="N67" s="22" t="s">
        <v>95</v>
      </c>
      <c r="O67" s="22" t="s">
        <v>96</v>
      </c>
      <c r="P67" s="22" t="s">
        <v>75</v>
      </c>
      <c r="Q67" s="108">
        <f>IF(R67="","",'Dashboard Ciclos'!$B$2-R67)</f>
        <v>46245</v>
      </c>
      <c r="R67" s="22">
        <f>IF($E67="","",IFERROR(INDEX($W67:$GX67,MATCH('Dashboard Ciclos'!$B$2,$W$1:$GX$1,0)),""))</f>
        <v>4</v>
      </c>
      <c r="S67" s="22" t="str">
        <f t="shared" si="83"/>
        <v>En ciclo</v>
      </c>
      <c r="T67" s="22" t="str">
        <f t="shared" si="84"/>
        <v>Recién cortado</v>
      </c>
      <c r="U67" s="22">
        <f t="shared" si="85"/>
        <v>8</v>
      </c>
      <c r="V67" s="23">
        <f t="shared" si="86"/>
        <v>46257</v>
      </c>
      <c r="W67" s="77">
        <f t="shared" si="87"/>
        <v>28</v>
      </c>
      <c r="X67" s="77">
        <f t="shared" si="87"/>
        <v>29</v>
      </c>
      <c r="Y67" s="77">
        <f t="shared" si="87"/>
        <v>30</v>
      </c>
      <c r="Z67" s="77">
        <f t="shared" si="87"/>
        <v>31</v>
      </c>
      <c r="AA67" s="77">
        <v>32</v>
      </c>
      <c r="AB67" s="77">
        <f t="shared" ref="X67:AJ100" si="89">IF(AA67="","",AA67+1)</f>
        <v>33</v>
      </c>
      <c r="AC67" s="77">
        <v>0</v>
      </c>
      <c r="AD67" s="77">
        <f t="shared" si="89"/>
        <v>1</v>
      </c>
      <c r="AE67" s="77">
        <f t="shared" si="89"/>
        <v>2</v>
      </c>
      <c r="AF67" s="77">
        <f t="shared" si="89"/>
        <v>3</v>
      </c>
      <c r="AG67" s="77">
        <f t="shared" si="89"/>
        <v>4</v>
      </c>
      <c r="AH67" s="77">
        <f t="shared" si="89"/>
        <v>5</v>
      </c>
      <c r="AI67" s="77">
        <f t="shared" si="89"/>
        <v>6</v>
      </c>
      <c r="AJ67" s="77">
        <f t="shared" si="89"/>
        <v>7</v>
      </c>
      <c r="AK67" s="77">
        <f t="shared" ref="AK67:AQ104" si="90">IF(AJ67="","",AJ67+1)</f>
        <v>8</v>
      </c>
      <c r="AL67" s="77">
        <f t="shared" si="90"/>
        <v>9</v>
      </c>
      <c r="AM67" s="77">
        <f t="shared" si="90"/>
        <v>10</v>
      </c>
      <c r="AN67" s="77">
        <f t="shared" ref="AN67:AN126" si="91">IF(AM67="","",AM67+1)</f>
        <v>11</v>
      </c>
      <c r="AO67" s="77">
        <f t="shared" si="90"/>
        <v>12</v>
      </c>
      <c r="AP67" s="77">
        <f t="shared" si="90"/>
        <v>13</v>
      </c>
      <c r="AQ67" s="77">
        <f t="shared" si="90"/>
        <v>14</v>
      </c>
      <c r="AR67" s="77">
        <f t="shared" si="82"/>
        <v>15</v>
      </c>
      <c r="AS67" s="77">
        <v>0</v>
      </c>
      <c r="AT67" s="77">
        <f t="shared" si="81"/>
        <v>1</v>
      </c>
      <c r="AU67" s="77">
        <f t="shared" si="81"/>
        <v>2</v>
      </c>
      <c r="AV67" s="77">
        <f t="shared" si="81"/>
        <v>3</v>
      </c>
      <c r="AW67" s="77">
        <f t="shared" si="81"/>
        <v>4</v>
      </c>
      <c r="AX67" s="77">
        <f t="shared" si="81"/>
        <v>5</v>
      </c>
      <c r="AY67" s="77">
        <f t="shared" si="81"/>
        <v>6</v>
      </c>
      <c r="AZ67" s="77">
        <f t="shared" si="81"/>
        <v>7</v>
      </c>
      <c r="BA67" s="77">
        <f t="shared" si="81"/>
        <v>8</v>
      </c>
      <c r="BB67" s="77">
        <f t="shared" si="81"/>
        <v>9</v>
      </c>
      <c r="BC67" s="77">
        <f t="shared" si="81"/>
        <v>10</v>
      </c>
      <c r="BD67" s="77">
        <f t="shared" si="81"/>
        <v>11</v>
      </c>
      <c r="BE67" s="77">
        <f t="shared" si="81"/>
        <v>12</v>
      </c>
      <c r="BF67" s="77">
        <f t="shared" si="81"/>
        <v>13</v>
      </c>
      <c r="BG67" s="77">
        <f t="shared" si="81"/>
        <v>14</v>
      </c>
      <c r="BH67" s="77">
        <f t="shared" si="81"/>
        <v>15</v>
      </c>
      <c r="BI67" s="77">
        <f t="shared" si="81"/>
        <v>16</v>
      </c>
      <c r="BJ67" s="77">
        <f t="shared" si="81"/>
        <v>17</v>
      </c>
      <c r="BK67" s="77">
        <f t="shared" si="81"/>
        <v>18</v>
      </c>
      <c r="BL67" s="77">
        <v>0</v>
      </c>
      <c r="BM67" s="77">
        <f t="shared" si="81"/>
        <v>1</v>
      </c>
      <c r="BN67" s="77">
        <f t="shared" si="81"/>
        <v>2</v>
      </c>
      <c r="BO67" s="77">
        <f t="shared" si="81"/>
        <v>3</v>
      </c>
      <c r="BP67" s="77">
        <f t="shared" si="81"/>
        <v>4</v>
      </c>
      <c r="BQ67" s="77">
        <f t="shared" si="81"/>
        <v>5</v>
      </c>
      <c r="BR67" s="77">
        <f t="shared" si="81"/>
        <v>6</v>
      </c>
      <c r="BS67" s="77">
        <f t="shared" si="81"/>
        <v>7</v>
      </c>
      <c r="BT67" s="77">
        <f t="shared" si="81"/>
        <v>8</v>
      </c>
      <c r="BU67" s="77">
        <f t="shared" si="81"/>
        <v>9</v>
      </c>
      <c r="BV67" s="77">
        <f t="shared" si="81"/>
        <v>10</v>
      </c>
      <c r="BW67" s="77">
        <f t="shared" si="81"/>
        <v>11</v>
      </c>
      <c r="BX67" s="77">
        <f t="shared" si="81"/>
        <v>12</v>
      </c>
      <c r="BY67" s="77">
        <f t="shared" si="81"/>
        <v>13</v>
      </c>
      <c r="BZ67" s="77">
        <f t="shared" si="81"/>
        <v>14</v>
      </c>
      <c r="CA67" s="77">
        <f t="shared" si="81"/>
        <v>15</v>
      </c>
      <c r="CB67" s="77">
        <f t="shared" si="81"/>
        <v>16</v>
      </c>
      <c r="CC67" s="77">
        <f t="shared" si="81"/>
        <v>17</v>
      </c>
      <c r="CD67" s="77">
        <f t="shared" si="81"/>
        <v>18</v>
      </c>
      <c r="CE67" s="77">
        <f t="shared" si="81"/>
        <v>19</v>
      </c>
      <c r="CF67" s="77">
        <f t="shared" si="81"/>
        <v>20</v>
      </c>
      <c r="CG67" s="77">
        <f t="shared" si="81"/>
        <v>21</v>
      </c>
      <c r="CH67" s="77">
        <f t="shared" si="81"/>
        <v>22</v>
      </c>
      <c r="CI67" s="77">
        <f t="shared" si="81"/>
        <v>23</v>
      </c>
      <c r="CJ67" s="77">
        <f t="shared" si="81"/>
        <v>24</v>
      </c>
      <c r="CK67" s="77">
        <f t="shared" si="80"/>
        <v>25</v>
      </c>
      <c r="CL67" s="77">
        <f t="shared" si="80"/>
        <v>26</v>
      </c>
      <c r="CM67" s="77">
        <f t="shared" ref="CM67:EX82" si="92">IF(CL67="","",CL67+1)</f>
        <v>27</v>
      </c>
      <c r="CN67" s="77">
        <f t="shared" si="92"/>
        <v>28</v>
      </c>
      <c r="CO67" s="77">
        <f t="shared" si="92"/>
        <v>29</v>
      </c>
      <c r="CP67" s="77">
        <f t="shared" si="92"/>
        <v>30</v>
      </c>
      <c r="CQ67" s="77">
        <f t="shared" si="92"/>
        <v>31</v>
      </c>
      <c r="CR67" s="77">
        <f t="shared" si="92"/>
        <v>32</v>
      </c>
      <c r="CS67" s="77">
        <f t="shared" si="92"/>
        <v>33</v>
      </c>
      <c r="CT67" s="77">
        <f t="shared" si="92"/>
        <v>34</v>
      </c>
      <c r="CU67" s="77">
        <f t="shared" si="92"/>
        <v>35</v>
      </c>
      <c r="CV67" s="77">
        <f t="shared" si="92"/>
        <v>36</v>
      </c>
      <c r="CW67" s="77">
        <f t="shared" si="92"/>
        <v>37</v>
      </c>
      <c r="CX67" s="77">
        <f t="shared" si="92"/>
        <v>38</v>
      </c>
      <c r="CY67" s="77">
        <f t="shared" si="92"/>
        <v>39</v>
      </c>
      <c r="CZ67" s="77">
        <f t="shared" si="92"/>
        <v>40</v>
      </c>
      <c r="DA67" s="77">
        <f t="shared" si="92"/>
        <v>41</v>
      </c>
      <c r="DB67" s="77">
        <f t="shared" si="92"/>
        <v>42</v>
      </c>
      <c r="DC67" s="77">
        <f t="shared" si="92"/>
        <v>43</v>
      </c>
      <c r="DD67" s="77">
        <f t="shared" si="92"/>
        <v>44</v>
      </c>
      <c r="DE67" s="77">
        <f t="shared" si="92"/>
        <v>45</v>
      </c>
      <c r="DF67" s="77">
        <f t="shared" si="92"/>
        <v>46</v>
      </c>
      <c r="DG67" s="77">
        <f t="shared" si="92"/>
        <v>47</v>
      </c>
      <c r="DH67" s="77">
        <f t="shared" si="92"/>
        <v>48</v>
      </c>
      <c r="DI67" s="77">
        <f t="shared" si="92"/>
        <v>49</v>
      </c>
      <c r="DJ67" s="77">
        <f t="shared" si="92"/>
        <v>50</v>
      </c>
      <c r="DK67" s="77">
        <f t="shared" si="92"/>
        <v>51</v>
      </c>
      <c r="DL67" s="77">
        <f t="shared" si="92"/>
        <v>52</v>
      </c>
      <c r="DM67" s="77">
        <f t="shared" si="92"/>
        <v>53</v>
      </c>
      <c r="DN67" s="77">
        <f t="shared" si="92"/>
        <v>54</v>
      </c>
      <c r="DO67" s="77">
        <f t="shared" si="92"/>
        <v>55</v>
      </c>
      <c r="DP67" s="77">
        <f t="shared" si="92"/>
        <v>56</v>
      </c>
      <c r="DQ67" s="77">
        <f t="shared" si="92"/>
        <v>57</v>
      </c>
      <c r="DR67" s="77">
        <f t="shared" si="92"/>
        <v>58</v>
      </c>
      <c r="DS67" s="77">
        <f t="shared" si="92"/>
        <v>59</v>
      </c>
      <c r="DT67" s="77">
        <f t="shared" si="92"/>
        <v>60</v>
      </c>
      <c r="DU67" s="77">
        <f t="shared" si="92"/>
        <v>61</v>
      </c>
      <c r="DV67" s="77">
        <f t="shared" si="92"/>
        <v>62</v>
      </c>
      <c r="DW67" s="77">
        <f t="shared" si="92"/>
        <v>63</v>
      </c>
      <c r="DX67" s="77">
        <f t="shared" si="92"/>
        <v>64</v>
      </c>
      <c r="DY67" s="77">
        <f t="shared" si="92"/>
        <v>65</v>
      </c>
      <c r="DZ67" s="77">
        <f t="shared" si="92"/>
        <v>66</v>
      </c>
      <c r="EA67" s="77">
        <f t="shared" si="92"/>
        <v>67</v>
      </c>
      <c r="EB67" s="77">
        <f t="shared" si="92"/>
        <v>68</v>
      </c>
      <c r="EC67" s="77">
        <f t="shared" si="92"/>
        <v>69</v>
      </c>
      <c r="ED67" s="77">
        <f t="shared" si="92"/>
        <v>70</v>
      </c>
      <c r="EE67" s="77">
        <f t="shared" si="92"/>
        <v>71</v>
      </c>
      <c r="EF67" s="77">
        <f t="shared" si="92"/>
        <v>72</v>
      </c>
      <c r="EG67" s="77">
        <f t="shared" si="92"/>
        <v>73</v>
      </c>
      <c r="EH67" s="77">
        <f t="shared" si="92"/>
        <v>74</v>
      </c>
      <c r="EI67" s="77">
        <f t="shared" si="92"/>
        <v>75</v>
      </c>
      <c r="EJ67" s="77">
        <f t="shared" si="92"/>
        <v>76</v>
      </c>
      <c r="EK67" s="77">
        <f t="shared" si="92"/>
        <v>77</v>
      </c>
      <c r="EL67" s="77">
        <f t="shared" si="92"/>
        <v>78</v>
      </c>
      <c r="EM67" s="77">
        <f t="shared" si="92"/>
        <v>79</v>
      </c>
      <c r="EN67" s="77">
        <f t="shared" si="92"/>
        <v>80</v>
      </c>
      <c r="EO67" s="77">
        <f t="shared" si="92"/>
        <v>81</v>
      </c>
      <c r="EP67" s="77">
        <f t="shared" si="92"/>
        <v>82</v>
      </c>
      <c r="EQ67" s="77">
        <f t="shared" si="92"/>
        <v>83</v>
      </c>
      <c r="ER67" s="77">
        <f t="shared" si="92"/>
        <v>84</v>
      </c>
      <c r="ES67" s="77">
        <f t="shared" si="92"/>
        <v>85</v>
      </c>
      <c r="ET67" s="77">
        <f t="shared" si="92"/>
        <v>86</v>
      </c>
      <c r="EU67" s="77">
        <f t="shared" si="92"/>
        <v>87</v>
      </c>
      <c r="EV67" s="77">
        <f t="shared" si="92"/>
        <v>88</v>
      </c>
      <c r="EW67" s="77">
        <f t="shared" si="92"/>
        <v>89</v>
      </c>
      <c r="EX67" s="77">
        <f t="shared" si="92"/>
        <v>90</v>
      </c>
      <c r="EY67" s="77">
        <f t="shared" ref="EY67:GX71" si="93">IF(EX67="","",EX67+1)</f>
        <v>91</v>
      </c>
      <c r="EZ67" s="77">
        <f t="shared" si="93"/>
        <v>92</v>
      </c>
      <c r="FA67" s="77">
        <f t="shared" si="93"/>
        <v>93</v>
      </c>
      <c r="FB67" s="77">
        <f t="shared" si="93"/>
        <v>94</v>
      </c>
      <c r="FC67" s="77">
        <f t="shared" si="93"/>
        <v>95</v>
      </c>
      <c r="FD67" s="77">
        <f t="shared" si="93"/>
        <v>96</v>
      </c>
      <c r="FE67" s="77">
        <f t="shared" si="93"/>
        <v>97</v>
      </c>
      <c r="FF67" s="77">
        <f t="shared" si="93"/>
        <v>98</v>
      </c>
      <c r="FG67" s="77">
        <f t="shared" si="93"/>
        <v>99</v>
      </c>
      <c r="FH67" s="77">
        <f t="shared" si="93"/>
        <v>100</v>
      </c>
      <c r="FI67" s="77">
        <f t="shared" si="93"/>
        <v>101</v>
      </c>
      <c r="FJ67" s="77">
        <f t="shared" si="93"/>
        <v>102</v>
      </c>
      <c r="FK67" s="77">
        <f t="shared" si="93"/>
        <v>103</v>
      </c>
      <c r="FL67" s="77">
        <f t="shared" si="93"/>
        <v>104</v>
      </c>
      <c r="FM67" s="77">
        <f t="shared" si="93"/>
        <v>105</v>
      </c>
      <c r="FN67" s="77">
        <f t="shared" si="93"/>
        <v>106</v>
      </c>
      <c r="FO67" s="77">
        <f t="shared" si="93"/>
        <v>107</v>
      </c>
      <c r="FP67" s="77">
        <f t="shared" si="93"/>
        <v>108</v>
      </c>
      <c r="FQ67" s="77">
        <f t="shared" si="93"/>
        <v>109</v>
      </c>
      <c r="FR67" s="77">
        <f t="shared" si="93"/>
        <v>110</v>
      </c>
      <c r="FS67" s="77">
        <f t="shared" si="93"/>
        <v>111</v>
      </c>
      <c r="FT67" s="77">
        <f t="shared" si="93"/>
        <v>112</v>
      </c>
      <c r="FU67" s="77">
        <f t="shared" si="93"/>
        <v>113</v>
      </c>
      <c r="FV67" s="77">
        <f t="shared" si="93"/>
        <v>114</v>
      </c>
      <c r="FW67" s="77">
        <f t="shared" si="93"/>
        <v>115</v>
      </c>
      <c r="FX67" s="77">
        <f t="shared" si="93"/>
        <v>116</v>
      </c>
      <c r="FY67" s="77">
        <f t="shared" si="93"/>
        <v>117</v>
      </c>
      <c r="FZ67" s="77">
        <f t="shared" si="93"/>
        <v>118</v>
      </c>
      <c r="GA67" s="77">
        <f t="shared" si="93"/>
        <v>119</v>
      </c>
      <c r="GB67" s="77">
        <f t="shared" si="93"/>
        <v>120</v>
      </c>
      <c r="GC67" s="77">
        <f t="shared" si="93"/>
        <v>121</v>
      </c>
      <c r="GD67" s="77">
        <f t="shared" si="93"/>
        <v>122</v>
      </c>
      <c r="GE67" s="77">
        <f t="shared" si="93"/>
        <v>123</v>
      </c>
      <c r="GF67" s="77">
        <f t="shared" si="93"/>
        <v>124</v>
      </c>
      <c r="GG67" s="77">
        <f t="shared" si="93"/>
        <v>125</v>
      </c>
      <c r="GH67" s="77">
        <f t="shared" si="93"/>
        <v>126</v>
      </c>
      <c r="GI67" s="77">
        <f t="shared" si="93"/>
        <v>127</v>
      </c>
      <c r="GJ67" s="77">
        <f t="shared" si="93"/>
        <v>128</v>
      </c>
      <c r="GK67" s="77">
        <f t="shared" si="93"/>
        <v>129</v>
      </c>
      <c r="GL67" s="77">
        <f t="shared" si="93"/>
        <v>130</v>
      </c>
      <c r="GM67" s="77">
        <f t="shared" si="93"/>
        <v>131</v>
      </c>
      <c r="GN67" s="77">
        <f t="shared" si="93"/>
        <v>132</v>
      </c>
      <c r="GO67" s="77">
        <f t="shared" si="93"/>
        <v>133</v>
      </c>
      <c r="GP67" s="77">
        <f t="shared" si="93"/>
        <v>134</v>
      </c>
      <c r="GQ67" s="77">
        <f t="shared" si="93"/>
        <v>135</v>
      </c>
      <c r="GR67" s="77">
        <f t="shared" si="93"/>
        <v>136</v>
      </c>
      <c r="GS67" s="77">
        <f t="shared" si="93"/>
        <v>137</v>
      </c>
      <c r="GT67" s="77">
        <f t="shared" si="93"/>
        <v>138</v>
      </c>
      <c r="GU67" s="77">
        <f t="shared" si="93"/>
        <v>139</v>
      </c>
      <c r="GV67" s="77">
        <f t="shared" si="93"/>
        <v>140</v>
      </c>
      <c r="GW67" s="77">
        <f t="shared" si="93"/>
        <v>141</v>
      </c>
      <c r="GX67" s="77">
        <f t="shared" si="93"/>
        <v>142</v>
      </c>
    </row>
    <row r="68" spans="1:206" ht="15" customHeight="1" x14ac:dyDescent="0.2">
      <c r="A68" s="22" t="s">
        <v>68</v>
      </c>
      <c r="B68" s="22">
        <v>4</v>
      </c>
      <c r="C68" s="22" t="s">
        <v>162</v>
      </c>
      <c r="D68" s="22" t="s">
        <v>171</v>
      </c>
      <c r="E68" s="22" t="s">
        <v>172</v>
      </c>
      <c r="F68" s="22" t="s">
        <v>71</v>
      </c>
      <c r="G68" s="22" t="s">
        <v>82</v>
      </c>
      <c r="H68" s="22">
        <v>2012</v>
      </c>
      <c r="I68" s="22">
        <v>14</v>
      </c>
      <c r="J68" s="22">
        <v>20.53</v>
      </c>
      <c r="K68" s="22">
        <v>0</v>
      </c>
      <c r="L68" s="22">
        <v>2779</v>
      </c>
      <c r="M68" s="22">
        <v>2779</v>
      </c>
      <c r="N68" s="22" t="s">
        <v>95</v>
      </c>
      <c r="O68" s="22" t="s">
        <v>96</v>
      </c>
      <c r="P68" s="22" t="s">
        <v>75</v>
      </c>
      <c r="Q68" s="108">
        <f>IF(R68="","",'Dashboard Ciclos'!$B$2-R68)</f>
        <v>46246</v>
      </c>
      <c r="R68" s="22">
        <f>IF($E68="","",IFERROR(INDEX($W68:$GX68,MATCH('Dashboard Ciclos'!$B$2,$W$1:$GX$1,0)),""))</f>
        <v>3</v>
      </c>
      <c r="S68" s="22" t="str">
        <f t="shared" si="83"/>
        <v>En ciclo</v>
      </c>
      <c r="T68" s="22" t="str">
        <f t="shared" si="84"/>
        <v>Recién cortado</v>
      </c>
      <c r="U68" s="22">
        <f t="shared" si="85"/>
        <v>9</v>
      </c>
      <c r="V68" s="23">
        <f t="shared" si="86"/>
        <v>46258</v>
      </c>
      <c r="W68" s="77">
        <f t="shared" si="87"/>
        <v>26</v>
      </c>
      <c r="X68" s="77">
        <f t="shared" si="87"/>
        <v>27</v>
      </c>
      <c r="Y68" s="77">
        <f t="shared" si="87"/>
        <v>28</v>
      </c>
      <c r="Z68" s="77">
        <f t="shared" si="87"/>
        <v>29</v>
      </c>
      <c r="AA68" s="77">
        <v>30</v>
      </c>
      <c r="AB68" s="77">
        <f t="shared" si="89"/>
        <v>31</v>
      </c>
      <c r="AC68" s="77">
        <f t="shared" si="89"/>
        <v>32</v>
      </c>
      <c r="AD68" s="77">
        <f t="shared" si="89"/>
        <v>33</v>
      </c>
      <c r="AE68" s="77">
        <f t="shared" si="89"/>
        <v>34</v>
      </c>
      <c r="AF68" s="77">
        <v>0</v>
      </c>
      <c r="AG68" s="77">
        <f t="shared" si="89"/>
        <v>1</v>
      </c>
      <c r="AH68" s="77">
        <f t="shared" si="89"/>
        <v>2</v>
      </c>
      <c r="AI68" s="77">
        <f t="shared" si="89"/>
        <v>3</v>
      </c>
      <c r="AJ68" s="77">
        <f t="shared" si="89"/>
        <v>4</v>
      </c>
      <c r="AK68" s="77">
        <f t="shared" si="90"/>
        <v>5</v>
      </c>
      <c r="AL68" s="77">
        <f t="shared" si="90"/>
        <v>6</v>
      </c>
      <c r="AM68" s="77">
        <f t="shared" si="90"/>
        <v>7</v>
      </c>
      <c r="AN68" s="77">
        <f t="shared" si="91"/>
        <v>8</v>
      </c>
      <c r="AO68" s="77">
        <f t="shared" si="90"/>
        <v>9</v>
      </c>
      <c r="AP68" s="77">
        <f t="shared" si="90"/>
        <v>10</v>
      </c>
      <c r="AQ68" s="77">
        <f t="shared" si="90"/>
        <v>11</v>
      </c>
      <c r="AR68" s="77">
        <f t="shared" si="82"/>
        <v>12</v>
      </c>
      <c r="AS68" s="77">
        <f t="shared" ref="AS68:CJ71" si="94">IF(AR68="","",AR68+1)</f>
        <v>13</v>
      </c>
      <c r="AT68" s="77">
        <v>0</v>
      </c>
      <c r="AU68" s="77">
        <f t="shared" si="94"/>
        <v>1</v>
      </c>
      <c r="AV68" s="77">
        <f t="shared" si="94"/>
        <v>2</v>
      </c>
      <c r="AW68" s="77">
        <f t="shared" si="94"/>
        <v>3</v>
      </c>
      <c r="AX68" s="77">
        <f t="shared" si="94"/>
        <v>4</v>
      </c>
      <c r="AY68" s="77">
        <f t="shared" si="94"/>
        <v>5</v>
      </c>
      <c r="AZ68" s="77">
        <f t="shared" si="94"/>
        <v>6</v>
      </c>
      <c r="BA68" s="77">
        <f t="shared" si="94"/>
        <v>7</v>
      </c>
      <c r="BB68" s="77">
        <f t="shared" si="94"/>
        <v>8</v>
      </c>
      <c r="BC68" s="77">
        <f t="shared" si="94"/>
        <v>9</v>
      </c>
      <c r="BD68" s="77">
        <f t="shared" si="94"/>
        <v>10</v>
      </c>
      <c r="BE68" s="77">
        <f t="shared" si="94"/>
        <v>11</v>
      </c>
      <c r="BF68" s="77">
        <f t="shared" si="94"/>
        <v>12</v>
      </c>
      <c r="BG68" s="77">
        <f t="shared" si="94"/>
        <v>13</v>
      </c>
      <c r="BH68" s="77">
        <f t="shared" si="94"/>
        <v>14</v>
      </c>
      <c r="BI68" s="77">
        <f t="shared" si="94"/>
        <v>15</v>
      </c>
      <c r="BJ68" s="77">
        <f t="shared" si="94"/>
        <v>16</v>
      </c>
      <c r="BK68" s="77">
        <f t="shared" si="94"/>
        <v>17</v>
      </c>
      <c r="BL68" s="77">
        <f t="shared" si="94"/>
        <v>18</v>
      </c>
      <c r="BM68" s="77">
        <v>0</v>
      </c>
      <c r="BN68" s="77">
        <f t="shared" si="94"/>
        <v>1</v>
      </c>
      <c r="BO68" s="77">
        <f t="shared" si="94"/>
        <v>2</v>
      </c>
      <c r="BP68" s="77">
        <f t="shared" si="94"/>
        <v>3</v>
      </c>
      <c r="BQ68" s="77">
        <f t="shared" si="94"/>
        <v>4</v>
      </c>
      <c r="BR68" s="77">
        <f t="shared" si="94"/>
        <v>5</v>
      </c>
      <c r="BS68" s="77">
        <f t="shared" si="94"/>
        <v>6</v>
      </c>
      <c r="BT68" s="77">
        <f t="shared" si="94"/>
        <v>7</v>
      </c>
      <c r="BU68" s="77">
        <f t="shared" si="94"/>
        <v>8</v>
      </c>
      <c r="BV68" s="77">
        <f t="shared" si="94"/>
        <v>9</v>
      </c>
      <c r="BW68" s="77">
        <f t="shared" si="94"/>
        <v>10</v>
      </c>
      <c r="BX68" s="77">
        <f t="shared" si="94"/>
        <v>11</v>
      </c>
      <c r="BY68" s="77">
        <f t="shared" si="94"/>
        <v>12</v>
      </c>
      <c r="BZ68" s="77">
        <f t="shared" si="94"/>
        <v>13</v>
      </c>
      <c r="CA68" s="77">
        <f t="shared" si="94"/>
        <v>14</v>
      </c>
      <c r="CB68" s="77">
        <f t="shared" si="94"/>
        <v>15</v>
      </c>
      <c r="CC68" s="77">
        <f t="shared" si="94"/>
        <v>16</v>
      </c>
      <c r="CD68" s="77">
        <f t="shared" si="94"/>
        <v>17</v>
      </c>
      <c r="CE68" s="77">
        <f t="shared" si="94"/>
        <v>18</v>
      </c>
      <c r="CF68" s="77">
        <f t="shared" si="94"/>
        <v>19</v>
      </c>
      <c r="CG68" s="77">
        <f t="shared" si="94"/>
        <v>20</v>
      </c>
      <c r="CH68" s="77">
        <f t="shared" si="94"/>
        <v>21</v>
      </c>
      <c r="CI68" s="77">
        <f t="shared" si="94"/>
        <v>22</v>
      </c>
      <c r="CJ68" s="77">
        <f t="shared" si="94"/>
        <v>23</v>
      </c>
      <c r="CK68" s="77">
        <f t="shared" ref="CK68:EV83" si="95">IF(CJ68="","",CJ68+1)</f>
        <v>24</v>
      </c>
      <c r="CL68" s="77">
        <f t="shared" si="95"/>
        <v>25</v>
      </c>
      <c r="CM68" s="77">
        <f t="shared" si="95"/>
        <v>26</v>
      </c>
      <c r="CN68" s="77">
        <f t="shared" si="95"/>
        <v>27</v>
      </c>
      <c r="CO68" s="77">
        <f t="shared" si="95"/>
        <v>28</v>
      </c>
      <c r="CP68" s="77">
        <f t="shared" si="95"/>
        <v>29</v>
      </c>
      <c r="CQ68" s="77">
        <f t="shared" si="95"/>
        <v>30</v>
      </c>
      <c r="CR68" s="77">
        <f t="shared" si="95"/>
        <v>31</v>
      </c>
      <c r="CS68" s="77">
        <f t="shared" si="95"/>
        <v>32</v>
      </c>
      <c r="CT68" s="77">
        <f t="shared" si="95"/>
        <v>33</v>
      </c>
      <c r="CU68" s="77">
        <f t="shared" si="95"/>
        <v>34</v>
      </c>
      <c r="CV68" s="77">
        <f t="shared" si="95"/>
        <v>35</v>
      </c>
      <c r="CW68" s="77">
        <f t="shared" si="95"/>
        <v>36</v>
      </c>
      <c r="CX68" s="77">
        <f t="shared" si="95"/>
        <v>37</v>
      </c>
      <c r="CY68" s="77">
        <f t="shared" si="95"/>
        <v>38</v>
      </c>
      <c r="CZ68" s="77">
        <f t="shared" si="95"/>
        <v>39</v>
      </c>
      <c r="DA68" s="77">
        <f t="shared" si="95"/>
        <v>40</v>
      </c>
      <c r="DB68" s="77">
        <f t="shared" si="95"/>
        <v>41</v>
      </c>
      <c r="DC68" s="77">
        <f t="shared" si="95"/>
        <v>42</v>
      </c>
      <c r="DD68" s="77">
        <f t="shared" si="95"/>
        <v>43</v>
      </c>
      <c r="DE68" s="77">
        <f t="shared" si="95"/>
        <v>44</v>
      </c>
      <c r="DF68" s="77">
        <f t="shared" si="95"/>
        <v>45</v>
      </c>
      <c r="DG68" s="77">
        <f t="shared" si="95"/>
        <v>46</v>
      </c>
      <c r="DH68" s="77">
        <f t="shared" si="95"/>
        <v>47</v>
      </c>
      <c r="DI68" s="77">
        <f t="shared" si="95"/>
        <v>48</v>
      </c>
      <c r="DJ68" s="77">
        <f t="shared" si="95"/>
        <v>49</v>
      </c>
      <c r="DK68" s="77">
        <f t="shared" si="95"/>
        <v>50</v>
      </c>
      <c r="DL68" s="77">
        <f t="shared" si="95"/>
        <v>51</v>
      </c>
      <c r="DM68" s="77">
        <f t="shared" si="95"/>
        <v>52</v>
      </c>
      <c r="DN68" s="77">
        <f t="shared" si="95"/>
        <v>53</v>
      </c>
      <c r="DO68" s="77">
        <f t="shared" si="95"/>
        <v>54</v>
      </c>
      <c r="DP68" s="77">
        <f t="shared" si="95"/>
        <v>55</v>
      </c>
      <c r="DQ68" s="77">
        <f t="shared" si="95"/>
        <v>56</v>
      </c>
      <c r="DR68" s="77">
        <f t="shared" si="95"/>
        <v>57</v>
      </c>
      <c r="DS68" s="77">
        <f t="shared" si="95"/>
        <v>58</v>
      </c>
      <c r="DT68" s="77">
        <f t="shared" si="95"/>
        <v>59</v>
      </c>
      <c r="DU68" s="77">
        <f t="shared" si="95"/>
        <v>60</v>
      </c>
      <c r="DV68" s="77">
        <f t="shared" si="95"/>
        <v>61</v>
      </c>
      <c r="DW68" s="77">
        <f t="shared" si="95"/>
        <v>62</v>
      </c>
      <c r="DX68" s="77">
        <f t="shared" si="95"/>
        <v>63</v>
      </c>
      <c r="DY68" s="77">
        <f t="shared" si="95"/>
        <v>64</v>
      </c>
      <c r="DZ68" s="77">
        <f t="shared" si="95"/>
        <v>65</v>
      </c>
      <c r="EA68" s="77">
        <f t="shared" si="95"/>
        <v>66</v>
      </c>
      <c r="EB68" s="77">
        <f t="shared" si="95"/>
        <v>67</v>
      </c>
      <c r="EC68" s="77">
        <f t="shared" si="95"/>
        <v>68</v>
      </c>
      <c r="ED68" s="77">
        <f t="shared" si="95"/>
        <v>69</v>
      </c>
      <c r="EE68" s="77">
        <f t="shared" si="95"/>
        <v>70</v>
      </c>
      <c r="EF68" s="77">
        <f t="shared" si="95"/>
        <v>71</v>
      </c>
      <c r="EG68" s="77">
        <f t="shared" si="95"/>
        <v>72</v>
      </c>
      <c r="EH68" s="77">
        <f t="shared" si="95"/>
        <v>73</v>
      </c>
      <c r="EI68" s="77">
        <f t="shared" si="95"/>
        <v>74</v>
      </c>
      <c r="EJ68" s="77">
        <f t="shared" si="95"/>
        <v>75</v>
      </c>
      <c r="EK68" s="77">
        <f t="shared" si="95"/>
        <v>76</v>
      </c>
      <c r="EL68" s="77">
        <f t="shared" si="95"/>
        <v>77</v>
      </c>
      <c r="EM68" s="77">
        <f t="shared" si="95"/>
        <v>78</v>
      </c>
      <c r="EN68" s="77">
        <f t="shared" si="95"/>
        <v>79</v>
      </c>
      <c r="EO68" s="77">
        <f t="shared" si="95"/>
        <v>80</v>
      </c>
      <c r="EP68" s="77">
        <f t="shared" si="95"/>
        <v>81</v>
      </c>
      <c r="EQ68" s="77">
        <f t="shared" si="95"/>
        <v>82</v>
      </c>
      <c r="ER68" s="77">
        <f t="shared" si="95"/>
        <v>83</v>
      </c>
      <c r="ES68" s="77">
        <f t="shared" si="95"/>
        <v>84</v>
      </c>
      <c r="ET68" s="77">
        <f t="shared" si="95"/>
        <v>85</v>
      </c>
      <c r="EU68" s="77">
        <f t="shared" si="95"/>
        <v>86</v>
      </c>
      <c r="EV68" s="77">
        <f t="shared" si="95"/>
        <v>87</v>
      </c>
      <c r="EW68" s="77">
        <f t="shared" si="92"/>
        <v>88</v>
      </c>
      <c r="EX68" s="77">
        <f t="shared" si="92"/>
        <v>89</v>
      </c>
      <c r="EY68" s="77">
        <f t="shared" si="93"/>
        <v>90</v>
      </c>
      <c r="EZ68" s="77">
        <f t="shared" si="93"/>
        <v>91</v>
      </c>
      <c r="FA68" s="77">
        <f t="shared" si="93"/>
        <v>92</v>
      </c>
      <c r="FB68" s="77">
        <f t="shared" si="93"/>
        <v>93</v>
      </c>
      <c r="FC68" s="77">
        <f t="shared" si="93"/>
        <v>94</v>
      </c>
      <c r="FD68" s="77">
        <f t="shared" si="93"/>
        <v>95</v>
      </c>
      <c r="FE68" s="77">
        <f t="shared" si="93"/>
        <v>96</v>
      </c>
      <c r="FF68" s="77">
        <f t="shared" si="93"/>
        <v>97</v>
      </c>
      <c r="FG68" s="77">
        <f t="shared" si="93"/>
        <v>98</v>
      </c>
      <c r="FH68" s="77">
        <f t="shared" si="93"/>
        <v>99</v>
      </c>
      <c r="FI68" s="77">
        <f t="shared" si="93"/>
        <v>100</v>
      </c>
      <c r="FJ68" s="77">
        <f t="shared" si="93"/>
        <v>101</v>
      </c>
      <c r="FK68" s="77">
        <f t="shared" si="93"/>
        <v>102</v>
      </c>
      <c r="FL68" s="77">
        <f t="shared" si="93"/>
        <v>103</v>
      </c>
      <c r="FM68" s="77">
        <f t="shared" si="93"/>
        <v>104</v>
      </c>
      <c r="FN68" s="77">
        <f t="shared" si="93"/>
        <v>105</v>
      </c>
      <c r="FO68" s="77">
        <f t="shared" si="93"/>
        <v>106</v>
      </c>
      <c r="FP68" s="77">
        <f t="shared" si="93"/>
        <v>107</v>
      </c>
      <c r="FQ68" s="77">
        <f t="shared" si="93"/>
        <v>108</v>
      </c>
      <c r="FR68" s="77">
        <f t="shared" si="93"/>
        <v>109</v>
      </c>
      <c r="FS68" s="77">
        <f t="shared" si="93"/>
        <v>110</v>
      </c>
      <c r="FT68" s="77">
        <f t="shared" si="93"/>
        <v>111</v>
      </c>
      <c r="FU68" s="77">
        <f t="shared" si="93"/>
        <v>112</v>
      </c>
      <c r="FV68" s="77">
        <f t="shared" si="93"/>
        <v>113</v>
      </c>
      <c r="FW68" s="77">
        <f t="shared" si="93"/>
        <v>114</v>
      </c>
      <c r="FX68" s="77">
        <f t="shared" si="93"/>
        <v>115</v>
      </c>
      <c r="FY68" s="77">
        <f t="shared" si="93"/>
        <v>116</v>
      </c>
      <c r="FZ68" s="77">
        <f t="shared" si="93"/>
        <v>117</v>
      </c>
      <c r="GA68" s="77">
        <f t="shared" si="93"/>
        <v>118</v>
      </c>
      <c r="GB68" s="77">
        <f t="shared" si="93"/>
        <v>119</v>
      </c>
      <c r="GC68" s="77">
        <f t="shared" si="93"/>
        <v>120</v>
      </c>
      <c r="GD68" s="77">
        <f t="shared" si="93"/>
        <v>121</v>
      </c>
      <c r="GE68" s="77">
        <f t="shared" si="93"/>
        <v>122</v>
      </c>
      <c r="GF68" s="77">
        <f t="shared" si="93"/>
        <v>123</v>
      </c>
      <c r="GG68" s="77">
        <f t="shared" si="93"/>
        <v>124</v>
      </c>
      <c r="GH68" s="77">
        <f t="shared" si="93"/>
        <v>125</v>
      </c>
      <c r="GI68" s="77">
        <f t="shared" si="93"/>
        <v>126</v>
      </c>
      <c r="GJ68" s="77">
        <f t="shared" si="93"/>
        <v>127</v>
      </c>
      <c r="GK68" s="77">
        <f t="shared" si="93"/>
        <v>128</v>
      </c>
      <c r="GL68" s="77">
        <f t="shared" si="93"/>
        <v>129</v>
      </c>
      <c r="GM68" s="77">
        <f t="shared" si="93"/>
        <v>130</v>
      </c>
      <c r="GN68" s="77">
        <f t="shared" si="93"/>
        <v>131</v>
      </c>
      <c r="GO68" s="77">
        <f t="shared" si="93"/>
        <v>132</v>
      </c>
      <c r="GP68" s="77">
        <f t="shared" si="93"/>
        <v>133</v>
      </c>
      <c r="GQ68" s="77">
        <f t="shared" si="93"/>
        <v>134</v>
      </c>
      <c r="GR68" s="77">
        <f t="shared" si="93"/>
        <v>135</v>
      </c>
      <c r="GS68" s="77">
        <f t="shared" si="93"/>
        <v>136</v>
      </c>
      <c r="GT68" s="77">
        <f t="shared" si="93"/>
        <v>137</v>
      </c>
      <c r="GU68" s="77">
        <f t="shared" si="93"/>
        <v>138</v>
      </c>
      <c r="GV68" s="77">
        <f t="shared" si="93"/>
        <v>139</v>
      </c>
      <c r="GW68" s="77">
        <f t="shared" si="93"/>
        <v>140</v>
      </c>
      <c r="GX68" s="77">
        <f t="shared" si="93"/>
        <v>141</v>
      </c>
    </row>
    <row r="69" spans="1:206" ht="15" customHeight="1" x14ac:dyDescent="0.2">
      <c r="A69" s="22" t="s">
        <v>68</v>
      </c>
      <c r="B69" s="22">
        <v>4</v>
      </c>
      <c r="C69" s="22" t="s">
        <v>162</v>
      </c>
      <c r="D69" s="22">
        <v>55</v>
      </c>
      <c r="E69" s="22" t="s">
        <v>173</v>
      </c>
      <c r="F69" s="22" t="s">
        <v>134</v>
      </c>
      <c r="G69" s="22" t="s">
        <v>79</v>
      </c>
      <c r="H69" s="22">
        <v>2012</v>
      </c>
      <c r="I69" s="22">
        <v>14</v>
      </c>
      <c r="J69" s="22">
        <v>42.16</v>
      </c>
      <c r="K69" s="22">
        <v>0</v>
      </c>
      <c r="L69" s="22">
        <v>6075</v>
      </c>
      <c r="M69" s="22">
        <v>6075</v>
      </c>
      <c r="N69" s="22" t="s">
        <v>95</v>
      </c>
      <c r="O69" s="22" t="s">
        <v>96</v>
      </c>
      <c r="P69" s="22" t="s">
        <v>75</v>
      </c>
      <c r="Q69" s="108">
        <f>IF(R69="","",'Dashboard Ciclos'!$B$2-R69)</f>
        <v>46247</v>
      </c>
      <c r="R69" s="22">
        <f>IF($E69="","",IFERROR(INDEX($W69:$GX69,MATCH('Dashboard Ciclos'!$B$2,$W$1:$GX$1,0)),""))</f>
        <v>2</v>
      </c>
      <c r="S69" s="22" t="str">
        <f t="shared" si="83"/>
        <v>En ciclo</v>
      </c>
      <c r="T69" s="22" t="str">
        <f t="shared" si="84"/>
        <v>Recién cortado</v>
      </c>
      <c r="U69" s="22">
        <f t="shared" si="85"/>
        <v>10</v>
      </c>
      <c r="V69" s="23">
        <f t="shared" si="86"/>
        <v>46259</v>
      </c>
      <c r="W69" s="77">
        <f t="shared" si="87"/>
        <v>22</v>
      </c>
      <c r="X69" s="77">
        <f t="shared" si="87"/>
        <v>23</v>
      </c>
      <c r="Y69" s="77">
        <f t="shared" si="87"/>
        <v>24</v>
      </c>
      <c r="Z69" s="77">
        <f t="shared" si="87"/>
        <v>25</v>
      </c>
      <c r="AA69" s="77">
        <v>26</v>
      </c>
      <c r="AB69" s="77">
        <f t="shared" si="89"/>
        <v>27</v>
      </c>
      <c r="AC69" s="77">
        <f t="shared" si="89"/>
        <v>28</v>
      </c>
      <c r="AD69" s="77">
        <f t="shared" si="89"/>
        <v>29</v>
      </c>
      <c r="AE69" s="77">
        <f t="shared" si="89"/>
        <v>30</v>
      </c>
      <c r="AF69" s="77">
        <f t="shared" si="89"/>
        <v>31</v>
      </c>
      <c r="AG69" s="77">
        <v>0</v>
      </c>
      <c r="AH69" s="77">
        <f t="shared" si="89"/>
        <v>1</v>
      </c>
      <c r="AI69" s="77">
        <f t="shared" si="89"/>
        <v>2</v>
      </c>
      <c r="AJ69" s="77">
        <f t="shared" si="89"/>
        <v>3</v>
      </c>
      <c r="AK69" s="77">
        <f t="shared" si="90"/>
        <v>4</v>
      </c>
      <c r="AL69" s="77">
        <f t="shared" si="90"/>
        <v>5</v>
      </c>
      <c r="AM69" s="77">
        <f t="shared" si="90"/>
        <v>6</v>
      </c>
      <c r="AN69" s="77">
        <f t="shared" si="91"/>
        <v>7</v>
      </c>
      <c r="AO69" s="77">
        <f t="shared" si="90"/>
        <v>8</v>
      </c>
      <c r="AP69" s="77">
        <f t="shared" si="90"/>
        <v>9</v>
      </c>
      <c r="AQ69" s="77">
        <f t="shared" si="90"/>
        <v>10</v>
      </c>
      <c r="AR69" s="77">
        <f t="shared" si="82"/>
        <v>11</v>
      </c>
      <c r="AS69" s="77">
        <f t="shared" si="94"/>
        <v>12</v>
      </c>
      <c r="AT69" s="77">
        <v>0</v>
      </c>
      <c r="AU69" s="77">
        <f t="shared" si="94"/>
        <v>1</v>
      </c>
      <c r="AV69" s="77">
        <f t="shared" si="94"/>
        <v>2</v>
      </c>
      <c r="AW69" s="77">
        <f t="shared" si="94"/>
        <v>3</v>
      </c>
      <c r="AX69" s="77">
        <f t="shared" si="94"/>
        <v>4</v>
      </c>
      <c r="AY69" s="77">
        <f t="shared" si="94"/>
        <v>5</v>
      </c>
      <c r="AZ69" s="77">
        <f t="shared" si="94"/>
        <v>6</v>
      </c>
      <c r="BA69" s="77">
        <f t="shared" si="94"/>
        <v>7</v>
      </c>
      <c r="BB69" s="77">
        <f t="shared" si="94"/>
        <v>8</v>
      </c>
      <c r="BC69" s="77">
        <f t="shared" si="94"/>
        <v>9</v>
      </c>
      <c r="BD69" s="77">
        <f t="shared" si="94"/>
        <v>10</v>
      </c>
      <c r="BE69" s="77">
        <f t="shared" si="94"/>
        <v>11</v>
      </c>
      <c r="BF69" s="77">
        <f t="shared" si="94"/>
        <v>12</v>
      </c>
      <c r="BG69" s="77">
        <f t="shared" si="94"/>
        <v>13</v>
      </c>
      <c r="BH69" s="77">
        <f t="shared" si="94"/>
        <v>14</v>
      </c>
      <c r="BI69" s="77">
        <f t="shared" si="94"/>
        <v>15</v>
      </c>
      <c r="BJ69" s="77">
        <f t="shared" si="94"/>
        <v>16</v>
      </c>
      <c r="BK69" s="77">
        <f t="shared" si="94"/>
        <v>17</v>
      </c>
      <c r="BL69" s="77">
        <f t="shared" si="94"/>
        <v>18</v>
      </c>
      <c r="BM69" s="77">
        <f t="shared" si="94"/>
        <v>19</v>
      </c>
      <c r="BN69" s="77">
        <v>0</v>
      </c>
      <c r="BO69" s="77">
        <f t="shared" si="94"/>
        <v>1</v>
      </c>
      <c r="BP69" s="77">
        <f t="shared" si="94"/>
        <v>2</v>
      </c>
      <c r="BQ69" s="77">
        <f t="shared" si="94"/>
        <v>3</v>
      </c>
      <c r="BR69" s="77">
        <f t="shared" si="94"/>
        <v>4</v>
      </c>
      <c r="BS69" s="77">
        <f t="shared" si="94"/>
        <v>5</v>
      </c>
      <c r="BT69" s="77">
        <f t="shared" si="94"/>
        <v>6</v>
      </c>
      <c r="BU69" s="77">
        <f t="shared" si="94"/>
        <v>7</v>
      </c>
      <c r="BV69" s="77">
        <f t="shared" si="94"/>
        <v>8</v>
      </c>
      <c r="BW69" s="77">
        <f t="shared" si="94"/>
        <v>9</v>
      </c>
      <c r="BX69" s="77">
        <f t="shared" si="94"/>
        <v>10</v>
      </c>
      <c r="BY69" s="77">
        <f t="shared" si="94"/>
        <v>11</v>
      </c>
      <c r="BZ69" s="77">
        <f t="shared" si="94"/>
        <v>12</v>
      </c>
      <c r="CA69" s="77">
        <f t="shared" si="94"/>
        <v>13</v>
      </c>
      <c r="CB69" s="77">
        <f t="shared" si="94"/>
        <v>14</v>
      </c>
      <c r="CC69" s="77">
        <f t="shared" si="94"/>
        <v>15</v>
      </c>
      <c r="CD69" s="77">
        <f t="shared" si="94"/>
        <v>16</v>
      </c>
      <c r="CE69" s="77">
        <f t="shared" si="94"/>
        <v>17</v>
      </c>
      <c r="CF69" s="77">
        <f t="shared" si="94"/>
        <v>18</v>
      </c>
      <c r="CG69" s="77">
        <f t="shared" si="94"/>
        <v>19</v>
      </c>
      <c r="CH69" s="77">
        <f t="shared" si="94"/>
        <v>20</v>
      </c>
      <c r="CI69" s="77">
        <f t="shared" si="94"/>
        <v>21</v>
      </c>
      <c r="CJ69" s="77">
        <f t="shared" si="94"/>
        <v>22</v>
      </c>
      <c r="CK69" s="77">
        <f t="shared" si="95"/>
        <v>23</v>
      </c>
      <c r="CL69" s="77">
        <f t="shared" si="95"/>
        <v>24</v>
      </c>
      <c r="CM69" s="77">
        <f t="shared" si="95"/>
        <v>25</v>
      </c>
      <c r="CN69" s="77">
        <f t="shared" si="95"/>
        <v>26</v>
      </c>
      <c r="CO69" s="77">
        <f t="shared" si="95"/>
        <v>27</v>
      </c>
      <c r="CP69" s="77">
        <f t="shared" si="95"/>
        <v>28</v>
      </c>
      <c r="CQ69" s="77">
        <f t="shared" si="95"/>
        <v>29</v>
      </c>
      <c r="CR69" s="77">
        <f t="shared" si="95"/>
        <v>30</v>
      </c>
      <c r="CS69" s="77">
        <f t="shared" si="95"/>
        <v>31</v>
      </c>
      <c r="CT69" s="77">
        <f t="shared" si="95"/>
        <v>32</v>
      </c>
      <c r="CU69" s="77">
        <f t="shared" si="95"/>
        <v>33</v>
      </c>
      <c r="CV69" s="77">
        <f t="shared" si="95"/>
        <v>34</v>
      </c>
      <c r="CW69" s="77">
        <f t="shared" si="95"/>
        <v>35</v>
      </c>
      <c r="CX69" s="77">
        <f t="shared" si="95"/>
        <v>36</v>
      </c>
      <c r="CY69" s="77">
        <f t="shared" si="95"/>
        <v>37</v>
      </c>
      <c r="CZ69" s="77">
        <f t="shared" si="95"/>
        <v>38</v>
      </c>
      <c r="DA69" s="77">
        <f t="shared" si="95"/>
        <v>39</v>
      </c>
      <c r="DB69" s="77">
        <f t="shared" si="95"/>
        <v>40</v>
      </c>
      <c r="DC69" s="77">
        <f t="shared" si="95"/>
        <v>41</v>
      </c>
      <c r="DD69" s="77">
        <f t="shared" si="95"/>
        <v>42</v>
      </c>
      <c r="DE69" s="77">
        <f t="shared" si="95"/>
        <v>43</v>
      </c>
      <c r="DF69" s="77">
        <f t="shared" si="95"/>
        <v>44</v>
      </c>
      <c r="DG69" s="77">
        <f t="shared" si="95"/>
        <v>45</v>
      </c>
      <c r="DH69" s="77">
        <f t="shared" si="95"/>
        <v>46</v>
      </c>
      <c r="DI69" s="77">
        <f t="shared" si="95"/>
        <v>47</v>
      </c>
      <c r="DJ69" s="77">
        <f t="shared" si="95"/>
        <v>48</v>
      </c>
      <c r="DK69" s="77">
        <f t="shared" si="95"/>
        <v>49</v>
      </c>
      <c r="DL69" s="77">
        <f t="shared" si="95"/>
        <v>50</v>
      </c>
      <c r="DM69" s="77">
        <f t="shared" si="95"/>
        <v>51</v>
      </c>
      <c r="DN69" s="77">
        <f t="shared" si="95"/>
        <v>52</v>
      </c>
      <c r="DO69" s="77">
        <f t="shared" si="95"/>
        <v>53</v>
      </c>
      <c r="DP69" s="77">
        <f t="shared" si="95"/>
        <v>54</v>
      </c>
      <c r="DQ69" s="77">
        <f t="shared" si="95"/>
        <v>55</v>
      </c>
      <c r="DR69" s="77">
        <f t="shared" si="95"/>
        <v>56</v>
      </c>
      <c r="DS69" s="77">
        <f t="shared" si="95"/>
        <v>57</v>
      </c>
      <c r="DT69" s="77">
        <f t="shared" si="95"/>
        <v>58</v>
      </c>
      <c r="DU69" s="77">
        <f t="shared" si="95"/>
        <v>59</v>
      </c>
      <c r="DV69" s="77">
        <f t="shared" si="95"/>
        <v>60</v>
      </c>
      <c r="DW69" s="77">
        <f t="shared" si="95"/>
        <v>61</v>
      </c>
      <c r="DX69" s="77">
        <f t="shared" si="95"/>
        <v>62</v>
      </c>
      <c r="DY69" s="77">
        <f t="shared" si="95"/>
        <v>63</v>
      </c>
      <c r="DZ69" s="77">
        <f t="shared" si="95"/>
        <v>64</v>
      </c>
      <c r="EA69" s="77">
        <f t="shared" si="95"/>
        <v>65</v>
      </c>
      <c r="EB69" s="77">
        <f t="shared" si="95"/>
        <v>66</v>
      </c>
      <c r="EC69" s="77">
        <f t="shared" si="95"/>
        <v>67</v>
      </c>
      <c r="ED69" s="77">
        <f t="shared" si="95"/>
        <v>68</v>
      </c>
      <c r="EE69" s="77">
        <f t="shared" si="95"/>
        <v>69</v>
      </c>
      <c r="EF69" s="77">
        <f t="shared" si="95"/>
        <v>70</v>
      </c>
      <c r="EG69" s="77">
        <f t="shared" si="95"/>
        <v>71</v>
      </c>
      <c r="EH69" s="77">
        <f t="shared" si="95"/>
        <v>72</v>
      </c>
      <c r="EI69" s="77">
        <f t="shared" si="95"/>
        <v>73</v>
      </c>
      <c r="EJ69" s="77">
        <f t="shared" si="95"/>
        <v>74</v>
      </c>
      <c r="EK69" s="77">
        <f t="shared" si="95"/>
        <v>75</v>
      </c>
      <c r="EL69" s="77">
        <f t="shared" si="95"/>
        <v>76</v>
      </c>
      <c r="EM69" s="77">
        <f t="shared" si="95"/>
        <v>77</v>
      </c>
      <c r="EN69" s="77">
        <f t="shared" si="95"/>
        <v>78</v>
      </c>
      <c r="EO69" s="77">
        <f t="shared" si="95"/>
        <v>79</v>
      </c>
      <c r="EP69" s="77">
        <f t="shared" si="95"/>
        <v>80</v>
      </c>
      <c r="EQ69" s="77">
        <f t="shared" si="95"/>
        <v>81</v>
      </c>
      <c r="ER69" s="77">
        <f t="shared" si="95"/>
        <v>82</v>
      </c>
      <c r="ES69" s="77">
        <f t="shared" si="95"/>
        <v>83</v>
      </c>
      <c r="ET69" s="77">
        <f t="shared" si="95"/>
        <v>84</v>
      </c>
      <c r="EU69" s="77">
        <f t="shared" si="95"/>
        <v>85</v>
      </c>
      <c r="EV69" s="77">
        <f t="shared" si="95"/>
        <v>86</v>
      </c>
      <c r="EW69" s="77">
        <f t="shared" si="92"/>
        <v>87</v>
      </c>
      <c r="EX69" s="77">
        <f t="shared" si="92"/>
        <v>88</v>
      </c>
      <c r="EY69" s="77">
        <f t="shared" si="93"/>
        <v>89</v>
      </c>
      <c r="EZ69" s="77">
        <f t="shared" si="93"/>
        <v>90</v>
      </c>
      <c r="FA69" s="77">
        <f t="shared" si="93"/>
        <v>91</v>
      </c>
      <c r="FB69" s="77">
        <f t="shared" si="93"/>
        <v>92</v>
      </c>
      <c r="FC69" s="77">
        <f t="shared" si="93"/>
        <v>93</v>
      </c>
      <c r="FD69" s="77">
        <f t="shared" si="93"/>
        <v>94</v>
      </c>
      <c r="FE69" s="77">
        <f t="shared" si="93"/>
        <v>95</v>
      </c>
      <c r="FF69" s="77">
        <f t="shared" si="93"/>
        <v>96</v>
      </c>
      <c r="FG69" s="77">
        <f t="shared" si="93"/>
        <v>97</v>
      </c>
      <c r="FH69" s="77">
        <f t="shared" si="93"/>
        <v>98</v>
      </c>
      <c r="FI69" s="77">
        <f t="shared" si="93"/>
        <v>99</v>
      </c>
      <c r="FJ69" s="77">
        <f t="shared" si="93"/>
        <v>100</v>
      </c>
      <c r="FK69" s="77">
        <f t="shared" si="93"/>
        <v>101</v>
      </c>
      <c r="FL69" s="77">
        <f t="shared" si="93"/>
        <v>102</v>
      </c>
      <c r="FM69" s="77">
        <f t="shared" si="93"/>
        <v>103</v>
      </c>
      <c r="FN69" s="77">
        <f t="shared" si="93"/>
        <v>104</v>
      </c>
      <c r="FO69" s="77">
        <f t="shared" si="93"/>
        <v>105</v>
      </c>
      <c r="FP69" s="77">
        <f t="shared" si="93"/>
        <v>106</v>
      </c>
      <c r="FQ69" s="77">
        <f t="shared" si="93"/>
        <v>107</v>
      </c>
      <c r="FR69" s="77">
        <f t="shared" si="93"/>
        <v>108</v>
      </c>
      <c r="FS69" s="77">
        <f t="shared" si="93"/>
        <v>109</v>
      </c>
      <c r="FT69" s="77">
        <f t="shared" si="93"/>
        <v>110</v>
      </c>
      <c r="FU69" s="77">
        <f t="shared" si="93"/>
        <v>111</v>
      </c>
      <c r="FV69" s="77">
        <f t="shared" si="93"/>
        <v>112</v>
      </c>
      <c r="FW69" s="77">
        <f t="shared" si="93"/>
        <v>113</v>
      </c>
      <c r="FX69" s="77">
        <f t="shared" si="93"/>
        <v>114</v>
      </c>
      <c r="FY69" s="77">
        <f t="shared" si="93"/>
        <v>115</v>
      </c>
      <c r="FZ69" s="77">
        <f t="shared" si="93"/>
        <v>116</v>
      </c>
      <c r="GA69" s="77">
        <f t="shared" si="93"/>
        <v>117</v>
      </c>
      <c r="GB69" s="77">
        <f t="shared" si="93"/>
        <v>118</v>
      </c>
      <c r="GC69" s="77">
        <f t="shared" si="93"/>
        <v>119</v>
      </c>
      <c r="GD69" s="77">
        <f t="shared" si="93"/>
        <v>120</v>
      </c>
      <c r="GE69" s="77">
        <f t="shared" si="93"/>
        <v>121</v>
      </c>
      <c r="GF69" s="77">
        <f t="shared" si="93"/>
        <v>122</v>
      </c>
      <c r="GG69" s="77">
        <f t="shared" si="93"/>
        <v>123</v>
      </c>
      <c r="GH69" s="77">
        <f t="shared" si="93"/>
        <v>124</v>
      </c>
      <c r="GI69" s="77">
        <f t="shared" si="93"/>
        <v>125</v>
      </c>
      <c r="GJ69" s="77">
        <f t="shared" si="93"/>
        <v>126</v>
      </c>
      <c r="GK69" s="77">
        <f t="shared" si="93"/>
        <v>127</v>
      </c>
      <c r="GL69" s="77">
        <f t="shared" si="93"/>
        <v>128</v>
      </c>
      <c r="GM69" s="77">
        <f t="shared" si="93"/>
        <v>129</v>
      </c>
      <c r="GN69" s="77">
        <f t="shared" si="93"/>
        <v>130</v>
      </c>
      <c r="GO69" s="77">
        <f t="shared" si="93"/>
        <v>131</v>
      </c>
      <c r="GP69" s="77">
        <f t="shared" si="93"/>
        <v>132</v>
      </c>
      <c r="GQ69" s="77">
        <f t="shared" si="93"/>
        <v>133</v>
      </c>
      <c r="GR69" s="77">
        <f t="shared" si="93"/>
        <v>134</v>
      </c>
      <c r="GS69" s="77">
        <f t="shared" si="93"/>
        <v>135</v>
      </c>
      <c r="GT69" s="77">
        <f t="shared" si="93"/>
        <v>136</v>
      </c>
      <c r="GU69" s="77">
        <f t="shared" si="93"/>
        <v>137</v>
      </c>
      <c r="GV69" s="77">
        <f t="shared" si="93"/>
        <v>138</v>
      </c>
      <c r="GW69" s="77">
        <f t="shared" si="93"/>
        <v>139</v>
      </c>
      <c r="GX69" s="77">
        <f t="shared" si="93"/>
        <v>140</v>
      </c>
    </row>
    <row r="70" spans="1:206" ht="15" customHeight="1" x14ac:dyDescent="0.2">
      <c r="A70" s="22" t="s">
        <v>68</v>
      </c>
      <c r="B70" s="22">
        <v>4</v>
      </c>
      <c r="C70" s="22" t="s">
        <v>162</v>
      </c>
      <c r="D70" s="22">
        <v>57</v>
      </c>
      <c r="E70" s="22" t="s">
        <v>174</v>
      </c>
      <c r="F70" s="22" t="s">
        <v>134</v>
      </c>
      <c r="G70" s="22" t="s">
        <v>82</v>
      </c>
      <c r="H70" s="22">
        <v>2012</v>
      </c>
      <c r="I70" s="22">
        <v>14</v>
      </c>
      <c r="J70" s="22">
        <v>26.61</v>
      </c>
      <c r="K70" s="22">
        <v>0</v>
      </c>
      <c r="L70" s="22">
        <v>3667</v>
      </c>
      <c r="M70" s="22">
        <v>3667</v>
      </c>
      <c r="N70" s="22" t="s">
        <v>95</v>
      </c>
      <c r="O70" s="22" t="s">
        <v>96</v>
      </c>
      <c r="P70" s="22" t="s">
        <v>75</v>
      </c>
      <c r="Q70" s="108">
        <f>IF(R70="","",'Dashboard Ciclos'!$B$2-R70)</f>
        <v>46248</v>
      </c>
      <c r="R70" s="22">
        <f>IF($E70="","",IFERROR(INDEX($W70:$GX70,MATCH('Dashboard Ciclos'!$B$2,$W$1:$GX$1,0)),""))</f>
        <v>1</v>
      </c>
      <c r="S70" s="22" t="str">
        <f t="shared" si="83"/>
        <v>En ciclo</v>
      </c>
      <c r="T70" s="22" t="str">
        <f t="shared" si="84"/>
        <v>Recién cortado</v>
      </c>
      <c r="U70" s="22">
        <f t="shared" si="85"/>
        <v>11</v>
      </c>
      <c r="V70" s="23">
        <f t="shared" si="86"/>
        <v>46260</v>
      </c>
      <c r="W70" s="77">
        <f t="shared" si="87"/>
        <v>19</v>
      </c>
      <c r="X70" s="77">
        <f t="shared" si="87"/>
        <v>20</v>
      </c>
      <c r="Y70" s="77">
        <f t="shared" si="87"/>
        <v>21</v>
      </c>
      <c r="Z70" s="77">
        <f t="shared" si="87"/>
        <v>22</v>
      </c>
      <c r="AA70" s="77">
        <v>23</v>
      </c>
      <c r="AB70" s="77">
        <f t="shared" si="89"/>
        <v>24</v>
      </c>
      <c r="AC70" s="77">
        <f t="shared" si="89"/>
        <v>25</v>
      </c>
      <c r="AD70" s="77">
        <f t="shared" si="89"/>
        <v>26</v>
      </c>
      <c r="AE70" s="77">
        <f t="shared" si="89"/>
        <v>27</v>
      </c>
      <c r="AF70" s="77">
        <f t="shared" si="89"/>
        <v>28</v>
      </c>
      <c r="AG70" s="77">
        <v>0</v>
      </c>
      <c r="AH70" s="77">
        <f t="shared" si="89"/>
        <v>1</v>
      </c>
      <c r="AI70" s="77">
        <f t="shared" si="89"/>
        <v>2</v>
      </c>
      <c r="AJ70" s="77">
        <f t="shared" si="89"/>
        <v>3</v>
      </c>
      <c r="AK70" s="77">
        <f t="shared" si="90"/>
        <v>4</v>
      </c>
      <c r="AL70" s="77">
        <f t="shared" si="90"/>
        <v>5</v>
      </c>
      <c r="AM70" s="77">
        <f t="shared" si="90"/>
        <v>6</v>
      </c>
      <c r="AN70" s="77">
        <f t="shared" si="91"/>
        <v>7</v>
      </c>
      <c r="AO70" s="77">
        <f t="shared" si="90"/>
        <v>8</v>
      </c>
      <c r="AP70" s="77">
        <f t="shared" si="90"/>
        <v>9</v>
      </c>
      <c r="AQ70" s="77">
        <f t="shared" si="90"/>
        <v>10</v>
      </c>
      <c r="AR70" s="77">
        <f t="shared" si="82"/>
        <v>11</v>
      </c>
      <c r="AS70" s="77">
        <f t="shared" si="94"/>
        <v>12</v>
      </c>
      <c r="AT70" s="77">
        <f t="shared" si="94"/>
        <v>13</v>
      </c>
      <c r="AU70" s="77">
        <v>0</v>
      </c>
      <c r="AV70" s="77">
        <f t="shared" si="94"/>
        <v>1</v>
      </c>
      <c r="AW70" s="77">
        <f t="shared" si="94"/>
        <v>2</v>
      </c>
      <c r="AX70" s="77">
        <f t="shared" si="94"/>
        <v>3</v>
      </c>
      <c r="AY70" s="77">
        <f t="shared" si="94"/>
        <v>4</v>
      </c>
      <c r="AZ70" s="77">
        <f t="shared" si="94"/>
        <v>5</v>
      </c>
      <c r="BA70" s="77">
        <f t="shared" si="94"/>
        <v>6</v>
      </c>
      <c r="BB70" s="77">
        <f t="shared" si="94"/>
        <v>7</v>
      </c>
      <c r="BC70" s="77">
        <f t="shared" si="94"/>
        <v>8</v>
      </c>
      <c r="BD70" s="77">
        <f t="shared" si="94"/>
        <v>9</v>
      </c>
      <c r="BE70" s="77">
        <f t="shared" si="94"/>
        <v>10</v>
      </c>
      <c r="BF70" s="77">
        <f t="shared" si="94"/>
        <v>11</v>
      </c>
      <c r="BG70" s="77">
        <f t="shared" si="94"/>
        <v>12</v>
      </c>
      <c r="BH70" s="77">
        <f t="shared" si="94"/>
        <v>13</v>
      </c>
      <c r="BI70" s="77">
        <f t="shared" si="94"/>
        <v>14</v>
      </c>
      <c r="BJ70" s="77">
        <f t="shared" si="94"/>
        <v>15</v>
      </c>
      <c r="BK70" s="77">
        <f t="shared" si="94"/>
        <v>16</v>
      </c>
      <c r="BL70" s="77">
        <f t="shared" si="94"/>
        <v>17</v>
      </c>
      <c r="BM70" s="77">
        <f t="shared" si="94"/>
        <v>18</v>
      </c>
      <c r="BN70" s="77">
        <f t="shared" si="94"/>
        <v>19</v>
      </c>
      <c r="BO70" s="77">
        <v>0</v>
      </c>
      <c r="BP70" s="77">
        <f t="shared" si="94"/>
        <v>1</v>
      </c>
      <c r="BQ70" s="77">
        <f t="shared" si="94"/>
        <v>2</v>
      </c>
      <c r="BR70" s="77">
        <f t="shared" si="94"/>
        <v>3</v>
      </c>
      <c r="BS70" s="77">
        <f t="shared" si="94"/>
        <v>4</v>
      </c>
      <c r="BT70" s="77">
        <f t="shared" si="94"/>
        <v>5</v>
      </c>
      <c r="BU70" s="77">
        <f t="shared" si="94"/>
        <v>6</v>
      </c>
      <c r="BV70" s="77">
        <f t="shared" si="94"/>
        <v>7</v>
      </c>
      <c r="BW70" s="77">
        <f t="shared" si="94"/>
        <v>8</v>
      </c>
      <c r="BX70" s="77">
        <f t="shared" si="94"/>
        <v>9</v>
      </c>
      <c r="BY70" s="77">
        <f t="shared" si="94"/>
        <v>10</v>
      </c>
      <c r="BZ70" s="77">
        <f t="shared" si="94"/>
        <v>11</v>
      </c>
      <c r="CA70" s="77">
        <f t="shared" si="94"/>
        <v>12</v>
      </c>
      <c r="CB70" s="77">
        <f t="shared" si="94"/>
        <v>13</v>
      </c>
      <c r="CC70" s="77">
        <f t="shared" si="94"/>
        <v>14</v>
      </c>
      <c r="CD70" s="77">
        <f t="shared" si="94"/>
        <v>15</v>
      </c>
      <c r="CE70" s="77">
        <f t="shared" si="94"/>
        <v>16</v>
      </c>
      <c r="CF70" s="77">
        <f t="shared" si="94"/>
        <v>17</v>
      </c>
      <c r="CG70" s="77">
        <f t="shared" si="94"/>
        <v>18</v>
      </c>
      <c r="CH70" s="77">
        <f t="shared" si="94"/>
        <v>19</v>
      </c>
      <c r="CI70" s="77">
        <f t="shared" si="94"/>
        <v>20</v>
      </c>
      <c r="CJ70" s="77">
        <f t="shared" si="94"/>
        <v>21</v>
      </c>
      <c r="CK70" s="77">
        <f t="shared" si="95"/>
        <v>22</v>
      </c>
      <c r="CL70" s="77">
        <f t="shared" si="95"/>
        <v>23</v>
      </c>
      <c r="CM70" s="77">
        <f t="shared" si="95"/>
        <v>24</v>
      </c>
      <c r="CN70" s="77">
        <f t="shared" si="95"/>
        <v>25</v>
      </c>
      <c r="CO70" s="77">
        <f t="shared" si="95"/>
        <v>26</v>
      </c>
      <c r="CP70" s="77">
        <f t="shared" si="95"/>
        <v>27</v>
      </c>
      <c r="CQ70" s="77">
        <f t="shared" si="95"/>
        <v>28</v>
      </c>
      <c r="CR70" s="77">
        <f t="shared" si="95"/>
        <v>29</v>
      </c>
      <c r="CS70" s="77">
        <f t="shared" si="95"/>
        <v>30</v>
      </c>
      <c r="CT70" s="77">
        <f t="shared" si="95"/>
        <v>31</v>
      </c>
      <c r="CU70" s="77">
        <f t="shared" si="95"/>
        <v>32</v>
      </c>
      <c r="CV70" s="77">
        <f t="shared" si="95"/>
        <v>33</v>
      </c>
      <c r="CW70" s="77">
        <f t="shared" si="95"/>
        <v>34</v>
      </c>
      <c r="CX70" s="77">
        <f t="shared" si="95"/>
        <v>35</v>
      </c>
      <c r="CY70" s="77">
        <f t="shared" si="95"/>
        <v>36</v>
      </c>
      <c r="CZ70" s="77">
        <f t="shared" si="95"/>
        <v>37</v>
      </c>
      <c r="DA70" s="77">
        <f t="shared" si="95"/>
        <v>38</v>
      </c>
      <c r="DB70" s="77">
        <f t="shared" si="95"/>
        <v>39</v>
      </c>
      <c r="DC70" s="77">
        <f t="shared" si="95"/>
        <v>40</v>
      </c>
      <c r="DD70" s="77">
        <f t="shared" si="95"/>
        <v>41</v>
      </c>
      <c r="DE70" s="77">
        <f t="shared" si="95"/>
        <v>42</v>
      </c>
      <c r="DF70" s="77">
        <f t="shared" si="95"/>
        <v>43</v>
      </c>
      <c r="DG70" s="77">
        <f t="shared" si="95"/>
        <v>44</v>
      </c>
      <c r="DH70" s="77">
        <f t="shared" si="95"/>
        <v>45</v>
      </c>
      <c r="DI70" s="77">
        <f t="shared" si="95"/>
        <v>46</v>
      </c>
      <c r="DJ70" s="77">
        <f t="shared" si="95"/>
        <v>47</v>
      </c>
      <c r="DK70" s="77">
        <f t="shared" si="95"/>
        <v>48</v>
      </c>
      <c r="DL70" s="77">
        <f t="shared" si="95"/>
        <v>49</v>
      </c>
      <c r="DM70" s="77">
        <f t="shared" si="95"/>
        <v>50</v>
      </c>
      <c r="DN70" s="77">
        <f t="shared" si="95"/>
        <v>51</v>
      </c>
      <c r="DO70" s="77">
        <f t="shared" si="95"/>
        <v>52</v>
      </c>
      <c r="DP70" s="77">
        <f t="shared" si="95"/>
        <v>53</v>
      </c>
      <c r="DQ70" s="77">
        <f t="shared" si="95"/>
        <v>54</v>
      </c>
      <c r="DR70" s="77">
        <f t="shared" si="95"/>
        <v>55</v>
      </c>
      <c r="DS70" s="77">
        <f t="shared" si="95"/>
        <v>56</v>
      </c>
      <c r="DT70" s="77">
        <f t="shared" si="95"/>
        <v>57</v>
      </c>
      <c r="DU70" s="77">
        <f t="shared" si="95"/>
        <v>58</v>
      </c>
      <c r="DV70" s="77">
        <f t="shared" si="95"/>
        <v>59</v>
      </c>
      <c r="DW70" s="77">
        <f t="shared" si="95"/>
        <v>60</v>
      </c>
      <c r="DX70" s="77">
        <f t="shared" si="95"/>
        <v>61</v>
      </c>
      <c r="DY70" s="77">
        <f t="shared" si="95"/>
        <v>62</v>
      </c>
      <c r="DZ70" s="77">
        <f t="shared" si="95"/>
        <v>63</v>
      </c>
      <c r="EA70" s="77">
        <f t="shared" si="95"/>
        <v>64</v>
      </c>
      <c r="EB70" s="77">
        <f t="shared" si="95"/>
        <v>65</v>
      </c>
      <c r="EC70" s="77">
        <f t="shared" si="95"/>
        <v>66</v>
      </c>
      <c r="ED70" s="77">
        <f t="shared" si="95"/>
        <v>67</v>
      </c>
      <c r="EE70" s="77">
        <f t="shared" si="95"/>
        <v>68</v>
      </c>
      <c r="EF70" s="77">
        <f t="shared" si="95"/>
        <v>69</v>
      </c>
      <c r="EG70" s="77">
        <f t="shared" si="95"/>
        <v>70</v>
      </c>
      <c r="EH70" s="77">
        <f t="shared" si="95"/>
        <v>71</v>
      </c>
      <c r="EI70" s="77">
        <f t="shared" si="95"/>
        <v>72</v>
      </c>
      <c r="EJ70" s="77">
        <f t="shared" si="95"/>
        <v>73</v>
      </c>
      <c r="EK70" s="77">
        <f t="shared" si="95"/>
        <v>74</v>
      </c>
      <c r="EL70" s="77">
        <f t="shared" si="95"/>
        <v>75</v>
      </c>
      <c r="EM70" s="77">
        <f t="shared" si="95"/>
        <v>76</v>
      </c>
      <c r="EN70" s="77">
        <f t="shared" si="95"/>
        <v>77</v>
      </c>
      <c r="EO70" s="77">
        <f t="shared" si="95"/>
        <v>78</v>
      </c>
      <c r="EP70" s="77">
        <f t="shared" si="95"/>
        <v>79</v>
      </c>
      <c r="EQ70" s="77">
        <f t="shared" si="95"/>
        <v>80</v>
      </c>
      <c r="ER70" s="77">
        <f t="shared" si="95"/>
        <v>81</v>
      </c>
      <c r="ES70" s="77">
        <f t="shared" si="95"/>
        <v>82</v>
      </c>
      <c r="ET70" s="77">
        <f t="shared" si="95"/>
        <v>83</v>
      </c>
      <c r="EU70" s="77">
        <f t="shared" si="95"/>
        <v>84</v>
      </c>
      <c r="EV70" s="77">
        <f t="shared" si="95"/>
        <v>85</v>
      </c>
      <c r="EW70" s="77">
        <f t="shared" si="92"/>
        <v>86</v>
      </c>
      <c r="EX70" s="77">
        <f t="shared" si="92"/>
        <v>87</v>
      </c>
      <c r="EY70" s="77">
        <f t="shared" si="93"/>
        <v>88</v>
      </c>
      <c r="EZ70" s="77">
        <f t="shared" si="93"/>
        <v>89</v>
      </c>
      <c r="FA70" s="77">
        <f t="shared" si="93"/>
        <v>90</v>
      </c>
      <c r="FB70" s="77">
        <f t="shared" si="93"/>
        <v>91</v>
      </c>
      <c r="FC70" s="77">
        <f t="shared" si="93"/>
        <v>92</v>
      </c>
      <c r="FD70" s="77">
        <f t="shared" si="93"/>
        <v>93</v>
      </c>
      <c r="FE70" s="77">
        <f t="shared" si="93"/>
        <v>94</v>
      </c>
      <c r="FF70" s="77">
        <f t="shared" si="93"/>
        <v>95</v>
      </c>
      <c r="FG70" s="77">
        <f t="shared" si="93"/>
        <v>96</v>
      </c>
      <c r="FH70" s="77">
        <f t="shared" si="93"/>
        <v>97</v>
      </c>
      <c r="FI70" s="77">
        <f t="shared" si="93"/>
        <v>98</v>
      </c>
      <c r="FJ70" s="77">
        <f t="shared" si="93"/>
        <v>99</v>
      </c>
      <c r="FK70" s="77">
        <f t="shared" si="93"/>
        <v>100</v>
      </c>
      <c r="FL70" s="77">
        <f t="shared" si="93"/>
        <v>101</v>
      </c>
      <c r="FM70" s="77">
        <f t="shared" si="93"/>
        <v>102</v>
      </c>
      <c r="FN70" s="77">
        <f t="shared" si="93"/>
        <v>103</v>
      </c>
      <c r="FO70" s="77">
        <f t="shared" si="93"/>
        <v>104</v>
      </c>
      <c r="FP70" s="77">
        <f t="shared" si="93"/>
        <v>105</v>
      </c>
      <c r="FQ70" s="77">
        <f t="shared" si="93"/>
        <v>106</v>
      </c>
      <c r="FR70" s="77">
        <f t="shared" si="93"/>
        <v>107</v>
      </c>
      <c r="FS70" s="77">
        <f t="shared" si="93"/>
        <v>108</v>
      </c>
      <c r="FT70" s="77">
        <f t="shared" si="93"/>
        <v>109</v>
      </c>
      <c r="FU70" s="77">
        <f t="shared" si="93"/>
        <v>110</v>
      </c>
      <c r="FV70" s="77">
        <f t="shared" si="93"/>
        <v>111</v>
      </c>
      <c r="FW70" s="77">
        <f t="shared" si="93"/>
        <v>112</v>
      </c>
      <c r="FX70" s="77">
        <f t="shared" si="93"/>
        <v>113</v>
      </c>
      <c r="FY70" s="77">
        <f t="shared" si="93"/>
        <v>114</v>
      </c>
      <c r="FZ70" s="77">
        <f t="shared" si="93"/>
        <v>115</v>
      </c>
      <c r="GA70" s="77">
        <f t="shared" si="93"/>
        <v>116</v>
      </c>
      <c r="GB70" s="77">
        <f t="shared" si="93"/>
        <v>117</v>
      </c>
      <c r="GC70" s="77">
        <f t="shared" si="93"/>
        <v>118</v>
      </c>
      <c r="GD70" s="77">
        <f t="shared" si="93"/>
        <v>119</v>
      </c>
      <c r="GE70" s="77">
        <f t="shared" si="93"/>
        <v>120</v>
      </c>
      <c r="GF70" s="77">
        <f t="shared" si="93"/>
        <v>121</v>
      </c>
      <c r="GG70" s="77">
        <f t="shared" si="93"/>
        <v>122</v>
      </c>
      <c r="GH70" s="77">
        <f t="shared" si="93"/>
        <v>123</v>
      </c>
      <c r="GI70" s="77">
        <f t="shared" si="93"/>
        <v>124</v>
      </c>
      <c r="GJ70" s="77">
        <f t="shared" si="93"/>
        <v>125</v>
      </c>
      <c r="GK70" s="77">
        <f t="shared" si="93"/>
        <v>126</v>
      </c>
      <c r="GL70" s="77">
        <f t="shared" si="93"/>
        <v>127</v>
      </c>
      <c r="GM70" s="77">
        <f t="shared" si="93"/>
        <v>128</v>
      </c>
      <c r="GN70" s="77">
        <f t="shared" si="93"/>
        <v>129</v>
      </c>
      <c r="GO70" s="77">
        <f t="shared" si="93"/>
        <v>130</v>
      </c>
      <c r="GP70" s="77">
        <f t="shared" si="93"/>
        <v>131</v>
      </c>
      <c r="GQ70" s="77">
        <f t="shared" si="93"/>
        <v>132</v>
      </c>
      <c r="GR70" s="77">
        <f t="shared" si="93"/>
        <v>133</v>
      </c>
      <c r="GS70" s="77">
        <f t="shared" si="93"/>
        <v>134</v>
      </c>
      <c r="GT70" s="77">
        <f t="shared" si="93"/>
        <v>135</v>
      </c>
      <c r="GU70" s="77">
        <f t="shared" si="93"/>
        <v>136</v>
      </c>
      <c r="GV70" s="77">
        <f t="shared" si="93"/>
        <v>137</v>
      </c>
      <c r="GW70" s="77">
        <f t="shared" si="93"/>
        <v>138</v>
      </c>
      <c r="GX70" s="77">
        <f t="shared" si="93"/>
        <v>139</v>
      </c>
    </row>
    <row r="71" spans="1:206" ht="15" customHeight="1" x14ac:dyDescent="0.2">
      <c r="A71" s="22" t="s">
        <v>68</v>
      </c>
      <c r="B71" s="22">
        <v>4</v>
      </c>
      <c r="C71" s="22" t="s">
        <v>162</v>
      </c>
      <c r="D71" s="22">
        <v>61</v>
      </c>
      <c r="E71" s="22" t="s">
        <v>175</v>
      </c>
      <c r="F71" s="22" t="s">
        <v>71</v>
      </c>
      <c r="G71" s="22" t="s">
        <v>82</v>
      </c>
      <c r="H71" s="22">
        <v>2012</v>
      </c>
      <c r="I71" s="22">
        <v>14</v>
      </c>
      <c r="J71" s="22">
        <v>19.95</v>
      </c>
      <c r="K71" s="22">
        <v>0</v>
      </c>
      <c r="L71" s="22">
        <v>2934</v>
      </c>
      <c r="M71" s="22">
        <v>2934</v>
      </c>
      <c r="N71" s="22" t="s">
        <v>95</v>
      </c>
      <c r="O71" s="22" t="s">
        <v>96</v>
      </c>
      <c r="P71" s="22" t="s">
        <v>75</v>
      </c>
      <c r="Q71" s="108">
        <f>IF(R71="","",'Dashboard Ciclos'!$B$2-R71)</f>
        <v>46235</v>
      </c>
      <c r="R71" s="22">
        <f>IF($E71="","",IFERROR(INDEX($W71:$GX71,MATCH('Dashboard Ciclos'!$B$2,$W$1:$GX$1,0)),""))</f>
        <v>14</v>
      </c>
      <c r="S71" s="22" t="str">
        <f t="shared" si="83"/>
        <v>Vencido 1-5 d</v>
      </c>
      <c r="T71" s="22" t="str">
        <f t="shared" si="84"/>
        <v>Fuera de ciclo</v>
      </c>
      <c r="U71" s="22">
        <f t="shared" si="85"/>
        <v>-2</v>
      </c>
      <c r="V71" s="23">
        <f t="shared" si="86"/>
        <v>46247</v>
      </c>
      <c r="W71" s="77">
        <f t="shared" si="87"/>
        <v>14</v>
      </c>
      <c r="X71" s="77">
        <f t="shared" si="87"/>
        <v>15</v>
      </c>
      <c r="Y71" s="77">
        <f t="shared" si="87"/>
        <v>16</v>
      </c>
      <c r="Z71" s="77">
        <f t="shared" si="87"/>
        <v>17</v>
      </c>
      <c r="AA71" s="77">
        <v>18</v>
      </c>
      <c r="AB71" s="77">
        <f t="shared" si="89"/>
        <v>19</v>
      </c>
      <c r="AC71" s="77">
        <f t="shared" si="89"/>
        <v>20</v>
      </c>
      <c r="AD71" s="77">
        <f t="shared" si="89"/>
        <v>21</v>
      </c>
      <c r="AE71" s="77">
        <f t="shared" si="89"/>
        <v>22</v>
      </c>
      <c r="AF71" s="77">
        <f t="shared" si="89"/>
        <v>23</v>
      </c>
      <c r="AG71" s="77">
        <f t="shared" si="89"/>
        <v>24</v>
      </c>
      <c r="AH71" s="77">
        <f t="shared" si="89"/>
        <v>25</v>
      </c>
      <c r="AI71" s="77">
        <f t="shared" si="89"/>
        <v>26</v>
      </c>
      <c r="AJ71" s="77">
        <v>0</v>
      </c>
      <c r="AK71" s="77">
        <f t="shared" si="90"/>
        <v>1</v>
      </c>
      <c r="AL71" s="77">
        <f t="shared" si="90"/>
        <v>2</v>
      </c>
      <c r="AM71" s="77">
        <f t="shared" si="90"/>
        <v>3</v>
      </c>
      <c r="AN71" s="77">
        <f t="shared" si="91"/>
        <v>4</v>
      </c>
      <c r="AO71" s="77">
        <f t="shared" si="90"/>
        <v>5</v>
      </c>
      <c r="AP71" s="77">
        <f t="shared" si="90"/>
        <v>6</v>
      </c>
      <c r="AQ71" s="77">
        <f t="shared" si="90"/>
        <v>7</v>
      </c>
      <c r="AR71" s="77">
        <f t="shared" si="82"/>
        <v>8</v>
      </c>
      <c r="AS71" s="77">
        <f t="shared" si="94"/>
        <v>9</v>
      </c>
      <c r="AT71" s="77">
        <f t="shared" si="94"/>
        <v>10</v>
      </c>
      <c r="AU71" s="77">
        <f t="shared" si="94"/>
        <v>11</v>
      </c>
      <c r="AV71" s="77">
        <f t="shared" si="94"/>
        <v>12</v>
      </c>
      <c r="AW71" s="77">
        <f t="shared" si="94"/>
        <v>13</v>
      </c>
      <c r="AX71" s="77">
        <f t="shared" si="94"/>
        <v>14</v>
      </c>
      <c r="AY71" s="77">
        <f t="shared" si="94"/>
        <v>15</v>
      </c>
      <c r="AZ71" s="77">
        <f t="shared" si="94"/>
        <v>16</v>
      </c>
      <c r="BA71" s="77">
        <f t="shared" si="94"/>
        <v>17</v>
      </c>
      <c r="BB71" s="77">
        <v>0</v>
      </c>
      <c r="BC71" s="77">
        <f t="shared" si="94"/>
        <v>1</v>
      </c>
      <c r="BD71" s="77">
        <f t="shared" si="94"/>
        <v>2</v>
      </c>
      <c r="BE71" s="77">
        <f t="shared" si="94"/>
        <v>3</v>
      </c>
      <c r="BF71" s="77">
        <f t="shared" si="94"/>
        <v>4</v>
      </c>
      <c r="BG71" s="77">
        <f t="shared" si="94"/>
        <v>5</v>
      </c>
      <c r="BH71" s="77">
        <f t="shared" si="94"/>
        <v>6</v>
      </c>
      <c r="BI71" s="77">
        <f t="shared" si="94"/>
        <v>7</v>
      </c>
      <c r="BJ71" s="77">
        <f t="shared" si="94"/>
        <v>8</v>
      </c>
      <c r="BK71" s="77">
        <f t="shared" si="94"/>
        <v>9</v>
      </c>
      <c r="BL71" s="77">
        <f t="shared" si="94"/>
        <v>10</v>
      </c>
      <c r="BM71" s="77">
        <f t="shared" si="94"/>
        <v>11</v>
      </c>
      <c r="BN71" s="77">
        <f t="shared" si="94"/>
        <v>12</v>
      </c>
      <c r="BO71" s="77">
        <f t="shared" si="94"/>
        <v>13</v>
      </c>
      <c r="BP71" s="77">
        <f t="shared" si="94"/>
        <v>14</v>
      </c>
      <c r="BQ71" s="77">
        <f t="shared" si="94"/>
        <v>15</v>
      </c>
      <c r="BR71" s="77">
        <f t="shared" si="94"/>
        <v>16</v>
      </c>
      <c r="BS71" s="77">
        <f t="shared" si="94"/>
        <v>17</v>
      </c>
      <c r="BT71" s="77">
        <f t="shared" si="94"/>
        <v>18</v>
      </c>
      <c r="BU71" s="77">
        <f t="shared" si="94"/>
        <v>19</v>
      </c>
      <c r="BV71" s="77">
        <f t="shared" si="94"/>
        <v>20</v>
      </c>
      <c r="BW71" s="77">
        <f t="shared" si="94"/>
        <v>21</v>
      </c>
      <c r="BX71" s="77">
        <f t="shared" si="94"/>
        <v>22</v>
      </c>
      <c r="BY71" s="77">
        <f t="shared" si="94"/>
        <v>23</v>
      </c>
      <c r="BZ71" s="77">
        <f t="shared" si="94"/>
        <v>24</v>
      </c>
      <c r="CA71" s="77">
        <f t="shared" si="94"/>
        <v>25</v>
      </c>
      <c r="CB71" s="77">
        <f t="shared" si="94"/>
        <v>26</v>
      </c>
      <c r="CC71" s="77">
        <f t="shared" si="94"/>
        <v>27</v>
      </c>
      <c r="CD71" s="77">
        <f t="shared" si="94"/>
        <v>28</v>
      </c>
      <c r="CE71" s="77">
        <f t="shared" si="94"/>
        <v>29</v>
      </c>
      <c r="CF71" s="77">
        <f t="shared" si="94"/>
        <v>30</v>
      </c>
      <c r="CG71" s="77">
        <f t="shared" si="94"/>
        <v>31</v>
      </c>
      <c r="CH71" s="77">
        <f t="shared" si="94"/>
        <v>32</v>
      </c>
      <c r="CI71" s="77">
        <f t="shared" si="94"/>
        <v>33</v>
      </c>
      <c r="CJ71" s="77">
        <f t="shared" ref="CJ71:EU74" si="96">IF(CI71="","",CI71+1)</f>
        <v>34</v>
      </c>
      <c r="CK71" s="77">
        <f t="shared" si="96"/>
        <v>35</v>
      </c>
      <c r="CL71" s="77">
        <f t="shared" si="96"/>
        <v>36</v>
      </c>
      <c r="CM71" s="77">
        <f t="shared" si="96"/>
        <v>37</v>
      </c>
      <c r="CN71" s="77">
        <f t="shared" si="96"/>
        <v>38</v>
      </c>
      <c r="CO71" s="77">
        <f t="shared" si="96"/>
        <v>39</v>
      </c>
      <c r="CP71" s="77">
        <f t="shared" si="96"/>
        <v>40</v>
      </c>
      <c r="CQ71" s="77">
        <f t="shared" si="96"/>
        <v>41</v>
      </c>
      <c r="CR71" s="77">
        <f t="shared" si="96"/>
        <v>42</v>
      </c>
      <c r="CS71" s="77">
        <f t="shared" si="96"/>
        <v>43</v>
      </c>
      <c r="CT71" s="77">
        <f t="shared" si="96"/>
        <v>44</v>
      </c>
      <c r="CU71" s="77">
        <f t="shared" si="96"/>
        <v>45</v>
      </c>
      <c r="CV71" s="77">
        <f t="shared" si="96"/>
        <v>46</v>
      </c>
      <c r="CW71" s="77">
        <f t="shared" si="96"/>
        <v>47</v>
      </c>
      <c r="CX71" s="77">
        <f t="shared" si="96"/>
        <v>48</v>
      </c>
      <c r="CY71" s="77">
        <f t="shared" si="96"/>
        <v>49</v>
      </c>
      <c r="CZ71" s="77">
        <f t="shared" si="96"/>
        <v>50</v>
      </c>
      <c r="DA71" s="77">
        <f t="shared" si="96"/>
        <v>51</v>
      </c>
      <c r="DB71" s="77">
        <f t="shared" si="96"/>
        <v>52</v>
      </c>
      <c r="DC71" s="77">
        <f t="shared" si="96"/>
        <v>53</v>
      </c>
      <c r="DD71" s="77">
        <f t="shared" si="96"/>
        <v>54</v>
      </c>
      <c r="DE71" s="77">
        <f t="shared" si="96"/>
        <v>55</v>
      </c>
      <c r="DF71" s="77">
        <f t="shared" si="96"/>
        <v>56</v>
      </c>
      <c r="DG71" s="77">
        <f t="shared" si="96"/>
        <v>57</v>
      </c>
      <c r="DH71" s="77">
        <f t="shared" si="96"/>
        <v>58</v>
      </c>
      <c r="DI71" s="77">
        <f t="shared" si="96"/>
        <v>59</v>
      </c>
      <c r="DJ71" s="77">
        <f t="shared" si="96"/>
        <v>60</v>
      </c>
      <c r="DK71" s="77">
        <f t="shared" si="96"/>
        <v>61</v>
      </c>
      <c r="DL71" s="77">
        <f t="shared" si="96"/>
        <v>62</v>
      </c>
      <c r="DM71" s="77">
        <f t="shared" si="96"/>
        <v>63</v>
      </c>
      <c r="DN71" s="77">
        <f t="shared" si="96"/>
        <v>64</v>
      </c>
      <c r="DO71" s="77">
        <f t="shared" si="96"/>
        <v>65</v>
      </c>
      <c r="DP71" s="77">
        <f t="shared" si="96"/>
        <v>66</v>
      </c>
      <c r="DQ71" s="77">
        <f t="shared" si="96"/>
        <v>67</v>
      </c>
      <c r="DR71" s="77">
        <f t="shared" si="96"/>
        <v>68</v>
      </c>
      <c r="DS71" s="77">
        <f t="shared" si="96"/>
        <v>69</v>
      </c>
      <c r="DT71" s="77">
        <f t="shared" si="96"/>
        <v>70</v>
      </c>
      <c r="DU71" s="77">
        <f t="shared" si="96"/>
        <v>71</v>
      </c>
      <c r="DV71" s="77">
        <f t="shared" si="96"/>
        <v>72</v>
      </c>
      <c r="DW71" s="77">
        <f t="shared" si="96"/>
        <v>73</v>
      </c>
      <c r="DX71" s="77">
        <f t="shared" si="96"/>
        <v>74</v>
      </c>
      <c r="DY71" s="77">
        <f t="shared" si="96"/>
        <v>75</v>
      </c>
      <c r="DZ71" s="77">
        <f t="shared" si="96"/>
        <v>76</v>
      </c>
      <c r="EA71" s="77">
        <f t="shared" si="96"/>
        <v>77</v>
      </c>
      <c r="EB71" s="77">
        <f t="shared" si="96"/>
        <v>78</v>
      </c>
      <c r="EC71" s="77">
        <f t="shared" si="96"/>
        <v>79</v>
      </c>
      <c r="ED71" s="77">
        <f t="shared" si="96"/>
        <v>80</v>
      </c>
      <c r="EE71" s="77">
        <f t="shared" si="96"/>
        <v>81</v>
      </c>
      <c r="EF71" s="77">
        <f t="shared" si="96"/>
        <v>82</v>
      </c>
      <c r="EG71" s="77">
        <f t="shared" si="96"/>
        <v>83</v>
      </c>
      <c r="EH71" s="77">
        <f t="shared" si="96"/>
        <v>84</v>
      </c>
      <c r="EI71" s="77">
        <f t="shared" si="96"/>
        <v>85</v>
      </c>
      <c r="EJ71" s="77">
        <f t="shared" si="96"/>
        <v>86</v>
      </c>
      <c r="EK71" s="77">
        <f t="shared" si="96"/>
        <v>87</v>
      </c>
      <c r="EL71" s="77">
        <f t="shared" si="96"/>
        <v>88</v>
      </c>
      <c r="EM71" s="77">
        <f t="shared" si="96"/>
        <v>89</v>
      </c>
      <c r="EN71" s="77">
        <f t="shared" si="96"/>
        <v>90</v>
      </c>
      <c r="EO71" s="77">
        <f t="shared" si="96"/>
        <v>91</v>
      </c>
      <c r="EP71" s="77">
        <f t="shared" si="96"/>
        <v>92</v>
      </c>
      <c r="EQ71" s="77">
        <f t="shared" si="96"/>
        <v>93</v>
      </c>
      <c r="ER71" s="77">
        <f t="shared" si="96"/>
        <v>94</v>
      </c>
      <c r="ES71" s="77">
        <f t="shared" si="96"/>
        <v>95</v>
      </c>
      <c r="ET71" s="77">
        <f t="shared" si="96"/>
        <v>96</v>
      </c>
      <c r="EU71" s="77">
        <f t="shared" si="96"/>
        <v>97</v>
      </c>
      <c r="EV71" s="77">
        <f t="shared" si="95"/>
        <v>98</v>
      </c>
      <c r="EW71" s="77">
        <f t="shared" si="92"/>
        <v>99</v>
      </c>
      <c r="EX71" s="77">
        <f t="shared" si="92"/>
        <v>100</v>
      </c>
      <c r="EY71" s="77">
        <f t="shared" si="93"/>
        <v>101</v>
      </c>
      <c r="EZ71" s="77">
        <f t="shared" si="93"/>
        <v>102</v>
      </c>
      <c r="FA71" s="77">
        <f t="shared" si="93"/>
        <v>103</v>
      </c>
      <c r="FB71" s="77">
        <f t="shared" si="93"/>
        <v>104</v>
      </c>
      <c r="FC71" s="77">
        <f t="shared" si="93"/>
        <v>105</v>
      </c>
      <c r="FD71" s="77">
        <f t="shared" si="93"/>
        <v>106</v>
      </c>
      <c r="FE71" s="77">
        <f t="shared" si="93"/>
        <v>107</v>
      </c>
      <c r="FF71" s="77">
        <f t="shared" si="93"/>
        <v>108</v>
      </c>
      <c r="FG71" s="77">
        <f t="shared" si="93"/>
        <v>109</v>
      </c>
      <c r="FH71" s="77">
        <f t="shared" si="93"/>
        <v>110</v>
      </c>
      <c r="FI71" s="77">
        <f t="shared" si="93"/>
        <v>111</v>
      </c>
      <c r="FJ71" s="77">
        <f t="shared" si="93"/>
        <v>112</v>
      </c>
      <c r="FK71" s="77">
        <f t="shared" si="93"/>
        <v>113</v>
      </c>
      <c r="FL71" s="77">
        <f t="shared" si="93"/>
        <v>114</v>
      </c>
      <c r="FM71" s="77">
        <f t="shared" si="93"/>
        <v>115</v>
      </c>
      <c r="FN71" s="77">
        <f t="shared" si="93"/>
        <v>116</v>
      </c>
      <c r="FO71" s="77">
        <f t="shared" si="93"/>
        <v>117</v>
      </c>
      <c r="FP71" s="77">
        <f t="shared" si="93"/>
        <v>118</v>
      </c>
      <c r="FQ71" s="77">
        <f t="shared" si="93"/>
        <v>119</v>
      </c>
      <c r="FR71" s="77">
        <f t="shared" si="93"/>
        <v>120</v>
      </c>
      <c r="FS71" s="77">
        <f t="shared" si="93"/>
        <v>121</v>
      </c>
      <c r="FT71" s="77">
        <f t="shared" si="93"/>
        <v>122</v>
      </c>
      <c r="FU71" s="77">
        <f t="shared" si="93"/>
        <v>123</v>
      </c>
      <c r="FV71" s="77">
        <f t="shared" si="93"/>
        <v>124</v>
      </c>
      <c r="FW71" s="77">
        <f t="shared" si="93"/>
        <v>125</v>
      </c>
      <c r="FX71" s="77">
        <f t="shared" si="93"/>
        <v>126</v>
      </c>
      <c r="FY71" s="77">
        <f t="shared" si="93"/>
        <v>127</v>
      </c>
      <c r="FZ71" s="77">
        <f t="shared" si="93"/>
        <v>128</v>
      </c>
      <c r="GA71" s="77">
        <f t="shared" si="93"/>
        <v>129</v>
      </c>
      <c r="GB71" s="77">
        <f t="shared" si="93"/>
        <v>130</v>
      </c>
      <c r="GC71" s="77">
        <f t="shared" si="93"/>
        <v>131</v>
      </c>
      <c r="GD71" s="77">
        <f t="shared" si="93"/>
        <v>132</v>
      </c>
      <c r="GE71" s="77">
        <f t="shared" si="93"/>
        <v>133</v>
      </c>
      <c r="GF71" s="77">
        <f t="shared" si="93"/>
        <v>134</v>
      </c>
      <c r="GG71" s="77">
        <f t="shared" si="93"/>
        <v>135</v>
      </c>
      <c r="GH71" s="77">
        <f t="shared" si="93"/>
        <v>136</v>
      </c>
      <c r="GI71" s="77">
        <f t="shared" si="93"/>
        <v>137</v>
      </c>
      <c r="GJ71" s="77">
        <f t="shared" si="93"/>
        <v>138</v>
      </c>
      <c r="GK71" s="77">
        <f t="shared" si="93"/>
        <v>139</v>
      </c>
      <c r="GL71" s="77">
        <f t="shared" si="93"/>
        <v>140</v>
      </c>
      <c r="GM71" s="77">
        <f t="shared" si="93"/>
        <v>141</v>
      </c>
      <c r="GN71" s="77">
        <f t="shared" si="93"/>
        <v>142</v>
      </c>
      <c r="GO71" s="77">
        <f t="shared" si="93"/>
        <v>143</v>
      </c>
      <c r="GP71" s="77">
        <f t="shared" si="93"/>
        <v>144</v>
      </c>
      <c r="GQ71" s="77">
        <f t="shared" si="93"/>
        <v>145</v>
      </c>
      <c r="GR71" s="77">
        <f t="shared" si="93"/>
        <v>146</v>
      </c>
      <c r="GS71" s="77">
        <f t="shared" si="93"/>
        <v>147</v>
      </c>
      <c r="GT71" s="77">
        <f t="shared" ref="GT71:GX71" si="97">IF(GS71="","",GS71+1)</f>
        <v>148</v>
      </c>
      <c r="GU71" s="77">
        <f t="shared" si="97"/>
        <v>149</v>
      </c>
      <c r="GV71" s="77">
        <f t="shared" si="97"/>
        <v>150</v>
      </c>
      <c r="GW71" s="77">
        <f t="shared" si="97"/>
        <v>151</v>
      </c>
      <c r="GX71" s="77">
        <f t="shared" si="97"/>
        <v>152</v>
      </c>
    </row>
    <row r="72" spans="1:206" ht="15" customHeight="1" x14ac:dyDescent="0.2">
      <c r="A72" s="22" t="s">
        <v>68</v>
      </c>
      <c r="B72" s="22">
        <v>4</v>
      </c>
      <c r="C72" s="22" t="s">
        <v>162</v>
      </c>
      <c r="D72" s="22">
        <v>63</v>
      </c>
      <c r="E72" s="22" t="s">
        <v>176</v>
      </c>
      <c r="F72" s="22" t="s">
        <v>71</v>
      </c>
      <c r="G72" s="22" t="s">
        <v>79</v>
      </c>
      <c r="H72" s="22">
        <v>2012</v>
      </c>
      <c r="I72" s="22">
        <v>14</v>
      </c>
      <c r="J72" s="22">
        <v>25.63</v>
      </c>
      <c r="K72" s="22">
        <v>0</v>
      </c>
      <c r="L72" s="22">
        <v>3024</v>
      </c>
      <c r="M72" s="22">
        <v>3024</v>
      </c>
      <c r="N72" s="22" t="s">
        <v>95</v>
      </c>
      <c r="O72" s="22" t="s">
        <v>96</v>
      </c>
      <c r="P72" s="22" t="s">
        <v>75</v>
      </c>
      <c r="Q72" s="108">
        <f>IF(R72="","",'Dashboard Ciclos'!$B$2-R72)</f>
        <v>46237</v>
      </c>
      <c r="R72" s="22">
        <f>IF($E72="","",IFERROR(INDEX($W72:$GX72,MATCH('Dashboard Ciclos'!$B$2,$W$1:$GX$1,0)),""))</f>
        <v>12</v>
      </c>
      <c r="S72" s="22" t="str">
        <f t="shared" si="83"/>
        <v>En ciclo</v>
      </c>
      <c r="T72" s="22" t="str">
        <f t="shared" si="84"/>
        <v>En ciclo</v>
      </c>
      <c r="U72" s="22">
        <f t="shared" si="85"/>
        <v>0</v>
      </c>
      <c r="V72" s="23">
        <f t="shared" si="86"/>
        <v>46249</v>
      </c>
      <c r="W72" s="77">
        <f t="shared" si="87"/>
        <v>11</v>
      </c>
      <c r="X72" s="77">
        <f t="shared" si="87"/>
        <v>12</v>
      </c>
      <c r="Y72" s="77">
        <f t="shared" si="87"/>
        <v>13</v>
      </c>
      <c r="Z72" s="77">
        <f t="shared" si="87"/>
        <v>14</v>
      </c>
      <c r="AA72" s="77">
        <v>15</v>
      </c>
      <c r="AB72" s="77">
        <f t="shared" si="89"/>
        <v>16</v>
      </c>
      <c r="AC72" s="77">
        <f t="shared" si="89"/>
        <v>17</v>
      </c>
      <c r="AD72" s="77">
        <f t="shared" si="89"/>
        <v>18</v>
      </c>
      <c r="AE72" s="77">
        <f t="shared" si="89"/>
        <v>19</v>
      </c>
      <c r="AF72" s="77">
        <f t="shared" si="89"/>
        <v>20</v>
      </c>
      <c r="AG72" s="77">
        <f t="shared" si="89"/>
        <v>21</v>
      </c>
      <c r="AH72" s="77">
        <f t="shared" si="89"/>
        <v>22</v>
      </c>
      <c r="AI72" s="77">
        <f t="shared" si="89"/>
        <v>23</v>
      </c>
      <c r="AJ72" s="77">
        <f t="shared" si="89"/>
        <v>24</v>
      </c>
      <c r="AK72" s="77">
        <v>0</v>
      </c>
      <c r="AL72" s="77">
        <f t="shared" si="90"/>
        <v>1</v>
      </c>
      <c r="AM72" s="77">
        <f t="shared" si="90"/>
        <v>2</v>
      </c>
      <c r="AN72" s="77">
        <f t="shared" si="91"/>
        <v>3</v>
      </c>
      <c r="AO72" s="77">
        <f t="shared" si="90"/>
        <v>4</v>
      </c>
      <c r="AP72" s="77">
        <f t="shared" si="90"/>
        <v>5</v>
      </c>
      <c r="AQ72" s="77">
        <f t="shared" si="90"/>
        <v>6</v>
      </c>
      <c r="AR72" s="77">
        <f t="shared" si="82"/>
        <v>7</v>
      </c>
      <c r="AS72" s="77">
        <f t="shared" ref="AS72:CJ75" si="98">IF(AR72="","",AR72+1)</f>
        <v>8</v>
      </c>
      <c r="AT72" s="77">
        <f t="shared" si="98"/>
        <v>9</v>
      </c>
      <c r="AU72" s="77">
        <f t="shared" si="98"/>
        <v>10</v>
      </c>
      <c r="AV72" s="77">
        <f t="shared" si="98"/>
        <v>11</v>
      </c>
      <c r="AW72" s="77">
        <f t="shared" si="98"/>
        <v>12</v>
      </c>
      <c r="AX72" s="77">
        <f t="shared" si="98"/>
        <v>13</v>
      </c>
      <c r="AY72" s="77">
        <f t="shared" si="98"/>
        <v>14</v>
      </c>
      <c r="AZ72" s="77">
        <f t="shared" si="98"/>
        <v>15</v>
      </c>
      <c r="BA72" s="77">
        <f t="shared" si="98"/>
        <v>16</v>
      </c>
      <c r="BB72" s="77">
        <f t="shared" si="98"/>
        <v>17</v>
      </c>
      <c r="BC72" s="77">
        <f t="shared" si="98"/>
        <v>18</v>
      </c>
      <c r="BD72" s="77">
        <v>0</v>
      </c>
      <c r="BE72" s="77">
        <f t="shared" si="98"/>
        <v>1</v>
      </c>
      <c r="BF72" s="77">
        <f t="shared" si="98"/>
        <v>2</v>
      </c>
      <c r="BG72" s="77">
        <f t="shared" si="98"/>
        <v>3</v>
      </c>
      <c r="BH72" s="77">
        <f t="shared" si="98"/>
        <v>4</v>
      </c>
      <c r="BI72" s="77">
        <f t="shared" si="98"/>
        <v>5</v>
      </c>
      <c r="BJ72" s="77">
        <f t="shared" si="98"/>
        <v>6</v>
      </c>
      <c r="BK72" s="77">
        <f t="shared" si="98"/>
        <v>7</v>
      </c>
      <c r="BL72" s="77">
        <f t="shared" si="98"/>
        <v>8</v>
      </c>
      <c r="BM72" s="77">
        <f t="shared" si="98"/>
        <v>9</v>
      </c>
      <c r="BN72" s="77">
        <f t="shared" si="98"/>
        <v>10</v>
      </c>
      <c r="BO72" s="77">
        <f t="shared" si="98"/>
        <v>11</v>
      </c>
      <c r="BP72" s="77">
        <f t="shared" si="98"/>
        <v>12</v>
      </c>
      <c r="BQ72" s="77">
        <f t="shared" si="98"/>
        <v>13</v>
      </c>
      <c r="BR72" s="77">
        <f t="shared" si="98"/>
        <v>14</v>
      </c>
      <c r="BS72" s="77">
        <f t="shared" si="98"/>
        <v>15</v>
      </c>
      <c r="BT72" s="77">
        <f t="shared" si="98"/>
        <v>16</v>
      </c>
      <c r="BU72" s="77">
        <f t="shared" si="98"/>
        <v>17</v>
      </c>
      <c r="BV72" s="77">
        <f t="shared" si="98"/>
        <v>18</v>
      </c>
      <c r="BW72" s="77">
        <f t="shared" si="98"/>
        <v>19</v>
      </c>
      <c r="BX72" s="77">
        <f t="shared" si="98"/>
        <v>20</v>
      </c>
      <c r="BY72" s="77">
        <f t="shared" si="98"/>
        <v>21</v>
      </c>
      <c r="BZ72" s="77">
        <f t="shared" si="98"/>
        <v>22</v>
      </c>
      <c r="CA72" s="77">
        <f t="shared" si="98"/>
        <v>23</v>
      </c>
      <c r="CB72" s="77">
        <f t="shared" si="98"/>
        <v>24</v>
      </c>
      <c r="CC72" s="77">
        <f t="shared" si="98"/>
        <v>25</v>
      </c>
      <c r="CD72" s="77">
        <f t="shared" si="98"/>
        <v>26</v>
      </c>
      <c r="CE72" s="77">
        <f t="shared" si="98"/>
        <v>27</v>
      </c>
      <c r="CF72" s="77">
        <f t="shared" si="98"/>
        <v>28</v>
      </c>
      <c r="CG72" s="77">
        <f t="shared" si="98"/>
        <v>29</v>
      </c>
      <c r="CH72" s="77">
        <f t="shared" si="98"/>
        <v>30</v>
      </c>
      <c r="CI72" s="77">
        <f t="shared" si="98"/>
        <v>31</v>
      </c>
      <c r="CJ72" s="77">
        <f t="shared" si="98"/>
        <v>32</v>
      </c>
      <c r="CK72" s="77">
        <f t="shared" si="96"/>
        <v>33</v>
      </c>
      <c r="CL72" s="77">
        <f t="shared" si="96"/>
        <v>34</v>
      </c>
      <c r="CM72" s="77">
        <f t="shared" si="96"/>
        <v>35</v>
      </c>
      <c r="CN72" s="77">
        <f t="shared" si="96"/>
        <v>36</v>
      </c>
      <c r="CO72" s="77">
        <f t="shared" si="96"/>
        <v>37</v>
      </c>
      <c r="CP72" s="77">
        <f t="shared" si="96"/>
        <v>38</v>
      </c>
      <c r="CQ72" s="77">
        <f t="shared" si="96"/>
        <v>39</v>
      </c>
      <c r="CR72" s="77">
        <f t="shared" si="96"/>
        <v>40</v>
      </c>
      <c r="CS72" s="77">
        <f t="shared" si="96"/>
        <v>41</v>
      </c>
      <c r="CT72" s="77">
        <f t="shared" si="96"/>
        <v>42</v>
      </c>
      <c r="CU72" s="77">
        <f t="shared" si="96"/>
        <v>43</v>
      </c>
      <c r="CV72" s="77">
        <f t="shared" si="96"/>
        <v>44</v>
      </c>
      <c r="CW72" s="77">
        <f t="shared" si="96"/>
        <v>45</v>
      </c>
      <c r="CX72" s="77">
        <f t="shared" si="96"/>
        <v>46</v>
      </c>
      <c r="CY72" s="77">
        <f t="shared" si="96"/>
        <v>47</v>
      </c>
      <c r="CZ72" s="77">
        <f t="shared" si="96"/>
        <v>48</v>
      </c>
      <c r="DA72" s="77">
        <f t="shared" si="96"/>
        <v>49</v>
      </c>
      <c r="DB72" s="77">
        <f t="shared" si="96"/>
        <v>50</v>
      </c>
      <c r="DC72" s="77">
        <f t="shared" si="96"/>
        <v>51</v>
      </c>
      <c r="DD72" s="77">
        <f t="shared" si="96"/>
        <v>52</v>
      </c>
      <c r="DE72" s="77">
        <f t="shared" si="96"/>
        <v>53</v>
      </c>
      <c r="DF72" s="77">
        <f t="shared" si="96"/>
        <v>54</v>
      </c>
      <c r="DG72" s="77">
        <f t="shared" si="96"/>
        <v>55</v>
      </c>
      <c r="DH72" s="77">
        <f t="shared" si="96"/>
        <v>56</v>
      </c>
      <c r="DI72" s="77">
        <f t="shared" si="96"/>
        <v>57</v>
      </c>
      <c r="DJ72" s="77">
        <f t="shared" si="96"/>
        <v>58</v>
      </c>
      <c r="DK72" s="77">
        <f t="shared" si="96"/>
        <v>59</v>
      </c>
      <c r="DL72" s="77">
        <f t="shared" si="96"/>
        <v>60</v>
      </c>
      <c r="DM72" s="77">
        <f t="shared" si="96"/>
        <v>61</v>
      </c>
      <c r="DN72" s="77">
        <f t="shared" si="96"/>
        <v>62</v>
      </c>
      <c r="DO72" s="77">
        <f t="shared" si="96"/>
        <v>63</v>
      </c>
      <c r="DP72" s="77">
        <f t="shared" si="96"/>
        <v>64</v>
      </c>
      <c r="DQ72" s="77">
        <f t="shared" si="96"/>
        <v>65</v>
      </c>
      <c r="DR72" s="77">
        <f t="shared" si="96"/>
        <v>66</v>
      </c>
      <c r="DS72" s="77">
        <f t="shared" si="96"/>
        <v>67</v>
      </c>
      <c r="DT72" s="77">
        <f t="shared" si="96"/>
        <v>68</v>
      </c>
      <c r="DU72" s="77">
        <f t="shared" si="96"/>
        <v>69</v>
      </c>
      <c r="DV72" s="77">
        <f t="shared" si="96"/>
        <v>70</v>
      </c>
      <c r="DW72" s="77">
        <f t="shared" si="96"/>
        <v>71</v>
      </c>
      <c r="DX72" s="77">
        <f t="shared" si="96"/>
        <v>72</v>
      </c>
      <c r="DY72" s="77">
        <f t="shared" si="96"/>
        <v>73</v>
      </c>
      <c r="DZ72" s="77">
        <f t="shared" si="96"/>
        <v>74</v>
      </c>
      <c r="EA72" s="77">
        <f t="shared" si="96"/>
        <v>75</v>
      </c>
      <c r="EB72" s="77">
        <f t="shared" si="96"/>
        <v>76</v>
      </c>
      <c r="EC72" s="77">
        <f t="shared" si="96"/>
        <v>77</v>
      </c>
      <c r="ED72" s="77">
        <f t="shared" si="96"/>
        <v>78</v>
      </c>
      <c r="EE72" s="77">
        <f t="shared" si="96"/>
        <v>79</v>
      </c>
      <c r="EF72" s="77">
        <f t="shared" si="96"/>
        <v>80</v>
      </c>
      <c r="EG72" s="77">
        <f t="shared" si="96"/>
        <v>81</v>
      </c>
      <c r="EH72" s="77">
        <f t="shared" si="96"/>
        <v>82</v>
      </c>
      <c r="EI72" s="77">
        <f t="shared" si="96"/>
        <v>83</v>
      </c>
      <c r="EJ72" s="77">
        <f t="shared" si="96"/>
        <v>84</v>
      </c>
      <c r="EK72" s="77">
        <f t="shared" si="96"/>
        <v>85</v>
      </c>
      <c r="EL72" s="77">
        <f t="shared" si="96"/>
        <v>86</v>
      </c>
      <c r="EM72" s="77">
        <f t="shared" si="96"/>
        <v>87</v>
      </c>
      <c r="EN72" s="77">
        <f t="shared" si="96"/>
        <v>88</v>
      </c>
      <c r="EO72" s="77">
        <f t="shared" si="96"/>
        <v>89</v>
      </c>
      <c r="EP72" s="77">
        <f t="shared" si="96"/>
        <v>90</v>
      </c>
      <c r="EQ72" s="77">
        <f t="shared" si="96"/>
        <v>91</v>
      </c>
      <c r="ER72" s="77">
        <f t="shared" si="96"/>
        <v>92</v>
      </c>
      <c r="ES72" s="77">
        <f t="shared" si="96"/>
        <v>93</v>
      </c>
      <c r="ET72" s="77">
        <f t="shared" si="96"/>
        <v>94</v>
      </c>
      <c r="EU72" s="77">
        <f t="shared" si="96"/>
        <v>95</v>
      </c>
      <c r="EV72" s="77">
        <f t="shared" si="95"/>
        <v>96</v>
      </c>
      <c r="EW72" s="77">
        <f t="shared" si="92"/>
        <v>97</v>
      </c>
      <c r="EX72" s="77">
        <f t="shared" si="92"/>
        <v>98</v>
      </c>
      <c r="EY72" s="77">
        <f t="shared" ref="EY72:GX76" si="99">IF(EX72="","",EX72+1)</f>
        <v>99</v>
      </c>
      <c r="EZ72" s="77">
        <f t="shared" si="99"/>
        <v>100</v>
      </c>
      <c r="FA72" s="77">
        <f t="shared" si="99"/>
        <v>101</v>
      </c>
      <c r="FB72" s="77">
        <f t="shared" si="99"/>
        <v>102</v>
      </c>
      <c r="FC72" s="77">
        <f t="shared" si="99"/>
        <v>103</v>
      </c>
      <c r="FD72" s="77">
        <f t="shared" si="99"/>
        <v>104</v>
      </c>
      <c r="FE72" s="77">
        <f t="shared" si="99"/>
        <v>105</v>
      </c>
      <c r="FF72" s="77">
        <f t="shared" si="99"/>
        <v>106</v>
      </c>
      <c r="FG72" s="77">
        <f t="shared" si="99"/>
        <v>107</v>
      </c>
      <c r="FH72" s="77">
        <f t="shared" si="99"/>
        <v>108</v>
      </c>
      <c r="FI72" s="77">
        <f t="shared" si="99"/>
        <v>109</v>
      </c>
      <c r="FJ72" s="77">
        <f t="shared" si="99"/>
        <v>110</v>
      </c>
      <c r="FK72" s="77">
        <f t="shared" si="99"/>
        <v>111</v>
      </c>
      <c r="FL72" s="77">
        <f t="shared" si="99"/>
        <v>112</v>
      </c>
      <c r="FM72" s="77">
        <f t="shared" si="99"/>
        <v>113</v>
      </c>
      <c r="FN72" s="77">
        <f t="shared" si="99"/>
        <v>114</v>
      </c>
      <c r="FO72" s="77">
        <f t="shared" si="99"/>
        <v>115</v>
      </c>
      <c r="FP72" s="77">
        <f t="shared" si="99"/>
        <v>116</v>
      </c>
      <c r="FQ72" s="77">
        <f t="shared" si="99"/>
        <v>117</v>
      </c>
      <c r="FR72" s="77">
        <f t="shared" si="99"/>
        <v>118</v>
      </c>
      <c r="FS72" s="77">
        <f t="shared" si="99"/>
        <v>119</v>
      </c>
      <c r="FT72" s="77">
        <f t="shared" si="99"/>
        <v>120</v>
      </c>
      <c r="FU72" s="77">
        <f t="shared" si="99"/>
        <v>121</v>
      </c>
      <c r="FV72" s="77">
        <f t="shared" si="99"/>
        <v>122</v>
      </c>
      <c r="FW72" s="77">
        <f t="shared" si="99"/>
        <v>123</v>
      </c>
      <c r="FX72" s="77">
        <f t="shared" si="99"/>
        <v>124</v>
      </c>
      <c r="FY72" s="77">
        <f t="shared" si="99"/>
        <v>125</v>
      </c>
      <c r="FZ72" s="77">
        <f t="shared" si="99"/>
        <v>126</v>
      </c>
      <c r="GA72" s="77">
        <f t="shared" si="99"/>
        <v>127</v>
      </c>
      <c r="GB72" s="77">
        <f t="shared" si="99"/>
        <v>128</v>
      </c>
      <c r="GC72" s="77">
        <f t="shared" si="99"/>
        <v>129</v>
      </c>
      <c r="GD72" s="77">
        <f t="shared" si="99"/>
        <v>130</v>
      </c>
      <c r="GE72" s="77">
        <f t="shared" si="99"/>
        <v>131</v>
      </c>
      <c r="GF72" s="77">
        <f t="shared" si="99"/>
        <v>132</v>
      </c>
      <c r="GG72" s="77">
        <f t="shared" si="99"/>
        <v>133</v>
      </c>
      <c r="GH72" s="77">
        <f t="shared" si="99"/>
        <v>134</v>
      </c>
      <c r="GI72" s="77">
        <f t="shared" si="99"/>
        <v>135</v>
      </c>
      <c r="GJ72" s="77">
        <f t="shared" si="99"/>
        <v>136</v>
      </c>
      <c r="GK72" s="77">
        <f t="shared" si="99"/>
        <v>137</v>
      </c>
      <c r="GL72" s="77">
        <f t="shared" si="99"/>
        <v>138</v>
      </c>
      <c r="GM72" s="77">
        <f t="shared" si="99"/>
        <v>139</v>
      </c>
      <c r="GN72" s="77">
        <f t="shared" si="99"/>
        <v>140</v>
      </c>
      <c r="GO72" s="77">
        <f t="shared" si="99"/>
        <v>141</v>
      </c>
      <c r="GP72" s="77">
        <f t="shared" si="99"/>
        <v>142</v>
      </c>
      <c r="GQ72" s="77">
        <f t="shared" si="99"/>
        <v>143</v>
      </c>
      <c r="GR72" s="77">
        <f t="shared" si="99"/>
        <v>144</v>
      </c>
      <c r="GS72" s="77">
        <f t="shared" si="99"/>
        <v>145</v>
      </c>
      <c r="GT72" s="77">
        <f t="shared" si="99"/>
        <v>146</v>
      </c>
      <c r="GU72" s="77">
        <f t="shared" si="99"/>
        <v>147</v>
      </c>
      <c r="GV72" s="77">
        <f t="shared" si="99"/>
        <v>148</v>
      </c>
      <c r="GW72" s="77">
        <f t="shared" si="99"/>
        <v>149</v>
      </c>
      <c r="GX72" s="77">
        <f t="shared" si="99"/>
        <v>150</v>
      </c>
    </row>
    <row r="73" spans="1:206" ht="15" customHeight="1" x14ac:dyDescent="0.2">
      <c r="A73" s="22" t="s">
        <v>68</v>
      </c>
      <c r="B73" s="22">
        <v>4</v>
      </c>
      <c r="C73" s="22" t="s">
        <v>162</v>
      </c>
      <c r="D73" s="22">
        <v>60</v>
      </c>
      <c r="E73" s="22" t="s">
        <v>177</v>
      </c>
      <c r="F73" s="22" t="s">
        <v>178</v>
      </c>
      <c r="G73" s="22" t="s">
        <v>82</v>
      </c>
      <c r="H73" s="22">
        <v>2013</v>
      </c>
      <c r="I73" s="22">
        <v>13</v>
      </c>
      <c r="J73" s="22">
        <v>44.11</v>
      </c>
      <c r="K73" s="22">
        <v>56</v>
      </c>
      <c r="L73" s="22">
        <v>6669</v>
      </c>
      <c r="M73" s="22">
        <v>6613</v>
      </c>
      <c r="N73" s="22" t="s">
        <v>95</v>
      </c>
      <c r="O73" s="22" t="s">
        <v>96</v>
      </c>
      <c r="P73" s="22" t="s">
        <v>75</v>
      </c>
      <c r="Q73" s="108">
        <f>IF(R73="","",'Dashboard Ciclos'!$B$2-R73)</f>
        <v>46237</v>
      </c>
      <c r="R73" s="22">
        <f>IF($E73="","",IFERROR(INDEX($W73:$GX73,MATCH('Dashboard Ciclos'!$B$2,$W$1:$GX$1,0)),""))</f>
        <v>12</v>
      </c>
      <c r="S73" s="22" t="str">
        <f t="shared" si="83"/>
        <v>En ciclo</v>
      </c>
      <c r="T73" s="22" t="str">
        <f t="shared" si="84"/>
        <v>En ciclo</v>
      </c>
      <c r="U73" s="22">
        <f t="shared" si="85"/>
        <v>0</v>
      </c>
      <c r="V73" s="23">
        <f t="shared" si="86"/>
        <v>46249</v>
      </c>
      <c r="W73" s="77">
        <f t="shared" si="87"/>
        <v>11</v>
      </c>
      <c r="X73" s="77">
        <f t="shared" si="87"/>
        <v>12</v>
      </c>
      <c r="Y73" s="77">
        <f t="shared" si="87"/>
        <v>13</v>
      </c>
      <c r="Z73" s="77">
        <f t="shared" si="87"/>
        <v>14</v>
      </c>
      <c r="AA73" s="77">
        <v>15</v>
      </c>
      <c r="AB73" s="77">
        <f t="shared" si="89"/>
        <v>16</v>
      </c>
      <c r="AC73" s="77">
        <f t="shared" si="89"/>
        <v>17</v>
      </c>
      <c r="AD73" s="77">
        <f t="shared" si="89"/>
        <v>18</v>
      </c>
      <c r="AE73" s="77">
        <f t="shared" si="89"/>
        <v>19</v>
      </c>
      <c r="AF73" s="77">
        <f t="shared" si="89"/>
        <v>20</v>
      </c>
      <c r="AG73" s="77">
        <f t="shared" si="89"/>
        <v>21</v>
      </c>
      <c r="AH73" s="77">
        <f t="shared" si="89"/>
        <v>22</v>
      </c>
      <c r="AI73" s="77">
        <f t="shared" si="89"/>
        <v>23</v>
      </c>
      <c r="AJ73" s="77">
        <f t="shared" si="89"/>
        <v>24</v>
      </c>
      <c r="AK73" s="77">
        <v>0</v>
      </c>
      <c r="AL73" s="77">
        <f t="shared" si="90"/>
        <v>1</v>
      </c>
      <c r="AM73" s="77">
        <f t="shared" si="90"/>
        <v>2</v>
      </c>
      <c r="AN73" s="77">
        <f t="shared" si="91"/>
        <v>3</v>
      </c>
      <c r="AO73" s="77">
        <f t="shared" si="90"/>
        <v>4</v>
      </c>
      <c r="AP73" s="77">
        <f t="shared" si="90"/>
        <v>5</v>
      </c>
      <c r="AQ73" s="77">
        <f t="shared" si="90"/>
        <v>6</v>
      </c>
      <c r="AR73" s="77">
        <f t="shared" si="82"/>
        <v>7</v>
      </c>
      <c r="AS73" s="77">
        <f t="shared" si="98"/>
        <v>8</v>
      </c>
      <c r="AT73" s="77">
        <f t="shared" si="98"/>
        <v>9</v>
      </c>
      <c r="AU73" s="77">
        <f t="shared" si="98"/>
        <v>10</v>
      </c>
      <c r="AV73" s="77">
        <f t="shared" si="98"/>
        <v>11</v>
      </c>
      <c r="AW73" s="77">
        <f t="shared" si="98"/>
        <v>12</v>
      </c>
      <c r="AX73" s="77">
        <f t="shared" si="98"/>
        <v>13</v>
      </c>
      <c r="AY73" s="77">
        <f t="shared" si="98"/>
        <v>14</v>
      </c>
      <c r="AZ73" s="77">
        <f t="shared" si="98"/>
        <v>15</v>
      </c>
      <c r="BA73" s="77">
        <f t="shared" si="98"/>
        <v>16</v>
      </c>
      <c r="BB73" s="77">
        <f t="shared" si="98"/>
        <v>17</v>
      </c>
      <c r="BC73" s="77">
        <f t="shared" si="98"/>
        <v>18</v>
      </c>
      <c r="BD73" s="77">
        <v>0</v>
      </c>
      <c r="BE73" s="77">
        <f t="shared" si="98"/>
        <v>1</v>
      </c>
      <c r="BF73" s="77">
        <f t="shared" si="98"/>
        <v>2</v>
      </c>
      <c r="BG73" s="77">
        <f t="shared" si="98"/>
        <v>3</v>
      </c>
      <c r="BH73" s="77">
        <f t="shared" si="98"/>
        <v>4</v>
      </c>
      <c r="BI73" s="77">
        <f t="shared" si="98"/>
        <v>5</v>
      </c>
      <c r="BJ73" s="77">
        <f t="shared" si="98"/>
        <v>6</v>
      </c>
      <c r="BK73" s="77">
        <f t="shared" si="98"/>
        <v>7</v>
      </c>
      <c r="BL73" s="77">
        <f t="shared" si="98"/>
        <v>8</v>
      </c>
      <c r="BM73" s="77">
        <f t="shared" si="98"/>
        <v>9</v>
      </c>
      <c r="BN73" s="77">
        <f t="shared" si="98"/>
        <v>10</v>
      </c>
      <c r="BO73" s="77">
        <f t="shared" si="98"/>
        <v>11</v>
      </c>
      <c r="BP73" s="77">
        <f t="shared" si="98"/>
        <v>12</v>
      </c>
      <c r="BQ73" s="77">
        <f t="shared" si="98"/>
        <v>13</v>
      </c>
      <c r="BR73" s="77">
        <f t="shared" si="98"/>
        <v>14</v>
      </c>
      <c r="BS73" s="77">
        <f t="shared" si="98"/>
        <v>15</v>
      </c>
      <c r="BT73" s="77">
        <f t="shared" si="98"/>
        <v>16</v>
      </c>
      <c r="BU73" s="77">
        <f t="shared" si="98"/>
        <v>17</v>
      </c>
      <c r="BV73" s="77">
        <f t="shared" si="98"/>
        <v>18</v>
      </c>
      <c r="BW73" s="77">
        <f t="shared" si="98"/>
        <v>19</v>
      </c>
      <c r="BX73" s="77">
        <f t="shared" si="98"/>
        <v>20</v>
      </c>
      <c r="BY73" s="77">
        <f t="shared" si="98"/>
        <v>21</v>
      </c>
      <c r="BZ73" s="77">
        <f t="shared" si="98"/>
        <v>22</v>
      </c>
      <c r="CA73" s="77">
        <f t="shared" si="98"/>
        <v>23</v>
      </c>
      <c r="CB73" s="77">
        <f t="shared" si="98"/>
        <v>24</v>
      </c>
      <c r="CC73" s="77">
        <f t="shared" si="98"/>
        <v>25</v>
      </c>
      <c r="CD73" s="77">
        <f t="shared" si="98"/>
        <v>26</v>
      </c>
      <c r="CE73" s="77">
        <f t="shared" si="98"/>
        <v>27</v>
      </c>
      <c r="CF73" s="77">
        <f t="shared" si="98"/>
        <v>28</v>
      </c>
      <c r="CG73" s="77">
        <f t="shared" si="98"/>
        <v>29</v>
      </c>
      <c r="CH73" s="77">
        <f t="shared" si="98"/>
        <v>30</v>
      </c>
      <c r="CI73" s="77">
        <f t="shared" si="98"/>
        <v>31</v>
      </c>
      <c r="CJ73" s="77">
        <f t="shared" si="98"/>
        <v>32</v>
      </c>
      <c r="CK73" s="77">
        <f t="shared" si="96"/>
        <v>33</v>
      </c>
      <c r="CL73" s="77">
        <f t="shared" si="96"/>
        <v>34</v>
      </c>
      <c r="CM73" s="77">
        <f t="shared" si="96"/>
        <v>35</v>
      </c>
      <c r="CN73" s="77">
        <f t="shared" si="96"/>
        <v>36</v>
      </c>
      <c r="CO73" s="77">
        <f t="shared" si="96"/>
        <v>37</v>
      </c>
      <c r="CP73" s="77">
        <f t="shared" si="96"/>
        <v>38</v>
      </c>
      <c r="CQ73" s="77">
        <f t="shared" si="96"/>
        <v>39</v>
      </c>
      <c r="CR73" s="77">
        <f t="shared" si="96"/>
        <v>40</v>
      </c>
      <c r="CS73" s="77">
        <f t="shared" si="96"/>
        <v>41</v>
      </c>
      <c r="CT73" s="77">
        <f t="shared" si="96"/>
        <v>42</v>
      </c>
      <c r="CU73" s="77">
        <f t="shared" si="96"/>
        <v>43</v>
      </c>
      <c r="CV73" s="77">
        <f t="shared" si="96"/>
        <v>44</v>
      </c>
      <c r="CW73" s="77">
        <f t="shared" si="96"/>
        <v>45</v>
      </c>
      <c r="CX73" s="77">
        <f t="shared" si="96"/>
        <v>46</v>
      </c>
      <c r="CY73" s="77">
        <f t="shared" si="96"/>
        <v>47</v>
      </c>
      <c r="CZ73" s="77">
        <f t="shared" si="96"/>
        <v>48</v>
      </c>
      <c r="DA73" s="77">
        <f t="shared" si="96"/>
        <v>49</v>
      </c>
      <c r="DB73" s="77">
        <f t="shared" si="96"/>
        <v>50</v>
      </c>
      <c r="DC73" s="77">
        <f t="shared" si="96"/>
        <v>51</v>
      </c>
      <c r="DD73" s="77">
        <f t="shared" si="96"/>
        <v>52</v>
      </c>
      <c r="DE73" s="77">
        <f t="shared" si="96"/>
        <v>53</v>
      </c>
      <c r="DF73" s="77">
        <f t="shared" si="96"/>
        <v>54</v>
      </c>
      <c r="DG73" s="77">
        <f t="shared" si="96"/>
        <v>55</v>
      </c>
      <c r="DH73" s="77">
        <f t="shared" si="96"/>
        <v>56</v>
      </c>
      <c r="DI73" s="77">
        <f t="shared" si="96"/>
        <v>57</v>
      </c>
      <c r="DJ73" s="77">
        <f t="shared" si="96"/>
        <v>58</v>
      </c>
      <c r="DK73" s="77">
        <f t="shared" si="96"/>
        <v>59</v>
      </c>
      <c r="DL73" s="77">
        <f t="shared" si="96"/>
        <v>60</v>
      </c>
      <c r="DM73" s="77">
        <f t="shared" si="96"/>
        <v>61</v>
      </c>
      <c r="DN73" s="77">
        <f t="shared" si="96"/>
        <v>62</v>
      </c>
      <c r="DO73" s="77">
        <f t="shared" si="96"/>
        <v>63</v>
      </c>
      <c r="DP73" s="77">
        <f t="shared" si="96"/>
        <v>64</v>
      </c>
      <c r="DQ73" s="77">
        <f t="shared" si="96"/>
        <v>65</v>
      </c>
      <c r="DR73" s="77">
        <f t="shared" si="96"/>
        <v>66</v>
      </c>
      <c r="DS73" s="77">
        <f t="shared" si="96"/>
        <v>67</v>
      </c>
      <c r="DT73" s="77">
        <f t="shared" si="96"/>
        <v>68</v>
      </c>
      <c r="DU73" s="77">
        <f t="shared" si="96"/>
        <v>69</v>
      </c>
      <c r="DV73" s="77">
        <f t="shared" si="96"/>
        <v>70</v>
      </c>
      <c r="DW73" s="77">
        <f t="shared" si="96"/>
        <v>71</v>
      </c>
      <c r="DX73" s="77">
        <f t="shared" si="96"/>
        <v>72</v>
      </c>
      <c r="DY73" s="77">
        <f t="shared" si="96"/>
        <v>73</v>
      </c>
      <c r="DZ73" s="77">
        <f t="shared" si="96"/>
        <v>74</v>
      </c>
      <c r="EA73" s="77">
        <f t="shared" si="96"/>
        <v>75</v>
      </c>
      <c r="EB73" s="77">
        <f t="shared" si="96"/>
        <v>76</v>
      </c>
      <c r="EC73" s="77">
        <f t="shared" si="96"/>
        <v>77</v>
      </c>
      <c r="ED73" s="77">
        <f t="shared" si="96"/>
        <v>78</v>
      </c>
      <c r="EE73" s="77">
        <f t="shared" si="96"/>
        <v>79</v>
      </c>
      <c r="EF73" s="77">
        <f t="shared" si="96"/>
        <v>80</v>
      </c>
      <c r="EG73" s="77">
        <f t="shared" si="96"/>
        <v>81</v>
      </c>
      <c r="EH73" s="77">
        <f t="shared" si="96"/>
        <v>82</v>
      </c>
      <c r="EI73" s="77">
        <f t="shared" si="96"/>
        <v>83</v>
      </c>
      <c r="EJ73" s="77">
        <f t="shared" si="96"/>
        <v>84</v>
      </c>
      <c r="EK73" s="77">
        <f t="shared" si="96"/>
        <v>85</v>
      </c>
      <c r="EL73" s="77">
        <f t="shared" si="96"/>
        <v>86</v>
      </c>
      <c r="EM73" s="77">
        <f t="shared" si="96"/>
        <v>87</v>
      </c>
      <c r="EN73" s="77">
        <f t="shared" si="96"/>
        <v>88</v>
      </c>
      <c r="EO73" s="77">
        <f t="shared" si="96"/>
        <v>89</v>
      </c>
      <c r="EP73" s="77">
        <f t="shared" si="96"/>
        <v>90</v>
      </c>
      <c r="EQ73" s="77">
        <f t="shared" si="96"/>
        <v>91</v>
      </c>
      <c r="ER73" s="77">
        <f t="shared" si="96"/>
        <v>92</v>
      </c>
      <c r="ES73" s="77">
        <f t="shared" si="96"/>
        <v>93</v>
      </c>
      <c r="ET73" s="77">
        <f t="shared" si="96"/>
        <v>94</v>
      </c>
      <c r="EU73" s="77">
        <f t="shared" si="96"/>
        <v>95</v>
      </c>
      <c r="EV73" s="77">
        <f t="shared" si="95"/>
        <v>96</v>
      </c>
      <c r="EW73" s="77">
        <f t="shared" si="92"/>
        <v>97</v>
      </c>
      <c r="EX73" s="77">
        <f t="shared" si="92"/>
        <v>98</v>
      </c>
      <c r="EY73" s="77">
        <f t="shared" si="99"/>
        <v>99</v>
      </c>
      <c r="EZ73" s="77">
        <f t="shared" si="99"/>
        <v>100</v>
      </c>
      <c r="FA73" s="77">
        <f t="shared" si="99"/>
        <v>101</v>
      </c>
      <c r="FB73" s="77">
        <f t="shared" si="99"/>
        <v>102</v>
      </c>
      <c r="FC73" s="77">
        <f t="shared" si="99"/>
        <v>103</v>
      </c>
      <c r="FD73" s="77">
        <f t="shared" si="99"/>
        <v>104</v>
      </c>
      <c r="FE73" s="77">
        <f t="shared" si="99"/>
        <v>105</v>
      </c>
      <c r="FF73" s="77">
        <f t="shared" si="99"/>
        <v>106</v>
      </c>
      <c r="FG73" s="77">
        <f t="shared" si="99"/>
        <v>107</v>
      </c>
      <c r="FH73" s="77">
        <f t="shared" si="99"/>
        <v>108</v>
      </c>
      <c r="FI73" s="77">
        <f t="shared" si="99"/>
        <v>109</v>
      </c>
      <c r="FJ73" s="77">
        <f t="shared" si="99"/>
        <v>110</v>
      </c>
      <c r="FK73" s="77">
        <f t="shared" si="99"/>
        <v>111</v>
      </c>
      <c r="FL73" s="77">
        <f t="shared" si="99"/>
        <v>112</v>
      </c>
      <c r="FM73" s="77">
        <f t="shared" si="99"/>
        <v>113</v>
      </c>
      <c r="FN73" s="77">
        <f t="shared" si="99"/>
        <v>114</v>
      </c>
      <c r="FO73" s="77">
        <f t="shared" si="99"/>
        <v>115</v>
      </c>
      <c r="FP73" s="77">
        <f t="shared" si="99"/>
        <v>116</v>
      </c>
      <c r="FQ73" s="77">
        <f t="shared" si="99"/>
        <v>117</v>
      </c>
      <c r="FR73" s="77">
        <f t="shared" si="99"/>
        <v>118</v>
      </c>
      <c r="FS73" s="77">
        <f t="shared" si="99"/>
        <v>119</v>
      </c>
      <c r="FT73" s="77">
        <f t="shared" si="99"/>
        <v>120</v>
      </c>
      <c r="FU73" s="77">
        <f t="shared" si="99"/>
        <v>121</v>
      </c>
      <c r="FV73" s="77">
        <f t="shared" si="99"/>
        <v>122</v>
      </c>
      <c r="FW73" s="77">
        <f t="shared" si="99"/>
        <v>123</v>
      </c>
      <c r="FX73" s="77">
        <f t="shared" si="99"/>
        <v>124</v>
      </c>
      <c r="FY73" s="77">
        <f t="shared" si="99"/>
        <v>125</v>
      </c>
      <c r="FZ73" s="77">
        <f t="shared" si="99"/>
        <v>126</v>
      </c>
      <c r="GA73" s="77">
        <f t="shared" si="99"/>
        <v>127</v>
      </c>
      <c r="GB73" s="77">
        <f t="shared" si="99"/>
        <v>128</v>
      </c>
      <c r="GC73" s="77">
        <f t="shared" si="99"/>
        <v>129</v>
      </c>
      <c r="GD73" s="77">
        <f t="shared" si="99"/>
        <v>130</v>
      </c>
      <c r="GE73" s="77">
        <f t="shared" si="99"/>
        <v>131</v>
      </c>
      <c r="GF73" s="77">
        <f t="shared" si="99"/>
        <v>132</v>
      </c>
      <c r="GG73" s="77">
        <f t="shared" si="99"/>
        <v>133</v>
      </c>
      <c r="GH73" s="77">
        <f t="shared" si="99"/>
        <v>134</v>
      </c>
      <c r="GI73" s="77">
        <f t="shared" si="99"/>
        <v>135</v>
      </c>
      <c r="GJ73" s="77">
        <f t="shared" si="99"/>
        <v>136</v>
      </c>
      <c r="GK73" s="77">
        <f t="shared" si="99"/>
        <v>137</v>
      </c>
      <c r="GL73" s="77">
        <f t="shared" si="99"/>
        <v>138</v>
      </c>
      <c r="GM73" s="77">
        <f t="shared" si="99"/>
        <v>139</v>
      </c>
      <c r="GN73" s="77">
        <f t="shared" si="99"/>
        <v>140</v>
      </c>
      <c r="GO73" s="77">
        <f t="shared" si="99"/>
        <v>141</v>
      </c>
      <c r="GP73" s="77">
        <f t="shared" si="99"/>
        <v>142</v>
      </c>
      <c r="GQ73" s="77">
        <f t="shared" si="99"/>
        <v>143</v>
      </c>
      <c r="GR73" s="77">
        <f t="shared" si="99"/>
        <v>144</v>
      </c>
      <c r="GS73" s="77">
        <f t="shared" si="99"/>
        <v>145</v>
      </c>
      <c r="GT73" s="77">
        <f t="shared" si="99"/>
        <v>146</v>
      </c>
      <c r="GU73" s="77">
        <f t="shared" si="99"/>
        <v>147</v>
      </c>
      <c r="GV73" s="77">
        <f t="shared" si="99"/>
        <v>148</v>
      </c>
      <c r="GW73" s="77">
        <f t="shared" si="99"/>
        <v>149</v>
      </c>
      <c r="GX73" s="77">
        <f t="shared" si="99"/>
        <v>150</v>
      </c>
    </row>
    <row r="74" spans="1:206" ht="15" customHeight="1" x14ac:dyDescent="0.2">
      <c r="A74" s="22" t="s">
        <v>68</v>
      </c>
      <c r="B74" s="22">
        <v>4</v>
      </c>
      <c r="C74" s="22" t="s">
        <v>162</v>
      </c>
      <c r="D74" s="22">
        <v>62</v>
      </c>
      <c r="E74" s="22" t="s">
        <v>179</v>
      </c>
      <c r="F74" s="22" t="s">
        <v>178</v>
      </c>
      <c r="G74" s="22" t="s">
        <v>82</v>
      </c>
      <c r="H74" s="22">
        <v>2013</v>
      </c>
      <c r="I74" s="22">
        <v>13</v>
      </c>
      <c r="J74" s="22">
        <v>8.02</v>
      </c>
      <c r="K74" s="22">
        <v>0</v>
      </c>
      <c r="L74" s="22">
        <v>1197</v>
      </c>
      <c r="M74" s="22">
        <v>1197</v>
      </c>
      <c r="N74" s="22" t="s">
        <v>95</v>
      </c>
      <c r="O74" s="22" t="s">
        <v>96</v>
      </c>
      <c r="P74" s="22" t="s">
        <v>75</v>
      </c>
      <c r="Q74" s="108">
        <f>IF(R74="","",'Dashboard Ciclos'!$B$2-R74)</f>
        <v>46238</v>
      </c>
      <c r="R74" s="22">
        <f>IF($E74="","",IFERROR(INDEX($W74:$GX74,MATCH('Dashboard Ciclos'!$B$2,$W$1:$GX$1,0)),""))</f>
        <v>11</v>
      </c>
      <c r="S74" s="22" t="str">
        <f t="shared" si="83"/>
        <v>En ciclo</v>
      </c>
      <c r="T74" s="22" t="str">
        <f t="shared" si="84"/>
        <v>En ciclo</v>
      </c>
      <c r="U74" s="22">
        <f t="shared" si="85"/>
        <v>1</v>
      </c>
      <c r="V74" s="23">
        <f t="shared" si="86"/>
        <v>46250</v>
      </c>
      <c r="W74" s="77">
        <f t="shared" si="87"/>
        <v>10</v>
      </c>
      <c r="X74" s="77">
        <f t="shared" si="87"/>
        <v>11</v>
      </c>
      <c r="Y74" s="77">
        <f t="shared" si="87"/>
        <v>12</v>
      </c>
      <c r="Z74" s="77">
        <f t="shared" si="87"/>
        <v>13</v>
      </c>
      <c r="AA74" s="77">
        <v>14</v>
      </c>
      <c r="AB74" s="77">
        <f t="shared" si="89"/>
        <v>15</v>
      </c>
      <c r="AC74" s="77">
        <f t="shared" si="89"/>
        <v>16</v>
      </c>
      <c r="AD74" s="77">
        <f t="shared" si="89"/>
        <v>17</v>
      </c>
      <c r="AE74" s="77">
        <f t="shared" si="89"/>
        <v>18</v>
      </c>
      <c r="AF74" s="77">
        <f t="shared" si="89"/>
        <v>19</v>
      </c>
      <c r="AG74" s="77">
        <f t="shared" si="89"/>
        <v>20</v>
      </c>
      <c r="AH74" s="77">
        <f t="shared" si="89"/>
        <v>21</v>
      </c>
      <c r="AI74" s="77">
        <f t="shared" si="89"/>
        <v>22</v>
      </c>
      <c r="AJ74" s="77">
        <f t="shared" si="89"/>
        <v>23</v>
      </c>
      <c r="AK74" s="77">
        <v>0</v>
      </c>
      <c r="AL74" s="77">
        <f t="shared" si="90"/>
        <v>1</v>
      </c>
      <c r="AM74" s="77">
        <f t="shared" si="90"/>
        <v>2</v>
      </c>
      <c r="AN74" s="77">
        <f t="shared" si="91"/>
        <v>3</v>
      </c>
      <c r="AO74" s="77">
        <f t="shared" si="90"/>
        <v>4</v>
      </c>
      <c r="AP74" s="77">
        <f t="shared" si="90"/>
        <v>5</v>
      </c>
      <c r="AQ74" s="77">
        <f t="shared" si="90"/>
        <v>6</v>
      </c>
      <c r="AR74" s="77">
        <f t="shared" si="82"/>
        <v>7</v>
      </c>
      <c r="AS74" s="77">
        <f t="shared" si="98"/>
        <v>8</v>
      </c>
      <c r="AT74" s="77">
        <f t="shared" si="98"/>
        <v>9</v>
      </c>
      <c r="AU74" s="77">
        <f t="shared" si="98"/>
        <v>10</v>
      </c>
      <c r="AV74" s="77">
        <f t="shared" si="98"/>
        <v>11</v>
      </c>
      <c r="AW74" s="77">
        <f t="shared" si="98"/>
        <v>12</v>
      </c>
      <c r="AX74" s="77">
        <f t="shared" si="98"/>
        <v>13</v>
      </c>
      <c r="AY74" s="77">
        <f t="shared" si="98"/>
        <v>14</v>
      </c>
      <c r="AZ74" s="77">
        <f t="shared" si="98"/>
        <v>15</v>
      </c>
      <c r="BA74" s="77">
        <f t="shared" si="98"/>
        <v>16</v>
      </c>
      <c r="BB74" s="77">
        <f t="shared" si="98"/>
        <v>17</v>
      </c>
      <c r="BC74" s="77">
        <f t="shared" si="98"/>
        <v>18</v>
      </c>
      <c r="BD74" s="77">
        <f t="shared" si="98"/>
        <v>19</v>
      </c>
      <c r="BE74" s="77">
        <v>0</v>
      </c>
      <c r="BF74" s="77">
        <f t="shared" si="98"/>
        <v>1</v>
      </c>
      <c r="BG74" s="77">
        <f t="shared" si="98"/>
        <v>2</v>
      </c>
      <c r="BH74" s="77">
        <f t="shared" si="98"/>
        <v>3</v>
      </c>
      <c r="BI74" s="77">
        <f t="shared" si="98"/>
        <v>4</v>
      </c>
      <c r="BJ74" s="77">
        <f t="shared" si="98"/>
        <v>5</v>
      </c>
      <c r="BK74" s="77">
        <f t="shared" si="98"/>
        <v>6</v>
      </c>
      <c r="BL74" s="77">
        <f t="shared" si="98"/>
        <v>7</v>
      </c>
      <c r="BM74" s="77">
        <f t="shared" si="98"/>
        <v>8</v>
      </c>
      <c r="BN74" s="77">
        <f t="shared" si="98"/>
        <v>9</v>
      </c>
      <c r="BO74" s="77">
        <f t="shared" si="98"/>
        <v>10</v>
      </c>
      <c r="BP74" s="77">
        <f t="shared" si="98"/>
        <v>11</v>
      </c>
      <c r="BQ74" s="77">
        <f t="shared" si="98"/>
        <v>12</v>
      </c>
      <c r="BR74" s="77">
        <f t="shared" si="98"/>
        <v>13</v>
      </c>
      <c r="BS74" s="77">
        <f t="shared" si="98"/>
        <v>14</v>
      </c>
      <c r="BT74" s="77">
        <f t="shared" si="98"/>
        <v>15</v>
      </c>
      <c r="BU74" s="77">
        <f t="shared" si="98"/>
        <v>16</v>
      </c>
      <c r="BV74" s="77">
        <f t="shared" si="98"/>
        <v>17</v>
      </c>
      <c r="BW74" s="77">
        <f t="shared" si="98"/>
        <v>18</v>
      </c>
      <c r="BX74" s="77">
        <f t="shared" si="98"/>
        <v>19</v>
      </c>
      <c r="BY74" s="77">
        <f t="shared" si="98"/>
        <v>20</v>
      </c>
      <c r="BZ74" s="77">
        <f t="shared" si="98"/>
        <v>21</v>
      </c>
      <c r="CA74" s="77">
        <f t="shared" si="98"/>
        <v>22</v>
      </c>
      <c r="CB74" s="77">
        <f t="shared" si="98"/>
        <v>23</v>
      </c>
      <c r="CC74" s="77">
        <f t="shared" si="98"/>
        <v>24</v>
      </c>
      <c r="CD74" s="77">
        <f t="shared" si="98"/>
        <v>25</v>
      </c>
      <c r="CE74" s="77">
        <f t="shared" si="98"/>
        <v>26</v>
      </c>
      <c r="CF74" s="77">
        <f t="shared" si="98"/>
        <v>27</v>
      </c>
      <c r="CG74" s="77">
        <f t="shared" si="98"/>
        <v>28</v>
      </c>
      <c r="CH74" s="77">
        <f t="shared" si="98"/>
        <v>29</v>
      </c>
      <c r="CI74" s="77">
        <f t="shared" si="98"/>
        <v>30</v>
      </c>
      <c r="CJ74" s="77">
        <f t="shared" si="98"/>
        <v>31</v>
      </c>
      <c r="CK74" s="77">
        <f t="shared" si="96"/>
        <v>32</v>
      </c>
      <c r="CL74" s="77">
        <f t="shared" si="96"/>
        <v>33</v>
      </c>
      <c r="CM74" s="77">
        <f t="shared" si="96"/>
        <v>34</v>
      </c>
      <c r="CN74" s="77">
        <f t="shared" si="96"/>
        <v>35</v>
      </c>
      <c r="CO74" s="77">
        <f t="shared" si="96"/>
        <v>36</v>
      </c>
      <c r="CP74" s="77">
        <f t="shared" si="96"/>
        <v>37</v>
      </c>
      <c r="CQ74" s="77">
        <f t="shared" si="96"/>
        <v>38</v>
      </c>
      <c r="CR74" s="77">
        <f t="shared" si="96"/>
        <v>39</v>
      </c>
      <c r="CS74" s="77">
        <f t="shared" si="96"/>
        <v>40</v>
      </c>
      <c r="CT74" s="77">
        <f t="shared" si="96"/>
        <v>41</v>
      </c>
      <c r="CU74" s="77">
        <f t="shared" si="96"/>
        <v>42</v>
      </c>
      <c r="CV74" s="77">
        <f t="shared" si="96"/>
        <v>43</v>
      </c>
      <c r="CW74" s="77">
        <f t="shared" si="96"/>
        <v>44</v>
      </c>
      <c r="CX74" s="77">
        <f t="shared" si="96"/>
        <v>45</v>
      </c>
      <c r="CY74" s="77">
        <f t="shared" si="96"/>
        <v>46</v>
      </c>
      <c r="CZ74" s="77">
        <f t="shared" si="96"/>
        <v>47</v>
      </c>
      <c r="DA74" s="77">
        <f t="shared" si="96"/>
        <v>48</v>
      </c>
      <c r="DB74" s="77">
        <f t="shared" si="96"/>
        <v>49</v>
      </c>
      <c r="DC74" s="77">
        <f t="shared" si="96"/>
        <v>50</v>
      </c>
      <c r="DD74" s="77">
        <f t="shared" si="96"/>
        <v>51</v>
      </c>
      <c r="DE74" s="77">
        <f t="shared" si="96"/>
        <v>52</v>
      </c>
      <c r="DF74" s="77">
        <f t="shared" si="96"/>
        <v>53</v>
      </c>
      <c r="DG74" s="77">
        <f t="shared" si="96"/>
        <v>54</v>
      </c>
      <c r="DH74" s="77">
        <f t="shared" si="96"/>
        <v>55</v>
      </c>
      <c r="DI74" s="77">
        <f t="shared" si="96"/>
        <v>56</v>
      </c>
      <c r="DJ74" s="77">
        <f t="shared" si="96"/>
        <v>57</v>
      </c>
      <c r="DK74" s="77">
        <f t="shared" si="96"/>
        <v>58</v>
      </c>
      <c r="DL74" s="77">
        <f t="shared" si="96"/>
        <v>59</v>
      </c>
      <c r="DM74" s="77">
        <f t="shared" si="96"/>
        <v>60</v>
      </c>
      <c r="DN74" s="77">
        <f t="shared" si="96"/>
        <v>61</v>
      </c>
      <c r="DO74" s="77">
        <f t="shared" si="96"/>
        <v>62</v>
      </c>
      <c r="DP74" s="77">
        <f t="shared" si="96"/>
        <v>63</v>
      </c>
      <c r="DQ74" s="77">
        <f t="shared" si="96"/>
        <v>64</v>
      </c>
      <c r="DR74" s="77">
        <f t="shared" si="96"/>
        <v>65</v>
      </c>
      <c r="DS74" s="77">
        <f t="shared" si="96"/>
        <v>66</v>
      </c>
      <c r="DT74" s="77">
        <f t="shared" si="96"/>
        <v>67</v>
      </c>
      <c r="DU74" s="77">
        <f t="shared" si="96"/>
        <v>68</v>
      </c>
      <c r="DV74" s="77">
        <f t="shared" si="96"/>
        <v>69</v>
      </c>
      <c r="DW74" s="77">
        <f t="shared" si="96"/>
        <v>70</v>
      </c>
      <c r="DX74" s="77">
        <f t="shared" si="96"/>
        <v>71</v>
      </c>
      <c r="DY74" s="77">
        <f t="shared" si="96"/>
        <v>72</v>
      </c>
      <c r="DZ74" s="77">
        <f t="shared" si="96"/>
        <v>73</v>
      </c>
      <c r="EA74" s="77">
        <f t="shared" si="96"/>
        <v>74</v>
      </c>
      <c r="EB74" s="77">
        <f t="shared" si="96"/>
        <v>75</v>
      </c>
      <c r="EC74" s="77">
        <f t="shared" si="96"/>
        <v>76</v>
      </c>
      <c r="ED74" s="77">
        <f t="shared" si="96"/>
        <v>77</v>
      </c>
      <c r="EE74" s="77">
        <f t="shared" si="96"/>
        <v>78</v>
      </c>
      <c r="EF74" s="77">
        <f t="shared" si="96"/>
        <v>79</v>
      </c>
      <c r="EG74" s="77">
        <f t="shared" si="96"/>
        <v>80</v>
      </c>
      <c r="EH74" s="77">
        <f t="shared" si="96"/>
        <v>81</v>
      </c>
      <c r="EI74" s="77">
        <f t="shared" si="96"/>
        <v>82</v>
      </c>
      <c r="EJ74" s="77">
        <f t="shared" si="96"/>
        <v>83</v>
      </c>
      <c r="EK74" s="77">
        <f t="shared" si="96"/>
        <v>84</v>
      </c>
      <c r="EL74" s="77">
        <f t="shared" si="96"/>
        <v>85</v>
      </c>
      <c r="EM74" s="77">
        <f t="shared" si="96"/>
        <v>86</v>
      </c>
      <c r="EN74" s="77">
        <f t="shared" si="96"/>
        <v>87</v>
      </c>
      <c r="EO74" s="77">
        <f t="shared" si="96"/>
        <v>88</v>
      </c>
      <c r="EP74" s="77">
        <f t="shared" si="96"/>
        <v>89</v>
      </c>
      <c r="EQ74" s="77">
        <f t="shared" si="96"/>
        <v>90</v>
      </c>
      <c r="ER74" s="77">
        <f t="shared" si="96"/>
        <v>91</v>
      </c>
      <c r="ES74" s="77">
        <f t="shared" si="96"/>
        <v>92</v>
      </c>
      <c r="ET74" s="77">
        <f t="shared" si="96"/>
        <v>93</v>
      </c>
      <c r="EU74" s="77">
        <f t="shared" si="96"/>
        <v>94</v>
      </c>
      <c r="EV74" s="77">
        <f t="shared" si="95"/>
        <v>95</v>
      </c>
      <c r="EW74" s="77">
        <f t="shared" si="92"/>
        <v>96</v>
      </c>
      <c r="EX74" s="77">
        <f t="shared" si="92"/>
        <v>97</v>
      </c>
      <c r="EY74" s="77">
        <f t="shared" si="99"/>
        <v>98</v>
      </c>
      <c r="EZ74" s="77">
        <f t="shared" si="99"/>
        <v>99</v>
      </c>
      <c r="FA74" s="77">
        <f t="shared" si="99"/>
        <v>100</v>
      </c>
      <c r="FB74" s="77">
        <f t="shared" si="99"/>
        <v>101</v>
      </c>
      <c r="FC74" s="77">
        <f t="shared" si="99"/>
        <v>102</v>
      </c>
      <c r="FD74" s="77">
        <f t="shared" si="99"/>
        <v>103</v>
      </c>
      <c r="FE74" s="77">
        <f t="shared" si="99"/>
        <v>104</v>
      </c>
      <c r="FF74" s="77">
        <f t="shared" si="99"/>
        <v>105</v>
      </c>
      <c r="FG74" s="77">
        <f t="shared" si="99"/>
        <v>106</v>
      </c>
      <c r="FH74" s="77">
        <f t="shared" si="99"/>
        <v>107</v>
      </c>
      <c r="FI74" s="77">
        <f t="shared" si="99"/>
        <v>108</v>
      </c>
      <c r="FJ74" s="77">
        <f t="shared" si="99"/>
        <v>109</v>
      </c>
      <c r="FK74" s="77">
        <f t="shared" si="99"/>
        <v>110</v>
      </c>
      <c r="FL74" s="77">
        <f t="shared" si="99"/>
        <v>111</v>
      </c>
      <c r="FM74" s="77">
        <f t="shared" si="99"/>
        <v>112</v>
      </c>
      <c r="FN74" s="77">
        <f t="shared" si="99"/>
        <v>113</v>
      </c>
      <c r="FO74" s="77">
        <f t="shared" si="99"/>
        <v>114</v>
      </c>
      <c r="FP74" s="77">
        <f t="shared" si="99"/>
        <v>115</v>
      </c>
      <c r="FQ74" s="77">
        <f t="shared" si="99"/>
        <v>116</v>
      </c>
      <c r="FR74" s="77">
        <f t="shared" si="99"/>
        <v>117</v>
      </c>
      <c r="FS74" s="77">
        <f t="shared" si="99"/>
        <v>118</v>
      </c>
      <c r="FT74" s="77">
        <f t="shared" si="99"/>
        <v>119</v>
      </c>
      <c r="FU74" s="77">
        <f t="shared" si="99"/>
        <v>120</v>
      </c>
      <c r="FV74" s="77">
        <f t="shared" si="99"/>
        <v>121</v>
      </c>
      <c r="FW74" s="77">
        <f t="shared" si="99"/>
        <v>122</v>
      </c>
      <c r="FX74" s="77">
        <f t="shared" si="99"/>
        <v>123</v>
      </c>
      <c r="FY74" s="77">
        <f t="shared" si="99"/>
        <v>124</v>
      </c>
      <c r="FZ74" s="77">
        <f t="shared" si="99"/>
        <v>125</v>
      </c>
      <c r="GA74" s="77">
        <f t="shared" si="99"/>
        <v>126</v>
      </c>
      <c r="GB74" s="77">
        <f t="shared" si="99"/>
        <v>127</v>
      </c>
      <c r="GC74" s="77">
        <f t="shared" si="99"/>
        <v>128</v>
      </c>
      <c r="GD74" s="77">
        <f t="shared" si="99"/>
        <v>129</v>
      </c>
      <c r="GE74" s="77">
        <f t="shared" si="99"/>
        <v>130</v>
      </c>
      <c r="GF74" s="77">
        <f t="shared" si="99"/>
        <v>131</v>
      </c>
      <c r="GG74" s="77">
        <f t="shared" si="99"/>
        <v>132</v>
      </c>
      <c r="GH74" s="77">
        <f t="shared" si="99"/>
        <v>133</v>
      </c>
      <c r="GI74" s="77">
        <f t="shared" si="99"/>
        <v>134</v>
      </c>
      <c r="GJ74" s="77">
        <f t="shared" si="99"/>
        <v>135</v>
      </c>
      <c r="GK74" s="77">
        <f t="shared" si="99"/>
        <v>136</v>
      </c>
      <c r="GL74" s="77">
        <f t="shared" si="99"/>
        <v>137</v>
      </c>
      <c r="GM74" s="77">
        <f t="shared" si="99"/>
        <v>138</v>
      </c>
      <c r="GN74" s="77">
        <f t="shared" si="99"/>
        <v>139</v>
      </c>
      <c r="GO74" s="77">
        <f t="shared" si="99"/>
        <v>140</v>
      </c>
      <c r="GP74" s="77">
        <f t="shared" si="99"/>
        <v>141</v>
      </c>
      <c r="GQ74" s="77">
        <f t="shared" si="99"/>
        <v>142</v>
      </c>
      <c r="GR74" s="77">
        <f t="shared" si="99"/>
        <v>143</v>
      </c>
      <c r="GS74" s="77">
        <f t="shared" si="99"/>
        <v>144</v>
      </c>
      <c r="GT74" s="77">
        <f t="shared" si="99"/>
        <v>145</v>
      </c>
      <c r="GU74" s="77">
        <f t="shared" si="99"/>
        <v>146</v>
      </c>
      <c r="GV74" s="77">
        <f t="shared" si="99"/>
        <v>147</v>
      </c>
      <c r="GW74" s="77">
        <f t="shared" si="99"/>
        <v>148</v>
      </c>
      <c r="GX74" s="77">
        <f t="shared" si="99"/>
        <v>149</v>
      </c>
    </row>
    <row r="75" spans="1:206" ht="15" customHeight="1" x14ac:dyDescent="0.2">
      <c r="A75" s="22" t="s">
        <v>68</v>
      </c>
      <c r="B75" s="22">
        <v>4</v>
      </c>
      <c r="C75" s="22" t="s">
        <v>162</v>
      </c>
      <c r="D75" s="22">
        <v>56</v>
      </c>
      <c r="E75" s="22" t="s">
        <v>180</v>
      </c>
      <c r="F75" s="22" t="s">
        <v>71</v>
      </c>
      <c r="G75" s="22" t="s">
        <v>72</v>
      </c>
      <c r="H75" s="22">
        <v>2017</v>
      </c>
      <c r="I75" s="22">
        <v>9</v>
      </c>
      <c r="J75" s="22">
        <v>10.16</v>
      </c>
      <c r="K75" s="22">
        <v>0</v>
      </c>
      <c r="L75" s="22">
        <v>1463</v>
      </c>
      <c r="M75" s="22">
        <v>1463</v>
      </c>
      <c r="N75" s="22" t="s">
        <v>95</v>
      </c>
      <c r="O75" s="22" t="s">
        <v>96</v>
      </c>
      <c r="P75" s="22" t="s">
        <v>75</v>
      </c>
      <c r="Q75" s="108">
        <f>IF(R75="","",'Dashboard Ciclos'!$B$2-R75)</f>
        <v>46235</v>
      </c>
      <c r="R75" s="22">
        <f>IF($E75="","",IFERROR(INDEX($W75:$GX75,MATCH('Dashboard Ciclos'!$B$2,$W$1:$GX$1,0)),""))</f>
        <v>14</v>
      </c>
      <c r="S75" s="22" t="str">
        <f t="shared" si="83"/>
        <v>Vencido 1-5 d</v>
      </c>
      <c r="T75" s="22" t="str">
        <f t="shared" si="84"/>
        <v>Fuera de ciclo</v>
      </c>
      <c r="U75" s="22">
        <f t="shared" si="85"/>
        <v>-2</v>
      </c>
      <c r="V75" s="23">
        <f t="shared" si="86"/>
        <v>46247</v>
      </c>
      <c r="W75" s="77">
        <f t="shared" si="87"/>
        <v>7</v>
      </c>
      <c r="X75" s="77">
        <f t="shared" si="87"/>
        <v>8</v>
      </c>
      <c r="Y75" s="77">
        <f t="shared" si="87"/>
        <v>9</v>
      </c>
      <c r="Z75" s="77">
        <f t="shared" si="87"/>
        <v>10</v>
      </c>
      <c r="AA75" s="77">
        <v>11</v>
      </c>
      <c r="AB75" s="77">
        <f t="shared" si="89"/>
        <v>12</v>
      </c>
      <c r="AC75" s="77">
        <f t="shared" si="89"/>
        <v>13</v>
      </c>
      <c r="AD75" s="77">
        <f t="shared" si="89"/>
        <v>14</v>
      </c>
      <c r="AE75" s="77">
        <f t="shared" si="89"/>
        <v>15</v>
      </c>
      <c r="AF75" s="77">
        <f t="shared" si="89"/>
        <v>16</v>
      </c>
      <c r="AG75" s="77">
        <f t="shared" si="89"/>
        <v>17</v>
      </c>
      <c r="AH75" s="77">
        <f t="shared" si="89"/>
        <v>18</v>
      </c>
      <c r="AI75" s="77">
        <f t="shared" si="89"/>
        <v>19</v>
      </c>
      <c r="AJ75" s="77">
        <f t="shared" si="89"/>
        <v>20</v>
      </c>
      <c r="AK75" s="77">
        <f t="shared" si="90"/>
        <v>21</v>
      </c>
      <c r="AL75" s="77">
        <v>0</v>
      </c>
      <c r="AM75" s="77">
        <f t="shared" si="90"/>
        <v>1</v>
      </c>
      <c r="AN75" s="77">
        <f t="shared" si="91"/>
        <v>2</v>
      </c>
      <c r="AO75" s="77">
        <f t="shared" si="90"/>
        <v>3</v>
      </c>
      <c r="AP75" s="77">
        <f t="shared" si="90"/>
        <v>4</v>
      </c>
      <c r="AQ75" s="77">
        <f t="shared" si="90"/>
        <v>5</v>
      </c>
      <c r="AR75" s="77">
        <f t="shared" si="82"/>
        <v>6</v>
      </c>
      <c r="AS75" s="77">
        <f t="shared" si="98"/>
        <v>7</v>
      </c>
      <c r="AT75" s="77">
        <f t="shared" si="98"/>
        <v>8</v>
      </c>
      <c r="AU75" s="77">
        <f t="shared" si="98"/>
        <v>9</v>
      </c>
      <c r="AV75" s="77">
        <f t="shared" si="98"/>
        <v>10</v>
      </c>
      <c r="AW75" s="77">
        <f t="shared" si="98"/>
        <v>11</v>
      </c>
      <c r="AX75" s="77">
        <f t="shared" si="98"/>
        <v>12</v>
      </c>
      <c r="AY75" s="77">
        <f t="shared" si="98"/>
        <v>13</v>
      </c>
      <c r="AZ75" s="77">
        <f t="shared" si="98"/>
        <v>14</v>
      </c>
      <c r="BA75" s="77">
        <f t="shared" si="98"/>
        <v>15</v>
      </c>
      <c r="BB75" s="77">
        <v>0</v>
      </c>
      <c r="BC75" s="77">
        <f t="shared" si="98"/>
        <v>1</v>
      </c>
      <c r="BD75" s="77">
        <f t="shared" si="98"/>
        <v>2</v>
      </c>
      <c r="BE75" s="77">
        <f t="shared" si="98"/>
        <v>3</v>
      </c>
      <c r="BF75" s="77">
        <f t="shared" si="98"/>
        <v>4</v>
      </c>
      <c r="BG75" s="77">
        <f t="shared" si="98"/>
        <v>5</v>
      </c>
      <c r="BH75" s="77">
        <f t="shared" si="98"/>
        <v>6</v>
      </c>
      <c r="BI75" s="77">
        <f t="shared" si="98"/>
        <v>7</v>
      </c>
      <c r="BJ75" s="77">
        <f t="shared" si="98"/>
        <v>8</v>
      </c>
      <c r="BK75" s="77">
        <f t="shared" si="98"/>
        <v>9</v>
      </c>
      <c r="BL75" s="77">
        <f t="shared" si="98"/>
        <v>10</v>
      </c>
      <c r="BM75" s="77">
        <f t="shared" si="98"/>
        <v>11</v>
      </c>
      <c r="BN75" s="77">
        <f t="shared" si="98"/>
        <v>12</v>
      </c>
      <c r="BO75" s="77">
        <f t="shared" si="98"/>
        <v>13</v>
      </c>
      <c r="BP75" s="77">
        <f t="shared" si="98"/>
        <v>14</v>
      </c>
      <c r="BQ75" s="77">
        <f t="shared" si="98"/>
        <v>15</v>
      </c>
      <c r="BR75" s="77">
        <f t="shared" si="98"/>
        <v>16</v>
      </c>
      <c r="BS75" s="77">
        <f t="shared" si="98"/>
        <v>17</v>
      </c>
      <c r="BT75" s="77">
        <f t="shared" si="98"/>
        <v>18</v>
      </c>
      <c r="BU75" s="77">
        <f t="shared" si="98"/>
        <v>19</v>
      </c>
      <c r="BV75" s="77">
        <f t="shared" si="98"/>
        <v>20</v>
      </c>
      <c r="BW75" s="77">
        <f t="shared" si="98"/>
        <v>21</v>
      </c>
      <c r="BX75" s="77">
        <f t="shared" si="98"/>
        <v>22</v>
      </c>
      <c r="BY75" s="77">
        <f t="shared" si="98"/>
        <v>23</v>
      </c>
      <c r="BZ75" s="77">
        <f t="shared" si="98"/>
        <v>24</v>
      </c>
      <c r="CA75" s="77">
        <f t="shared" si="98"/>
        <v>25</v>
      </c>
      <c r="CB75" s="77">
        <f t="shared" si="98"/>
        <v>26</v>
      </c>
      <c r="CC75" s="77">
        <f t="shared" si="98"/>
        <v>27</v>
      </c>
      <c r="CD75" s="77">
        <f t="shared" si="98"/>
        <v>28</v>
      </c>
      <c r="CE75" s="77">
        <f t="shared" si="98"/>
        <v>29</v>
      </c>
      <c r="CF75" s="77">
        <f t="shared" si="98"/>
        <v>30</v>
      </c>
      <c r="CG75" s="77">
        <f t="shared" si="98"/>
        <v>31</v>
      </c>
      <c r="CH75" s="77">
        <f t="shared" si="98"/>
        <v>32</v>
      </c>
      <c r="CI75" s="77">
        <f t="shared" si="98"/>
        <v>33</v>
      </c>
      <c r="CJ75" s="77">
        <f t="shared" ref="CJ75:EU78" si="100">IF(CI75="","",CI75+1)</f>
        <v>34</v>
      </c>
      <c r="CK75" s="77">
        <f t="shared" si="100"/>
        <v>35</v>
      </c>
      <c r="CL75" s="77">
        <f t="shared" si="100"/>
        <v>36</v>
      </c>
      <c r="CM75" s="77">
        <f t="shared" si="100"/>
        <v>37</v>
      </c>
      <c r="CN75" s="77">
        <f t="shared" si="100"/>
        <v>38</v>
      </c>
      <c r="CO75" s="77">
        <f t="shared" si="100"/>
        <v>39</v>
      </c>
      <c r="CP75" s="77">
        <f t="shared" si="100"/>
        <v>40</v>
      </c>
      <c r="CQ75" s="77">
        <f t="shared" si="100"/>
        <v>41</v>
      </c>
      <c r="CR75" s="77">
        <f t="shared" si="100"/>
        <v>42</v>
      </c>
      <c r="CS75" s="77">
        <f t="shared" si="100"/>
        <v>43</v>
      </c>
      <c r="CT75" s="77">
        <f t="shared" si="100"/>
        <v>44</v>
      </c>
      <c r="CU75" s="77">
        <f t="shared" si="100"/>
        <v>45</v>
      </c>
      <c r="CV75" s="77">
        <f t="shared" si="100"/>
        <v>46</v>
      </c>
      <c r="CW75" s="77">
        <f t="shared" si="100"/>
        <v>47</v>
      </c>
      <c r="CX75" s="77">
        <f t="shared" si="100"/>
        <v>48</v>
      </c>
      <c r="CY75" s="77">
        <f t="shared" si="100"/>
        <v>49</v>
      </c>
      <c r="CZ75" s="77">
        <f t="shared" si="100"/>
        <v>50</v>
      </c>
      <c r="DA75" s="77">
        <f t="shared" si="100"/>
        <v>51</v>
      </c>
      <c r="DB75" s="77">
        <f t="shared" si="100"/>
        <v>52</v>
      </c>
      <c r="DC75" s="77">
        <f t="shared" si="100"/>
        <v>53</v>
      </c>
      <c r="DD75" s="77">
        <f t="shared" si="100"/>
        <v>54</v>
      </c>
      <c r="DE75" s="77">
        <f t="shared" si="100"/>
        <v>55</v>
      </c>
      <c r="DF75" s="77">
        <f t="shared" si="100"/>
        <v>56</v>
      </c>
      <c r="DG75" s="77">
        <f t="shared" si="100"/>
        <v>57</v>
      </c>
      <c r="DH75" s="77">
        <f t="shared" si="100"/>
        <v>58</v>
      </c>
      <c r="DI75" s="77">
        <f t="shared" si="100"/>
        <v>59</v>
      </c>
      <c r="DJ75" s="77">
        <f t="shared" si="100"/>
        <v>60</v>
      </c>
      <c r="DK75" s="77">
        <f t="shared" si="100"/>
        <v>61</v>
      </c>
      <c r="DL75" s="77">
        <f t="shared" si="100"/>
        <v>62</v>
      </c>
      <c r="DM75" s="77">
        <f t="shared" si="100"/>
        <v>63</v>
      </c>
      <c r="DN75" s="77">
        <f t="shared" si="100"/>
        <v>64</v>
      </c>
      <c r="DO75" s="77">
        <f t="shared" si="100"/>
        <v>65</v>
      </c>
      <c r="DP75" s="77">
        <f t="shared" si="100"/>
        <v>66</v>
      </c>
      <c r="DQ75" s="77">
        <f t="shared" si="100"/>
        <v>67</v>
      </c>
      <c r="DR75" s="77">
        <f t="shared" si="100"/>
        <v>68</v>
      </c>
      <c r="DS75" s="77">
        <f t="shared" si="100"/>
        <v>69</v>
      </c>
      <c r="DT75" s="77">
        <f t="shared" si="100"/>
        <v>70</v>
      </c>
      <c r="DU75" s="77">
        <f t="shared" si="100"/>
        <v>71</v>
      </c>
      <c r="DV75" s="77">
        <f t="shared" si="100"/>
        <v>72</v>
      </c>
      <c r="DW75" s="77">
        <f t="shared" si="100"/>
        <v>73</v>
      </c>
      <c r="DX75" s="77">
        <f t="shared" si="100"/>
        <v>74</v>
      </c>
      <c r="DY75" s="77">
        <f t="shared" si="100"/>
        <v>75</v>
      </c>
      <c r="DZ75" s="77">
        <f t="shared" si="100"/>
        <v>76</v>
      </c>
      <c r="EA75" s="77">
        <f t="shared" si="100"/>
        <v>77</v>
      </c>
      <c r="EB75" s="77">
        <f t="shared" si="100"/>
        <v>78</v>
      </c>
      <c r="EC75" s="77">
        <f t="shared" si="100"/>
        <v>79</v>
      </c>
      <c r="ED75" s="77">
        <f t="shared" si="100"/>
        <v>80</v>
      </c>
      <c r="EE75" s="77">
        <f t="shared" si="100"/>
        <v>81</v>
      </c>
      <c r="EF75" s="77">
        <f t="shared" si="100"/>
        <v>82</v>
      </c>
      <c r="EG75" s="77">
        <f t="shared" si="100"/>
        <v>83</v>
      </c>
      <c r="EH75" s="77">
        <f t="shared" si="100"/>
        <v>84</v>
      </c>
      <c r="EI75" s="77">
        <f t="shared" si="100"/>
        <v>85</v>
      </c>
      <c r="EJ75" s="77">
        <f t="shared" si="100"/>
        <v>86</v>
      </c>
      <c r="EK75" s="77">
        <f t="shared" si="100"/>
        <v>87</v>
      </c>
      <c r="EL75" s="77">
        <f t="shared" si="100"/>
        <v>88</v>
      </c>
      <c r="EM75" s="77">
        <f t="shared" si="100"/>
        <v>89</v>
      </c>
      <c r="EN75" s="77">
        <f t="shared" si="100"/>
        <v>90</v>
      </c>
      <c r="EO75" s="77">
        <f t="shared" si="100"/>
        <v>91</v>
      </c>
      <c r="EP75" s="77">
        <f t="shared" si="100"/>
        <v>92</v>
      </c>
      <c r="EQ75" s="77">
        <f t="shared" si="100"/>
        <v>93</v>
      </c>
      <c r="ER75" s="77">
        <f t="shared" si="100"/>
        <v>94</v>
      </c>
      <c r="ES75" s="77">
        <f t="shared" si="100"/>
        <v>95</v>
      </c>
      <c r="ET75" s="77">
        <f t="shared" si="100"/>
        <v>96</v>
      </c>
      <c r="EU75" s="77">
        <f t="shared" si="100"/>
        <v>97</v>
      </c>
      <c r="EV75" s="77">
        <f t="shared" si="95"/>
        <v>98</v>
      </c>
      <c r="EW75" s="77">
        <f t="shared" si="92"/>
        <v>99</v>
      </c>
      <c r="EX75" s="77">
        <f t="shared" si="92"/>
        <v>100</v>
      </c>
      <c r="EY75" s="77">
        <f t="shared" si="99"/>
        <v>101</v>
      </c>
      <c r="EZ75" s="77">
        <f t="shared" si="99"/>
        <v>102</v>
      </c>
      <c r="FA75" s="77">
        <f t="shared" si="99"/>
        <v>103</v>
      </c>
      <c r="FB75" s="77">
        <f t="shared" si="99"/>
        <v>104</v>
      </c>
      <c r="FC75" s="77">
        <f t="shared" si="99"/>
        <v>105</v>
      </c>
      <c r="FD75" s="77">
        <f t="shared" si="99"/>
        <v>106</v>
      </c>
      <c r="FE75" s="77">
        <f t="shared" si="99"/>
        <v>107</v>
      </c>
      <c r="FF75" s="77">
        <f t="shared" si="99"/>
        <v>108</v>
      </c>
      <c r="FG75" s="77">
        <f t="shared" si="99"/>
        <v>109</v>
      </c>
      <c r="FH75" s="77">
        <f t="shared" si="99"/>
        <v>110</v>
      </c>
      <c r="FI75" s="77">
        <f t="shared" si="99"/>
        <v>111</v>
      </c>
      <c r="FJ75" s="77">
        <f t="shared" si="99"/>
        <v>112</v>
      </c>
      <c r="FK75" s="77">
        <f t="shared" si="99"/>
        <v>113</v>
      </c>
      <c r="FL75" s="77">
        <f t="shared" si="99"/>
        <v>114</v>
      </c>
      <c r="FM75" s="77">
        <f t="shared" si="99"/>
        <v>115</v>
      </c>
      <c r="FN75" s="77">
        <f t="shared" si="99"/>
        <v>116</v>
      </c>
      <c r="FO75" s="77">
        <f t="shared" si="99"/>
        <v>117</v>
      </c>
      <c r="FP75" s="77">
        <f t="shared" si="99"/>
        <v>118</v>
      </c>
      <c r="FQ75" s="77">
        <f t="shared" si="99"/>
        <v>119</v>
      </c>
      <c r="FR75" s="77">
        <f t="shared" si="99"/>
        <v>120</v>
      </c>
      <c r="FS75" s="77">
        <f t="shared" si="99"/>
        <v>121</v>
      </c>
      <c r="FT75" s="77">
        <f t="shared" si="99"/>
        <v>122</v>
      </c>
      <c r="FU75" s="77">
        <f t="shared" si="99"/>
        <v>123</v>
      </c>
      <c r="FV75" s="77">
        <f t="shared" si="99"/>
        <v>124</v>
      </c>
      <c r="FW75" s="77">
        <f t="shared" si="99"/>
        <v>125</v>
      </c>
      <c r="FX75" s="77">
        <f t="shared" si="99"/>
        <v>126</v>
      </c>
      <c r="FY75" s="77">
        <f t="shared" si="99"/>
        <v>127</v>
      </c>
      <c r="FZ75" s="77">
        <f t="shared" si="99"/>
        <v>128</v>
      </c>
      <c r="GA75" s="77">
        <f t="shared" si="99"/>
        <v>129</v>
      </c>
      <c r="GB75" s="77">
        <f t="shared" si="99"/>
        <v>130</v>
      </c>
      <c r="GC75" s="77">
        <f t="shared" si="99"/>
        <v>131</v>
      </c>
      <c r="GD75" s="77">
        <f t="shared" si="99"/>
        <v>132</v>
      </c>
      <c r="GE75" s="77">
        <f t="shared" si="99"/>
        <v>133</v>
      </c>
      <c r="GF75" s="77">
        <f t="shared" si="99"/>
        <v>134</v>
      </c>
      <c r="GG75" s="77">
        <f t="shared" si="99"/>
        <v>135</v>
      </c>
      <c r="GH75" s="77">
        <f t="shared" si="99"/>
        <v>136</v>
      </c>
      <c r="GI75" s="77">
        <f t="shared" si="99"/>
        <v>137</v>
      </c>
      <c r="GJ75" s="77">
        <f t="shared" si="99"/>
        <v>138</v>
      </c>
      <c r="GK75" s="77">
        <f t="shared" si="99"/>
        <v>139</v>
      </c>
      <c r="GL75" s="77">
        <f t="shared" si="99"/>
        <v>140</v>
      </c>
      <c r="GM75" s="77">
        <f t="shared" si="99"/>
        <v>141</v>
      </c>
      <c r="GN75" s="77">
        <f t="shared" si="99"/>
        <v>142</v>
      </c>
      <c r="GO75" s="77">
        <f t="shared" si="99"/>
        <v>143</v>
      </c>
      <c r="GP75" s="77">
        <f t="shared" si="99"/>
        <v>144</v>
      </c>
      <c r="GQ75" s="77">
        <f t="shared" si="99"/>
        <v>145</v>
      </c>
      <c r="GR75" s="77">
        <f t="shared" si="99"/>
        <v>146</v>
      </c>
      <c r="GS75" s="77">
        <f t="shared" si="99"/>
        <v>147</v>
      </c>
      <c r="GT75" s="77">
        <f t="shared" si="99"/>
        <v>148</v>
      </c>
      <c r="GU75" s="77">
        <f t="shared" si="99"/>
        <v>149</v>
      </c>
      <c r="GV75" s="77">
        <f t="shared" si="99"/>
        <v>150</v>
      </c>
      <c r="GW75" s="77">
        <f t="shared" si="99"/>
        <v>151</v>
      </c>
      <c r="GX75" s="77">
        <f t="shared" si="99"/>
        <v>152</v>
      </c>
    </row>
    <row r="76" spans="1:206" ht="15" customHeight="1" x14ac:dyDescent="0.2">
      <c r="A76" s="22" t="s">
        <v>68</v>
      </c>
      <c r="B76" s="22">
        <v>4</v>
      </c>
      <c r="C76" s="22" t="s">
        <v>162</v>
      </c>
      <c r="D76" s="22" t="s">
        <v>181</v>
      </c>
      <c r="E76" s="22" t="s">
        <v>182</v>
      </c>
      <c r="F76" s="22" t="s">
        <v>71</v>
      </c>
      <c r="G76" s="22" t="s">
        <v>72</v>
      </c>
      <c r="H76" s="22">
        <v>2017</v>
      </c>
      <c r="I76" s="22">
        <v>9</v>
      </c>
      <c r="J76" s="22">
        <v>13.55</v>
      </c>
      <c r="K76" s="22">
        <v>180</v>
      </c>
      <c r="L76" s="22">
        <v>2063</v>
      </c>
      <c r="M76" s="22">
        <v>1883</v>
      </c>
      <c r="N76" s="22" t="s">
        <v>95</v>
      </c>
      <c r="O76" s="22" t="s">
        <v>96</v>
      </c>
      <c r="P76" s="22" t="s">
        <v>75</v>
      </c>
      <c r="Q76" s="108">
        <f>IF(R76="","",'Dashboard Ciclos'!$B$2-R76)</f>
        <v>46244</v>
      </c>
      <c r="R76" s="22">
        <f>IF($E76="","",IFERROR(INDEX($W76:$GX76,MATCH('Dashboard Ciclos'!$B$2,$W$1:$GX$1,0)),""))</f>
        <v>5</v>
      </c>
      <c r="S76" s="22" t="str">
        <f t="shared" si="83"/>
        <v>En ciclo</v>
      </c>
      <c r="T76" s="22" t="str">
        <f t="shared" si="84"/>
        <v>En ciclo</v>
      </c>
      <c r="U76" s="22">
        <f t="shared" si="85"/>
        <v>7</v>
      </c>
      <c r="V76" s="23">
        <f t="shared" si="86"/>
        <v>46256</v>
      </c>
      <c r="W76" s="77">
        <f t="shared" si="87"/>
        <v>10</v>
      </c>
      <c r="X76" s="77">
        <f t="shared" si="87"/>
        <v>11</v>
      </c>
      <c r="Y76" s="77">
        <f t="shared" si="87"/>
        <v>12</v>
      </c>
      <c r="Z76" s="77">
        <f t="shared" si="87"/>
        <v>13</v>
      </c>
      <c r="AA76" s="77">
        <v>14</v>
      </c>
      <c r="AB76" s="77">
        <f t="shared" si="89"/>
        <v>15</v>
      </c>
      <c r="AC76" s="77">
        <v>0</v>
      </c>
      <c r="AD76" s="77">
        <f t="shared" si="89"/>
        <v>1</v>
      </c>
      <c r="AE76" s="77">
        <f t="shared" si="89"/>
        <v>2</v>
      </c>
      <c r="AF76" s="77">
        <f t="shared" si="89"/>
        <v>3</v>
      </c>
      <c r="AG76" s="77">
        <f t="shared" si="89"/>
        <v>4</v>
      </c>
      <c r="AH76" s="77">
        <f t="shared" si="89"/>
        <v>5</v>
      </c>
      <c r="AI76" s="77">
        <f t="shared" si="89"/>
        <v>6</v>
      </c>
      <c r="AJ76" s="77">
        <f t="shared" si="89"/>
        <v>7</v>
      </c>
      <c r="AK76" s="77">
        <f t="shared" si="90"/>
        <v>8</v>
      </c>
      <c r="AL76" s="77">
        <f t="shared" si="90"/>
        <v>9</v>
      </c>
      <c r="AM76" s="77">
        <f t="shared" si="90"/>
        <v>10</v>
      </c>
      <c r="AN76" s="77">
        <f t="shared" si="91"/>
        <v>11</v>
      </c>
      <c r="AO76" s="77">
        <f t="shared" si="90"/>
        <v>12</v>
      </c>
      <c r="AP76" s="77">
        <f t="shared" si="90"/>
        <v>13</v>
      </c>
      <c r="AQ76" s="77">
        <f t="shared" si="90"/>
        <v>14</v>
      </c>
      <c r="AR76" s="77">
        <f t="shared" si="82"/>
        <v>15</v>
      </c>
      <c r="AS76" s="77">
        <f t="shared" ref="AS76:CJ79" si="101">IF(AR76="","",AR76+1)</f>
        <v>16</v>
      </c>
      <c r="AT76" s="77">
        <f t="shared" si="101"/>
        <v>17</v>
      </c>
      <c r="AU76" s="77">
        <v>0</v>
      </c>
      <c r="AV76" s="77">
        <f t="shared" si="101"/>
        <v>1</v>
      </c>
      <c r="AW76" s="77">
        <f t="shared" si="101"/>
        <v>2</v>
      </c>
      <c r="AX76" s="77">
        <f t="shared" si="101"/>
        <v>3</v>
      </c>
      <c r="AY76" s="77">
        <f t="shared" si="101"/>
        <v>4</v>
      </c>
      <c r="AZ76" s="77">
        <f t="shared" si="101"/>
        <v>5</v>
      </c>
      <c r="BA76" s="77">
        <f t="shared" si="101"/>
        <v>6</v>
      </c>
      <c r="BB76" s="77">
        <f t="shared" si="101"/>
        <v>7</v>
      </c>
      <c r="BC76" s="77">
        <f t="shared" si="101"/>
        <v>8</v>
      </c>
      <c r="BD76" s="77">
        <f t="shared" si="101"/>
        <v>9</v>
      </c>
      <c r="BE76" s="77">
        <f t="shared" si="101"/>
        <v>10</v>
      </c>
      <c r="BF76" s="77">
        <f t="shared" si="101"/>
        <v>11</v>
      </c>
      <c r="BG76" s="77">
        <f t="shared" si="101"/>
        <v>12</v>
      </c>
      <c r="BH76" s="77">
        <f t="shared" si="101"/>
        <v>13</v>
      </c>
      <c r="BI76" s="77">
        <f t="shared" si="101"/>
        <v>14</v>
      </c>
      <c r="BJ76" s="77">
        <f t="shared" si="101"/>
        <v>15</v>
      </c>
      <c r="BK76" s="77">
        <v>0</v>
      </c>
      <c r="BL76" s="77">
        <f t="shared" si="101"/>
        <v>1</v>
      </c>
      <c r="BM76" s="77">
        <f t="shared" si="101"/>
        <v>2</v>
      </c>
      <c r="BN76" s="77">
        <f t="shared" si="101"/>
        <v>3</v>
      </c>
      <c r="BO76" s="77">
        <f t="shared" si="101"/>
        <v>4</v>
      </c>
      <c r="BP76" s="77">
        <f t="shared" si="101"/>
        <v>5</v>
      </c>
      <c r="BQ76" s="77">
        <f t="shared" si="101"/>
        <v>6</v>
      </c>
      <c r="BR76" s="77">
        <f t="shared" si="101"/>
        <v>7</v>
      </c>
      <c r="BS76" s="77">
        <f t="shared" si="101"/>
        <v>8</v>
      </c>
      <c r="BT76" s="77">
        <f t="shared" si="101"/>
        <v>9</v>
      </c>
      <c r="BU76" s="77">
        <f t="shared" si="101"/>
        <v>10</v>
      </c>
      <c r="BV76" s="77">
        <f t="shared" si="101"/>
        <v>11</v>
      </c>
      <c r="BW76" s="77">
        <f t="shared" si="101"/>
        <v>12</v>
      </c>
      <c r="BX76" s="77">
        <f t="shared" si="101"/>
        <v>13</v>
      </c>
      <c r="BY76" s="77">
        <f t="shared" si="101"/>
        <v>14</v>
      </c>
      <c r="BZ76" s="77">
        <f t="shared" si="101"/>
        <v>15</v>
      </c>
      <c r="CA76" s="77">
        <f t="shared" si="101"/>
        <v>16</v>
      </c>
      <c r="CB76" s="77">
        <f t="shared" si="101"/>
        <v>17</v>
      </c>
      <c r="CC76" s="77">
        <f t="shared" si="101"/>
        <v>18</v>
      </c>
      <c r="CD76" s="77">
        <f t="shared" si="101"/>
        <v>19</v>
      </c>
      <c r="CE76" s="77">
        <f t="shared" si="101"/>
        <v>20</v>
      </c>
      <c r="CF76" s="77">
        <f t="shared" si="101"/>
        <v>21</v>
      </c>
      <c r="CG76" s="77">
        <f t="shared" si="101"/>
        <v>22</v>
      </c>
      <c r="CH76" s="77">
        <f t="shared" si="101"/>
        <v>23</v>
      </c>
      <c r="CI76" s="77">
        <f t="shared" si="101"/>
        <v>24</v>
      </c>
      <c r="CJ76" s="77">
        <f t="shared" si="101"/>
        <v>25</v>
      </c>
      <c r="CK76" s="77">
        <f t="shared" si="100"/>
        <v>26</v>
      </c>
      <c r="CL76" s="77">
        <f t="shared" si="100"/>
        <v>27</v>
      </c>
      <c r="CM76" s="77">
        <f t="shared" si="100"/>
        <v>28</v>
      </c>
      <c r="CN76" s="77">
        <f t="shared" si="100"/>
        <v>29</v>
      </c>
      <c r="CO76" s="77">
        <f t="shared" si="100"/>
        <v>30</v>
      </c>
      <c r="CP76" s="77">
        <f t="shared" si="100"/>
        <v>31</v>
      </c>
      <c r="CQ76" s="77">
        <f t="shared" si="100"/>
        <v>32</v>
      </c>
      <c r="CR76" s="77">
        <f t="shared" si="100"/>
        <v>33</v>
      </c>
      <c r="CS76" s="77">
        <f t="shared" si="100"/>
        <v>34</v>
      </c>
      <c r="CT76" s="77">
        <f t="shared" si="100"/>
        <v>35</v>
      </c>
      <c r="CU76" s="77">
        <f t="shared" si="100"/>
        <v>36</v>
      </c>
      <c r="CV76" s="77">
        <f t="shared" si="100"/>
        <v>37</v>
      </c>
      <c r="CW76" s="77">
        <f t="shared" si="100"/>
        <v>38</v>
      </c>
      <c r="CX76" s="77">
        <f t="shared" si="100"/>
        <v>39</v>
      </c>
      <c r="CY76" s="77">
        <f t="shared" si="100"/>
        <v>40</v>
      </c>
      <c r="CZ76" s="77">
        <f t="shared" si="100"/>
        <v>41</v>
      </c>
      <c r="DA76" s="77">
        <f t="shared" si="100"/>
        <v>42</v>
      </c>
      <c r="DB76" s="77">
        <f t="shared" si="100"/>
        <v>43</v>
      </c>
      <c r="DC76" s="77">
        <f t="shared" si="100"/>
        <v>44</v>
      </c>
      <c r="DD76" s="77">
        <f t="shared" si="100"/>
        <v>45</v>
      </c>
      <c r="DE76" s="77">
        <f t="shared" si="100"/>
        <v>46</v>
      </c>
      <c r="DF76" s="77">
        <f t="shared" si="100"/>
        <v>47</v>
      </c>
      <c r="DG76" s="77">
        <f t="shared" si="100"/>
        <v>48</v>
      </c>
      <c r="DH76" s="77">
        <f t="shared" si="100"/>
        <v>49</v>
      </c>
      <c r="DI76" s="77">
        <f t="shared" si="100"/>
        <v>50</v>
      </c>
      <c r="DJ76" s="77">
        <f t="shared" si="100"/>
        <v>51</v>
      </c>
      <c r="DK76" s="77">
        <f t="shared" si="100"/>
        <v>52</v>
      </c>
      <c r="DL76" s="77">
        <f t="shared" si="100"/>
        <v>53</v>
      </c>
      <c r="DM76" s="77">
        <f t="shared" si="100"/>
        <v>54</v>
      </c>
      <c r="DN76" s="77">
        <f t="shared" si="100"/>
        <v>55</v>
      </c>
      <c r="DO76" s="77">
        <f t="shared" si="100"/>
        <v>56</v>
      </c>
      <c r="DP76" s="77">
        <f t="shared" si="100"/>
        <v>57</v>
      </c>
      <c r="DQ76" s="77">
        <f t="shared" si="100"/>
        <v>58</v>
      </c>
      <c r="DR76" s="77">
        <f t="shared" si="100"/>
        <v>59</v>
      </c>
      <c r="DS76" s="77">
        <f t="shared" si="100"/>
        <v>60</v>
      </c>
      <c r="DT76" s="77">
        <f t="shared" si="100"/>
        <v>61</v>
      </c>
      <c r="DU76" s="77">
        <f t="shared" si="100"/>
        <v>62</v>
      </c>
      <c r="DV76" s="77">
        <f t="shared" si="100"/>
        <v>63</v>
      </c>
      <c r="DW76" s="77">
        <f t="shared" si="100"/>
        <v>64</v>
      </c>
      <c r="DX76" s="77">
        <f t="shared" si="100"/>
        <v>65</v>
      </c>
      <c r="DY76" s="77">
        <f t="shared" si="100"/>
        <v>66</v>
      </c>
      <c r="DZ76" s="77">
        <f t="shared" si="100"/>
        <v>67</v>
      </c>
      <c r="EA76" s="77">
        <f t="shared" si="100"/>
        <v>68</v>
      </c>
      <c r="EB76" s="77">
        <f t="shared" si="100"/>
        <v>69</v>
      </c>
      <c r="EC76" s="77">
        <f t="shared" si="100"/>
        <v>70</v>
      </c>
      <c r="ED76" s="77">
        <f t="shared" si="100"/>
        <v>71</v>
      </c>
      <c r="EE76" s="77">
        <f t="shared" si="100"/>
        <v>72</v>
      </c>
      <c r="EF76" s="77">
        <f t="shared" si="100"/>
        <v>73</v>
      </c>
      <c r="EG76" s="77">
        <f t="shared" si="100"/>
        <v>74</v>
      </c>
      <c r="EH76" s="77">
        <f t="shared" si="100"/>
        <v>75</v>
      </c>
      <c r="EI76" s="77">
        <f t="shared" si="100"/>
        <v>76</v>
      </c>
      <c r="EJ76" s="77">
        <f t="shared" si="100"/>
        <v>77</v>
      </c>
      <c r="EK76" s="77">
        <f t="shared" si="100"/>
        <v>78</v>
      </c>
      <c r="EL76" s="77">
        <f t="shared" si="100"/>
        <v>79</v>
      </c>
      <c r="EM76" s="77">
        <f t="shared" si="100"/>
        <v>80</v>
      </c>
      <c r="EN76" s="77">
        <f t="shared" si="100"/>
        <v>81</v>
      </c>
      <c r="EO76" s="77">
        <f t="shared" si="100"/>
        <v>82</v>
      </c>
      <c r="EP76" s="77">
        <f t="shared" si="100"/>
        <v>83</v>
      </c>
      <c r="EQ76" s="77">
        <f t="shared" si="100"/>
        <v>84</v>
      </c>
      <c r="ER76" s="77">
        <f t="shared" si="100"/>
        <v>85</v>
      </c>
      <c r="ES76" s="77">
        <f t="shared" si="100"/>
        <v>86</v>
      </c>
      <c r="ET76" s="77">
        <f t="shared" si="100"/>
        <v>87</v>
      </c>
      <c r="EU76" s="77">
        <f t="shared" si="100"/>
        <v>88</v>
      </c>
      <c r="EV76" s="77">
        <f t="shared" si="95"/>
        <v>89</v>
      </c>
      <c r="EW76" s="77">
        <f t="shared" si="92"/>
        <v>90</v>
      </c>
      <c r="EX76" s="77">
        <f t="shared" si="92"/>
        <v>91</v>
      </c>
      <c r="EY76" s="77">
        <f t="shared" si="99"/>
        <v>92</v>
      </c>
      <c r="EZ76" s="77">
        <f t="shared" si="99"/>
        <v>93</v>
      </c>
      <c r="FA76" s="77">
        <f t="shared" si="99"/>
        <v>94</v>
      </c>
      <c r="FB76" s="77">
        <f t="shared" si="99"/>
        <v>95</v>
      </c>
      <c r="FC76" s="77">
        <f t="shared" si="99"/>
        <v>96</v>
      </c>
      <c r="FD76" s="77">
        <f t="shared" si="99"/>
        <v>97</v>
      </c>
      <c r="FE76" s="77">
        <f t="shared" si="99"/>
        <v>98</v>
      </c>
      <c r="FF76" s="77">
        <f t="shared" si="99"/>
        <v>99</v>
      </c>
      <c r="FG76" s="77">
        <f t="shared" si="99"/>
        <v>100</v>
      </c>
      <c r="FH76" s="77">
        <f t="shared" si="99"/>
        <v>101</v>
      </c>
      <c r="FI76" s="77">
        <f t="shared" si="99"/>
        <v>102</v>
      </c>
      <c r="FJ76" s="77">
        <f t="shared" si="99"/>
        <v>103</v>
      </c>
      <c r="FK76" s="77">
        <f t="shared" si="99"/>
        <v>104</v>
      </c>
      <c r="FL76" s="77">
        <f t="shared" si="99"/>
        <v>105</v>
      </c>
      <c r="FM76" s="77">
        <f t="shared" si="99"/>
        <v>106</v>
      </c>
      <c r="FN76" s="77">
        <f t="shared" si="99"/>
        <v>107</v>
      </c>
      <c r="FO76" s="77">
        <f t="shared" si="99"/>
        <v>108</v>
      </c>
      <c r="FP76" s="77">
        <f t="shared" si="99"/>
        <v>109</v>
      </c>
      <c r="FQ76" s="77">
        <f t="shared" si="99"/>
        <v>110</v>
      </c>
      <c r="FR76" s="77">
        <f t="shared" si="99"/>
        <v>111</v>
      </c>
      <c r="FS76" s="77">
        <f t="shared" si="99"/>
        <v>112</v>
      </c>
      <c r="FT76" s="77">
        <f t="shared" si="99"/>
        <v>113</v>
      </c>
      <c r="FU76" s="77">
        <f t="shared" si="99"/>
        <v>114</v>
      </c>
      <c r="FV76" s="77">
        <f t="shared" si="99"/>
        <v>115</v>
      </c>
      <c r="FW76" s="77">
        <f t="shared" si="99"/>
        <v>116</v>
      </c>
      <c r="FX76" s="77">
        <f t="shared" si="99"/>
        <v>117</v>
      </c>
      <c r="FY76" s="77">
        <f t="shared" si="99"/>
        <v>118</v>
      </c>
      <c r="FZ76" s="77">
        <f t="shared" si="99"/>
        <v>119</v>
      </c>
      <c r="GA76" s="77">
        <f t="shared" si="99"/>
        <v>120</v>
      </c>
      <c r="GB76" s="77">
        <f t="shared" si="99"/>
        <v>121</v>
      </c>
      <c r="GC76" s="77">
        <f t="shared" si="99"/>
        <v>122</v>
      </c>
      <c r="GD76" s="77">
        <f t="shared" si="99"/>
        <v>123</v>
      </c>
      <c r="GE76" s="77">
        <f t="shared" si="99"/>
        <v>124</v>
      </c>
      <c r="GF76" s="77">
        <f t="shared" si="99"/>
        <v>125</v>
      </c>
      <c r="GG76" s="77">
        <f t="shared" si="99"/>
        <v>126</v>
      </c>
      <c r="GH76" s="77">
        <f t="shared" si="99"/>
        <v>127</v>
      </c>
      <c r="GI76" s="77">
        <f t="shared" si="99"/>
        <v>128</v>
      </c>
      <c r="GJ76" s="77">
        <f t="shared" si="99"/>
        <v>129</v>
      </c>
      <c r="GK76" s="77">
        <f t="shared" si="99"/>
        <v>130</v>
      </c>
      <c r="GL76" s="77">
        <f t="shared" si="99"/>
        <v>131</v>
      </c>
      <c r="GM76" s="77">
        <f t="shared" si="99"/>
        <v>132</v>
      </c>
      <c r="GN76" s="77">
        <f t="shared" si="99"/>
        <v>133</v>
      </c>
      <c r="GO76" s="77">
        <f t="shared" si="99"/>
        <v>134</v>
      </c>
      <c r="GP76" s="77">
        <f t="shared" si="99"/>
        <v>135</v>
      </c>
      <c r="GQ76" s="77">
        <f t="shared" si="99"/>
        <v>136</v>
      </c>
      <c r="GR76" s="77">
        <f t="shared" si="99"/>
        <v>137</v>
      </c>
      <c r="GS76" s="77">
        <f t="shared" si="99"/>
        <v>138</v>
      </c>
      <c r="GT76" s="77">
        <f t="shared" ref="GT76:GX76" si="102">IF(GS76="","",GS76+1)</f>
        <v>139</v>
      </c>
      <c r="GU76" s="77">
        <f t="shared" si="102"/>
        <v>140</v>
      </c>
      <c r="GV76" s="77">
        <f t="shared" si="102"/>
        <v>141</v>
      </c>
      <c r="GW76" s="77">
        <f t="shared" si="102"/>
        <v>142</v>
      </c>
      <c r="GX76" s="77">
        <f t="shared" si="102"/>
        <v>143</v>
      </c>
    </row>
    <row r="77" spans="1:206" ht="15" customHeight="1" x14ac:dyDescent="0.2">
      <c r="A77" s="22" t="s">
        <v>68</v>
      </c>
      <c r="B77" s="22">
        <v>4</v>
      </c>
      <c r="C77" s="22" t="s">
        <v>162</v>
      </c>
      <c r="D77" s="22" t="s">
        <v>183</v>
      </c>
      <c r="E77" s="22" t="s">
        <v>184</v>
      </c>
      <c r="F77" s="22" t="s">
        <v>71</v>
      </c>
      <c r="G77" s="22" t="s">
        <v>72</v>
      </c>
      <c r="H77" s="22">
        <v>2018</v>
      </c>
      <c r="I77" s="22">
        <v>8</v>
      </c>
      <c r="J77" s="22">
        <v>7.97</v>
      </c>
      <c r="K77" s="22">
        <v>0</v>
      </c>
      <c r="L77" s="22">
        <v>1120</v>
      </c>
      <c r="M77" s="22">
        <v>1120</v>
      </c>
      <c r="N77" s="22" t="s">
        <v>95</v>
      </c>
      <c r="O77" s="22" t="s">
        <v>96</v>
      </c>
      <c r="P77" s="22" t="s">
        <v>75</v>
      </c>
      <c r="Q77" s="108">
        <f>IF(R77="","",'Dashboard Ciclos'!$B$2-R77)</f>
        <v>46240</v>
      </c>
      <c r="R77" s="22">
        <f>IF($E77="","",IFERROR(INDEX($W77:$GX77,MATCH('Dashboard Ciclos'!$B$2,$W$1:$GX$1,0)),""))</f>
        <v>9</v>
      </c>
      <c r="S77" s="22" t="str">
        <f t="shared" si="83"/>
        <v>En ciclo</v>
      </c>
      <c r="T77" s="22" t="str">
        <f t="shared" si="84"/>
        <v>En ciclo</v>
      </c>
      <c r="U77" s="22">
        <f t="shared" si="85"/>
        <v>3</v>
      </c>
      <c r="V77" s="23">
        <f t="shared" si="86"/>
        <v>46252</v>
      </c>
      <c r="W77" s="77">
        <f t="shared" si="87"/>
        <v>3</v>
      </c>
      <c r="X77" s="77">
        <f t="shared" si="87"/>
        <v>4</v>
      </c>
      <c r="Y77" s="77">
        <f t="shared" si="87"/>
        <v>5</v>
      </c>
      <c r="Z77" s="77">
        <f t="shared" si="87"/>
        <v>6</v>
      </c>
      <c r="AA77" s="77">
        <v>7</v>
      </c>
      <c r="AB77" s="77">
        <f t="shared" si="89"/>
        <v>8</v>
      </c>
      <c r="AC77" s="77">
        <f t="shared" si="89"/>
        <v>9</v>
      </c>
      <c r="AD77" s="77">
        <f t="shared" si="89"/>
        <v>10</v>
      </c>
      <c r="AE77" s="77">
        <f t="shared" si="89"/>
        <v>11</v>
      </c>
      <c r="AF77" s="77">
        <f t="shared" si="89"/>
        <v>12</v>
      </c>
      <c r="AG77" s="77">
        <f t="shared" si="89"/>
        <v>13</v>
      </c>
      <c r="AH77" s="77">
        <f t="shared" si="89"/>
        <v>14</v>
      </c>
      <c r="AI77" s="77">
        <f t="shared" si="89"/>
        <v>15</v>
      </c>
      <c r="AJ77" s="77">
        <f t="shared" si="89"/>
        <v>16</v>
      </c>
      <c r="AK77" s="77">
        <f t="shared" si="90"/>
        <v>17</v>
      </c>
      <c r="AL77" s="77">
        <f t="shared" si="90"/>
        <v>18</v>
      </c>
      <c r="AM77" s="77">
        <f t="shared" si="90"/>
        <v>19</v>
      </c>
      <c r="AN77" s="77">
        <f t="shared" si="91"/>
        <v>20</v>
      </c>
      <c r="AO77" s="77">
        <f t="shared" si="90"/>
        <v>21</v>
      </c>
      <c r="AP77" s="77">
        <f t="shared" si="90"/>
        <v>22</v>
      </c>
      <c r="AQ77" s="77">
        <f t="shared" si="90"/>
        <v>23</v>
      </c>
      <c r="AR77" s="77">
        <v>0</v>
      </c>
      <c r="AS77" s="77">
        <f t="shared" si="101"/>
        <v>1</v>
      </c>
      <c r="AT77" s="77">
        <f t="shared" si="101"/>
        <v>2</v>
      </c>
      <c r="AU77" s="77">
        <f t="shared" si="101"/>
        <v>3</v>
      </c>
      <c r="AV77" s="77">
        <f t="shared" si="101"/>
        <v>4</v>
      </c>
      <c r="AW77" s="77">
        <f t="shared" si="101"/>
        <v>5</v>
      </c>
      <c r="AX77" s="77">
        <f t="shared" si="101"/>
        <v>6</v>
      </c>
      <c r="AY77" s="77">
        <f t="shared" si="101"/>
        <v>7</v>
      </c>
      <c r="AZ77" s="77">
        <f t="shared" si="101"/>
        <v>8</v>
      </c>
      <c r="BA77" s="77">
        <f t="shared" si="101"/>
        <v>9</v>
      </c>
      <c r="BB77" s="77">
        <f t="shared" si="101"/>
        <v>10</v>
      </c>
      <c r="BC77" s="77">
        <f t="shared" si="101"/>
        <v>11</v>
      </c>
      <c r="BD77" s="77">
        <f t="shared" si="101"/>
        <v>12</v>
      </c>
      <c r="BE77" s="77">
        <f t="shared" si="101"/>
        <v>13</v>
      </c>
      <c r="BF77" s="77">
        <f t="shared" si="101"/>
        <v>14</v>
      </c>
      <c r="BG77" s="77">
        <v>0</v>
      </c>
      <c r="BH77" s="77">
        <f t="shared" si="101"/>
        <v>1</v>
      </c>
      <c r="BI77" s="77">
        <f t="shared" si="101"/>
        <v>2</v>
      </c>
      <c r="BJ77" s="77">
        <f t="shared" si="101"/>
        <v>3</v>
      </c>
      <c r="BK77" s="77">
        <f t="shared" si="101"/>
        <v>4</v>
      </c>
      <c r="BL77" s="77">
        <f t="shared" si="101"/>
        <v>5</v>
      </c>
      <c r="BM77" s="77">
        <f t="shared" si="101"/>
        <v>6</v>
      </c>
      <c r="BN77" s="77">
        <f t="shared" si="101"/>
        <v>7</v>
      </c>
      <c r="BO77" s="77">
        <f t="shared" si="101"/>
        <v>8</v>
      </c>
      <c r="BP77" s="77">
        <f t="shared" si="101"/>
        <v>9</v>
      </c>
      <c r="BQ77" s="77">
        <f t="shared" si="101"/>
        <v>10</v>
      </c>
      <c r="BR77" s="77">
        <f t="shared" si="101"/>
        <v>11</v>
      </c>
      <c r="BS77" s="77">
        <f t="shared" si="101"/>
        <v>12</v>
      </c>
      <c r="BT77" s="77">
        <f t="shared" si="101"/>
        <v>13</v>
      </c>
      <c r="BU77" s="77">
        <f t="shared" si="101"/>
        <v>14</v>
      </c>
      <c r="BV77" s="77">
        <f t="shared" si="101"/>
        <v>15</v>
      </c>
      <c r="BW77" s="77">
        <f t="shared" si="101"/>
        <v>16</v>
      </c>
      <c r="BX77" s="77">
        <f t="shared" si="101"/>
        <v>17</v>
      </c>
      <c r="BY77" s="77">
        <f t="shared" si="101"/>
        <v>18</v>
      </c>
      <c r="BZ77" s="77">
        <f t="shared" si="101"/>
        <v>19</v>
      </c>
      <c r="CA77" s="77">
        <f t="shared" si="101"/>
        <v>20</v>
      </c>
      <c r="CB77" s="77">
        <f t="shared" si="101"/>
        <v>21</v>
      </c>
      <c r="CC77" s="77">
        <f t="shared" si="101"/>
        <v>22</v>
      </c>
      <c r="CD77" s="77">
        <f t="shared" si="101"/>
        <v>23</v>
      </c>
      <c r="CE77" s="77">
        <f t="shared" si="101"/>
        <v>24</v>
      </c>
      <c r="CF77" s="77">
        <f t="shared" si="101"/>
        <v>25</v>
      </c>
      <c r="CG77" s="77">
        <f t="shared" si="101"/>
        <v>26</v>
      </c>
      <c r="CH77" s="77">
        <f t="shared" si="101"/>
        <v>27</v>
      </c>
      <c r="CI77" s="77">
        <f t="shared" si="101"/>
        <v>28</v>
      </c>
      <c r="CJ77" s="77">
        <f t="shared" si="101"/>
        <v>29</v>
      </c>
      <c r="CK77" s="77">
        <f t="shared" si="100"/>
        <v>30</v>
      </c>
      <c r="CL77" s="77">
        <f t="shared" si="100"/>
        <v>31</v>
      </c>
      <c r="CM77" s="77">
        <f t="shared" si="100"/>
        <v>32</v>
      </c>
      <c r="CN77" s="77">
        <f t="shared" si="100"/>
        <v>33</v>
      </c>
      <c r="CO77" s="77">
        <f t="shared" si="100"/>
        <v>34</v>
      </c>
      <c r="CP77" s="77">
        <f t="shared" si="100"/>
        <v>35</v>
      </c>
      <c r="CQ77" s="77">
        <f t="shared" si="100"/>
        <v>36</v>
      </c>
      <c r="CR77" s="77">
        <f t="shared" si="100"/>
        <v>37</v>
      </c>
      <c r="CS77" s="77">
        <f t="shared" si="100"/>
        <v>38</v>
      </c>
      <c r="CT77" s="77">
        <f t="shared" si="100"/>
        <v>39</v>
      </c>
      <c r="CU77" s="77">
        <f t="shared" si="100"/>
        <v>40</v>
      </c>
      <c r="CV77" s="77">
        <f t="shared" si="100"/>
        <v>41</v>
      </c>
      <c r="CW77" s="77">
        <f t="shared" si="100"/>
        <v>42</v>
      </c>
      <c r="CX77" s="77">
        <f t="shared" si="100"/>
        <v>43</v>
      </c>
      <c r="CY77" s="77">
        <f t="shared" si="100"/>
        <v>44</v>
      </c>
      <c r="CZ77" s="77">
        <f t="shared" si="100"/>
        <v>45</v>
      </c>
      <c r="DA77" s="77">
        <f t="shared" si="100"/>
        <v>46</v>
      </c>
      <c r="DB77" s="77">
        <f t="shared" si="100"/>
        <v>47</v>
      </c>
      <c r="DC77" s="77">
        <f t="shared" si="100"/>
        <v>48</v>
      </c>
      <c r="DD77" s="77">
        <f t="shared" si="100"/>
        <v>49</v>
      </c>
      <c r="DE77" s="77">
        <f t="shared" si="100"/>
        <v>50</v>
      </c>
      <c r="DF77" s="77">
        <f t="shared" si="100"/>
        <v>51</v>
      </c>
      <c r="DG77" s="77">
        <f t="shared" si="100"/>
        <v>52</v>
      </c>
      <c r="DH77" s="77">
        <f t="shared" si="100"/>
        <v>53</v>
      </c>
      <c r="DI77" s="77">
        <f t="shared" si="100"/>
        <v>54</v>
      </c>
      <c r="DJ77" s="77">
        <f t="shared" si="100"/>
        <v>55</v>
      </c>
      <c r="DK77" s="77">
        <f t="shared" si="100"/>
        <v>56</v>
      </c>
      <c r="DL77" s="77">
        <f t="shared" si="100"/>
        <v>57</v>
      </c>
      <c r="DM77" s="77">
        <f t="shared" si="100"/>
        <v>58</v>
      </c>
      <c r="DN77" s="77">
        <f t="shared" si="100"/>
        <v>59</v>
      </c>
      <c r="DO77" s="77">
        <f t="shared" si="100"/>
        <v>60</v>
      </c>
      <c r="DP77" s="77">
        <f t="shared" si="100"/>
        <v>61</v>
      </c>
      <c r="DQ77" s="77">
        <f t="shared" si="100"/>
        <v>62</v>
      </c>
      <c r="DR77" s="77">
        <f t="shared" si="100"/>
        <v>63</v>
      </c>
      <c r="DS77" s="77">
        <f t="shared" si="100"/>
        <v>64</v>
      </c>
      <c r="DT77" s="77">
        <f t="shared" si="100"/>
        <v>65</v>
      </c>
      <c r="DU77" s="77">
        <f t="shared" si="100"/>
        <v>66</v>
      </c>
      <c r="DV77" s="77">
        <f t="shared" si="100"/>
        <v>67</v>
      </c>
      <c r="DW77" s="77">
        <f t="shared" si="100"/>
        <v>68</v>
      </c>
      <c r="DX77" s="77">
        <f t="shared" si="100"/>
        <v>69</v>
      </c>
      <c r="DY77" s="77">
        <f t="shared" si="100"/>
        <v>70</v>
      </c>
      <c r="DZ77" s="77">
        <f t="shared" si="100"/>
        <v>71</v>
      </c>
      <c r="EA77" s="77">
        <f t="shared" si="100"/>
        <v>72</v>
      </c>
      <c r="EB77" s="77">
        <f t="shared" si="100"/>
        <v>73</v>
      </c>
      <c r="EC77" s="77">
        <f t="shared" si="100"/>
        <v>74</v>
      </c>
      <c r="ED77" s="77">
        <f t="shared" si="100"/>
        <v>75</v>
      </c>
      <c r="EE77" s="77">
        <f t="shared" si="100"/>
        <v>76</v>
      </c>
      <c r="EF77" s="77">
        <f t="shared" si="100"/>
        <v>77</v>
      </c>
      <c r="EG77" s="77">
        <f t="shared" si="100"/>
        <v>78</v>
      </c>
      <c r="EH77" s="77">
        <f t="shared" si="100"/>
        <v>79</v>
      </c>
      <c r="EI77" s="77">
        <f t="shared" si="100"/>
        <v>80</v>
      </c>
      <c r="EJ77" s="77">
        <f t="shared" si="100"/>
        <v>81</v>
      </c>
      <c r="EK77" s="77">
        <f t="shared" si="100"/>
        <v>82</v>
      </c>
      <c r="EL77" s="77">
        <f t="shared" si="100"/>
        <v>83</v>
      </c>
      <c r="EM77" s="77">
        <f t="shared" si="100"/>
        <v>84</v>
      </c>
      <c r="EN77" s="77">
        <f t="shared" si="100"/>
        <v>85</v>
      </c>
      <c r="EO77" s="77">
        <f t="shared" si="100"/>
        <v>86</v>
      </c>
      <c r="EP77" s="77">
        <f t="shared" si="100"/>
        <v>87</v>
      </c>
      <c r="EQ77" s="77">
        <f t="shared" si="100"/>
        <v>88</v>
      </c>
      <c r="ER77" s="77">
        <f t="shared" si="100"/>
        <v>89</v>
      </c>
      <c r="ES77" s="77">
        <f t="shared" si="100"/>
        <v>90</v>
      </c>
      <c r="ET77" s="77">
        <f t="shared" si="100"/>
        <v>91</v>
      </c>
      <c r="EU77" s="77">
        <f t="shared" si="100"/>
        <v>92</v>
      </c>
      <c r="EV77" s="77">
        <f t="shared" si="95"/>
        <v>93</v>
      </c>
      <c r="EW77" s="77">
        <f t="shared" si="92"/>
        <v>94</v>
      </c>
      <c r="EX77" s="77">
        <f t="shared" si="92"/>
        <v>95</v>
      </c>
      <c r="EY77" s="77">
        <f t="shared" ref="EY77:GX81" si="103">IF(EX77="","",EX77+1)</f>
        <v>96</v>
      </c>
      <c r="EZ77" s="77">
        <f t="shared" si="103"/>
        <v>97</v>
      </c>
      <c r="FA77" s="77">
        <f t="shared" si="103"/>
        <v>98</v>
      </c>
      <c r="FB77" s="77">
        <f t="shared" si="103"/>
        <v>99</v>
      </c>
      <c r="FC77" s="77">
        <f t="shared" si="103"/>
        <v>100</v>
      </c>
      <c r="FD77" s="77">
        <f t="shared" si="103"/>
        <v>101</v>
      </c>
      <c r="FE77" s="77">
        <f t="shared" si="103"/>
        <v>102</v>
      </c>
      <c r="FF77" s="77">
        <f t="shared" si="103"/>
        <v>103</v>
      </c>
      <c r="FG77" s="77">
        <f t="shared" si="103"/>
        <v>104</v>
      </c>
      <c r="FH77" s="77">
        <f t="shared" si="103"/>
        <v>105</v>
      </c>
      <c r="FI77" s="77">
        <f t="shared" si="103"/>
        <v>106</v>
      </c>
      <c r="FJ77" s="77">
        <f t="shared" si="103"/>
        <v>107</v>
      </c>
      <c r="FK77" s="77">
        <f t="shared" si="103"/>
        <v>108</v>
      </c>
      <c r="FL77" s="77">
        <f t="shared" si="103"/>
        <v>109</v>
      </c>
      <c r="FM77" s="77">
        <f t="shared" si="103"/>
        <v>110</v>
      </c>
      <c r="FN77" s="77">
        <f t="shared" si="103"/>
        <v>111</v>
      </c>
      <c r="FO77" s="77">
        <f t="shared" si="103"/>
        <v>112</v>
      </c>
      <c r="FP77" s="77">
        <f t="shared" si="103"/>
        <v>113</v>
      </c>
      <c r="FQ77" s="77">
        <f t="shared" si="103"/>
        <v>114</v>
      </c>
      <c r="FR77" s="77">
        <f t="shared" si="103"/>
        <v>115</v>
      </c>
      <c r="FS77" s="77">
        <f t="shared" si="103"/>
        <v>116</v>
      </c>
      <c r="FT77" s="77">
        <f t="shared" si="103"/>
        <v>117</v>
      </c>
      <c r="FU77" s="77">
        <f t="shared" si="103"/>
        <v>118</v>
      </c>
      <c r="FV77" s="77">
        <f t="shared" si="103"/>
        <v>119</v>
      </c>
      <c r="FW77" s="77">
        <f t="shared" si="103"/>
        <v>120</v>
      </c>
      <c r="FX77" s="77">
        <f t="shared" si="103"/>
        <v>121</v>
      </c>
      <c r="FY77" s="77">
        <f t="shared" si="103"/>
        <v>122</v>
      </c>
      <c r="FZ77" s="77">
        <f t="shared" si="103"/>
        <v>123</v>
      </c>
      <c r="GA77" s="77">
        <f t="shared" si="103"/>
        <v>124</v>
      </c>
      <c r="GB77" s="77">
        <f t="shared" si="103"/>
        <v>125</v>
      </c>
      <c r="GC77" s="77">
        <f t="shared" si="103"/>
        <v>126</v>
      </c>
      <c r="GD77" s="77">
        <f t="shared" si="103"/>
        <v>127</v>
      </c>
      <c r="GE77" s="77">
        <f t="shared" si="103"/>
        <v>128</v>
      </c>
      <c r="GF77" s="77">
        <f t="shared" si="103"/>
        <v>129</v>
      </c>
      <c r="GG77" s="77">
        <f t="shared" si="103"/>
        <v>130</v>
      </c>
      <c r="GH77" s="77">
        <f t="shared" si="103"/>
        <v>131</v>
      </c>
      <c r="GI77" s="77">
        <f t="shared" si="103"/>
        <v>132</v>
      </c>
      <c r="GJ77" s="77">
        <f t="shared" si="103"/>
        <v>133</v>
      </c>
      <c r="GK77" s="77">
        <f t="shared" si="103"/>
        <v>134</v>
      </c>
      <c r="GL77" s="77">
        <f t="shared" si="103"/>
        <v>135</v>
      </c>
      <c r="GM77" s="77">
        <f t="shared" si="103"/>
        <v>136</v>
      </c>
      <c r="GN77" s="77">
        <f t="shared" si="103"/>
        <v>137</v>
      </c>
      <c r="GO77" s="77">
        <f t="shared" si="103"/>
        <v>138</v>
      </c>
      <c r="GP77" s="77">
        <f t="shared" si="103"/>
        <v>139</v>
      </c>
      <c r="GQ77" s="77">
        <f t="shared" si="103"/>
        <v>140</v>
      </c>
      <c r="GR77" s="77">
        <f t="shared" si="103"/>
        <v>141</v>
      </c>
      <c r="GS77" s="77">
        <f t="shared" si="103"/>
        <v>142</v>
      </c>
      <c r="GT77" s="77">
        <f t="shared" si="103"/>
        <v>143</v>
      </c>
      <c r="GU77" s="77">
        <f t="shared" si="103"/>
        <v>144</v>
      </c>
      <c r="GV77" s="77">
        <f t="shared" si="103"/>
        <v>145</v>
      </c>
      <c r="GW77" s="77">
        <f t="shared" si="103"/>
        <v>146</v>
      </c>
      <c r="GX77" s="77">
        <f t="shared" si="103"/>
        <v>147</v>
      </c>
    </row>
    <row r="78" spans="1:206" ht="15" customHeight="1" x14ac:dyDescent="0.2">
      <c r="A78" s="22" t="s">
        <v>68</v>
      </c>
      <c r="B78" s="22">
        <v>4</v>
      </c>
      <c r="C78" s="22" t="s">
        <v>162</v>
      </c>
      <c r="D78" s="22" t="s">
        <v>185</v>
      </c>
      <c r="E78" s="22" t="s">
        <v>186</v>
      </c>
      <c r="F78" s="22" t="s">
        <v>71</v>
      </c>
      <c r="G78" s="22" t="s">
        <v>72</v>
      </c>
      <c r="H78" s="22">
        <v>2018</v>
      </c>
      <c r="I78" s="22">
        <v>8</v>
      </c>
      <c r="J78" s="22">
        <v>3.02</v>
      </c>
      <c r="K78" s="22">
        <v>0</v>
      </c>
      <c r="L78" s="22">
        <v>427</v>
      </c>
      <c r="M78" s="22">
        <v>427</v>
      </c>
      <c r="N78" s="22" t="s">
        <v>95</v>
      </c>
      <c r="O78" s="22" t="s">
        <v>96</v>
      </c>
      <c r="P78" s="22" t="s">
        <v>75</v>
      </c>
      <c r="Q78" s="108">
        <f>IF(R78="","",'Dashboard Ciclos'!$B$2-R78)</f>
        <v>46241</v>
      </c>
      <c r="R78" s="22">
        <f>IF($E78="","",IFERROR(INDEX($W78:$GX78,MATCH('Dashboard Ciclos'!$B$2,$W$1:$GX$1,0)),""))</f>
        <v>8</v>
      </c>
      <c r="S78" s="22" t="str">
        <f t="shared" si="83"/>
        <v>En ciclo</v>
      </c>
      <c r="T78" s="22" t="str">
        <f t="shared" si="84"/>
        <v>En ciclo</v>
      </c>
      <c r="U78" s="22">
        <f t="shared" si="85"/>
        <v>4</v>
      </c>
      <c r="V78" s="23">
        <f t="shared" si="86"/>
        <v>46253</v>
      </c>
      <c r="W78" s="77">
        <f t="shared" si="87"/>
        <v>1</v>
      </c>
      <c r="X78" s="77">
        <f t="shared" si="87"/>
        <v>2</v>
      </c>
      <c r="Y78" s="77">
        <f t="shared" si="87"/>
        <v>3</v>
      </c>
      <c r="Z78" s="77">
        <f t="shared" si="87"/>
        <v>4</v>
      </c>
      <c r="AA78" s="77">
        <v>5</v>
      </c>
      <c r="AB78" s="77">
        <f t="shared" si="89"/>
        <v>6</v>
      </c>
      <c r="AC78" s="77">
        <f t="shared" si="89"/>
        <v>7</v>
      </c>
      <c r="AD78" s="77">
        <f t="shared" si="89"/>
        <v>8</v>
      </c>
      <c r="AE78" s="77">
        <f t="shared" si="89"/>
        <v>9</v>
      </c>
      <c r="AF78" s="77">
        <f t="shared" si="89"/>
        <v>10</v>
      </c>
      <c r="AG78" s="77">
        <f t="shared" si="89"/>
        <v>11</v>
      </c>
      <c r="AH78" s="77">
        <f t="shared" si="89"/>
        <v>12</v>
      </c>
      <c r="AI78" s="77">
        <f t="shared" si="89"/>
        <v>13</v>
      </c>
      <c r="AJ78" s="77">
        <f t="shared" si="89"/>
        <v>14</v>
      </c>
      <c r="AK78" s="77">
        <f t="shared" si="90"/>
        <v>15</v>
      </c>
      <c r="AL78" s="77">
        <f t="shared" si="90"/>
        <v>16</v>
      </c>
      <c r="AM78" s="77">
        <f t="shared" si="90"/>
        <v>17</v>
      </c>
      <c r="AN78" s="77">
        <f t="shared" si="91"/>
        <v>18</v>
      </c>
      <c r="AO78" s="77">
        <f t="shared" si="90"/>
        <v>19</v>
      </c>
      <c r="AP78" s="77">
        <f t="shared" si="90"/>
        <v>20</v>
      </c>
      <c r="AQ78" s="77">
        <f t="shared" si="90"/>
        <v>21</v>
      </c>
      <c r="AR78" s="77">
        <f t="shared" si="82"/>
        <v>22</v>
      </c>
      <c r="AS78" s="77">
        <v>0</v>
      </c>
      <c r="AT78" s="77">
        <f t="shared" si="101"/>
        <v>1</v>
      </c>
      <c r="AU78" s="77">
        <f t="shared" si="101"/>
        <v>2</v>
      </c>
      <c r="AV78" s="77">
        <f t="shared" si="101"/>
        <v>3</v>
      </c>
      <c r="AW78" s="77">
        <f t="shared" si="101"/>
        <v>4</v>
      </c>
      <c r="AX78" s="77">
        <f t="shared" si="101"/>
        <v>5</v>
      </c>
      <c r="AY78" s="77">
        <f t="shared" si="101"/>
        <v>6</v>
      </c>
      <c r="AZ78" s="77">
        <f t="shared" si="101"/>
        <v>7</v>
      </c>
      <c r="BA78" s="77">
        <f t="shared" si="101"/>
        <v>8</v>
      </c>
      <c r="BB78" s="77">
        <f t="shared" si="101"/>
        <v>9</v>
      </c>
      <c r="BC78" s="77">
        <f t="shared" si="101"/>
        <v>10</v>
      </c>
      <c r="BD78" s="77">
        <f t="shared" si="101"/>
        <v>11</v>
      </c>
      <c r="BE78" s="77">
        <f t="shared" si="101"/>
        <v>12</v>
      </c>
      <c r="BF78" s="77">
        <f t="shared" si="101"/>
        <v>13</v>
      </c>
      <c r="BG78" s="77">
        <f t="shared" si="101"/>
        <v>14</v>
      </c>
      <c r="BH78" s="77">
        <v>0</v>
      </c>
      <c r="BI78" s="77">
        <f t="shared" si="101"/>
        <v>1</v>
      </c>
      <c r="BJ78" s="77">
        <f t="shared" si="101"/>
        <v>2</v>
      </c>
      <c r="BK78" s="77">
        <f t="shared" si="101"/>
        <v>3</v>
      </c>
      <c r="BL78" s="77">
        <f t="shared" si="101"/>
        <v>4</v>
      </c>
      <c r="BM78" s="77">
        <f t="shared" si="101"/>
        <v>5</v>
      </c>
      <c r="BN78" s="77">
        <f t="shared" si="101"/>
        <v>6</v>
      </c>
      <c r="BO78" s="77">
        <f t="shared" si="101"/>
        <v>7</v>
      </c>
      <c r="BP78" s="77">
        <f t="shared" si="101"/>
        <v>8</v>
      </c>
      <c r="BQ78" s="77">
        <f t="shared" si="101"/>
        <v>9</v>
      </c>
      <c r="BR78" s="77">
        <f t="shared" si="101"/>
        <v>10</v>
      </c>
      <c r="BS78" s="77">
        <f t="shared" si="101"/>
        <v>11</v>
      </c>
      <c r="BT78" s="77">
        <f t="shared" si="101"/>
        <v>12</v>
      </c>
      <c r="BU78" s="77">
        <f t="shared" si="101"/>
        <v>13</v>
      </c>
      <c r="BV78" s="77">
        <f t="shared" si="101"/>
        <v>14</v>
      </c>
      <c r="BW78" s="77">
        <f t="shared" si="101"/>
        <v>15</v>
      </c>
      <c r="BX78" s="77">
        <f t="shared" si="101"/>
        <v>16</v>
      </c>
      <c r="BY78" s="77">
        <f t="shared" si="101"/>
        <v>17</v>
      </c>
      <c r="BZ78" s="77">
        <f t="shared" si="101"/>
        <v>18</v>
      </c>
      <c r="CA78" s="77">
        <f t="shared" si="101"/>
        <v>19</v>
      </c>
      <c r="CB78" s="77">
        <f t="shared" si="101"/>
        <v>20</v>
      </c>
      <c r="CC78" s="77">
        <f t="shared" si="101"/>
        <v>21</v>
      </c>
      <c r="CD78" s="77">
        <f t="shared" si="101"/>
        <v>22</v>
      </c>
      <c r="CE78" s="77">
        <f t="shared" si="101"/>
        <v>23</v>
      </c>
      <c r="CF78" s="77">
        <f t="shared" si="101"/>
        <v>24</v>
      </c>
      <c r="CG78" s="77">
        <f t="shared" si="101"/>
        <v>25</v>
      </c>
      <c r="CH78" s="77">
        <f t="shared" si="101"/>
        <v>26</v>
      </c>
      <c r="CI78" s="77">
        <f t="shared" si="101"/>
        <v>27</v>
      </c>
      <c r="CJ78" s="77">
        <f t="shared" si="101"/>
        <v>28</v>
      </c>
      <c r="CK78" s="77">
        <f t="shared" si="100"/>
        <v>29</v>
      </c>
      <c r="CL78" s="77">
        <f t="shared" si="100"/>
        <v>30</v>
      </c>
      <c r="CM78" s="77">
        <f t="shared" si="100"/>
        <v>31</v>
      </c>
      <c r="CN78" s="77">
        <f t="shared" si="100"/>
        <v>32</v>
      </c>
      <c r="CO78" s="77">
        <f t="shared" si="100"/>
        <v>33</v>
      </c>
      <c r="CP78" s="77">
        <f t="shared" si="100"/>
        <v>34</v>
      </c>
      <c r="CQ78" s="77">
        <f t="shared" si="100"/>
        <v>35</v>
      </c>
      <c r="CR78" s="77">
        <f t="shared" si="100"/>
        <v>36</v>
      </c>
      <c r="CS78" s="77">
        <f t="shared" si="100"/>
        <v>37</v>
      </c>
      <c r="CT78" s="77">
        <f t="shared" si="100"/>
        <v>38</v>
      </c>
      <c r="CU78" s="77">
        <f t="shared" si="100"/>
        <v>39</v>
      </c>
      <c r="CV78" s="77">
        <f t="shared" si="100"/>
        <v>40</v>
      </c>
      <c r="CW78" s="77">
        <f t="shared" si="100"/>
        <v>41</v>
      </c>
      <c r="CX78" s="77">
        <f t="shared" si="100"/>
        <v>42</v>
      </c>
      <c r="CY78" s="77">
        <f t="shared" si="100"/>
        <v>43</v>
      </c>
      <c r="CZ78" s="77">
        <f t="shared" si="100"/>
        <v>44</v>
      </c>
      <c r="DA78" s="77">
        <f t="shared" si="100"/>
        <v>45</v>
      </c>
      <c r="DB78" s="77">
        <f t="shared" si="100"/>
        <v>46</v>
      </c>
      <c r="DC78" s="77">
        <f t="shared" si="100"/>
        <v>47</v>
      </c>
      <c r="DD78" s="77">
        <f t="shared" si="100"/>
        <v>48</v>
      </c>
      <c r="DE78" s="77">
        <f t="shared" si="100"/>
        <v>49</v>
      </c>
      <c r="DF78" s="77">
        <f t="shared" si="100"/>
        <v>50</v>
      </c>
      <c r="DG78" s="77">
        <f t="shared" si="100"/>
        <v>51</v>
      </c>
      <c r="DH78" s="77">
        <f t="shared" si="100"/>
        <v>52</v>
      </c>
      <c r="DI78" s="77">
        <f t="shared" si="100"/>
        <v>53</v>
      </c>
      <c r="DJ78" s="77">
        <f t="shared" si="100"/>
        <v>54</v>
      </c>
      <c r="DK78" s="77">
        <f t="shared" si="100"/>
        <v>55</v>
      </c>
      <c r="DL78" s="77">
        <f t="shared" si="100"/>
        <v>56</v>
      </c>
      <c r="DM78" s="77">
        <f t="shared" si="100"/>
        <v>57</v>
      </c>
      <c r="DN78" s="77">
        <f t="shared" si="100"/>
        <v>58</v>
      </c>
      <c r="DO78" s="77">
        <f t="shared" si="100"/>
        <v>59</v>
      </c>
      <c r="DP78" s="77">
        <f t="shared" si="100"/>
        <v>60</v>
      </c>
      <c r="DQ78" s="77">
        <f t="shared" si="100"/>
        <v>61</v>
      </c>
      <c r="DR78" s="77">
        <f t="shared" si="100"/>
        <v>62</v>
      </c>
      <c r="DS78" s="77">
        <f t="shared" si="100"/>
        <v>63</v>
      </c>
      <c r="DT78" s="77">
        <f t="shared" si="100"/>
        <v>64</v>
      </c>
      <c r="DU78" s="77">
        <f t="shared" si="100"/>
        <v>65</v>
      </c>
      <c r="DV78" s="77">
        <f t="shared" si="100"/>
        <v>66</v>
      </c>
      <c r="DW78" s="77">
        <f t="shared" si="100"/>
        <v>67</v>
      </c>
      <c r="DX78" s="77">
        <f t="shared" si="100"/>
        <v>68</v>
      </c>
      <c r="DY78" s="77">
        <f t="shared" si="100"/>
        <v>69</v>
      </c>
      <c r="DZ78" s="77">
        <f t="shared" si="100"/>
        <v>70</v>
      </c>
      <c r="EA78" s="77">
        <f t="shared" si="100"/>
        <v>71</v>
      </c>
      <c r="EB78" s="77">
        <f t="shared" si="100"/>
        <v>72</v>
      </c>
      <c r="EC78" s="77">
        <f t="shared" si="100"/>
        <v>73</v>
      </c>
      <c r="ED78" s="77">
        <f t="shared" si="100"/>
        <v>74</v>
      </c>
      <c r="EE78" s="77">
        <f t="shared" si="100"/>
        <v>75</v>
      </c>
      <c r="EF78" s="77">
        <f t="shared" si="100"/>
        <v>76</v>
      </c>
      <c r="EG78" s="77">
        <f t="shared" si="100"/>
        <v>77</v>
      </c>
      <c r="EH78" s="77">
        <f t="shared" si="100"/>
        <v>78</v>
      </c>
      <c r="EI78" s="77">
        <f t="shared" si="100"/>
        <v>79</v>
      </c>
      <c r="EJ78" s="77">
        <f t="shared" si="100"/>
        <v>80</v>
      </c>
      <c r="EK78" s="77">
        <f t="shared" si="100"/>
        <v>81</v>
      </c>
      <c r="EL78" s="77">
        <f t="shared" si="100"/>
        <v>82</v>
      </c>
      <c r="EM78" s="77">
        <f t="shared" si="100"/>
        <v>83</v>
      </c>
      <c r="EN78" s="77">
        <f t="shared" si="100"/>
        <v>84</v>
      </c>
      <c r="EO78" s="77">
        <f t="shared" si="100"/>
        <v>85</v>
      </c>
      <c r="EP78" s="77">
        <f t="shared" si="100"/>
        <v>86</v>
      </c>
      <c r="EQ78" s="77">
        <f t="shared" si="100"/>
        <v>87</v>
      </c>
      <c r="ER78" s="77">
        <f t="shared" si="100"/>
        <v>88</v>
      </c>
      <c r="ES78" s="77">
        <f t="shared" si="100"/>
        <v>89</v>
      </c>
      <c r="ET78" s="77">
        <f t="shared" si="100"/>
        <v>90</v>
      </c>
      <c r="EU78" s="77">
        <f t="shared" si="100"/>
        <v>91</v>
      </c>
      <c r="EV78" s="77">
        <f t="shared" si="95"/>
        <v>92</v>
      </c>
      <c r="EW78" s="77">
        <f t="shared" si="92"/>
        <v>93</v>
      </c>
      <c r="EX78" s="77">
        <f t="shared" si="92"/>
        <v>94</v>
      </c>
      <c r="EY78" s="77">
        <f t="shared" si="103"/>
        <v>95</v>
      </c>
      <c r="EZ78" s="77">
        <f t="shared" si="103"/>
        <v>96</v>
      </c>
      <c r="FA78" s="77">
        <f t="shared" si="103"/>
        <v>97</v>
      </c>
      <c r="FB78" s="77">
        <f t="shared" si="103"/>
        <v>98</v>
      </c>
      <c r="FC78" s="77">
        <f t="shared" si="103"/>
        <v>99</v>
      </c>
      <c r="FD78" s="77">
        <f t="shared" si="103"/>
        <v>100</v>
      </c>
      <c r="FE78" s="77">
        <f t="shared" si="103"/>
        <v>101</v>
      </c>
      <c r="FF78" s="77">
        <f t="shared" si="103"/>
        <v>102</v>
      </c>
      <c r="FG78" s="77">
        <f t="shared" si="103"/>
        <v>103</v>
      </c>
      <c r="FH78" s="77">
        <f t="shared" si="103"/>
        <v>104</v>
      </c>
      <c r="FI78" s="77">
        <f t="shared" si="103"/>
        <v>105</v>
      </c>
      <c r="FJ78" s="77">
        <f t="shared" si="103"/>
        <v>106</v>
      </c>
      <c r="FK78" s="77">
        <f t="shared" si="103"/>
        <v>107</v>
      </c>
      <c r="FL78" s="77">
        <f t="shared" si="103"/>
        <v>108</v>
      </c>
      <c r="FM78" s="77">
        <f t="shared" si="103"/>
        <v>109</v>
      </c>
      <c r="FN78" s="77">
        <f t="shared" si="103"/>
        <v>110</v>
      </c>
      <c r="FO78" s="77">
        <f t="shared" si="103"/>
        <v>111</v>
      </c>
      <c r="FP78" s="77">
        <f t="shared" si="103"/>
        <v>112</v>
      </c>
      <c r="FQ78" s="77">
        <f t="shared" si="103"/>
        <v>113</v>
      </c>
      <c r="FR78" s="77">
        <f t="shared" si="103"/>
        <v>114</v>
      </c>
      <c r="FS78" s="77">
        <f t="shared" si="103"/>
        <v>115</v>
      </c>
      <c r="FT78" s="77">
        <f t="shared" si="103"/>
        <v>116</v>
      </c>
      <c r="FU78" s="77">
        <f t="shared" si="103"/>
        <v>117</v>
      </c>
      <c r="FV78" s="77">
        <f t="shared" si="103"/>
        <v>118</v>
      </c>
      <c r="FW78" s="77">
        <f t="shared" si="103"/>
        <v>119</v>
      </c>
      <c r="FX78" s="77">
        <f t="shared" si="103"/>
        <v>120</v>
      </c>
      <c r="FY78" s="77">
        <f t="shared" si="103"/>
        <v>121</v>
      </c>
      <c r="FZ78" s="77">
        <f t="shared" si="103"/>
        <v>122</v>
      </c>
      <c r="GA78" s="77">
        <f t="shared" si="103"/>
        <v>123</v>
      </c>
      <c r="GB78" s="77">
        <f t="shared" si="103"/>
        <v>124</v>
      </c>
      <c r="GC78" s="77">
        <f t="shared" si="103"/>
        <v>125</v>
      </c>
      <c r="GD78" s="77">
        <f t="shared" si="103"/>
        <v>126</v>
      </c>
      <c r="GE78" s="77">
        <f t="shared" si="103"/>
        <v>127</v>
      </c>
      <c r="GF78" s="77">
        <f t="shared" si="103"/>
        <v>128</v>
      </c>
      <c r="GG78" s="77">
        <f t="shared" si="103"/>
        <v>129</v>
      </c>
      <c r="GH78" s="77">
        <f t="shared" si="103"/>
        <v>130</v>
      </c>
      <c r="GI78" s="77">
        <f t="shared" si="103"/>
        <v>131</v>
      </c>
      <c r="GJ78" s="77">
        <f t="shared" si="103"/>
        <v>132</v>
      </c>
      <c r="GK78" s="77">
        <f t="shared" si="103"/>
        <v>133</v>
      </c>
      <c r="GL78" s="77">
        <f t="shared" si="103"/>
        <v>134</v>
      </c>
      <c r="GM78" s="77">
        <f t="shared" si="103"/>
        <v>135</v>
      </c>
      <c r="GN78" s="77">
        <f t="shared" si="103"/>
        <v>136</v>
      </c>
      <c r="GO78" s="77">
        <f t="shared" si="103"/>
        <v>137</v>
      </c>
      <c r="GP78" s="77">
        <f t="shared" si="103"/>
        <v>138</v>
      </c>
      <c r="GQ78" s="77">
        <f t="shared" si="103"/>
        <v>139</v>
      </c>
      <c r="GR78" s="77">
        <f t="shared" si="103"/>
        <v>140</v>
      </c>
      <c r="GS78" s="77">
        <f t="shared" si="103"/>
        <v>141</v>
      </c>
      <c r="GT78" s="77">
        <f t="shared" si="103"/>
        <v>142</v>
      </c>
      <c r="GU78" s="77">
        <f t="shared" si="103"/>
        <v>143</v>
      </c>
      <c r="GV78" s="77">
        <f t="shared" si="103"/>
        <v>144</v>
      </c>
      <c r="GW78" s="77">
        <f t="shared" si="103"/>
        <v>145</v>
      </c>
      <c r="GX78" s="77">
        <f t="shared" si="103"/>
        <v>146</v>
      </c>
    </row>
    <row r="79" spans="1:206" ht="15" customHeight="1" x14ac:dyDescent="0.2">
      <c r="A79" s="22" t="s">
        <v>68</v>
      </c>
      <c r="B79" s="22">
        <v>4</v>
      </c>
      <c r="C79" s="22" t="s">
        <v>162</v>
      </c>
      <c r="D79" s="22" t="s">
        <v>187</v>
      </c>
      <c r="E79" s="22" t="s">
        <v>188</v>
      </c>
      <c r="F79" s="22" t="s">
        <v>71</v>
      </c>
      <c r="G79" s="22" t="s">
        <v>72</v>
      </c>
      <c r="H79" s="22">
        <v>2018</v>
      </c>
      <c r="I79" s="22">
        <v>8</v>
      </c>
      <c r="J79" s="22">
        <v>14.98</v>
      </c>
      <c r="K79" s="22">
        <v>0</v>
      </c>
      <c r="L79" s="22">
        <v>2104</v>
      </c>
      <c r="M79" s="22">
        <v>2104</v>
      </c>
      <c r="N79" s="22" t="s">
        <v>95</v>
      </c>
      <c r="O79" s="22" t="s">
        <v>96</v>
      </c>
      <c r="P79" s="22" t="s">
        <v>75</v>
      </c>
      <c r="Q79" s="108">
        <f>IF(R79="","",'Dashboard Ciclos'!$B$2-R79)</f>
        <v>46241</v>
      </c>
      <c r="R79" s="22">
        <f>IF($E79="","",IFERROR(INDEX($W79:$GX79,MATCH('Dashboard Ciclos'!$B$2,$W$1:$GX$1,0)),""))</f>
        <v>8</v>
      </c>
      <c r="S79" s="22" t="str">
        <f t="shared" si="83"/>
        <v>En ciclo</v>
      </c>
      <c r="T79" s="22" t="str">
        <f t="shared" si="84"/>
        <v>En ciclo</v>
      </c>
      <c r="U79" s="22">
        <f t="shared" si="85"/>
        <v>4</v>
      </c>
      <c r="V79" s="23">
        <f t="shared" si="86"/>
        <v>46253</v>
      </c>
      <c r="W79" s="77">
        <f t="shared" si="87"/>
        <v>2</v>
      </c>
      <c r="X79" s="77">
        <f t="shared" si="87"/>
        <v>3</v>
      </c>
      <c r="Y79" s="77">
        <f t="shared" si="87"/>
        <v>4</v>
      </c>
      <c r="Z79" s="77">
        <f t="shared" si="87"/>
        <v>5</v>
      </c>
      <c r="AA79" s="77">
        <v>6</v>
      </c>
      <c r="AB79" s="77">
        <f t="shared" si="89"/>
        <v>7</v>
      </c>
      <c r="AC79" s="77">
        <f t="shared" si="89"/>
        <v>8</v>
      </c>
      <c r="AD79" s="77">
        <f t="shared" si="89"/>
        <v>9</v>
      </c>
      <c r="AE79" s="77">
        <f t="shared" si="89"/>
        <v>10</v>
      </c>
      <c r="AF79" s="77">
        <f t="shared" si="89"/>
        <v>11</v>
      </c>
      <c r="AG79" s="77">
        <f t="shared" si="89"/>
        <v>12</v>
      </c>
      <c r="AH79" s="77">
        <f t="shared" si="89"/>
        <v>13</v>
      </c>
      <c r="AI79" s="77">
        <f t="shared" si="89"/>
        <v>14</v>
      </c>
      <c r="AJ79" s="77">
        <f t="shared" si="89"/>
        <v>15</v>
      </c>
      <c r="AK79" s="77">
        <f t="shared" si="90"/>
        <v>16</v>
      </c>
      <c r="AL79" s="77">
        <f t="shared" si="90"/>
        <v>17</v>
      </c>
      <c r="AM79" s="77">
        <f t="shared" si="90"/>
        <v>18</v>
      </c>
      <c r="AN79" s="77">
        <f t="shared" si="91"/>
        <v>19</v>
      </c>
      <c r="AO79" s="77">
        <f t="shared" si="90"/>
        <v>20</v>
      </c>
      <c r="AP79" s="77">
        <f t="shared" si="90"/>
        <v>21</v>
      </c>
      <c r="AQ79" s="77">
        <f t="shared" si="90"/>
        <v>22</v>
      </c>
      <c r="AR79" s="77">
        <v>0</v>
      </c>
      <c r="AS79" s="77">
        <f t="shared" si="101"/>
        <v>1</v>
      </c>
      <c r="AT79" s="77">
        <f t="shared" si="101"/>
        <v>2</v>
      </c>
      <c r="AU79" s="77">
        <f t="shared" si="101"/>
        <v>3</v>
      </c>
      <c r="AV79" s="77">
        <f t="shared" si="101"/>
        <v>4</v>
      </c>
      <c r="AW79" s="77">
        <f t="shared" si="101"/>
        <v>5</v>
      </c>
      <c r="AX79" s="77">
        <f t="shared" si="101"/>
        <v>6</v>
      </c>
      <c r="AY79" s="77">
        <f t="shared" si="101"/>
        <v>7</v>
      </c>
      <c r="AZ79" s="77">
        <f t="shared" si="101"/>
        <v>8</v>
      </c>
      <c r="BA79" s="77">
        <f t="shared" si="101"/>
        <v>9</v>
      </c>
      <c r="BB79" s="77">
        <f t="shared" si="101"/>
        <v>10</v>
      </c>
      <c r="BC79" s="77">
        <f t="shared" si="101"/>
        <v>11</v>
      </c>
      <c r="BD79" s="77">
        <f t="shared" si="101"/>
        <v>12</v>
      </c>
      <c r="BE79" s="77">
        <f t="shared" si="101"/>
        <v>13</v>
      </c>
      <c r="BF79" s="77">
        <f t="shared" si="101"/>
        <v>14</v>
      </c>
      <c r="BG79" s="77">
        <f t="shared" si="101"/>
        <v>15</v>
      </c>
      <c r="BH79" s="77">
        <v>0</v>
      </c>
      <c r="BI79" s="77">
        <f t="shared" si="101"/>
        <v>1</v>
      </c>
      <c r="BJ79" s="77">
        <f t="shared" si="101"/>
        <v>2</v>
      </c>
      <c r="BK79" s="77">
        <f t="shared" si="101"/>
        <v>3</v>
      </c>
      <c r="BL79" s="77">
        <f t="shared" si="101"/>
        <v>4</v>
      </c>
      <c r="BM79" s="77">
        <f t="shared" si="101"/>
        <v>5</v>
      </c>
      <c r="BN79" s="77">
        <f t="shared" si="101"/>
        <v>6</v>
      </c>
      <c r="BO79" s="77">
        <f t="shared" si="101"/>
        <v>7</v>
      </c>
      <c r="BP79" s="77">
        <f t="shared" si="101"/>
        <v>8</v>
      </c>
      <c r="BQ79" s="77">
        <f t="shared" si="101"/>
        <v>9</v>
      </c>
      <c r="BR79" s="77">
        <f t="shared" si="101"/>
        <v>10</v>
      </c>
      <c r="BS79" s="77">
        <f t="shared" si="101"/>
        <v>11</v>
      </c>
      <c r="BT79" s="77">
        <f t="shared" si="101"/>
        <v>12</v>
      </c>
      <c r="BU79" s="77">
        <f t="shared" si="101"/>
        <v>13</v>
      </c>
      <c r="BV79" s="77">
        <f t="shared" si="101"/>
        <v>14</v>
      </c>
      <c r="BW79" s="77">
        <f t="shared" si="101"/>
        <v>15</v>
      </c>
      <c r="BX79" s="77">
        <f t="shared" si="101"/>
        <v>16</v>
      </c>
      <c r="BY79" s="77">
        <f t="shared" si="101"/>
        <v>17</v>
      </c>
      <c r="BZ79" s="77">
        <f t="shared" si="101"/>
        <v>18</v>
      </c>
      <c r="CA79" s="77">
        <f t="shared" si="101"/>
        <v>19</v>
      </c>
      <c r="CB79" s="77">
        <f t="shared" si="101"/>
        <v>20</v>
      </c>
      <c r="CC79" s="77">
        <f t="shared" si="101"/>
        <v>21</v>
      </c>
      <c r="CD79" s="77">
        <f t="shared" si="101"/>
        <v>22</v>
      </c>
      <c r="CE79" s="77">
        <f t="shared" si="101"/>
        <v>23</v>
      </c>
      <c r="CF79" s="77">
        <f t="shared" si="101"/>
        <v>24</v>
      </c>
      <c r="CG79" s="77">
        <f t="shared" si="101"/>
        <v>25</v>
      </c>
      <c r="CH79" s="77">
        <f t="shared" si="101"/>
        <v>26</v>
      </c>
      <c r="CI79" s="77">
        <f t="shared" si="101"/>
        <v>27</v>
      </c>
      <c r="CJ79" s="77">
        <f t="shared" ref="CJ79:EU82" si="104">IF(CI79="","",CI79+1)</f>
        <v>28</v>
      </c>
      <c r="CK79" s="77">
        <f t="shared" si="104"/>
        <v>29</v>
      </c>
      <c r="CL79" s="77">
        <f t="shared" si="104"/>
        <v>30</v>
      </c>
      <c r="CM79" s="77">
        <f t="shared" si="104"/>
        <v>31</v>
      </c>
      <c r="CN79" s="77">
        <f t="shared" si="104"/>
        <v>32</v>
      </c>
      <c r="CO79" s="77">
        <f t="shared" si="104"/>
        <v>33</v>
      </c>
      <c r="CP79" s="77">
        <f t="shared" si="104"/>
        <v>34</v>
      </c>
      <c r="CQ79" s="77">
        <f t="shared" si="104"/>
        <v>35</v>
      </c>
      <c r="CR79" s="77">
        <f t="shared" si="104"/>
        <v>36</v>
      </c>
      <c r="CS79" s="77">
        <f t="shared" si="104"/>
        <v>37</v>
      </c>
      <c r="CT79" s="77">
        <f t="shared" si="104"/>
        <v>38</v>
      </c>
      <c r="CU79" s="77">
        <f t="shared" si="104"/>
        <v>39</v>
      </c>
      <c r="CV79" s="77">
        <f t="shared" si="104"/>
        <v>40</v>
      </c>
      <c r="CW79" s="77">
        <f t="shared" si="104"/>
        <v>41</v>
      </c>
      <c r="CX79" s="77">
        <f t="shared" si="104"/>
        <v>42</v>
      </c>
      <c r="CY79" s="77">
        <f t="shared" si="104"/>
        <v>43</v>
      </c>
      <c r="CZ79" s="77">
        <f t="shared" si="104"/>
        <v>44</v>
      </c>
      <c r="DA79" s="77">
        <f t="shared" si="104"/>
        <v>45</v>
      </c>
      <c r="DB79" s="77">
        <f t="shared" si="104"/>
        <v>46</v>
      </c>
      <c r="DC79" s="77">
        <f t="shared" si="104"/>
        <v>47</v>
      </c>
      <c r="DD79" s="77">
        <f t="shared" si="104"/>
        <v>48</v>
      </c>
      <c r="DE79" s="77">
        <f t="shared" si="104"/>
        <v>49</v>
      </c>
      <c r="DF79" s="77">
        <f t="shared" si="104"/>
        <v>50</v>
      </c>
      <c r="DG79" s="77">
        <f t="shared" si="104"/>
        <v>51</v>
      </c>
      <c r="DH79" s="77">
        <f t="shared" si="104"/>
        <v>52</v>
      </c>
      <c r="DI79" s="77">
        <f t="shared" si="104"/>
        <v>53</v>
      </c>
      <c r="DJ79" s="77">
        <f t="shared" si="104"/>
        <v>54</v>
      </c>
      <c r="DK79" s="77">
        <f t="shared" si="104"/>
        <v>55</v>
      </c>
      <c r="DL79" s="77">
        <f t="shared" si="104"/>
        <v>56</v>
      </c>
      <c r="DM79" s="77">
        <f t="shared" si="104"/>
        <v>57</v>
      </c>
      <c r="DN79" s="77">
        <f t="shared" si="104"/>
        <v>58</v>
      </c>
      <c r="DO79" s="77">
        <f t="shared" si="104"/>
        <v>59</v>
      </c>
      <c r="DP79" s="77">
        <f t="shared" si="104"/>
        <v>60</v>
      </c>
      <c r="DQ79" s="77">
        <f t="shared" si="104"/>
        <v>61</v>
      </c>
      <c r="DR79" s="77">
        <f t="shared" si="104"/>
        <v>62</v>
      </c>
      <c r="DS79" s="77">
        <f t="shared" si="104"/>
        <v>63</v>
      </c>
      <c r="DT79" s="77">
        <f t="shared" si="104"/>
        <v>64</v>
      </c>
      <c r="DU79" s="77">
        <f t="shared" si="104"/>
        <v>65</v>
      </c>
      <c r="DV79" s="77">
        <f t="shared" si="104"/>
        <v>66</v>
      </c>
      <c r="DW79" s="77">
        <f t="shared" si="104"/>
        <v>67</v>
      </c>
      <c r="DX79" s="77">
        <f t="shared" si="104"/>
        <v>68</v>
      </c>
      <c r="DY79" s="77">
        <f t="shared" si="104"/>
        <v>69</v>
      </c>
      <c r="DZ79" s="77">
        <f t="shared" si="104"/>
        <v>70</v>
      </c>
      <c r="EA79" s="77">
        <f t="shared" si="104"/>
        <v>71</v>
      </c>
      <c r="EB79" s="77">
        <f t="shared" si="104"/>
        <v>72</v>
      </c>
      <c r="EC79" s="77">
        <f t="shared" si="104"/>
        <v>73</v>
      </c>
      <c r="ED79" s="77">
        <f t="shared" si="104"/>
        <v>74</v>
      </c>
      <c r="EE79" s="77">
        <f t="shared" si="104"/>
        <v>75</v>
      </c>
      <c r="EF79" s="77">
        <f t="shared" si="104"/>
        <v>76</v>
      </c>
      <c r="EG79" s="77">
        <f t="shared" si="104"/>
        <v>77</v>
      </c>
      <c r="EH79" s="77">
        <f t="shared" si="104"/>
        <v>78</v>
      </c>
      <c r="EI79" s="77">
        <f t="shared" si="104"/>
        <v>79</v>
      </c>
      <c r="EJ79" s="77">
        <f t="shared" si="104"/>
        <v>80</v>
      </c>
      <c r="EK79" s="77">
        <f t="shared" si="104"/>
        <v>81</v>
      </c>
      <c r="EL79" s="77">
        <f t="shared" si="104"/>
        <v>82</v>
      </c>
      <c r="EM79" s="77">
        <f t="shared" si="104"/>
        <v>83</v>
      </c>
      <c r="EN79" s="77">
        <f t="shared" si="104"/>
        <v>84</v>
      </c>
      <c r="EO79" s="77">
        <f t="shared" si="104"/>
        <v>85</v>
      </c>
      <c r="EP79" s="77">
        <f t="shared" si="104"/>
        <v>86</v>
      </c>
      <c r="EQ79" s="77">
        <f t="shared" si="104"/>
        <v>87</v>
      </c>
      <c r="ER79" s="77">
        <f t="shared" si="104"/>
        <v>88</v>
      </c>
      <c r="ES79" s="77">
        <f t="shared" si="104"/>
        <v>89</v>
      </c>
      <c r="ET79" s="77">
        <f t="shared" si="104"/>
        <v>90</v>
      </c>
      <c r="EU79" s="77">
        <f t="shared" si="104"/>
        <v>91</v>
      </c>
      <c r="EV79" s="77">
        <f t="shared" si="95"/>
        <v>92</v>
      </c>
      <c r="EW79" s="77">
        <f t="shared" si="92"/>
        <v>93</v>
      </c>
      <c r="EX79" s="77">
        <f t="shared" si="92"/>
        <v>94</v>
      </c>
      <c r="EY79" s="77">
        <f t="shared" si="103"/>
        <v>95</v>
      </c>
      <c r="EZ79" s="77">
        <f t="shared" si="103"/>
        <v>96</v>
      </c>
      <c r="FA79" s="77">
        <f t="shared" si="103"/>
        <v>97</v>
      </c>
      <c r="FB79" s="77">
        <f t="shared" si="103"/>
        <v>98</v>
      </c>
      <c r="FC79" s="77">
        <f t="shared" si="103"/>
        <v>99</v>
      </c>
      <c r="FD79" s="77">
        <f t="shared" si="103"/>
        <v>100</v>
      </c>
      <c r="FE79" s="77">
        <f t="shared" si="103"/>
        <v>101</v>
      </c>
      <c r="FF79" s="77">
        <f t="shared" si="103"/>
        <v>102</v>
      </c>
      <c r="FG79" s="77">
        <f t="shared" si="103"/>
        <v>103</v>
      </c>
      <c r="FH79" s="77">
        <f t="shared" si="103"/>
        <v>104</v>
      </c>
      <c r="FI79" s="77">
        <f t="shared" si="103"/>
        <v>105</v>
      </c>
      <c r="FJ79" s="77">
        <f t="shared" si="103"/>
        <v>106</v>
      </c>
      <c r="FK79" s="77">
        <f t="shared" si="103"/>
        <v>107</v>
      </c>
      <c r="FL79" s="77">
        <f t="shared" si="103"/>
        <v>108</v>
      </c>
      <c r="FM79" s="77">
        <f t="shared" si="103"/>
        <v>109</v>
      </c>
      <c r="FN79" s="77">
        <f t="shared" si="103"/>
        <v>110</v>
      </c>
      <c r="FO79" s="77">
        <f t="shared" si="103"/>
        <v>111</v>
      </c>
      <c r="FP79" s="77">
        <f t="shared" si="103"/>
        <v>112</v>
      </c>
      <c r="FQ79" s="77">
        <f t="shared" si="103"/>
        <v>113</v>
      </c>
      <c r="FR79" s="77">
        <f t="shared" si="103"/>
        <v>114</v>
      </c>
      <c r="FS79" s="77">
        <f t="shared" si="103"/>
        <v>115</v>
      </c>
      <c r="FT79" s="77">
        <f t="shared" si="103"/>
        <v>116</v>
      </c>
      <c r="FU79" s="77">
        <f t="shared" si="103"/>
        <v>117</v>
      </c>
      <c r="FV79" s="77">
        <f t="shared" si="103"/>
        <v>118</v>
      </c>
      <c r="FW79" s="77">
        <f t="shared" si="103"/>
        <v>119</v>
      </c>
      <c r="FX79" s="77">
        <f t="shared" si="103"/>
        <v>120</v>
      </c>
      <c r="FY79" s="77">
        <f t="shared" si="103"/>
        <v>121</v>
      </c>
      <c r="FZ79" s="77">
        <f t="shared" si="103"/>
        <v>122</v>
      </c>
      <c r="GA79" s="77">
        <f t="shared" si="103"/>
        <v>123</v>
      </c>
      <c r="GB79" s="77">
        <f t="shared" si="103"/>
        <v>124</v>
      </c>
      <c r="GC79" s="77">
        <f t="shared" si="103"/>
        <v>125</v>
      </c>
      <c r="GD79" s="77">
        <f t="shared" si="103"/>
        <v>126</v>
      </c>
      <c r="GE79" s="77">
        <f t="shared" si="103"/>
        <v>127</v>
      </c>
      <c r="GF79" s="77">
        <f t="shared" si="103"/>
        <v>128</v>
      </c>
      <c r="GG79" s="77">
        <f t="shared" si="103"/>
        <v>129</v>
      </c>
      <c r="GH79" s="77">
        <f t="shared" si="103"/>
        <v>130</v>
      </c>
      <c r="GI79" s="77">
        <f t="shared" si="103"/>
        <v>131</v>
      </c>
      <c r="GJ79" s="77">
        <f t="shared" si="103"/>
        <v>132</v>
      </c>
      <c r="GK79" s="77">
        <f t="shared" si="103"/>
        <v>133</v>
      </c>
      <c r="GL79" s="77">
        <f t="shared" si="103"/>
        <v>134</v>
      </c>
      <c r="GM79" s="77">
        <f t="shared" si="103"/>
        <v>135</v>
      </c>
      <c r="GN79" s="77">
        <f t="shared" si="103"/>
        <v>136</v>
      </c>
      <c r="GO79" s="77">
        <f t="shared" si="103"/>
        <v>137</v>
      </c>
      <c r="GP79" s="77">
        <f t="shared" si="103"/>
        <v>138</v>
      </c>
      <c r="GQ79" s="77">
        <f t="shared" si="103"/>
        <v>139</v>
      </c>
      <c r="GR79" s="77">
        <f t="shared" si="103"/>
        <v>140</v>
      </c>
      <c r="GS79" s="77">
        <f t="shared" si="103"/>
        <v>141</v>
      </c>
      <c r="GT79" s="77">
        <f t="shared" si="103"/>
        <v>142</v>
      </c>
      <c r="GU79" s="77">
        <f t="shared" si="103"/>
        <v>143</v>
      </c>
      <c r="GV79" s="77">
        <f t="shared" si="103"/>
        <v>144</v>
      </c>
      <c r="GW79" s="77">
        <f t="shared" si="103"/>
        <v>145</v>
      </c>
      <c r="GX79" s="77">
        <f t="shared" si="103"/>
        <v>146</v>
      </c>
    </row>
    <row r="80" spans="1:206" ht="15" customHeight="1" x14ac:dyDescent="0.2">
      <c r="A80" s="22" t="s">
        <v>68</v>
      </c>
      <c r="B80" s="22">
        <v>4</v>
      </c>
      <c r="C80" s="22" t="s">
        <v>162</v>
      </c>
      <c r="D80" s="22">
        <v>58</v>
      </c>
      <c r="E80" s="22" t="s">
        <v>189</v>
      </c>
      <c r="F80" s="22" t="s">
        <v>71</v>
      </c>
      <c r="G80" s="22" t="s">
        <v>72</v>
      </c>
      <c r="H80" s="22">
        <v>2019</v>
      </c>
      <c r="I80" s="22">
        <v>7</v>
      </c>
      <c r="J80" s="22">
        <v>36.92</v>
      </c>
      <c r="K80" s="22">
        <v>92</v>
      </c>
      <c r="L80" s="22">
        <v>5336</v>
      </c>
      <c r="M80" s="22">
        <v>5244</v>
      </c>
      <c r="N80" s="22" t="s">
        <v>95</v>
      </c>
      <c r="O80" s="22" t="s">
        <v>96</v>
      </c>
      <c r="P80" s="22" t="s">
        <v>75</v>
      </c>
      <c r="Q80" s="108">
        <f>IF(R80="","",'Dashboard Ciclos'!$B$2-R80)</f>
        <v>46237</v>
      </c>
      <c r="R80" s="22">
        <f>IF($E80="","",IFERROR(INDEX($W80:$GX80,MATCH('Dashboard Ciclos'!$B$2,$W$1:$GX$1,0)),""))</f>
        <v>12</v>
      </c>
      <c r="S80" s="22" t="str">
        <f t="shared" si="83"/>
        <v>En ciclo</v>
      </c>
      <c r="T80" s="22" t="str">
        <f t="shared" si="84"/>
        <v>En ciclo</v>
      </c>
      <c r="U80" s="22">
        <f t="shared" si="85"/>
        <v>0</v>
      </c>
      <c r="V80" s="23">
        <f t="shared" si="86"/>
        <v>46249</v>
      </c>
      <c r="W80" s="77">
        <f t="shared" si="87"/>
        <v>6</v>
      </c>
      <c r="X80" s="77">
        <f t="shared" si="87"/>
        <v>7</v>
      </c>
      <c r="Y80" s="77">
        <f t="shared" si="87"/>
        <v>8</v>
      </c>
      <c r="Z80" s="77">
        <f t="shared" si="87"/>
        <v>9</v>
      </c>
      <c r="AA80" s="77">
        <v>10</v>
      </c>
      <c r="AB80" s="77">
        <f t="shared" si="89"/>
        <v>11</v>
      </c>
      <c r="AC80" s="77">
        <f t="shared" si="89"/>
        <v>12</v>
      </c>
      <c r="AD80" s="77">
        <f t="shared" si="89"/>
        <v>13</v>
      </c>
      <c r="AE80" s="77">
        <f t="shared" si="89"/>
        <v>14</v>
      </c>
      <c r="AF80" s="77">
        <f t="shared" si="89"/>
        <v>15</v>
      </c>
      <c r="AG80" s="77">
        <f t="shared" si="89"/>
        <v>16</v>
      </c>
      <c r="AH80" s="77">
        <f t="shared" si="89"/>
        <v>17</v>
      </c>
      <c r="AI80" s="77">
        <f t="shared" si="89"/>
        <v>18</v>
      </c>
      <c r="AJ80" s="77">
        <f t="shared" si="89"/>
        <v>19</v>
      </c>
      <c r="AK80" s="77">
        <f t="shared" si="90"/>
        <v>20</v>
      </c>
      <c r="AL80" s="77">
        <f t="shared" si="90"/>
        <v>21</v>
      </c>
      <c r="AM80" s="77">
        <v>0</v>
      </c>
      <c r="AN80" s="77">
        <f t="shared" si="91"/>
        <v>1</v>
      </c>
      <c r="AO80" s="77">
        <f t="shared" si="90"/>
        <v>2</v>
      </c>
      <c r="AP80" s="77">
        <f t="shared" si="90"/>
        <v>3</v>
      </c>
      <c r="AQ80" s="77">
        <f t="shared" si="90"/>
        <v>4</v>
      </c>
      <c r="AR80" s="77">
        <f t="shared" ref="AR80:AR126" si="105">IF(AQ80="","",AQ80+1)</f>
        <v>5</v>
      </c>
      <c r="AS80" s="77">
        <f t="shared" ref="AS80:CJ83" si="106">IF(AR80="","",AR80+1)</f>
        <v>6</v>
      </c>
      <c r="AT80" s="77">
        <f t="shared" si="106"/>
        <v>7</v>
      </c>
      <c r="AU80" s="77">
        <f t="shared" si="106"/>
        <v>8</v>
      </c>
      <c r="AV80" s="77">
        <f t="shared" si="106"/>
        <v>9</v>
      </c>
      <c r="AW80" s="77">
        <f t="shared" si="106"/>
        <v>10</v>
      </c>
      <c r="AX80" s="77">
        <f t="shared" si="106"/>
        <v>11</v>
      </c>
      <c r="AY80" s="77">
        <f t="shared" si="106"/>
        <v>12</v>
      </c>
      <c r="AZ80" s="77">
        <f t="shared" si="106"/>
        <v>13</v>
      </c>
      <c r="BA80" s="77">
        <f t="shared" si="106"/>
        <v>14</v>
      </c>
      <c r="BB80" s="77">
        <f t="shared" si="106"/>
        <v>15</v>
      </c>
      <c r="BC80" s="77">
        <f t="shared" si="106"/>
        <v>16</v>
      </c>
      <c r="BD80" s="77">
        <v>0</v>
      </c>
      <c r="BE80" s="77">
        <f t="shared" si="106"/>
        <v>1</v>
      </c>
      <c r="BF80" s="77">
        <f t="shared" si="106"/>
        <v>2</v>
      </c>
      <c r="BG80" s="77">
        <f t="shared" si="106"/>
        <v>3</v>
      </c>
      <c r="BH80" s="77">
        <f t="shared" si="106"/>
        <v>4</v>
      </c>
      <c r="BI80" s="77">
        <f t="shared" si="106"/>
        <v>5</v>
      </c>
      <c r="BJ80" s="77">
        <f t="shared" si="106"/>
        <v>6</v>
      </c>
      <c r="BK80" s="77">
        <f t="shared" si="106"/>
        <v>7</v>
      </c>
      <c r="BL80" s="77">
        <f t="shared" si="106"/>
        <v>8</v>
      </c>
      <c r="BM80" s="77">
        <f t="shared" si="106"/>
        <v>9</v>
      </c>
      <c r="BN80" s="77">
        <f t="shared" si="106"/>
        <v>10</v>
      </c>
      <c r="BO80" s="77">
        <f t="shared" si="106"/>
        <v>11</v>
      </c>
      <c r="BP80" s="77">
        <f t="shared" si="106"/>
        <v>12</v>
      </c>
      <c r="BQ80" s="77">
        <f t="shared" si="106"/>
        <v>13</v>
      </c>
      <c r="BR80" s="77">
        <f t="shared" si="106"/>
        <v>14</v>
      </c>
      <c r="BS80" s="77">
        <f t="shared" si="106"/>
        <v>15</v>
      </c>
      <c r="BT80" s="77">
        <f t="shared" si="106"/>
        <v>16</v>
      </c>
      <c r="BU80" s="77">
        <f t="shared" si="106"/>
        <v>17</v>
      </c>
      <c r="BV80" s="77">
        <f t="shared" si="106"/>
        <v>18</v>
      </c>
      <c r="BW80" s="77">
        <f t="shared" si="106"/>
        <v>19</v>
      </c>
      <c r="BX80" s="77">
        <f t="shared" si="106"/>
        <v>20</v>
      </c>
      <c r="BY80" s="77">
        <f t="shared" si="106"/>
        <v>21</v>
      </c>
      <c r="BZ80" s="77">
        <f t="shared" si="106"/>
        <v>22</v>
      </c>
      <c r="CA80" s="77">
        <f t="shared" si="106"/>
        <v>23</v>
      </c>
      <c r="CB80" s="77">
        <f t="shared" si="106"/>
        <v>24</v>
      </c>
      <c r="CC80" s="77">
        <f t="shared" si="106"/>
        <v>25</v>
      </c>
      <c r="CD80" s="77">
        <f t="shared" si="106"/>
        <v>26</v>
      </c>
      <c r="CE80" s="77">
        <f t="shared" si="106"/>
        <v>27</v>
      </c>
      <c r="CF80" s="77">
        <f t="shared" si="106"/>
        <v>28</v>
      </c>
      <c r="CG80" s="77">
        <f t="shared" si="106"/>
        <v>29</v>
      </c>
      <c r="CH80" s="77">
        <f t="shared" si="106"/>
        <v>30</v>
      </c>
      <c r="CI80" s="77">
        <f t="shared" si="106"/>
        <v>31</v>
      </c>
      <c r="CJ80" s="77">
        <f t="shared" si="106"/>
        <v>32</v>
      </c>
      <c r="CK80" s="77">
        <f t="shared" si="104"/>
        <v>33</v>
      </c>
      <c r="CL80" s="77">
        <f t="shared" si="104"/>
        <v>34</v>
      </c>
      <c r="CM80" s="77">
        <f t="shared" si="104"/>
        <v>35</v>
      </c>
      <c r="CN80" s="77">
        <f t="shared" si="104"/>
        <v>36</v>
      </c>
      <c r="CO80" s="77">
        <f t="shared" si="104"/>
        <v>37</v>
      </c>
      <c r="CP80" s="77">
        <f t="shared" si="104"/>
        <v>38</v>
      </c>
      <c r="CQ80" s="77">
        <f t="shared" si="104"/>
        <v>39</v>
      </c>
      <c r="CR80" s="77">
        <f t="shared" si="104"/>
        <v>40</v>
      </c>
      <c r="CS80" s="77">
        <f t="shared" si="104"/>
        <v>41</v>
      </c>
      <c r="CT80" s="77">
        <f t="shared" si="104"/>
        <v>42</v>
      </c>
      <c r="CU80" s="77">
        <f t="shared" si="104"/>
        <v>43</v>
      </c>
      <c r="CV80" s="77">
        <f t="shared" si="104"/>
        <v>44</v>
      </c>
      <c r="CW80" s="77">
        <f t="shared" si="104"/>
        <v>45</v>
      </c>
      <c r="CX80" s="77">
        <f t="shared" si="104"/>
        <v>46</v>
      </c>
      <c r="CY80" s="77">
        <f t="shared" si="104"/>
        <v>47</v>
      </c>
      <c r="CZ80" s="77">
        <f t="shared" si="104"/>
        <v>48</v>
      </c>
      <c r="DA80" s="77">
        <f t="shared" si="104"/>
        <v>49</v>
      </c>
      <c r="DB80" s="77">
        <f t="shared" si="104"/>
        <v>50</v>
      </c>
      <c r="DC80" s="77">
        <f t="shared" si="104"/>
        <v>51</v>
      </c>
      <c r="DD80" s="77">
        <f t="shared" si="104"/>
        <v>52</v>
      </c>
      <c r="DE80" s="77">
        <f t="shared" si="104"/>
        <v>53</v>
      </c>
      <c r="DF80" s="77">
        <f t="shared" si="104"/>
        <v>54</v>
      </c>
      <c r="DG80" s="77">
        <f t="shared" si="104"/>
        <v>55</v>
      </c>
      <c r="DH80" s="77">
        <f t="shared" si="104"/>
        <v>56</v>
      </c>
      <c r="DI80" s="77">
        <f t="shared" si="104"/>
        <v>57</v>
      </c>
      <c r="DJ80" s="77">
        <f t="shared" si="104"/>
        <v>58</v>
      </c>
      <c r="DK80" s="77">
        <f t="shared" si="104"/>
        <v>59</v>
      </c>
      <c r="DL80" s="77">
        <f t="shared" si="104"/>
        <v>60</v>
      </c>
      <c r="DM80" s="77">
        <f t="shared" si="104"/>
        <v>61</v>
      </c>
      <c r="DN80" s="77">
        <f t="shared" si="104"/>
        <v>62</v>
      </c>
      <c r="DO80" s="77">
        <f t="shared" si="104"/>
        <v>63</v>
      </c>
      <c r="DP80" s="77">
        <f t="shared" si="104"/>
        <v>64</v>
      </c>
      <c r="DQ80" s="77">
        <f t="shared" si="104"/>
        <v>65</v>
      </c>
      <c r="DR80" s="77">
        <f t="shared" si="104"/>
        <v>66</v>
      </c>
      <c r="DS80" s="77">
        <f t="shared" si="104"/>
        <v>67</v>
      </c>
      <c r="DT80" s="77">
        <f t="shared" si="104"/>
        <v>68</v>
      </c>
      <c r="DU80" s="77">
        <f t="shared" si="104"/>
        <v>69</v>
      </c>
      <c r="DV80" s="77">
        <f t="shared" si="104"/>
        <v>70</v>
      </c>
      <c r="DW80" s="77">
        <f t="shared" si="104"/>
        <v>71</v>
      </c>
      <c r="DX80" s="77">
        <f t="shared" si="104"/>
        <v>72</v>
      </c>
      <c r="DY80" s="77">
        <f t="shared" si="104"/>
        <v>73</v>
      </c>
      <c r="DZ80" s="77">
        <f t="shared" si="104"/>
        <v>74</v>
      </c>
      <c r="EA80" s="77">
        <f t="shared" si="104"/>
        <v>75</v>
      </c>
      <c r="EB80" s="77">
        <f t="shared" si="104"/>
        <v>76</v>
      </c>
      <c r="EC80" s="77">
        <f t="shared" si="104"/>
        <v>77</v>
      </c>
      <c r="ED80" s="77">
        <f t="shared" si="104"/>
        <v>78</v>
      </c>
      <c r="EE80" s="77">
        <f t="shared" si="104"/>
        <v>79</v>
      </c>
      <c r="EF80" s="77">
        <f t="shared" si="104"/>
        <v>80</v>
      </c>
      <c r="EG80" s="77">
        <f t="shared" si="104"/>
        <v>81</v>
      </c>
      <c r="EH80" s="77">
        <f t="shared" si="104"/>
        <v>82</v>
      </c>
      <c r="EI80" s="77">
        <f t="shared" si="104"/>
        <v>83</v>
      </c>
      <c r="EJ80" s="77">
        <f t="shared" si="104"/>
        <v>84</v>
      </c>
      <c r="EK80" s="77">
        <f t="shared" si="104"/>
        <v>85</v>
      </c>
      <c r="EL80" s="77">
        <f t="shared" si="104"/>
        <v>86</v>
      </c>
      <c r="EM80" s="77">
        <f t="shared" si="104"/>
        <v>87</v>
      </c>
      <c r="EN80" s="77">
        <f t="shared" si="104"/>
        <v>88</v>
      </c>
      <c r="EO80" s="77">
        <f t="shared" si="104"/>
        <v>89</v>
      </c>
      <c r="EP80" s="77">
        <f t="shared" si="104"/>
        <v>90</v>
      </c>
      <c r="EQ80" s="77">
        <f t="shared" si="104"/>
        <v>91</v>
      </c>
      <c r="ER80" s="77">
        <f t="shared" si="104"/>
        <v>92</v>
      </c>
      <c r="ES80" s="77">
        <f t="shared" si="104"/>
        <v>93</v>
      </c>
      <c r="ET80" s="77">
        <f t="shared" si="104"/>
        <v>94</v>
      </c>
      <c r="EU80" s="77">
        <f t="shared" si="104"/>
        <v>95</v>
      </c>
      <c r="EV80" s="77">
        <f t="shared" si="95"/>
        <v>96</v>
      </c>
      <c r="EW80" s="77">
        <f t="shared" si="92"/>
        <v>97</v>
      </c>
      <c r="EX80" s="77">
        <f t="shared" si="92"/>
        <v>98</v>
      </c>
      <c r="EY80" s="77">
        <f t="shared" si="103"/>
        <v>99</v>
      </c>
      <c r="EZ80" s="77">
        <f t="shared" si="103"/>
        <v>100</v>
      </c>
      <c r="FA80" s="77">
        <f t="shared" si="103"/>
        <v>101</v>
      </c>
      <c r="FB80" s="77">
        <f t="shared" si="103"/>
        <v>102</v>
      </c>
      <c r="FC80" s="77">
        <f t="shared" si="103"/>
        <v>103</v>
      </c>
      <c r="FD80" s="77">
        <f t="shared" si="103"/>
        <v>104</v>
      </c>
      <c r="FE80" s="77">
        <f t="shared" si="103"/>
        <v>105</v>
      </c>
      <c r="FF80" s="77">
        <f t="shared" si="103"/>
        <v>106</v>
      </c>
      <c r="FG80" s="77">
        <f t="shared" si="103"/>
        <v>107</v>
      </c>
      <c r="FH80" s="77">
        <f t="shared" si="103"/>
        <v>108</v>
      </c>
      <c r="FI80" s="77">
        <f t="shared" si="103"/>
        <v>109</v>
      </c>
      <c r="FJ80" s="77">
        <f t="shared" si="103"/>
        <v>110</v>
      </c>
      <c r="FK80" s="77">
        <f t="shared" si="103"/>
        <v>111</v>
      </c>
      <c r="FL80" s="77">
        <f t="shared" si="103"/>
        <v>112</v>
      </c>
      <c r="FM80" s="77">
        <f t="shared" si="103"/>
        <v>113</v>
      </c>
      <c r="FN80" s="77">
        <f t="shared" si="103"/>
        <v>114</v>
      </c>
      <c r="FO80" s="77">
        <f t="shared" si="103"/>
        <v>115</v>
      </c>
      <c r="FP80" s="77">
        <f t="shared" si="103"/>
        <v>116</v>
      </c>
      <c r="FQ80" s="77">
        <f t="shared" si="103"/>
        <v>117</v>
      </c>
      <c r="FR80" s="77">
        <f t="shared" si="103"/>
        <v>118</v>
      </c>
      <c r="FS80" s="77">
        <f t="shared" si="103"/>
        <v>119</v>
      </c>
      <c r="FT80" s="77">
        <f t="shared" si="103"/>
        <v>120</v>
      </c>
      <c r="FU80" s="77">
        <f t="shared" si="103"/>
        <v>121</v>
      </c>
      <c r="FV80" s="77">
        <f t="shared" si="103"/>
        <v>122</v>
      </c>
      <c r="FW80" s="77">
        <f t="shared" si="103"/>
        <v>123</v>
      </c>
      <c r="FX80" s="77">
        <f t="shared" si="103"/>
        <v>124</v>
      </c>
      <c r="FY80" s="77">
        <f t="shared" si="103"/>
        <v>125</v>
      </c>
      <c r="FZ80" s="77">
        <f t="shared" si="103"/>
        <v>126</v>
      </c>
      <c r="GA80" s="77">
        <f t="shared" si="103"/>
        <v>127</v>
      </c>
      <c r="GB80" s="77">
        <f t="shared" si="103"/>
        <v>128</v>
      </c>
      <c r="GC80" s="77">
        <f t="shared" si="103"/>
        <v>129</v>
      </c>
      <c r="GD80" s="77">
        <f t="shared" si="103"/>
        <v>130</v>
      </c>
      <c r="GE80" s="77">
        <f t="shared" si="103"/>
        <v>131</v>
      </c>
      <c r="GF80" s="77">
        <f t="shared" si="103"/>
        <v>132</v>
      </c>
      <c r="GG80" s="77">
        <f t="shared" si="103"/>
        <v>133</v>
      </c>
      <c r="GH80" s="77">
        <f t="shared" si="103"/>
        <v>134</v>
      </c>
      <c r="GI80" s="77">
        <f t="shared" si="103"/>
        <v>135</v>
      </c>
      <c r="GJ80" s="77">
        <f t="shared" si="103"/>
        <v>136</v>
      </c>
      <c r="GK80" s="77">
        <f t="shared" si="103"/>
        <v>137</v>
      </c>
      <c r="GL80" s="77">
        <f t="shared" si="103"/>
        <v>138</v>
      </c>
      <c r="GM80" s="77">
        <f t="shared" si="103"/>
        <v>139</v>
      </c>
      <c r="GN80" s="77">
        <f t="shared" si="103"/>
        <v>140</v>
      </c>
      <c r="GO80" s="77">
        <f t="shared" si="103"/>
        <v>141</v>
      </c>
      <c r="GP80" s="77">
        <f t="shared" si="103"/>
        <v>142</v>
      </c>
      <c r="GQ80" s="77">
        <f t="shared" si="103"/>
        <v>143</v>
      </c>
      <c r="GR80" s="77">
        <f t="shared" si="103"/>
        <v>144</v>
      </c>
      <c r="GS80" s="77">
        <f t="shared" si="103"/>
        <v>145</v>
      </c>
      <c r="GT80" s="77">
        <f t="shared" si="103"/>
        <v>146</v>
      </c>
      <c r="GU80" s="77">
        <f t="shared" si="103"/>
        <v>147</v>
      </c>
      <c r="GV80" s="77">
        <f t="shared" si="103"/>
        <v>148</v>
      </c>
      <c r="GW80" s="77">
        <f t="shared" si="103"/>
        <v>149</v>
      </c>
      <c r="GX80" s="77">
        <f t="shared" si="103"/>
        <v>150</v>
      </c>
    </row>
    <row r="81" spans="1:206" ht="15" customHeight="1" x14ac:dyDescent="0.2">
      <c r="A81" s="22" t="s">
        <v>68</v>
      </c>
      <c r="B81" s="22">
        <v>4</v>
      </c>
      <c r="C81" s="22" t="s">
        <v>162</v>
      </c>
      <c r="D81" s="22" t="s">
        <v>190</v>
      </c>
      <c r="E81" s="22" t="s">
        <v>191</v>
      </c>
      <c r="F81" s="22" t="s">
        <v>71</v>
      </c>
      <c r="G81" s="22" t="s">
        <v>72</v>
      </c>
      <c r="H81" s="22">
        <v>2019</v>
      </c>
      <c r="I81" s="22">
        <v>7</v>
      </c>
      <c r="J81" s="22">
        <v>34.450000000000003</v>
      </c>
      <c r="K81" s="22">
        <v>0</v>
      </c>
      <c r="L81" s="22">
        <v>4850</v>
      </c>
      <c r="M81" s="22">
        <v>4850</v>
      </c>
      <c r="N81" s="22" t="s">
        <v>95</v>
      </c>
      <c r="O81" s="22" t="s">
        <v>96</v>
      </c>
      <c r="P81" s="22" t="s">
        <v>75</v>
      </c>
      <c r="Q81" s="108">
        <f>IF(R81="","",'Dashboard Ciclos'!$B$2-R81)</f>
        <v>46240</v>
      </c>
      <c r="R81" s="22">
        <f>IF($E81="","",IFERROR(INDEX($W81:$GX81,MATCH('Dashboard Ciclos'!$B$2,$W$1:$GX$1,0)),""))</f>
        <v>9</v>
      </c>
      <c r="S81" s="22" t="str">
        <f t="shared" si="83"/>
        <v>En ciclo</v>
      </c>
      <c r="T81" s="22" t="str">
        <f t="shared" si="84"/>
        <v>En ciclo</v>
      </c>
      <c r="U81" s="22">
        <f t="shared" si="85"/>
        <v>3</v>
      </c>
      <c r="V81" s="23">
        <f t="shared" si="86"/>
        <v>46252</v>
      </c>
      <c r="W81" s="77">
        <f t="shared" si="87"/>
        <v>-3</v>
      </c>
      <c r="X81" s="77">
        <f t="shared" si="87"/>
        <v>-2</v>
      </c>
      <c r="Y81" s="77">
        <f t="shared" si="87"/>
        <v>-1</v>
      </c>
      <c r="Z81" s="77">
        <f t="shared" si="87"/>
        <v>0</v>
      </c>
      <c r="AA81" s="77">
        <v>1</v>
      </c>
      <c r="AB81" s="77">
        <f t="shared" si="89"/>
        <v>2</v>
      </c>
      <c r="AC81" s="77">
        <f t="shared" si="89"/>
        <v>3</v>
      </c>
      <c r="AD81" s="77">
        <f t="shared" si="89"/>
        <v>4</v>
      </c>
      <c r="AE81" s="77">
        <f t="shared" si="89"/>
        <v>5</v>
      </c>
      <c r="AF81" s="77">
        <f t="shared" si="89"/>
        <v>6</v>
      </c>
      <c r="AG81" s="77">
        <f t="shared" si="89"/>
        <v>7</v>
      </c>
      <c r="AH81" s="77">
        <f t="shared" si="89"/>
        <v>8</v>
      </c>
      <c r="AI81" s="77">
        <f t="shared" si="89"/>
        <v>9</v>
      </c>
      <c r="AJ81" s="77">
        <f t="shared" si="89"/>
        <v>10</v>
      </c>
      <c r="AK81" s="77">
        <f t="shared" si="90"/>
        <v>11</v>
      </c>
      <c r="AL81" s="77">
        <f t="shared" si="90"/>
        <v>12</v>
      </c>
      <c r="AM81" s="77">
        <f t="shared" si="90"/>
        <v>13</v>
      </c>
      <c r="AN81" s="77">
        <f t="shared" si="91"/>
        <v>14</v>
      </c>
      <c r="AO81" s="77">
        <f t="shared" si="90"/>
        <v>15</v>
      </c>
      <c r="AP81" s="77">
        <f t="shared" si="90"/>
        <v>16</v>
      </c>
      <c r="AQ81" s="77">
        <f t="shared" si="90"/>
        <v>17</v>
      </c>
      <c r="AR81" s="77">
        <f t="shared" si="105"/>
        <v>18</v>
      </c>
      <c r="AS81" s="77">
        <f t="shared" si="106"/>
        <v>19</v>
      </c>
      <c r="AT81" s="77">
        <v>0</v>
      </c>
      <c r="AU81" s="77">
        <f t="shared" si="106"/>
        <v>1</v>
      </c>
      <c r="AV81" s="77">
        <f t="shared" si="106"/>
        <v>2</v>
      </c>
      <c r="AW81" s="77">
        <f t="shared" si="106"/>
        <v>3</v>
      </c>
      <c r="AX81" s="77">
        <f t="shared" si="106"/>
        <v>4</v>
      </c>
      <c r="AY81" s="77">
        <f t="shared" si="106"/>
        <v>5</v>
      </c>
      <c r="AZ81" s="77">
        <f t="shared" si="106"/>
        <v>6</v>
      </c>
      <c r="BA81" s="77">
        <f t="shared" si="106"/>
        <v>7</v>
      </c>
      <c r="BB81" s="77">
        <f t="shared" si="106"/>
        <v>8</v>
      </c>
      <c r="BC81" s="77">
        <f t="shared" si="106"/>
        <v>9</v>
      </c>
      <c r="BD81" s="77">
        <f t="shared" si="106"/>
        <v>10</v>
      </c>
      <c r="BE81" s="77">
        <f t="shared" si="106"/>
        <v>11</v>
      </c>
      <c r="BF81" s="77">
        <f t="shared" si="106"/>
        <v>12</v>
      </c>
      <c r="BG81" s="77">
        <v>0</v>
      </c>
      <c r="BH81" s="77">
        <f t="shared" si="106"/>
        <v>1</v>
      </c>
      <c r="BI81" s="77">
        <f t="shared" si="106"/>
        <v>2</v>
      </c>
      <c r="BJ81" s="77">
        <f t="shared" si="106"/>
        <v>3</v>
      </c>
      <c r="BK81" s="77">
        <f t="shared" si="106"/>
        <v>4</v>
      </c>
      <c r="BL81" s="77">
        <f t="shared" si="106"/>
        <v>5</v>
      </c>
      <c r="BM81" s="77">
        <f t="shared" si="106"/>
        <v>6</v>
      </c>
      <c r="BN81" s="77">
        <f t="shared" si="106"/>
        <v>7</v>
      </c>
      <c r="BO81" s="77">
        <f t="shared" si="106"/>
        <v>8</v>
      </c>
      <c r="BP81" s="77">
        <f t="shared" si="106"/>
        <v>9</v>
      </c>
      <c r="BQ81" s="77">
        <f t="shared" si="106"/>
        <v>10</v>
      </c>
      <c r="BR81" s="77">
        <f t="shared" si="106"/>
        <v>11</v>
      </c>
      <c r="BS81" s="77">
        <f t="shared" si="106"/>
        <v>12</v>
      </c>
      <c r="BT81" s="77">
        <f t="shared" si="106"/>
        <v>13</v>
      </c>
      <c r="BU81" s="77">
        <f t="shared" si="106"/>
        <v>14</v>
      </c>
      <c r="BV81" s="77">
        <f t="shared" si="106"/>
        <v>15</v>
      </c>
      <c r="BW81" s="77">
        <f t="shared" si="106"/>
        <v>16</v>
      </c>
      <c r="BX81" s="77">
        <f t="shared" si="106"/>
        <v>17</v>
      </c>
      <c r="BY81" s="77">
        <f t="shared" si="106"/>
        <v>18</v>
      </c>
      <c r="BZ81" s="77">
        <f t="shared" si="106"/>
        <v>19</v>
      </c>
      <c r="CA81" s="77">
        <f t="shared" si="106"/>
        <v>20</v>
      </c>
      <c r="CB81" s="77">
        <f t="shared" si="106"/>
        <v>21</v>
      </c>
      <c r="CC81" s="77">
        <f t="shared" si="106"/>
        <v>22</v>
      </c>
      <c r="CD81" s="77">
        <f t="shared" si="106"/>
        <v>23</v>
      </c>
      <c r="CE81" s="77">
        <f t="shared" si="106"/>
        <v>24</v>
      </c>
      <c r="CF81" s="77">
        <f t="shared" si="106"/>
        <v>25</v>
      </c>
      <c r="CG81" s="77">
        <f t="shared" si="106"/>
        <v>26</v>
      </c>
      <c r="CH81" s="77">
        <f t="shared" si="106"/>
        <v>27</v>
      </c>
      <c r="CI81" s="77">
        <f t="shared" si="106"/>
        <v>28</v>
      </c>
      <c r="CJ81" s="77">
        <f t="shared" si="106"/>
        <v>29</v>
      </c>
      <c r="CK81" s="77">
        <f t="shared" si="104"/>
        <v>30</v>
      </c>
      <c r="CL81" s="77">
        <f t="shared" si="104"/>
        <v>31</v>
      </c>
      <c r="CM81" s="77">
        <f t="shared" si="104"/>
        <v>32</v>
      </c>
      <c r="CN81" s="77">
        <f t="shared" si="104"/>
        <v>33</v>
      </c>
      <c r="CO81" s="77">
        <f t="shared" si="104"/>
        <v>34</v>
      </c>
      <c r="CP81" s="77">
        <f t="shared" si="104"/>
        <v>35</v>
      </c>
      <c r="CQ81" s="77">
        <f t="shared" si="104"/>
        <v>36</v>
      </c>
      <c r="CR81" s="77">
        <f t="shared" si="104"/>
        <v>37</v>
      </c>
      <c r="CS81" s="77">
        <f t="shared" si="104"/>
        <v>38</v>
      </c>
      <c r="CT81" s="77">
        <f t="shared" si="104"/>
        <v>39</v>
      </c>
      <c r="CU81" s="77">
        <f t="shared" si="104"/>
        <v>40</v>
      </c>
      <c r="CV81" s="77">
        <f t="shared" si="104"/>
        <v>41</v>
      </c>
      <c r="CW81" s="77">
        <f t="shared" si="104"/>
        <v>42</v>
      </c>
      <c r="CX81" s="77">
        <f t="shared" si="104"/>
        <v>43</v>
      </c>
      <c r="CY81" s="77">
        <f t="shared" si="104"/>
        <v>44</v>
      </c>
      <c r="CZ81" s="77">
        <f t="shared" si="104"/>
        <v>45</v>
      </c>
      <c r="DA81" s="77">
        <f t="shared" si="104"/>
        <v>46</v>
      </c>
      <c r="DB81" s="77">
        <f t="shared" si="104"/>
        <v>47</v>
      </c>
      <c r="DC81" s="77">
        <f t="shared" si="104"/>
        <v>48</v>
      </c>
      <c r="DD81" s="77">
        <f t="shared" si="104"/>
        <v>49</v>
      </c>
      <c r="DE81" s="77">
        <f t="shared" si="104"/>
        <v>50</v>
      </c>
      <c r="DF81" s="77">
        <f t="shared" si="104"/>
        <v>51</v>
      </c>
      <c r="DG81" s="77">
        <f t="shared" si="104"/>
        <v>52</v>
      </c>
      <c r="DH81" s="77">
        <f t="shared" si="104"/>
        <v>53</v>
      </c>
      <c r="DI81" s="77">
        <f t="shared" si="104"/>
        <v>54</v>
      </c>
      <c r="DJ81" s="77">
        <f t="shared" si="104"/>
        <v>55</v>
      </c>
      <c r="DK81" s="77">
        <f t="shared" si="104"/>
        <v>56</v>
      </c>
      <c r="DL81" s="77">
        <f t="shared" si="104"/>
        <v>57</v>
      </c>
      <c r="DM81" s="77">
        <f t="shared" si="104"/>
        <v>58</v>
      </c>
      <c r="DN81" s="77">
        <f t="shared" si="104"/>
        <v>59</v>
      </c>
      <c r="DO81" s="77">
        <f t="shared" si="104"/>
        <v>60</v>
      </c>
      <c r="DP81" s="77">
        <f t="shared" si="104"/>
        <v>61</v>
      </c>
      <c r="DQ81" s="77">
        <f t="shared" si="104"/>
        <v>62</v>
      </c>
      <c r="DR81" s="77">
        <f t="shared" si="104"/>
        <v>63</v>
      </c>
      <c r="DS81" s="77">
        <f t="shared" si="104"/>
        <v>64</v>
      </c>
      <c r="DT81" s="77">
        <f t="shared" si="104"/>
        <v>65</v>
      </c>
      <c r="DU81" s="77">
        <f t="shared" si="104"/>
        <v>66</v>
      </c>
      <c r="DV81" s="77">
        <f t="shared" si="104"/>
        <v>67</v>
      </c>
      <c r="DW81" s="77">
        <f t="shared" si="104"/>
        <v>68</v>
      </c>
      <c r="DX81" s="77">
        <f t="shared" si="104"/>
        <v>69</v>
      </c>
      <c r="DY81" s="77">
        <f t="shared" si="104"/>
        <v>70</v>
      </c>
      <c r="DZ81" s="77">
        <f t="shared" si="104"/>
        <v>71</v>
      </c>
      <c r="EA81" s="77">
        <f t="shared" si="104"/>
        <v>72</v>
      </c>
      <c r="EB81" s="77">
        <f t="shared" si="104"/>
        <v>73</v>
      </c>
      <c r="EC81" s="77">
        <f t="shared" si="104"/>
        <v>74</v>
      </c>
      <c r="ED81" s="77">
        <f t="shared" si="104"/>
        <v>75</v>
      </c>
      <c r="EE81" s="77">
        <f t="shared" si="104"/>
        <v>76</v>
      </c>
      <c r="EF81" s="77">
        <f t="shared" si="104"/>
        <v>77</v>
      </c>
      <c r="EG81" s="77">
        <f t="shared" si="104"/>
        <v>78</v>
      </c>
      <c r="EH81" s="77">
        <f t="shared" si="104"/>
        <v>79</v>
      </c>
      <c r="EI81" s="77">
        <f t="shared" si="104"/>
        <v>80</v>
      </c>
      <c r="EJ81" s="77">
        <f t="shared" si="104"/>
        <v>81</v>
      </c>
      <c r="EK81" s="77">
        <f t="shared" si="104"/>
        <v>82</v>
      </c>
      <c r="EL81" s="77">
        <f t="shared" si="104"/>
        <v>83</v>
      </c>
      <c r="EM81" s="77">
        <f t="shared" si="104"/>
        <v>84</v>
      </c>
      <c r="EN81" s="77">
        <f t="shared" si="104"/>
        <v>85</v>
      </c>
      <c r="EO81" s="77">
        <f t="shared" si="104"/>
        <v>86</v>
      </c>
      <c r="EP81" s="77">
        <f t="shared" si="104"/>
        <v>87</v>
      </c>
      <c r="EQ81" s="77">
        <f t="shared" si="104"/>
        <v>88</v>
      </c>
      <c r="ER81" s="77">
        <f t="shared" si="104"/>
        <v>89</v>
      </c>
      <c r="ES81" s="77">
        <f t="shared" si="104"/>
        <v>90</v>
      </c>
      <c r="ET81" s="77">
        <f t="shared" si="104"/>
        <v>91</v>
      </c>
      <c r="EU81" s="77">
        <f t="shared" si="104"/>
        <v>92</v>
      </c>
      <c r="EV81" s="77">
        <f t="shared" si="95"/>
        <v>93</v>
      </c>
      <c r="EW81" s="77">
        <f t="shared" si="92"/>
        <v>94</v>
      </c>
      <c r="EX81" s="77">
        <f t="shared" si="92"/>
        <v>95</v>
      </c>
      <c r="EY81" s="77">
        <f t="shared" si="103"/>
        <v>96</v>
      </c>
      <c r="EZ81" s="77">
        <f t="shared" si="103"/>
        <v>97</v>
      </c>
      <c r="FA81" s="77">
        <f t="shared" si="103"/>
        <v>98</v>
      </c>
      <c r="FB81" s="77">
        <f t="shared" si="103"/>
        <v>99</v>
      </c>
      <c r="FC81" s="77">
        <f t="shared" si="103"/>
        <v>100</v>
      </c>
      <c r="FD81" s="77">
        <f t="shared" si="103"/>
        <v>101</v>
      </c>
      <c r="FE81" s="77">
        <f t="shared" si="103"/>
        <v>102</v>
      </c>
      <c r="FF81" s="77">
        <f t="shared" si="103"/>
        <v>103</v>
      </c>
      <c r="FG81" s="77">
        <f t="shared" si="103"/>
        <v>104</v>
      </c>
      <c r="FH81" s="77">
        <f t="shared" si="103"/>
        <v>105</v>
      </c>
      <c r="FI81" s="77">
        <f t="shared" si="103"/>
        <v>106</v>
      </c>
      <c r="FJ81" s="77">
        <f t="shared" si="103"/>
        <v>107</v>
      </c>
      <c r="FK81" s="77">
        <f t="shared" si="103"/>
        <v>108</v>
      </c>
      <c r="FL81" s="77">
        <f t="shared" si="103"/>
        <v>109</v>
      </c>
      <c r="FM81" s="77">
        <f t="shared" si="103"/>
        <v>110</v>
      </c>
      <c r="FN81" s="77">
        <f t="shared" si="103"/>
        <v>111</v>
      </c>
      <c r="FO81" s="77">
        <f t="shared" si="103"/>
        <v>112</v>
      </c>
      <c r="FP81" s="77">
        <f t="shared" si="103"/>
        <v>113</v>
      </c>
      <c r="FQ81" s="77">
        <f t="shared" si="103"/>
        <v>114</v>
      </c>
      <c r="FR81" s="77">
        <f t="shared" si="103"/>
        <v>115</v>
      </c>
      <c r="FS81" s="77">
        <f t="shared" si="103"/>
        <v>116</v>
      </c>
      <c r="FT81" s="77">
        <f t="shared" si="103"/>
        <v>117</v>
      </c>
      <c r="FU81" s="77">
        <f t="shared" si="103"/>
        <v>118</v>
      </c>
      <c r="FV81" s="77">
        <f t="shared" si="103"/>
        <v>119</v>
      </c>
      <c r="FW81" s="77">
        <f t="shared" si="103"/>
        <v>120</v>
      </c>
      <c r="FX81" s="77">
        <f t="shared" si="103"/>
        <v>121</v>
      </c>
      <c r="FY81" s="77">
        <f t="shared" si="103"/>
        <v>122</v>
      </c>
      <c r="FZ81" s="77">
        <f t="shared" si="103"/>
        <v>123</v>
      </c>
      <c r="GA81" s="77">
        <f t="shared" si="103"/>
        <v>124</v>
      </c>
      <c r="GB81" s="77">
        <f t="shared" si="103"/>
        <v>125</v>
      </c>
      <c r="GC81" s="77">
        <f t="shared" si="103"/>
        <v>126</v>
      </c>
      <c r="GD81" s="77">
        <f t="shared" si="103"/>
        <v>127</v>
      </c>
      <c r="GE81" s="77">
        <f t="shared" si="103"/>
        <v>128</v>
      </c>
      <c r="GF81" s="77">
        <f t="shared" si="103"/>
        <v>129</v>
      </c>
      <c r="GG81" s="77">
        <f t="shared" si="103"/>
        <v>130</v>
      </c>
      <c r="GH81" s="77">
        <f t="shared" si="103"/>
        <v>131</v>
      </c>
      <c r="GI81" s="77">
        <f t="shared" si="103"/>
        <v>132</v>
      </c>
      <c r="GJ81" s="77">
        <f t="shared" si="103"/>
        <v>133</v>
      </c>
      <c r="GK81" s="77">
        <f t="shared" si="103"/>
        <v>134</v>
      </c>
      <c r="GL81" s="77">
        <f t="shared" si="103"/>
        <v>135</v>
      </c>
      <c r="GM81" s="77">
        <f t="shared" si="103"/>
        <v>136</v>
      </c>
      <c r="GN81" s="77">
        <f t="shared" si="103"/>
        <v>137</v>
      </c>
      <c r="GO81" s="77">
        <f t="shared" si="103"/>
        <v>138</v>
      </c>
      <c r="GP81" s="77">
        <f t="shared" si="103"/>
        <v>139</v>
      </c>
      <c r="GQ81" s="77">
        <f t="shared" si="103"/>
        <v>140</v>
      </c>
      <c r="GR81" s="77">
        <f t="shared" si="103"/>
        <v>141</v>
      </c>
      <c r="GS81" s="77">
        <f t="shared" si="103"/>
        <v>142</v>
      </c>
      <c r="GT81" s="77">
        <f t="shared" ref="GT81:GX81" si="107">IF(GS81="","",GS81+1)</f>
        <v>143</v>
      </c>
      <c r="GU81" s="77">
        <f t="shared" si="107"/>
        <v>144</v>
      </c>
      <c r="GV81" s="77">
        <f t="shared" si="107"/>
        <v>145</v>
      </c>
      <c r="GW81" s="77">
        <f t="shared" si="107"/>
        <v>146</v>
      </c>
      <c r="GX81" s="77">
        <f t="shared" si="107"/>
        <v>147</v>
      </c>
    </row>
    <row r="82" spans="1:206" ht="15" customHeight="1" x14ac:dyDescent="0.2">
      <c r="A82" s="22" t="s">
        <v>68</v>
      </c>
      <c r="B82" s="22">
        <v>4</v>
      </c>
      <c r="C82" s="22" t="s">
        <v>162</v>
      </c>
      <c r="D82" s="22" t="s">
        <v>192</v>
      </c>
      <c r="E82" s="22" t="s">
        <v>193</v>
      </c>
      <c r="F82" s="22" t="s">
        <v>71</v>
      </c>
      <c r="G82" s="22" t="s">
        <v>72</v>
      </c>
      <c r="H82" s="22">
        <v>2019</v>
      </c>
      <c r="I82" s="22">
        <v>7</v>
      </c>
      <c r="J82" s="22">
        <v>12.14</v>
      </c>
      <c r="K82" s="22">
        <v>0</v>
      </c>
      <c r="L82" s="22">
        <v>1730</v>
      </c>
      <c r="M82" s="22">
        <v>1730</v>
      </c>
      <c r="N82" s="22" t="s">
        <v>95</v>
      </c>
      <c r="O82" s="22" t="s">
        <v>96</v>
      </c>
      <c r="P82" s="22" t="s">
        <v>75</v>
      </c>
      <c r="Q82" s="108">
        <f>IF(R82="","",'Dashboard Ciclos'!$B$2-R82)</f>
        <v>46244</v>
      </c>
      <c r="R82" s="22">
        <f>IF($E82="","",IFERROR(INDEX($W82:$GX82,MATCH('Dashboard Ciclos'!$B$2,$W$1:$GX$1,0)),""))</f>
        <v>5</v>
      </c>
      <c r="S82" s="22" t="str">
        <f t="shared" si="83"/>
        <v>En ciclo</v>
      </c>
      <c r="T82" s="22" t="str">
        <f t="shared" si="84"/>
        <v>En ciclo</v>
      </c>
      <c r="U82" s="22">
        <f t="shared" si="85"/>
        <v>7</v>
      </c>
      <c r="V82" s="23">
        <f t="shared" si="86"/>
        <v>46256</v>
      </c>
      <c r="W82" s="77">
        <f t="shared" ref="W82:Z95" si="108">+X82-1</f>
        <v>0</v>
      </c>
      <c r="X82" s="77">
        <f t="shared" si="108"/>
        <v>1</v>
      </c>
      <c r="Y82" s="77">
        <f t="shared" si="108"/>
        <v>2</v>
      </c>
      <c r="Z82" s="77">
        <f t="shared" si="108"/>
        <v>3</v>
      </c>
      <c r="AA82" s="77">
        <v>4</v>
      </c>
      <c r="AB82" s="77">
        <f t="shared" si="89"/>
        <v>5</v>
      </c>
      <c r="AC82" s="77">
        <f t="shared" si="89"/>
        <v>6</v>
      </c>
      <c r="AD82" s="77">
        <f t="shared" si="89"/>
        <v>7</v>
      </c>
      <c r="AE82" s="77">
        <f t="shared" si="89"/>
        <v>8</v>
      </c>
      <c r="AF82" s="77">
        <f t="shared" si="89"/>
        <v>9</v>
      </c>
      <c r="AG82" s="77">
        <f t="shared" si="89"/>
        <v>10</v>
      </c>
      <c r="AH82" s="77">
        <f t="shared" si="89"/>
        <v>11</v>
      </c>
      <c r="AI82" s="77">
        <f t="shared" si="89"/>
        <v>12</v>
      </c>
      <c r="AJ82" s="77">
        <f t="shared" si="89"/>
        <v>13</v>
      </c>
      <c r="AK82" s="77">
        <f t="shared" si="90"/>
        <v>14</v>
      </c>
      <c r="AL82" s="77">
        <f t="shared" si="90"/>
        <v>15</v>
      </c>
      <c r="AM82" s="77">
        <f t="shared" si="90"/>
        <v>16</v>
      </c>
      <c r="AN82" s="77">
        <f t="shared" si="91"/>
        <v>17</v>
      </c>
      <c r="AO82" s="77">
        <f t="shared" si="90"/>
        <v>18</v>
      </c>
      <c r="AP82" s="77">
        <f t="shared" si="90"/>
        <v>19</v>
      </c>
      <c r="AQ82" s="77">
        <f t="shared" si="90"/>
        <v>20</v>
      </c>
      <c r="AR82" s="77">
        <f t="shared" si="105"/>
        <v>21</v>
      </c>
      <c r="AS82" s="77">
        <v>0</v>
      </c>
      <c r="AT82" s="77">
        <f t="shared" si="106"/>
        <v>1</v>
      </c>
      <c r="AU82" s="77">
        <f t="shared" si="106"/>
        <v>2</v>
      </c>
      <c r="AV82" s="77">
        <f t="shared" si="106"/>
        <v>3</v>
      </c>
      <c r="AW82" s="77">
        <f t="shared" si="106"/>
        <v>4</v>
      </c>
      <c r="AX82" s="77">
        <f t="shared" si="106"/>
        <v>5</v>
      </c>
      <c r="AY82" s="77">
        <f t="shared" si="106"/>
        <v>6</v>
      </c>
      <c r="AZ82" s="77">
        <f t="shared" si="106"/>
        <v>7</v>
      </c>
      <c r="BA82" s="77">
        <f t="shared" si="106"/>
        <v>8</v>
      </c>
      <c r="BB82" s="77">
        <f t="shared" si="106"/>
        <v>9</v>
      </c>
      <c r="BC82" s="77">
        <f t="shared" si="106"/>
        <v>10</v>
      </c>
      <c r="BD82" s="77">
        <f t="shared" si="106"/>
        <v>11</v>
      </c>
      <c r="BE82" s="77">
        <f t="shared" si="106"/>
        <v>12</v>
      </c>
      <c r="BF82" s="77">
        <f t="shared" si="106"/>
        <v>13</v>
      </c>
      <c r="BG82" s="77">
        <f t="shared" si="106"/>
        <v>14</v>
      </c>
      <c r="BH82" s="77">
        <f t="shared" si="106"/>
        <v>15</v>
      </c>
      <c r="BI82" s="77">
        <f t="shared" si="106"/>
        <v>16</v>
      </c>
      <c r="BJ82" s="77">
        <f t="shared" si="106"/>
        <v>17</v>
      </c>
      <c r="BK82" s="77">
        <v>0</v>
      </c>
      <c r="BL82" s="77">
        <f t="shared" si="106"/>
        <v>1</v>
      </c>
      <c r="BM82" s="77">
        <f t="shared" si="106"/>
        <v>2</v>
      </c>
      <c r="BN82" s="77">
        <f t="shared" si="106"/>
        <v>3</v>
      </c>
      <c r="BO82" s="77">
        <f t="shared" si="106"/>
        <v>4</v>
      </c>
      <c r="BP82" s="77">
        <f t="shared" si="106"/>
        <v>5</v>
      </c>
      <c r="BQ82" s="77">
        <f t="shared" si="106"/>
        <v>6</v>
      </c>
      <c r="BR82" s="77">
        <f t="shared" si="106"/>
        <v>7</v>
      </c>
      <c r="BS82" s="77">
        <f t="shared" si="106"/>
        <v>8</v>
      </c>
      <c r="BT82" s="77">
        <f t="shared" si="106"/>
        <v>9</v>
      </c>
      <c r="BU82" s="77">
        <f t="shared" si="106"/>
        <v>10</v>
      </c>
      <c r="BV82" s="77">
        <f t="shared" si="106"/>
        <v>11</v>
      </c>
      <c r="BW82" s="77">
        <f t="shared" si="106"/>
        <v>12</v>
      </c>
      <c r="BX82" s="77">
        <f t="shared" si="106"/>
        <v>13</v>
      </c>
      <c r="BY82" s="77">
        <f t="shared" si="106"/>
        <v>14</v>
      </c>
      <c r="BZ82" s="77">
        <f t="shared" si="106"/>
        <v>15</v>
      </c>
      <c r="CA82" s="77">
        <f t="shared" si="106"/>
        <v>16</v>
      </c>
      <c r="CB82" s="77">
        <f t="shared" si="106"/>
        <v>17</v>
      </c>
      <c r="CC82" s="77">
        <f t="shared" si="106"/>
        <v>18</v>
      </c>
      <c r="CD82" s="77">
        <f t="shared" si="106"/>
        <v>19</v>
      </c>
      <c r="CE82" s="77">
        <f t="shared" si="106"/>
        <v>20</v>
      </c>
      <c r="CF82" s="77">
        <f t="shared" si="106"/>
        <v>21</v>
      </c>
      <c r="CG82" s="77">
        <f t="shared" si="106"/>
        <v>22</v>
      </c>
      <c r="CH82" s="77">
        <f t="shared" si="106"/>
        <v>23</v>
      </c>
      <c r="CI82" s="77">
        <f t="shared" si="106"/>
        <v>24</v>
      </c>
      <c r="CJ82" s="77">
        <f t="shared" si="106"/>
        <v>25</v>
      </c>
      <c r="CK82" s="77">
        <f t="shared" si="104"/>
        <v>26</v>
      </c>
      <c r="CL82" s="77">
        <f t="shared" si="104"/>
        <v>27</v>
      </c>
      <c r="CM82" s="77">
        <f t="shared" si="104"/>
        <v>28</v>
      </c>
      <c r="CN82" s="77">
        <f t="shared" si="104"/>
        <v>29</v>
      </c>
      <c r="CO82" s="77">
        <f t="shared" si="104"/>
        <v>30</v>
      </c>
      <c r="CP82" s="77">
        <f t="shared" si="104"/>
        <v>31</v>
      </c>
      <c r="CQ82" s="77">
        <f t="shared" si="104"/>
        <v>32</v>
      </c>
      <c r="CR82" s="77">
        <f t="shared" si="104"/>
        <v>33</v>
      </c>
      <c r="CS82" s="77">
        <f t="shared" si="104"/>
        <v>34</v>
      </c>
      <c r="CT82" s="77">
        <f t="shared" si="104"/>
        <v>35</v>
      </c>
      <c r="CU82" s="77">
        <f t="shared" si="104"/>
        <v>36</v>
      </c>
      <c r="CV82" s="77">
        <f t="shared" si="104"/>
        <v>37</v>
      </c>
      <c r="CW82" s="77">
        <f t="shared" si="104"/>
        <v>38</v>
      </c>
      <c r="CX82" s="77">
        <f t="shared" si="104"/>
        <v>39</v>
      </c>
      <c r="CY82" s="77">
        <f t="shared" si="104"/>
        <v>40</v>
      </c>
      <c r="CZ82" s="77">
        <f t="shared" si="104"/>
        <v>41</v>
      </c>
      <c r="DA82" s="77">
        <f t="shared" si="104"/>
        <v>42</v>
      </c>
      <c r="DB82" s="77">
        <f t="shared" si="104"/>
        <v>43</v>
      </c>
      <c r="DC82" s="77">
        <f t="shared" si="104"/>
        <v>44</v>
      </c>
      <c r="DD82" s="77">
        <f t="shared" si="104"/>
        <v>45</v>
      </c>
      <c r="DE82" s="77">
        <f t="shared" si="104"/>
        <v>46</v>
      </c>
      <c r="DF82" s="77">
        <f t="shared" si="104"/>
        <v>47</v>
      </c>
      <c r="DG82" s="77">
        <f t="shared" si="104"/>
        <v>48</v>
      </c>
      <c r="DH82" s="77">
        <f t="shared" si="104"/>
        <v>49</v>
      </c>
      <c r="DI82" s="77">
        <f t="shared" si="104"/>
        <v>50</v>
      </c>
      <c r="DJ82" s="77">
        <f t="shared" si="104"/>
        <v>51</v>
      </c>
      <c r="DK82" s="77">
        <f t="shared" si="104"/>
        <v>52</v>
      </c>
      <c r="DL82" s="77">
        <f t="shared" si="104"/>
        <v>53</v>
      </c>
      <c r="DM82" s="77">
        <f t="shared" si="104"/>
        <v>54</v>
      </c>
      <c r="DN82" s="77">
        <f t="shared" si="104"/>
        <v>55</v>
      </c>
      <c r="DO82" s="77">
        <f t="shared" si="104"/>
        <v>56</v>
      </c>
      <c r="DP82" s="77">
        <f t="shared" si="104"/>
        <v>57</v>
      </c>
      <c r="DQ82" s="77">
        <f t="shared" si="104"/>
        <v>58</v>
      </c>
      <c r="DR82" s="77">
        <f t="shared" si="104"/>
        <v>59</v>
      </c>
      <c r="DS82" s="77">
        <f t="shared" si="104"/>
        <v>60</v>
      </c>
      <c r="DT82" s="77">
        <f t="shared" si="104"/>
        <v>61</v>
      </c>
      <c r="DU82" s="77">
        <f t="shared" si="104"/>
        <v>62</v>
      </c>
      <c r="DV82" s="77">
        <f t="shared" si="104"/>
        <v>63</v>
      </c>
      <c r="DW82" s="77">
        <f t="shared" si="104"/>
        <v>64</v>
      </c>
      <c r="DX82" s="77">
        <f t="shared" si="104"/>
        <v>65</v>
      </c>
      <c r="DY82" s="77">
        <f t="shared" si="104"/>
        <v>66</v>
      </c>
      <c r="DZ82" s="77">
        <f t="shared" si="104"/>
        <v>67</v>
      </c>
      <c r="EA82" s="77">
        <f t="shared" si="104"/>
        <v>68</v>
      </c>
      <c r="EB82" s="77">
        <f t="shared" si="104"/>
        <v>69</v>
      </c>
      <c r="EC82" s="77">
        <f t="shared" si="104"/>
        <v>70</v>
      </c>
      <c r="ED82" s="77">
        <f t="shared" si="104"/>
        <v>71</v>
      </c>
      <c r="EE82" s="77">
        <f t="shared" si="104"/>
        <v>72</v>
      </c>
      <c r="EF82" s="77">
        <f t="shared" si="104"/>
        <v>73</v>
      </c>
      <c r="EG82" s="77">
        <f t="shared" si="104"/>
        <v>74</v>
      </c>
      <c r="EH82" s="77">
        <f t="shared" si="104"/>
        <v>75</v>
      </c>
      <c r="EI82" s="77">
        <f t="shared" si="104"/>
        <v>76</v>
      </c>
      <c r="EJ82" s="77">
        <f t="shared" si="104"/>
        <v>77</v>
      </c>
      <c r="EK82" s="77">
        <f t="shared" si="104"/>
        <v>78</v>
      </c>
      <c r="EL82" s="77">
        <f t="shared" si="104"/>
        <v>79</v>
      </c>
      <c r="EM82" s="77">
        <f t="shared" si="104"/>
        <v>80</v>
      </c>
      <c r="EN82" s="77">
        <f t="shared" si="104"/>
        <v>81</v>
      </c>
      <c r="EO82" s="77">
        <f t="shared" si="104"/>
        <v>82</v>
      </c>
      <c r="EP82" s="77">
        <f t="shared" si="104"/>
        <v>83</v>
      </c>
      <c r="EQ82" s="77">
        <f t="shared" si="104"/>
        <v>84</v>
      </c>
      <c r="ER82" s="77">
        <f t="shared" si="104"/>
        <v>85</v>
      </c>
      <c r="ES82" s="77">
        <f t="shared" si="104"/>
        <v>86</v>
      </c>
      <c r="ET82" s="77">
        <f t="shared" si="104"/>
        <v>87</v>
      </c>
      <c r="EU82" s="77">
        <f t="shared" si="104"/>
        <v>88</v>
      </c>
      <c r="EV82" s="77">
        <f t="shared" si="95"/>
        <v>89</v>
      </c>
      <c r="EW82" s="77">
        <f t="shared" si="92"/>
        <v>90</v>
      </c>
      <c r="EX82" s="77">
        <f t="shared" si="92"/>
        <v>91</v>
      </c>
      <c r="EY82" s="77">
        <f t="shared" ref="EY82:GX82" si="109">IF(EX82="","",EX82+1)</f>
        <v>92</v>
      </c>
      <c r="EZ82" s="77">
        <f t="shared" si="109"/>
        <v>93</v>
      </c>
      <c r="FA82" s="77">
        <f t="shared" si="109"/>
        <v>94</v>
      </c>
      <c r="FB82" s="77">
        <f t="shared" si="109"/>
        <v>95</v>
      </c>
      <c r="FC82" s="77">
        <f t="shared" si="109"/>
        <v>96</v>
      </c>
      <c r="FD82" s="77">
        <f t="shared" si="109"/>
        <v>97</v>
      </c>
      <c r="FE82" s="77">
        <f t="shared" si="109"/>
        <v>98</v>
      </c>
      <c r="FF82" s="77">
        <f t="shared" si="109"/>
        <v>99</v>
      </c>
      <c r="FG82" s="77">
        <f t="shared" si="109"/>
        <v>100</v>
      </c>
      <c r="FH82" s="77">
        <f t="shared" si="109"/>
        <v>101</v>
      </c>
      <c r="FI82" s="77">
        <f t="shared" si="109"/>
        <v>102</v>
      </c>
      <c r="FJ82" s="77">
        <f t="shared" si="109"/>
        <v>103</v>
      </c>
      <c r="FK82" s="77">
        <f t="shared" si="109"/>
        <v>104</v>
      </c>
      <c r="FL82" s="77">
        <f t="shared" si="109"/>
        <v>105</v>
      </c>
      <c r="FM82" s="77">
        <f t="shared" si="109"/>
        <v>106</v>
      </c>
      <c r="FN82" s="77">
        <f t="shared" si="109"/>
        <v>107</v>
      </c>
      <c r="FO82" s="77">
        <f t="shared" si="109"/>
        <v>108</v>
      </c>
      <c r="FP82" s="77">
        <f t="shared" si="109"/>
        <v>109</v>
      </c>
      <c r="FQ82" s="77">
        <f t="shared" si="109"/>
        <v>110</v>
      </c>
      <c r="FR82" s="77">
        <f t="shared" si="109"/>
        <v>111</v>
      </c>
      <c r="FS82" s="77">
        <f t="shared" si="109"/>
        <v>112</v>
      </c>
      <c r="FT82" s="77">
        <f t="shared" si="109"/>
        <v>113</v>
      </c>
      <c r="FU82" s="77">
        <f t="shared" si="109"/>
        <v>114</v>
      </c>
      <c r="FV82" s="77">
        <f t="shared" si="109"/>
        <v>115</v>
      </c>
      <c r="FW82" s="77">
        <f t="shared" si="109"/>
        <v>116</v>
      </c>
      <c r="FX82" s="77">
        <f t="shared" si="109"/>
        <v>117</v>
      </c>
      <c r="FY82" s="77">
        <f t="shared" si="109"/>
        <v>118</v>
      </c>
      <c r="FZ82" s="77">
        <f t="shared" si="109"/>
        <v>119</v>
      </c>
      <c r="GA82" s="77">
        <f t="shared" si="109"/>
        <v>120</v>
      </c>
      <c r="GB82" s="77">
        <f t="shared" si="109"/>
        <v>121</v>
      </c>
      <c r="GC82" s="77">
        <f t="shared" si="109"/>
        <v>122</v>
      </c>
      <c r="GD82" s="77">
        <f t="shared" si="109"/>
        <v>123</v>
      </c>
      <c r="GE82" s="77">
        <f t="shared" si="109"/>
        <v>124</v>
      </c>
      <c r="GF82" s="77">
        <f t="shared" si="109"/>
        <v>125</v>
      </c>
      <c r="GG82" s="77">
        <f t="shared" si="109"/>
        <v>126</v>
      </c>
      <c r="GH82" s="77">
        <f t="shared" si="109"/>
        <v>127</v>
      </c>
      <c r="GI82" s="77">
        <f t="shared" si="109"/>
        <v>128</v>
      </c>
      <c r="GJ82" s="77">
        <f t="shared" si="109"/>
        <v>129</v>
      </c>
      <c r="GK82" s="77">
        <f t="shared" si="109"/>
        <v>130</v>
      </c>
      <c r="GL82" s="77">
        <f t="shared" si="109"/>
        <v>131</v>
      </c>
      <c r="GM82" s="77">
        <f t="shared" si="109"/>
        <v>132</v>
      </c>
      <c r="GN82" s="77">
        <f t="shared" si="109"/>
        <v>133</v>
      </c>
      <c r="GO82" s="77">
        <f t="shared" si="109"/>
        <v>134</v>
      </c>
      <c r="GP82" s="77">
        <f t="shared" si="109"/>
        <v>135</v>
      </c>
      <c r="GQ82" s="77">
        <f t="shared" si="109"/>
        <v>136</v>
      </c>
      <c r="GR82" s="77">
        <f t="shared" si="109"/>
        <v>137</v>
      </c>
      <c r="GS82" s="77">
        <f t="shared" si="109"/>
        <v>138</v>
      </c>
      <c r="GT82" s="77">
        <f t="shared" si="109"/>
        <v>139</v>
      </c>
      <c r="GU82" s="77">
        <f t="shared" si="109"/>
        <v>140</v>
      </c>
      <c r="GV82" s="77">
        <f t="shared" si="109"/>
        <v>141</v>
      </c>
      <c r="GW82" s="77">
        <f t="shared" si="109"/>
        <v>142</v>
      </c>
      <c r="GX82" s="77">
        <f t="shared" si="109"/>
        <v>143</v>
      </c>
    </row>
    <row r="83" spans="1:206" ht="15" customHeight="1" x14ac:dyDescent="0.2">
      <c r="A83" s="22" t="s">
        <v>194</v>
      </c>
      <c r="B83" s="22">
        <v>5</v>
      </c>
      <c r="C83" s="22" t="s">
        <v>194</v>
      </c>
      <c r="D83" s="22">
        <v>1</v>
      </c>
      <c r="E83" s="22" t="s">
        <v>195</v>
      </c>
      <c r="F83" s="22" t="s">
        <v>71</v>
      </c>
      <c r="G83" s="22" t="s">
        <v>72</v>
      </c>
      <c r="H83" s="22">
        <v>2022</v>
      </c>
      <c r="I83" s="22">
        <v>4</v>
      </c>
      <c r="J83" s="22">
        <v>7</v>
      </c>
      <c r="K83" s="22">
        <v>0</v>
      </c>
      <c r="L83" s="22">
        <v>1024</v>
      </c>
      <c r="M83" s="22">
        <v>1024</v>
      </c>
      <c r="N83" s="22" t="s">
        <v>196</v>
      </c>
      <c r="O83" s="22" t="s">
        <v>74</v>
      </c>
      <c r="P83" s="22" t="s">
        <v>75</v>
      </c>
      <c r="Q83" s="108">
        <f>IF(R83="","",'Dashboard Ciclos'!$B$2-R83)</f>
        <v>46234</v>
      </c>
      <c r="R83" s="22">
        <f>IF($E83="","",IFERROR(INDEX($W83:$GX83,MATCH('Dashboard Ciclos'!$B$2,$W$1:$GX$1,0)),""))</f>
        <v>15</v>
      </c>
      <c r="S83" s="22" t="str">
        <f t="shared" si="83"/>
        <v>Vencido 1-5 d</v>
      </c>
      <c r="T83" s="22" t="str">
        <f t="shared" si="84"/>
        <v>Fuera de ciclo</v>
      </c>
      <c r="U83" s="22">
        <f t="shared" si="85"/>
        <v>-3</v>
      </c>
      <c r="V83" s="23">
        <f t="shared" si="86"/>
        <v>46246</v>
      </c>
      <c r="W83" s="77">
        <f t="shared" si="108"/>
        <v>18</v>
      </c>
      <c r="X83" s="77">
        <f t="shared" si="108"/>
        <v>19</v>
      </c>
      <c r="Y83" s="77">
        <f t="shared" si="108"/>
        <v>20</v>
      </c>
      <c r="Z83" s="77">
        <f t="shared" si="108"/>
        <v>21</v>
      </c>
      <c r="AA83" s="77">
        <v>22</v>
      </c>
      <c r="AB83" s="77">
        <f t="shared" si="89"/>
        <v>23</v>
      </c>
      <c r="AC83" s="77">
        <f t="shared" si="89"/>
        <v>24</v>
      </c>
      <c r="AD83" s="77">
        <f t="shared" si="89"/>
        <v>25</v>
      </c>
      <c r="AE83" s="77">
        <f t="shared" si="89"/>
        <v>26</v>
      </c>
      <c r="AF83" s="77">
        <f t="shared" si="89"/>
        <v>27</v>
      </c>
      <c r="AG83" s="77">
        <f t="shared" si="89"/>
        <v>28</v>
      </c>
      <c r="AH83" s="77">
        <f t="shared" si="89"/>
        <v>29</v>
      </c>
      <c r="AI83" s="77">
        <v>0</v>
      </c>
      <c r="AJ83" s="77">
        <f t="shared" si="89"/>
        <v>1</v>
      </c>
      <c r="AK83" s="77">
        <f t="shared" si="90"/>
        <v>2</v>
      </c>
      <c r="AL83" s="77">
        <f t="shared" si="90"/>
        <v>3</v>
      </c>
      <c r="AM83" s="77">
        <f t="shared" si="90"/>
        <v>4</v>
      </c>
      <c r="AN83" s="77">
        <f t="shared" si="91"/>
        <v>5</v>
      </c>
      <c r="AO83" s="77">
        <f t="shared" si="90"/>
        <v>6</v>
      </c>
      <c r="AP83" s="77">
        <f t="shared" si="90"/>
        <v>7</v>
      </c>
      <c r="AQ83" s="77">
        <f t="shared" si="90"/>
        <v>8</v>
      </c>
      <c r="AR83" s="77">
        <f t="shared" si="105"/>
        <v>9</v>
      </c>
      <c r="AS83" s="77">
        <f t="shared" si="106"/>
        <v>10</v>
      </c>
      <c r="AT83" s="77">
        <f t="shared" si="106"/>
        <v>11</v>
      </c>
      <c r="AU83" s="77">
        <f t="shared" si="106"/>
        <v>12</v>
      </c>
      <c r="AV83" s="77">
        <f t="shared" si="106"/>
        <v>13</v>
      </c>
      <c r="AW83" s="77">
        <f t="shared" si="106"/>
        <v>14</v>
      </c>
      <c r="AX83" s="77">
        <f t="shared" si="106"/>
        <v>15</v>
      </c>
      <c r="AY83" s="77">
        <f t="shared" si="106"/>
        <v>16</v>
      </c>
      <c r="AZ83" s="77">
        <f t="shared" ref="AS83:CJ87" si="110">IF(AY83="","",AY83+1)</f>
        <v>17</v>
      </c>
      <c r="BA83" s="77">
        <v>0</v>
      </c>
      <c r="BB83" s="77">
        <f t="shared" si="106"/>
        <v>1</v>
      </c>
      <c r="BC83" s="77">
        <f t="shared" si="106"/>
        <v>2</v>
      </c>
      <c r="BD83" s="77">
        <f t="shared" si="106"/>
        <v>3</v>
      </c>
      <c r="BE83" s="77">
        <f t="shared" si="106"/>
        <v>4</v>
      </c>
      <c r="BF83" s="77">
        <f t="shared" si="106"/>
        <v>5</v>
      </c>
      <c r="BG83" s="77">
        <f t="shared" si="106"/>
        <v>6</v>
      </c>
      <c r="BH83" s="77">
        <f t="shared" si="106"/>
        <v>7</v>
      </c>
      <c r="BI83" s="77">
        <f t="shared" si="106"/>
        <v>8</v>
      </c>
      <c r="BJ83" s="77">
        <f t="shared" si="106"/>
        <v>9</v>
      </c>
      <c r="BK83" s="77">
        <f t="shared" si="106"/>
        <v>10</v>
      </c>
      <c r="BL83" s="77">
        <f t="shared" si="106"/>
        <v>11</v>
      </c>
      <c r="BM83" s="77">
        <f t="shared" si="106"/>
        <v>12</v>
      </c>
      <c r="BN83" s="77">
        <f t="shared" si="106"/>
        <v>13</v>
      </c>
      <c r="BO83" s="77">
        <f t="shared" si="106"/>
        <v>14</v>
      </c>
      <c r="BP83" s="77">
        <f t="shared" si="106"/>
        <v>15</v>
      </c>
      <c r="BQ83" s="77">
        <f t="shared" si="106"/>
        <v>16</v>
      </c>
      <c r="BR83" s="77">
        <f t="shared" si="106"/>
        <v>17</v>
      </c>
      <c r="BS83" s="77">
        <f t="shared" si="106"/>
        <v>18</v>
      </c>
      <c r="BT83" s="77">
        <f t="shared" si="106"/>
        <v>19</v>
      </c>
      <c r="BU83" s="77">
        <f t="shared" si="106"/>
        <v>20</v>
      </c>
      <c r="BV83" s="77">
        <f t="shared" si="106"/>
        <v>21</v>
      </c>
      <c r="BW83" s="77">
        <f t="shared" si="106"/>
        <v>22</v>
      </c>
      <c r="BX83" s="77">
        <f t="shared" si="106"/>
        <v>23</v>
      </c>
      <c r="BY83" s="77">
        <f t="shared" si="106"/>
        <v>24</v>
      </c>
      <c r="BZ83" s="77">
        <f t="shared" si="106"/>
        <v>25</v>
      </c>
      <c r="CA83" s="77">
        <f t="shared" si="106"/>
        <v>26</v>
      </c>
      <c r="CB83" s="77">
        <f t="shared" si="106"/>
        <v>27</v>
      </c>
      <c r="CC83" s="77">
        <f t="shared" si="106"/>
        <v>28</v>
      </c>
      <c r="CD83" s="77">
        <f t="shared" si="106"/>
        <v>29</v>
      </c>
      <c r="CE83" s="77">
        <f t="shared" si="106"/>
        <v>30</v>
      </c>
      <c r="CF83" s="77">
        <f t="shared" si="106"/>
        <v>31</v>
      </c>
      <c r="CG83" s="77">
        <f t="shared" si="106"/>
        <v>32</v>
      </c>
      <c r="CH83" s="77">
        <f t="shared" si="106"/>
        <v>33</v>
      </c>
      <c r="CI83" s="77">
        <f t="shared" si="106"/>
        <v>34</v>
      </c>
      <c r="CJ83" s="77">
        <f t="shared" ref="CJ83:EU86" si="111">IF(CI83="","",CI83+1)</f>
        <v>35</v>
      </c>
      <c r="CK83" s="77">
        <f t="shared" si="111"/>
        <v>36</v>
      </c>
      <c r="CL83" s="77">
        <f t="shared" si="111"/>
        <v>37</v>
      </c>
      <c r="CM83" s="77">
        <f t="shared" si="111"/>
        <v>38</v>
      </c>
      <c r="CN83" s="77">
        <f t="shared" si="111"/>
        <v>39</v>
      </c>
      <c r="CO83" s="77">
        <f t="shared" si="111"/>
        <v>40</v>
      </c>
      <c r="CP83" s="77">
        <f t="shared" si="111"/>
        <v>41</v>
      </c>
      <c r="CQ83" s="77">
        <f t="shared" si="111"/>
        <v>42</v>
      </c>
      <c r="CR83" s="77">
        <f t="shared" si="111"/>
        <v>43</v>
      </c>
      <c r="CS83" s="77">
        <f t="shared" si="111"/>
        <v>44</v>
      </c>
      <c r="CT83" s="77">
        <f t="shared" si="111"/>
        <v>45</v>
      </c>
      <c r="CU83" s="77">
        <f t="shared" si="111"/>
        <v>46</v>
      </c>
      <c r="CV83" s="77">
        <f t="shared" si="111"/>
        <v>47</v>
      </c>
      <c r="CW83" s="77">
        <f t="shared" si="111"/>
        <v>48</v>
      </c>
      <c r="CX83" s="77">
        <f t="shared" si="111"/>
        <v>49</v>
      </c>
      <c r="CY83" s="77">
        <f t="shared" si="111"/>
        <v>50</v>
      </c>
      <c r="CZ83" s="77">
        <f t="shared" si="111"/>
        <v>51</v>
      </c>
      <c r="DA83" s="77">
        <f t="shared" si="111"/>
        <v>52</v>
      </c>
      <c r="DB83" s="77">
        <f t="shared" si="111"/>
        <v>53</v>
      </c>
      <c r="DC83" s="77">
        <f t="shared" si="111"/>
        <v>54</v>
      </c>
      <c r="DD83" s="77">
        <f t="shared" si="111"/>
        <v>55</v>
      </c>
      <c r="DE83" s="77">
        <f t="shared" si="111"/>
        <v>56</v>
      </c>
      <c r="DF83" s="77">
        <f t="shared" si="111"/>
        <v>57</v>
      </c>
      <c r="DG83" s="77">
        <f t="shared" si="111"/>
        <v>58</v>
      </c>
      <c r="DH83" s="77">
        <f t="shared" si="111"/>
        <v>59</v>
      </c>
      <c r="DI83" s="77">
        <f t="shared" si="111"/>
        <v>60</v>
      </c>
      <c r="DJ83" s="77">
        <f t="shared" si="111"/>
        <v>61</v>
      </c>
      <c r="DK83" s="77">
        <f t="shared" si="111"/>
        <v>62</v>
      </c>
      <c r="DL83" s="77">
        <f t="shared" si="111"/>
        <v>63</v>
      </c>
      <c r="DM83" s="77">
        <f t="shared" si="111"/>
        <v>64</v>
      </c>
      <c r="DN83" s="77">
        <f t="shared" si="111"/>
        <v>65</v>
      </c>
      <c r="DO83" s="77">
        <f t="shared" si="111"/>
        <v>66</v>
      </c>
      <c r="DP83" s="77">
        <f t="shared" si="111"/>
        <v>67</v>
      </c>
      <c r="DQ83" s="77">
        <f t="shared" si="111"/>
        <v>68</v>
      </c>
      <c r="DR83" s="77">
        <f t="shared" si="111"/>
        <v>69</v>
      </c>
      <c r="DS83" s="77">
        <f t="shared" si="111"/>
        <v>70</v>
      </c>
      <c r="DT83" s="77">
        <f t="shared" si="111"/>
        <v>71</v>
      </c>
      <c r="DU83" s="77">
        <f t="shared" si="111"/>
        <v>72</v>
      </c>
      <c r="DV83" s="77">
        <f t="shared" si="111"/>
        <v>73</v>
      </c>
      <c r="DW83" s="77">
        <f t="shared" si="111"/>
        <v>74</v>
      </c>
      <c r="DX83" s="77">
        <f t="shared" si="111"/>
        <v>75</v>
      </c>
      <c r="DY83" s="77">
        <f t="shared" si="111"/>
        <v>76</v>
      </c>
      <c r="DZ83" s="77">
        <f t="shared" si="111"/>
        <v>77</v>
      </c>
      <c r="EA83" s="77">
        <f t="shared" si="111"/>
        <v>78</v>
      </c>
      <c r="EB83" s="77">
        <f t="shared" si="111"/>
        <v>79</v>
      </c>
      <c r="EC83" s="77">
        <f t="shared" si="111"/>
        <v>80</v>
      </c>
      <c r="ED83" s="77">
        <f t="shared" si="111"/>
        <v>81</v>
      </c>
      <c r="EE83" s="77">
        <f t="shared" si="111"/>
        <v>82</v>
      </c>
      <c r="EF83" s="77">
        <f t="shared" si="111"/>
        <v>83</v>
      </c>
      <c r="EG83" s="77">
        <f t="shared" si="111"/>
        <v>84</v>
      </c>
      <c r="EH83" s="77">
        <f t="shared" si="111"/>
        <v>85</v>
      </c>
      <c r="EI83" s="77">
        <f t="shared" si="111"/>
        <v>86</v>
      </c>
      <c r="EJ83" s="77">
        <f t="shared" si="111"/>
        <v>87</v>
      </c>
      <c r="EK83" s="77">
        <f t="shared" si="111"/>
        <v>88</v>
      </c>
      <c r="EL83" s="77">
        <f t="shared" si="111"/>
        <v>89</v>
      </c>
      <c r="EM83" s="77">
        <f t="shared" si="111"/>
        <v>90</v>
      </c>
      <c r="EN83" s="77">
        <f t="shared" si="111"/>
        <v>91</v>
      </c>
      <c r="EO83" s="77">
        <f t="shared" si="111"/>
        <v>92</v>
      </c>
      <c r="EP83" s="77">
        <f t="shared" si="111"/>
        <v>93</v>
      </c>
      <c r="EQ83" s="77">
        <f t="shared" si="111"/>
        <v>94</v>
      </c>
      <c r="ER83" s="77">
        <f t="shared" si="111"/>
        <v>95</v>
      </c>
      <c r="ES83" s="77">
        <f t="shared" si="111"/>
        <v>96</v>
      </c>
      <c r="ET83" s="77">
        <f t="shared" si="111"/>
        <v>97</v>
      </c>
      <c r="EU83" s="77">
        <f t="shared" si="111"/>
        <v>98</v>
      </c>
      <c r="EV83" s="77">
        <f t="shared" si="95"/>
        <v>99</v>
      </c>
      <c r="EW83" s="77">
        <f t="shared" ref="EW83:GX83" si="112">IF(EV83="","",EV83+1)</f>
        <v>100</v>
      </c>
      <c r="EX83" s="77">
        <f t="shared" si="112"/>
        <v>101</v>
      </c>
      <c r="EY83" s="77">
        <f t="shared" si="112"/>
        <v>102</v>
      </c>
      <c r="EZ83" s="77">
        <f t="shared" si="112"/>
        <v>103</v>
      </c>
      <c r="FA83" s="77">
        <f t="shared" si="112"/>
        <v>104</v>
      </c>
      <c r="FB83" s="77">
        <f t="shared" si="112"/>
        <v>105</v>
      </c>
      <c r="FC83" s="77">
        <f t="shared" si="112"/>
        <v>106</v>
      </c>
      <c r="FD83" s="77">
        <f t="shared" si="112"/>
        <v>107</v>
      </c>
      <c r="FE83" s="77">
        <f t="shared" si="112"/>
        <v>108</v>
      </c>
      <c r="FF83" s="77">
        <f t="shared" si="112"/>
        <v>109</v>
      </c>
      <c r="FG83" s="77">
        <f t="shared" si="112"/>
        <v>110</v>
      </c>
      <c r="FH83" s="77">
        <f t="shared" si="112"/>
        <v>111</v>
      </c>
      <c r="FI83" s="77">
        <f t="shared" si="112"/>
        <v>112</v>
      </c>
      <c r="FJ83" s="77">
        <f t="shared" si="112"/>
        <v>113</v>
      </c>
      <c r="FK83" s="77">
        <f t="shared" si="112"/>
        <v>114</v>
      </c>
      <c r="FL83" s="77">
        <f t="shared" si="112"/>
        <v>115</v>
      </c>
      <c r="FM83" s="77">
        <f t="shared" si="112"/>
        <v>116</v>
      </c>
      <c r="FN83" s="77">
        <f t="shared" si="112"/>
        <v>117</v>
      </c>
      <c r="FO83" s="77">
        <f t="shared" si="112"/>
        <v>118</v>
      </c>
      <c r="FP83" s="77">
        <f t="shared" si="112"/>
        <v>119</v>
      </c>
      <c r="FQ83" s="77">
        <f t="shared" si="112"/>
        <v>120</v>
      </c>
      <c r="FR83" s="77">
        <f t="shared" si="112"/>
        <v>121</v>
      </c>
      <c r="FS83" s="77">
        <f t="shared" si="112"/>
        <v>122</v>
      </c>
      <c r="FT83" s="77">
        <f t="shared" si="112"/>
        <v>123</v>
      </c>
      <c r="FU83" s="77">
        <f t="shared" si="112"/>
        <v>124</v>
      </c>
      <c r="FV83" s="77">
        <f t="shared" si="112"/>
        <v>125</v>
      </c>
      <c r="FW83" s="77">
        <f t="shared" si="112"/>
        <v>126</v>
      </c>
      <c r="FX83" s="77">
        <f t="shared" si="112"/>
        <v>127</v>
      </c>
      <c r="FY83" s="77">
        <f t="shared" si="112"/>
        <v>128</v>
      </c>
      <c r="FZ83" s="77">
        <f t="shared" si="112"/>
        <v>129</v>
      </c>
      <c r="GA83" s="77">
        <f t="shared" si="112"/>
        <v>130</v>
      </c>
      <c r="GB83" s="77">
        <f t="shared" si="112"/>
        <v>131</v>
      </c>
      <c r="GC83" s="77">
        <f t="shared" si="112"/>
        <v>132</v>
      </c>
      <c r="GD83" s="77">
        <f t="shared" si="112"/>
        <v>133</v>
      </c>
      <c r="GE83" s="77">
        <f t="shared" si="112"/>
        <v>134</v>
      </c>
      <c r="GF83" s="77">
        <f t="shared" si="112"/>
        <v>135</v>
      </c>
      <c r="GG83" s="77">
        <f t="shared" si="112"/>
        <v>136</v>
      </c>
      <c r="GH83" s="77">
        <f t="shared" si="112"/>
        <v>137</v>
      </c>
      <c r="GI83" s="77">
        <f t="shared" si="112"/>
        <v>138</v>
      </c>
      <c r="GJ83" s="77">
        <f t="shared" si="112"/>
        <v>139</v>
      </c>
      <c r="GK83" s="77">
        <f t="shared" si="112"/>
        <v>140</v>
      </c>
      <c r="GL83" s="77">
        <f t="shared" si="112"/>
        <v>141</v>
      </c>
      <c r="GM83" s="77">
        <f t="shared" si="112"/>
        <v>142</v>
      </c>
      <c r="GN83" s="77">
        <f t="shared" si="112"/>
        <v>143</v>
      </c>
      <c r="GO83" s="77">
        <f t="shared" si="112"/>
        <v>144</v>
      </c>
      <c r="GP83" s="77">
        <f t="shared" si="112"/>
        <v>145</v>
      </c>
      <c r="GQ83" s="77">
        <f t="shared" si="112"/>
        <v>146</v>
      </c>
      <c r="GR83" s="77">
        <f t="shared" si="112"/>
        <v>147</v>
      </c>
      <c r="GS83" s="77">
        <f t="shared" si="112"/>
        <v>148</v>
      </c>
      <c r="GT83" s="77">
        <f t="shared" si="112"/>
        <v>149</v>
      </c>
      <c r="GU83" s="77">
        <f t="shared" si="112"/>
        <v>150</v>
      </c>
      <c r="GV83" s="77">
        <f t="shared" si="112"/>
        <v>151</v>
      </c>
      <c r="GW83" s="77">
        <f t="shared" si="112"/>
        <v>152</v>
      </c>
      <c r="GX83" s="77">
        <f t="shared" si="112"/>
        <v>153</v>
      </c>
    </row>
    <row r="84" spans="1:206" ht="15" customHeight="1" x14ac:dyDescent="0.2">
      <c r="A84" s="22" t="s">
        <v>194</v>
      </c>
      <c r="B84" s="22">
        <v>5</v>
      </c>
      <c r="C84" s="22" t="s">
        <v>194</v>
      </c>
      <c r="D84" s="22" t="s">
        <v>197</v>
      </c>
      <c r="E84" s="22" t="s">
        <v>198</v>
      </c>
      <c r="F84" s="22" t="s">
        <v>71</v>
      </c>
      <c r="G84" s="22" t="s">
        <v>72</v>
      </c>
      <c r="H84" s="22">
        <v>2022</v>
      </c>
      <c r="I84" s="22">
        <v>4</v>
      </c>
      <c r="J84" s="22">
        <v>11</v>
      </c>
      <c r="K84" s="22">
        <v>0</v>
      </c>
      <c r="L84" s="22">
        <v>1606</v>
      </c>
      <c r="M84" s="22">
        <v>1606</v>
      </c>
      <c r="N84" s="22" t="s">
        <v>196</v>
      </c>
      <c r="O84" s="22" t="s">
        <v>74</v>
      </c>
      <c r="P84" s="22" t="s">
        <v>75</v>
      </c>
      <c r="Q84" s="108">
        <f>IF(R84="","",'Dashboard Ciclos'!$B$2-R84)</f>
        <v>46234</v>
      </c>
      <c r="R84" s="22">
        <f>IF($E84="","",IFERROR(INDEX($W84:$GX84,MATCH('Dashboard Ciclos'!$B$2,$W$1:$GX$1,0)),""))</f>
        <v>15</v>
      </c>
      <c r="S84" s="22" t="str">
        <f t="shared" si="83"/>
        <v>Vencido 1-5 d</v>
      </c>
      <c r="T84" s="22" t="str">
        <f t="shared" si="84"/>
        <v>Fuera de ciclo</v>
      </c>
      <c r="U84" s="22">
        <f t="shared" si="85"/>
        <v>-3</v>
      </c>
      <c r="V84" s="23">
        <f t="shared" si="86"/>
        <v>46246</v>
      </c>
      <c r="W84" s="77">
        <f t="shared" si="108"/>
        <v>18</v>
      </c>
      <c r="X84" s="77">
        <f t="shared" si="108"/>
        <v>19</v>
      </c>
      <c r="Y84" s="77">
        <f t="shared" si="108"/>
        <v>20</v>
      </c>
      <c r="Z84" s="77">
        <f t="shared" si="108"/>
        <v>21</v>
      </c>
      <c r="AA84" s="77">
        <v>22</v>
      </c>
      <c r="AB84" s="77">
        <f t="shared" si="89"/>
        <v>23</v>
      </c>
      <c r="AC84" s="77">
        <f t="shared" si="89"/>
        <v>24</v>
      </c>
      <c r="AD84" s="77">
        <f t="shared" si="89"/>
        <v>25</v>
      </c>
      <c r="AE84" s="77">
        <f t="shared" si="89"/>
        <v>26</v>
      </c>
      <c r="AF84" s="77">
        <f t="shared" si="89"/>
        <v>27</v>
      </c>
      <c r="AG84" s="77">
        <f t="shared" si="89"/>
        <v>28</v>
      </c>
      <c r="AH84" s="77">
        <f t="shared" si="89"/>
        <v>29</v>
      </c>
      <c r="AI84" s="77">
        <f t="shared" si="89"/>
        <v>30</v>
      </c>
      <c r="AJ84" s="77">
        <v>0</v>
      </c>
      <c r="AK84" s="77">
        <f t="shared" si="90"/>
        <v>1</v>
      </c>
      <c r="AL84" s="77">
        <f t="shared" si="90"/>
        <v>2</v>
      </c>
      <c r="AM84" s="77">
        <f t="shared" si="90"/>
        <v>3</v>
      </c>
      <c r="AN84" s="77">
        <f t="shared" si="91"/>
        <v>4</v>
      </c>
      <c r="AO84" s="77">
        <f t="shared" si="90"/>
        <v>5</v>
      </c>
      <c r="AP84" s="77">
        <f t="shared" si="90"/>
        <v>6</v>
      </c>
      <c r="AQ84" s="77">
        <f t="shared" si="90"/>
        <v>7</v>
      </c>
      <c r="AR84" s="77">
        <f t="shared" si="105"/>
        <v>8</v>
      </c>
      <c r="AS84" s="77">
        <f t="shared" si="110"/>
        <v>9</v>
      </c>
      <c r="AT84" s="77">
        <f t="shared" si="110"/>
        <v>10</v>
      </c>
      <c r="AU84" s="77">
        <f t="shared" si="110"/>
        <v>11</v>
      </c>
      <c r="AV84" s="77">
        <f t="shared" si="110"/>
        <v>12</v>
      </c>
      <c r="AW84" s="77">
        <f t="shared" si="110"/>
        <v>13</v>
      </c>
      <c r="AX84" s="77">
        <f t="shared" si="110"/>
        <v>14</v>
      </c>
      <c r="AY84" s="77">
        <f t="shared" si="110"/>
        <v>15</v>
      </c>
      <c r="AZ84" s="77">
        <f t="shared" si="110"/>
        <v>16</v>
      </c>
      <c r="BA84" s="77">
        <v>0</v>
      </c>
      <c r="BB84" s="77">
        <f t="shared" si="110"/>
        <v>1</v>
      </c>
      <c r="BC84" s="77">
        <f t="shared" si="110"/>
        <v>2</v>
      </c>
      <c r="BD84" s="77">
        <f t="shared" si="110"/>
        <v>3</v>
      </c>
      <c r="BE84" s="77">
        <f t="shared" si="110"/>
        <v>4</v>
      </c>
      <c r="BF84" s="77">
        <f t="shared" si="110"/>
        <v>5</v>
      </c>
      <c r="BG84" s="77">
        <f t="shared" si="110"/>
        <v>6</v>
      </c>
      <c r="BH84" s="77">
        <f t="shared" si="110"/>
        <v>7</v>
      </c>
      <c r="BI84" s="77">
        <f t="shared" si="110"/>
        <v>8</v>
      </c>
      <c r="BJ84" s="77">
        <f t="shared" si="110"/>
        <v>9</v>
      </c>
      <c r="BK84" s="77">
        <f t="shared" si="110"/>
        <v>10</v>
      </c>
      <c r="BL84" s="77">
        <f t="shared" si="110"/>
        <v>11</v>
      </c>
      <c r="BM84" s="77">
        <f t="shared" si="110"/>
        <v>12</v>
      </c>
      <c r="BN84" s="77">
        <f t="shared" si="110"/>
        <v>13</v>
      </c>
      <c r="BO84" s="77">
        <f t="shared" si="110"/>
        <v>14</v>
      </c>
      <c r="BP84" s="77">
        <f t="shared" si="110"/>
        <v>15</v>
      </c>
      <c r="BQ84" s="77">
        <f t="shared" si="110"/>
        <v>16</v>
      </c>
      <c r="BR84" s="77">
        <f t="shared" si="110"/>
        <v>17</v>
      </c>
      <c r="BS84" s="77">
        <f t="shared" si="110"/>
        <v>18</v>
      </c>
      <c r="BT84" s="77">
        <f t="shared" si="110"/>
        <v>19</v>
      </c>
      <c r="BU84" s="77">
        <f t="shared" si="110"/>
        <v>20</v>
      </c>
      <c r="BV84" s="77">
        <f t="shared" si="110"/>
        <v>21</v>
      </c>
      <c r="BW84" s="77">
        <f t="shared" si="110"/>
        <v>22</v>
      </c>
      <c r="BX84" s="77">
        <f t="shared" si="110"/>
        <v>23</v>
      </c>
      <c r="BY84" s="77">
        <f t="shared" si="110"/>
        <v>24</v>
      </c>
      <c r="BZ84" s="77">
        <f t="shared" si="110"/>
        <v>25</v>
      </c>
      <c r="CA84" s="77">
        <f t="shared" si="110"/>
        <v>26</v>
      </c>
      <c r="CB84" s="77">
        <f t="shared" si="110"/>
        <v>27</v>
      </c>
      <c r="CC84" s="77">
        <f t="shared" si="110"/>
        <v>28</v>
      </c>
      <c r="CD84" s="77">
        <f t="shared" si="110"/>
        <v>29</v>
      </c>
      <c r="CE84" s="77">
        <f t="shared" si="110"/>
        <v>30</v>
      </c>
      <c r="CF84" s="77">
        <f t="shared" si="110"/>
        <v>31</v>
      </c>
      <c r="CG84" s="77">
        <f t="shared" si="110"/>
        <v>32</v>
      </c>
      <c r="CH84" s="77">
        <f t="shared" si="110"/>
        <v>33</v>
      </c>
      <c r="CI84" s="77">
        <f t="shared" si="110"/>
        <v>34</v>
      </c>
      <c r="CJ84" s="77">
        <f t="shared" si="110"/>
        <v>35</v>
      </c>
      <c r="CK84" s="77">
        <f t="shared" si="111"/>
        <v>36</v>
      </c>
      <c r="CL84" s="77">
        <f t="shared" si="111"/>
        <v>37</v>
      </c>
      <c r="CM84" s="77">
        <f t="shared" si="111"/>
        <v>38</v>
      </c>
      <c r="CN84" s="77">
        <f t="shared" si="111"/>
        <v>39</v>
      </c>
      <c r="CO84" s="77">
        <f t="shared" si="111"/>
        <v>40</v>
      </c>
      <c r="CP84" s="77">
        <f t="shared" si="111"/>
        <v>41</v>
      </c>
      <c r="CQ84" s="77">
        <f t="shared" si="111"/>
        <v>42</v>
      </c>
      <c r="CR84" s="77">
        <f t="shared" si="111"/>
        <v>43</v>
      </c>
      <c r="CS84" s="77">
        <f t="shared" si="111"/>
        <v>44</v>
      </c>
      <c r="CT84" s="77">
        <f t="shared" si="111"/>
        <v>45</v>
      </c>
      <c r="CU84" s="77">
        <f t="shared" si="111"/>
        <v>46</v>
      </c>
      <c r="CV84" s="77">
        <f t="shared" si="111"/>
        <v>47</v>
      </c>
      <c r="CW84" s="77">
        <f t="shared" si="111"/>
        <v>48</v>
      </c>
      <c r="CX84" s="77">
        <f t="shared" si="111"/>
        <v>49</v>
      </c>
      <c r="CY84" s="77">
        <f t="shared" si="111"/>
        <v>50</v>
      </c>
      <c r="CZ84" s="77">
        <f t="shared" si="111"/>
        <v>51</v>
      </c>
      <c r="DA84" s="77">
        <f t="shared" si="111"/>
        <v>52</v>
      </c>
      <c r="DB84" s="77">
        <f t="shared" si="111"/>
        <v>53</v>
      </c>
      <c r="DC84" s="77">
        <f t="shared" si="111"/>
        <v>54</v>
      </c>
      <c r="DD84" s="77">
        <f t="shared" si="111"/>
        <v>55</v>
      </c>
      <c r="DE84" s="77">
        <f t="shared" si="111"/>
        <v>56</v>
      </c>
      <c r="DF84" s="77">
        <f t="shared" si="111"/>
        <v>57</v>
      </c>
      <c r="DG84" s="77">
        <f t="shared" si="111"/>
        <v>58</v>
      </c>
      <c r="DH84" s="77">
        <f t="shared" si="111"/>
        <v>59</v>
      </c>
      <c r="DI84" s="77">
        <f t="shared" si="111"/>
        <v>60</v>
      </c>
      <c r="DJ84" s="77">
        <f t="shared" si="111"/>
        <v>61</v>
      </c>
      <c r="DK84" s="77">
        <f t="shared" si="111"/>
        <v>62</v>
      </c>
      <c r="DL84" s="77">
        <f t="shared" si="111"/>
        <v>63</v>
      </c>
      <c r="DM84" s="77">
        <f t="shared" si="111"/>
        <v>64</v>
      </c>
      <c r="DN84" s="77">
        <f t="shared" si="111"/>
        <v>65</v>
      </c>
      <c r="DO84" s="77">
        <f t="shared" si="111"/>
        <v>66</v>
      </c>
      <c r="DP84" s="77">
        <f t="shared" si="111"/>
        <v>67</v>
      </c>
      <c r="DQ84" s="77">
        <f t="shared" si="111"/>
        <v>68</v>
      </c>
      <c r="DR84" s="77">
        <f t="shared" si="111"/>
        <v>69</v>
      </c>
      <c r="DS84" s="77">
        <f t="shared" si="111"/>
        <v>70</v>
      </c>
      <c r="DT84" s="77">
        <f t="shared" si="111"/>
        <v>71</v>
      </c>
      <c r="DU84" s="77">
        <f t="shared" si="111"/>
        <v>72</v>
      </c>
      <c r="DV84" s="77">
        <f t="shared" si="111"/>
        <v>73</v>
      </c>
      <c r="DW84" s="77">
        <f t="shared" si="111"/>
        <v>74</v>
      </c>
      <c r="DX84" s="77">
        <f t="shared" si="111"/>
        <v>75</v>
      </c>
      <c r="DY84" s="77">
        <f t="shared" si="111"/>
        <v>76</v>
      </c>
      <c r="DZ84" s="77">
        <f t="shared" si="111"/>
        <v>77</v>
      </c>
      <c r="EA84" s="77">
        <f t="shared" si="111"/>
        <v>78</v>
      </c>
      <c r="EB84" s="77">
        <f t="shared" si="111"/>
        <v>79</v>
      </c>
      <c r="EC84" s="77">
        <f t="shared" si="111"/>
        <v>80</v>
      </c>
      <c r="ED84" s="77">
        <f t="shared" si="111"/>
        <v>81</v>
      </c>
      <c r="EE84" s="77">
        <f t="shared" si="111"/>
        <v>82</v>
      </c>
      <c r="EF84" s="77">
        <f t="shared" si="111"/>
        <v>83</v>
      </c>
      <c r="EG84" s="77">
        <f t="shared" si="111"/>
        <v>84</v>
      </c>
      <c r="EH84" s="77">
        <f t="shared" si="111"/>
        <v>85</v>
      </c>
      <c r="EI84" s="77">
        <f t="shared" si="111"/>
        <v>86</v>
      </c>
      <c r="EJ84" s="77">
        <f t="shared" si="111"/>
        <v>87</v>
      </c>
      <c r="EK84" s="77">
        <f t="shared" si="111"/>
        <v>88</v>
      </c>
      <c r="EL84" s="77">
        <f t="shared" si="111"/>
        <v>89</v>
      </c>
      <c r="EM84" s="77">
        <f t="shared" si="111"/>
        <v>90</v>
      </c>
      <c r="EN84" s="77">
        <f t="shared" si="111"/>
        <v>91</v>
      </c>
      <c r="EO84" s="77">
        <f t="shared" si="111"/>
        <v>92</v>
      </c>
      <c r="EP84" s="77">
        <f t="shared" si="111"/>
        <v>93</v>
      </c>
      <c r="EQ84" s="77">
        <f t="shared" si="111"/>
        <v>94</v>
      </c>
      <c r="ER84" s="77">
        <f t="shared" si="111"/>
        <v>95</v>
      </c>
      <c r="ES84" s="77">
        <f t="shared" si="111"/>
        <v>96</v>
      </c>
      <c r="ET84" s="77">
        <f t="shared" si="111"/>
        <v>97</v>
      </c>
      <c r="EU84" s="77">
        <f t="shared" si="111"/>
        <v>98</v>
      </c>
      <c r="EV84" s="77">
        <f t="shared" ref="EV84:GX88" si="113">IF(EU84="","",EU84+1)</f>
        <v>99</v>
      </c>
      <c r="EW84" s="77">
        <f t="shared" si="113"/>
        <v>100</v>
      </c>
      <c r="EX84" s="77">
        <f t="shared" si="113"/>
        <v>101</v>
      </c>
      <c r="EY84" s="77">
        <f t="shared" si="113"/>
        <v>102</v>
      </c>
      <c r="EZ84" s="77">
        <f t="shared" si="113"/>
        <v>103</v>
      </c>
      <c r="FA84" s="77">
        <f t="shared" si="113"/>
        <v>104</v>
      </c>
      <c r="FB84" s="77">
        <f t="shared" si="113"/>
        <v>105</v>
      </c>
      <c r="FC84" s="77">
        <f t="shared" si="113"/>
        <v>106</v>
      </c>
      <c r="FD84" s="77">
        <f t="shared" si="113"/>
        <v>107</v>
      </c>
      <c r="FE84" s="77">
        <f t="shared" si="113"/>
        <v>108</v>
      </c>
      <c r="FF84" s="77">
        <f t="shared" si="113"/>
        <v>109</v>
      </c>
      <c r="FG84" s="77">
        <f t="shared" si="113"/>
        <v>110</v>
      </c>
      <c r="FH84" s="77">
        <f t="shared" si="113"/>
        <v>111</v>
      </c>
      <c r="FI84" s="77">
        <f t="shared" si="113"/>
        <v>112</v>
      </c>
      <c r="FJ84" s="77">
        <f t="shared" si="113"/>
        <v>113</v>
      </c>
      <c r="FK84" s="77">
        <f t="shared" si="113"/>
        <v>114</v>
      </c>
      <c r="FL84" s="77">
        <f t="shared" si="113"/>
        <v>115</v>
      </c>
      <c r="FM84" s="77">
        <f t="shared" si="113"/>
        <v>116</v>
      </c>
      <c r="FN84" s="77">
        <f t="shared" si="113"/>
        <v>117</v>
      </c>
      <c r="FO84" s="77">
        <f t="shared" si="113"/>
        <v>118</v>
      </c>
      <c r="FP84" s="77">
        <f t="shared" si="113"/>
        <v>119</v>
      </c>
      <c r="FQ84" s="77">
        <f t="shared" si="113"/>
        <v>120</v>
      </c>
      <c r="FR84" s="77">
        <f t="shared" si="113"/>
        <v>121</v>
      </c>
      <c r="FS84" s="77">
        <f t="shared" si="113"/>
        <v>122</v>
      </c>
      <c r="FT84" s="77">
        <f t="shared" si="113"/>
        <v>123</v>
      </c>
      <c r="FU84" s="77">
        <f t="shared" si="113"/>
        <v>124</v>
      </c>
      <c r="FV84" s="77">
        <f t="shared" si="113"/>
        <v>125</v>
      </c>
      <c r="FW84" s="77">
        <f t="shared" si="113"/>
        <v>126</v>
      </c>
      <c r="FX84" s="77">
        <f t="shared" si="113"/>
        <v>127</v>
      </c>
      <c r="FY84" s="77">
        <f t="shared" si="113"/>
        <v>128</v>
      </c>
      <c r="FZ84" s="77">
        <f t="shared" si="113"/>
        <v>129</v>
      </c>
      <c r="GA84" s="77">
        <f t="shared" si="113"/>
        <v>130</v>
      </c>
      <c r="GB84" s="77">
        <f t="shared" si="113"/>
        <v>131</v>
      </c>
      <c r="GC84" s="77">
        <f t="shared" si="113"/>
        <v>132</v>
      </c>
      <c r="GD84" s="77">
        <f t="shared" si="113"/>
        <v>133</v>
      </c>
      <c r="GE84" s="77">
        <f t="shared" si="113"/>
        <v>134</v>
      </c>
      <c r="GF84" s="77">
        <f t="shared" si="113"/>
        <v>135</v>
      </c>
      <c r="GG84" s="77">
        <f t="shared" si="113"/>
        <v>136</v>
      </c>
      <c r="GH84" s="77">
        <f t="shared" si="113"/>
        <v>137</v>
      </c>
      <c r="GI84" s="77">
        <f t="shared" si="113"/>
        <v>138</v>
      </c>
      <c r="GJ84" s="77">
        <f t="shared" si="113"/>
        <v>139</v>
      </c>
      <c r="GK84" s="77">
        <f t="shared" si="113"/>
        <v>140</v>
      </c>
      <c r="GL84" s="77">
        <f t="shared" si="113"/>
        <v>141</v>
      </c>
      <c r="GM84" s="77">
        <f t="shared" si="113"/>
        <v>142</v>
      </c>
      <c r="GN84" s="77">
        <f t="shared" si="113"/>
        <v>143</v>
      </c>
      <c r="GO84" s="77">
        <f t="shared" si="113"/>
        <v>144</v>
      </c>
      <c r="GP84" s="77">
        <f t="shared" si="113"/>
        <v>145</v>
      </c>
      <c r="GQ84" s="77">
        <f t="shared" si="113"/>
        <v>146</v>
      </c>
      <c r="GR84" s="77">
        <f t="shared" si="113"/>
        <v>147</v>
      </c>
      <c r="GS84" s="77">
        <f t="shared" si="113"/>
        <v>148</v>
      </c>
      <c r="GT84" s="77">
        <f t="shared" si="113"/>
        <v>149</v>
      </c>
      <c r="GU84" s="77">
        <f t="shared" si="113"/>
        <v>150</v>
      </c>
      <c r="GV84" s="77">
        <f t="shared" si="113"/>
        <v>151</v>
      </c>
      <c r="GW84" s="77">
        <f t="shared" si="113"/>
        <v>152</v>
      </c>
      <c r="GX84" s="77">
        <f t="shared" si="113"/>
        <v>153</v>
      </c>
    </row>
    <row r="85" spans="1:206" ht="15" customHeight="1" x14ac:dyDescent="0.2">
      <c r="A85" s="22" t="s">
        <v>194</v>
      </c>
      <c r="B85" s="22">
        <v>5</v>
      </c>
      <c r="C85" s="22" t="s">
        <v>194</v>
      </c>
      <c r="D85" s="22" t="s">
        <v>199</v>
      </c>
      <c r="E85" s="22" t="s">
        <v>200</v>
      </c>
      <c r="F85" s="22" t="s">
        <v>71</v>
      </c>
      <c r="G85" s="22" t="s">
        <v>72</v>
      </c>
      <c r="H85" s="22">
        <v>2022</v>
      </c>
      <c r="I85" s="22">
        <v>4</v>
      </c>
      <c r="J85" s="22">
        <v>11</v>
      </c>
      <c r="K85" s="22">
        <v>0</v>
      </c>
      <c r="L85" s="22">
        <v>1618</v>
      </c>
      <c r="M85" s="22">
        <v>1618</v>
      </c>
      <c r="N85" s="22" t="s">
        <v>196</v>
      </c>
      <c r="O85" s="22" t="s">
        <v>74</v>
      </c>
      <c r="P85" s="22" t="s">
        <v>75</v>
      </c>
      <c r="Q85" s="108">
        <f>IF(R85="","",'Dashboard Ciclos'!$B$2-R85)</f>
        <v>46234</v>
      </c>
      <c r="R85" s="22">
        <f>IF($E85="","",IFERROR(INDEX($W85:$GX85,MATCH('Dashboard Ciclos'!$B$2,$W$1:$GX$1,0)),""))</f>
        <v>15</v>
      </c>
      <c r="S85" s="22" t="str">
        <f t="shared" si="83"/>
        <v>Vencido 1-5 d</v>
      </c>
      <c r="T85" s="22" t="str">
        <f t="shared" si="84"/>
        <v>Fuera de ciclo</v>
      </c>
      <c r="U85" s="22">
        <f t="shared" si="85"/>
        <v>-3</v>
      </c>
      <c r="V85" s="23">
        <f t="shared" si="86"/>
        <v>46246</v>
      </c>
      <c r="W85" s="77">
        <f t="shared" si="108"/>
        <v>14</v>
      </c>
      <c r="X85" s="77">
        <f t="shared" si="108"/>
        <v>15</v>
      </c>
      <c r="Y85" s="77">
        <f t="shared" si="108"/>
        <v>16</v>
      </c>
      <c r="Z85" s="77">
        <f t="shared" si="108"/>
        <v>17</v>
      </c>
      <c r="AA85" s="77">
        <v>18</v>
      </c>
      <c r="AB85" s="77">
        <f t="shared" si="89"/>
        <v>19</v>
      </c>
      <c r="AC85" s="77">
        <f t="shared" si="89"/>
        <v>20</v>
      </c>
      <c r="AD85" s="77">
        <f t="shared" si="89"/>
        <v>21</v>
      </c>
      <c r="AE85" s="77">
        <f t="shared" si="89"/>
        <v>22</v>
      </c>
      <c r="AF85" s="77">
        <f t="shared" si="89"/>
        <v>23</v>
      </c>
      <c r="AG85" s="77">
        <f t="shared" si="89"/>
        <v>24</v>
      </c>
      <c r="AH85" s="77">
        <f t="shared" si="89"/>
        <v>25</v>
      </c>
      <c r="AI85" s="77">
        <f t="shared" si="89"/>
        <v>26</v>
      </c>
      <c r="AJ85" s="77">
        <f t="shared" si="89"/>
        <v>27</v>
      </c>
      <c r="AK85" s="77">
        <v>0</v>
      </c>
      <c r="AL85" s="77">
        <f t="shared" si="90"/>
        <v>1</v>
      </c>
      <c r="AM85" s="77">
        <f t="shared" si="90"/>
        <v>2</v>
      </c>
      <c r="AN85" s="77">
        <f t="shared" si="91"/>
        <v>3</v>
      </c>
      <c r="AO85" s="77">
        <f t="shared" si="90"/>
        <v>4</v>
      </c>
      <c r="AP85" s="77">
        <f t="shared" si="90"/>
        <v>5</v>
      </c>
      <c r="AQ85" s="77">
        <f t="shared" si="90"/>
        <v>6</v>
      </c>
      <c r="AR85" s="77">
        <f t="shared" si="105"/>
        <v>7</v>
      </c>
      <c r="AS85" s="77">
        <f t="shared" si="110"/>
        <v>8</v>
      </c>
      <c r="AT85" s="77">
        <f t="shared" si="110"/>
        <v>9</v>
      </c>
      <c r="AU85" s="77">
        <f t="shared" si="110"/>
        <v>10</v>
      </c>
      <c r="AV85" s="77">
        <f t="shared" si="110"/>
        <v>11</v>
      </c>
      <c r="AW85" s="77">
        <f t="shared" si="110"/>
        <v>12</v>
      </c>
      <c r="AX85" s="77">
        <f t="shared" si="110"/>
        <v>13</v>
      </c>
      <c r="AY85" s="77">
        <f t="shared" si="110"/>
        <v>14</v>
      </c>
      <c r="AZ85" s="77">
        <f t="shared" si="110"/>
        <v>15</v>
      </c>
      <c r="BA85" s="77">
        <v>0</v>
      </c>
      <c r="BB85" s="77">
        <f t="shared" si="110"/>
        <v>1</v>
      </c>
      <c r="BC85" s="77">
        <f t="shared" si="110"/>
        <v>2</v>
      </c>
      <c r="BD85" s="77">
        <f t="shared" si="110"/>
        <v>3</v>
      </c>
      <c r="BE85" s="77">
        <f t="shared" si="110"/>
        <v>4</v>
      </c>
      <c r="BF85" s="77">
        <f t="shared" si="110"/>
        <v>5</v>
      </c>
      <c r="BG85" s="77">
        <f t="shared" si="110"/>
        <v>6</v>
      </c>
      <c r="BH85" s="77">
        <f t="shared" si="110"/>
        <v>7</v>
      </c>
      <c r="BI85" s="77">
        <f t="shared" si="110"/>
        <v>8</v>
      </c>
      <c r="BJ85" s="77">
        <f t="shared" si="110"/>
        <v>9</v>
      </c>
      <c r="BK85" s="77">
        <f t="shared" si="110"/>
        <v>10</v>
      </c>
      <c r="BL85" s="77">
        <f t="shared" si="110"/>
        <v>11</v>
      </c>
      <c r="BM85" s="77">
        <f t="shared" si="110"/>
        <v>12</v>
      </c>
      <c r="BN85" s="77">
        <f t="shared" si="110"/>
        <v>13</v>
      </c>
      <c r="BO85" s="77">
        <f t="shared" si="110"/>
        <v>14</v>
      </c>
      <c r="BP85" s="77">
        <f t="shared" si="110"/>
        <v>15</v>
      </c>
      <c r="BQ85" s="77">
        <f t="shared" si="110"/>
        <v>16</v>
      </c>
      <c r="BR85" s="77">
        <f t="shared" si="110"/>
        <v>17</v>
      </c>
      <c r="BS85" s="77">
        <f t="shared" si="110"/>
        <v>18</v>
      </c>
      <c r="BT85" s="77">
        <f t="shared" si="110"/>
        <v>19</v>
      </c>
      <c r="BU85" s="77">
        <f t="shared" si="110"/>
        <v>20</v>
      </c>
      <c r="BV85" s="77">
        <f t="shared" si="110"/>
        <v>21</v>
      </c>
      <c r="BW85" s="77">
        <f t="shared" si="110"/>
        <v>22</v>
      </c>
      <c r="BX85" s="77">
        <f t="shared" si="110"/>
        <v>23</v>
      </c>
      <c r="BY85" s="77">
        <f t="shared" si="110"/>
        <v>24</v>
      </c>
      <c r="BZ85" s="77">
        <f t="shared" si="110"/>
        <v>25</v>
      </c>
      <c r="CA85" s="77">
        <f t="shared" si="110"/>
        <v>26</v>
      </c>
      <c r="CB85" s="77">
        <f t="shared" si="110"/>
        <v>27</v>
      </c>
      <c r="CC85" s="77">
        <f t="shared" si="110"/>
        <v>28</v>
      </c>
      <c r="CD85" s="77">
        <f t="shared" si="110"/>
        <v>29</v>
      </c>
      <c r="CE85" s="77">
        <f t="shared" si="110"/>
        <v>30</v>
      </c>
      <c r="CF85" s="77">
        <f t="shared" si="110"/>
        <v>31</v>
      </c>
      <c r="CG85" s="77">
        <f t="shared" si="110"/>
        <v>32</v>
      </c>
      <c r="CH85" s="77">
        <f t="shared" si="110"/>
        <v>33</v>
      </c>
      <c r="CI85" s="77">
        <f t="shared" si="110"/>
        <v>34</v>
      </c>
      <c r="CJ85" s="77">
        <f t="shared" si="110"/>
        <v>35</v>
      </c>
      <c r="CK85" s="77">
        <f t="shared" si="111"/>
        <v>36</v>
      </c>
      <c r="CL85" s="77">
        <f t="shared" si="111"/>
        <v>37</v>
      </c>
      <c r="CM85" s="77">
        <f t="shared" si="111"/>
        <v>38</v>
      </c>
      <c r="CN85" s="77">
        <f t="shared" si="111"/>
        <v>39</v>
      </c>
      <c r="CO85" s="77">
        <f t="shared" si="111"/>
        <v>40</v>
      </c>
      <c r="CP85" s="77">
        <f t="shared" si="111"/>
        <v>41</v>
      </c>
      <c r="CQ85" s="77">
        <f t="shared" si="111"/>
        <v>42</v>
      </c>
      <c r="CR85" s="77">
        <f t="shared" si="111"/>
        <v>43</v>
      </c>
      <c r="CS85" s="77">
        <f t="shared" si="111"/>
        <v>44</v>
      </c>
      <c r="CT85" s="77">
        <f t="shared" si="111"/>
        <v>45</v>
      </c>
      <c r="CU85" s="77">
        <f t="shared" si="111"/>
        <v>46</v>
      </c>
      <c r="CV85" s="77">
        <f t="shared" si="111"/>
        <v>47</v>
      </c>
      <c r="CW85" s="77">
        <f t="shared" si="111"/>
        <v>48</v>
      </c>
      <c r="CX85" s="77">
        <f t="shared" si="111"/>
        <v>49</v>
      </c>
      <c r="CY85" s="77">
        <f t="shared" si="111"/>
        <v>50</v>
      </c>
      <c r="CZ85" s="77">
        <f t="shared" si="111"/>
        <v>51</v>
      </c>
      <c r="DA85" s="77">
        <f t="shared" si="111"/>
        <v>52</v>
      </c>
      <c r="DB85" s="77">
        <f t="shared" si="111"/>
        <v>53</v>
      </c>
      <c r="DC85" s="77">
        <f t="shared" si="111"/>
        <v>54</v>
      </c>
      <c r="DD85" s="77">
        <f t="shared" si="111"/>
        <v>55</v>
      </c>
      <c r="DE85" s="77">
        <f t="shared" si="111"/>
        <v>56</v>
      </c>
      <c r="DF85" s="77">
        <f t="shared" si="111"/>
        <v>57</v>
      </c>
      <c r="DG85" s="77">
        <f t="shared" si="111"/>
        <v>58</v>
      </c>
      <c r="DH85" s="77">
        <f t="shared" si="111"/>
        <v>59</v>
      </c>
      <c r="DI85" s="77">
        <f t="shared" si="111"/>
        <v>60</v>
      </c>
      <c r="DJ85" s="77">
        <f t="shared" si="111"/>
        <v>61</v>
      </c>
      <c r="DK85" s="77">
        <f t="shared" si="111"/>
        <v>62</v>
      </c>
      <c r="DL85" s="77">
        <f t="shared" si="111"/>
        <v>63</v>
      </c>
      <c r="DM85" s="77">
        <f t="shared" si="111"/>
        <v>64</v>
      </c>
      <c r="DN85" s="77">
        <f t="shared" si="111"/>
        <v>65</v>
      </c>
      <c r="DO85" s="77">
        <f t="shared" si="111"/>
        <v>66</v>
      </c>
      <c r="DP85" s="77">
        <f t="shared" si="111"/>
        <v>67</v>
      </c>
      <c r="DQ85" s="77">
        <f t="shared" si="111"/>
        <v>68</v>
      </c>
      <c r="DR85" s="77">
        <f t="shared" si="111"/>
        <v>69</v>
      </c>
      <c r="DS85" s="77">
        <f t="shared" si="111"/>
        <v>70</v>
      </c>
      <c r="DT85" s="77">
        <f t="shared" si="111"/>
        <v>71</v>
      </c>
      <c r="DU85" s="77">
        <f t="shared" si="111"/>
        <v>72</v>
      </c>
      <c r="DV85" s="77">
        <f t="shared" si="111"/>
        <v>73</v>
      </c>
      <c r="DW85" s="77">
        <f t="shared" si="111"/>
        <v>74</v>
      </c>
      <c r="DX85" s="77">
        <f t="shared" si="111"/>
        <v>75</v>
      </c>
      <c r="DY85" s="77">
        <f t="shared" si="111"/>
        <v>76</v>
      </c>
      <c r="DZ85" s="77">
        <f t="shared" si="111"/>
        <v>77</v>
      </c>
      <c r="EA85" s="77">
        <f t="shared" si="111"/>
        <v>78</v>
      </c>
      <c r="EB85" s="77">
        <f t="shared" si="111"/>
        <v>79</v>
      </c>
      <c r="EC85" s="77">
        <f t="shared" si="111"/>
        <v>80</v>
      </c>
      <c r="ED85" s="77">
        <f t="shared" si="111"/>
        <v>81</v>
      </c>
      <c r="EE85" s="77">
        <f t="shared" si="111"/>
        <v>82</v>
      </c>
      <c r="EF85" s="77">
        <f t="shared" si="111"/>
        <v>83</v>
      </c>
      <c r="EG85" s="77">
        <f t="shared" si="111"/>
        <v>84</v>
      </c>
      <c r="EH85" s="77">
        <f t="shared" si="111"/>
        <v>85</v>
      </c>
      <c r="EI85" s="77">
        <f t="shared" si="111"/>
        <v>86</v>
      </c>
      <c r="EJ85" s="77">
        <f t="shared" si="111"/>
        <v>87</v>
      </c>
      <c r="EK85" s="77">
        <f t="shared" si="111"/>
        <v>88</v>
      </c>
      <c r="EL85" s="77">
        <f t="shared" si="111"/>
        <v>89</v>
      </c>
      <c r="EM85" s="77">
        <f t="shared" si="111"/>
        <v>90</v>
      </c>
      <c r="EN85" s="77">
        <f t="shared" si="111"/>
        <v>91</v>
      </c>
      <c r="EO85" s="77">
        <f t="shared" si="111"/>
        <v>92</v>
      </c>
      <c r="EP85" s="77">
        <f t="shared" si="111"/>
        <v>93</v>
      </c>
      <c r="EQ85" s="77">
        <f t="shared" si="111"/>
        <v>94</v>
      </c>
      <c r="ER85" s="77">
        <f t="shared" si="111"/>
        <v>95</v>
      </c>
      <c r="ES85" s="77">
        <f t="shared" si="111"/>
        <v>96</v>
      </c>
      <c r="ET85" s="77">
        <f t="shared" si="111"/>
        <v>97</v>
      </c>
      <c r="EU85" s="77">
        <f t="shared" si="111"/>
        <v>98</v>
      </c>
      <c r="EV85" s="77">
        <f t="shared" si="113"/>
        <v>99</v>
      </c>
      <c r="EW85" s="77">
        <f t="shared" si="113"/>
        <v>100</v>
      </c>
      <c r="EX85" s="77">
        <f t="shared" si="113"/>
        <v>101</v>
      </c>
      <c r="EY85" s="77">
        <f t="shared" si="113"/>
        <v>102</v>
      </c>
      <c r="EZ85" s="77">
        <f t="shared" si="113"/>
        <v>103</v>
      </c>
      <c r="FA85" s="77">
        <f t="shared" si="113"/>
        <v>104</v>
      </c>
      <c r="FB85" s="77">
        <f t="shared" si="113"/>
        <v>105</v>
      </c>
      <c r="FC85" s="77">
        <f t="shared" si="113"/>
        <v>106</v>
      </c>
      <c r="FD85" s="77">
        <f t="shared" si="113"/>
        <v>107</v>
      </c>
      <c r="FE85" s="77">
        <f t="shared" si="113"/>
        <v>108</v>
      </c>
      <c r="FF85" s="77">
        <f t="shared" si="113"/>
        <v>109</v>
      </c>
      <c r="FG85" s="77">
        <f t="shared" si="113"/>
        <v>110</v>
      </c>
      <c r="FH85" s="77">
        <f t="shared" si="113"/>
        <v>111</v>
      </c>
      <c r="FI85" s="77">
        <f t="shared" si="113"/>
        <v>112</v>
      </c>
      <c r="FJ85" s="77">
        <f t="shared" si="113"/>
        <v>113</v>
      </c>
      <c r="FK85" s="77">
        <f t="shared" si="113"/>
        <v>114</v>
      </c>
      <c r="FL85" s="77">
        <f t="shared" si="113"/>
        <v>115</v>
      </c>
      <c r="FM85" s="77">
        <f t="shared" si="113"/>
        <v>116</v>
      </c>
      <c r="FN85" s="77">
        <f t="shared" si="113"/>
        <v>117</v>
      </c>
      <c r="FO85" s="77">
        <f t="shared" si="113"/>
        <v>118</v>
      </c>
      <c r="FP85" s="77">
        <f t="shared" si="113"/>
        <v>119</v>
      </c>
      <c r="FQ85" s="77">
        <f t="shared" si="113"/>
        <v>120</v>
      </c>
      <c r="FR85" s="77">
        <f t="shared" si="113"/>
        <v>121</v>
      </c>
      <c r="FS85" s="77">
        <f t="shared" si="113"/>
        <v>122</v>
      </c>
      <c r="FT85" s="77">
        <f t="shared" si="113"/>
        <v>123</v>
      </c>
      <c r="FU85" s="77">
        <f t="shared" si="113"/>
        <v>124</v>
      </c>
      <c r="FV85" s="77">
        <f t="shared" si="113"/>
        <v>125</v>
      </c>
      <c r="FW85" s="77">
        <f t="shared" si="113"/>
        <v>126</v>
      </c>
      <c r="FX85" s="77">
        <f t="shared" si="113"/>
        <v>127</v>
      </c>
      <c r="FY85" s="77">
        <f t="shared" si="113"/>
        <v>128</v>
      </c>
      <c r="FZ85" s="77">
        <f t="shared" si="113"/>
        <v>129</v>
      </c>
      <c r="GA85" s="77">
        <f t="shared" si="113"/>
        <v>130</v>
      </c>
      <c r="GB85" s="77">
        <f t="shared" si="113"/>
        <v>131</v>
      </c>
      <c r="GC85" s="77">
        <f t="shared" si="113"/>
        <v>132</v>
      </c>
      <c r="GD85" s="77">
        <f t="shared" si="113"/>
        <v>133</v>
      </c>
      <c r="GE85" s="77">
        <f t="shared" si="113"/>
        <v>134</v>
      </c>
      <c r="GF85" s="77">
        <f t="shared" si="113"/>
        <v>135</v>
      </c>
      <c r="GG85" s="77">
        <f t="shared" si="113"/>
        <v>136</v>
      </c>
      <c r="GH85" s="77">
        <f t="shared" si="113"/>
        <v>137</v>
      </c>
      <c r="GI85" s="77">
        <f t="shared" si="113"/>
        <v>138</v>
      </c>
      <c r="GJ85" s="77">
        <f t="shared" si="113"/>
        <v>139</v>
      </c>
      <c r="GK85" s="77">
        <f t="shared" si="113"/>
        <v>140</v>
      </c>
      <c r="GL85" s="77">
        <f t="shared" si="113"/>
        <v>141</v>
      </c>
      <c r="GM85" s="77">
        <f t="shared" si="113"/>
        <v>142</v>
      </c>
      <c r="GN85" s="77">
        <f t="shared" si="113"/>
        <v>143</v>
      </c>
      <c r="GO85" s="77">
        <f t="shared" si="113"/>
        <v>144</v>
      </c>
      <c r="GP85" s="77">
        <f t="shared" si="113"/>
        <v>145</v>
      </c>
      <c r="GQ85" s="77">
        <f t="shared" si="113"/>
        <v>146</v>
      </c>
      <c r="GR85" s="77">
        <f t="shared" si="113"/>
        <v>147</v>
      </c>
      <c r="GS85" s="77">
        <f t="shared" si="113"/>
        <v>148</v>
      </c>
      <c r="GT85" s="77">
        <f t="shared" si="113"/>
        <v>149</v>
      </c>
      <c r="GU85" s="77">
        <f t="shared" si="113"/>
        <v>150</v>
      </c>
      <c r="GV85" s="77">
        <f t="shared" si="113"/>
        <v>151</v>
      </c>
      <c r="GW85" s="77">
        <f t="shared" si="113"/>
        <v>152</v>
      </c>
      <c r="GX85" s="77">
        <f t="shared" si="113"/>
        <v>153</v>
      </c>
    </row>
    <row r="86" spans="1:206" ht="15" customHeight="1" x14ac:dyDescent="0.2">
      <c r="A86" s="22" t="s">
        <v>194</v>
      </c>
      <c r="B86" s="22">
        <v>5</v>
      </c>
      <c r="C86" s="22" t="s">
        <v>194</v>
      </c>
      <c r="D86" s="22">
        <v>2</v>
      </c>
      <c r="E86" s="22" t="s">
        <v>201</v>
      </c>
      <c r="F86" s="22" t="s">
        <v>71</v>
      </c>
      <c r="G86" s="22" t="s">
        <v>72</v>
      </c>
      <c r="H86" s="22">
        <v>2022</v>
      </c>
      <c r="I86" s="22">
        <v>4</v>
      </c>
      <c r="J86" s="22">
        <v>19</v>
      </c>
      <c r="K86" s="22">
        <v>0</v>
      </c>
      <c r="L86" s="22">
        <v>2674</v>
      </c>
      <c r="M86" s="22">
        <v>2674</v>
      </c>
      <c r="N86" s="22" t="s">
        <v>196</v>
      </c>
      <c r="O86" s="22" t="s">
        <v>74</v>
      </c>
      <c r="P86" s="22" t="s">
        <v>75</v>
      </c>
      <c r="Q86" s="108">
        <f>IF(R86="","",'Dashboard Ciclos'!$B$2-R86)</f>
        <v>46234</v>
      </c>
      <c r="R86" s="22">
        <f>IF($E86="","",IFERROR(INDEX($W86:$GX86,MATCH('Dashboard Ciclos'!$B$2,$W$1:$GX$1,0)),""))</f>
        <v>15</v>
      </c>
      <c r="S86" s="22" t="str">
        <f t="shared" si="83"/>
        <v>Vencido 1-5 d</v>
      </c>
      <c r="T86" s="22" t="str">
        <f t="shared" si="84"/>
        <v>Fuera de ciclo</v>
      </c>
      <c r="U86" s="22">
        <f t="shared" si="85"/>
        <v>-3</v>
      </c>
      <c r="V86" s="23">
        <f t="shared" si="86"/>
        <v>46246</v>
      </c>
      <c r="W86" s="77">
        <f t="shared" si="108"/>
        <v>-2</v>
      </c>
      <c r="X86" s="77">
        <f t="shared" si="108"/>
        <v>-1</v>
      </c>
      <c r="Y86" s="77">
        <f t="shared" si="108"/>
        <v>0</v>
      </c>
      <c r="Z86" s="77">
        <f t="shared" si="108"/>
        <v>1</v>
      </c>
      <c r="AA86" s="77">
        <v>2</v>
      </c>
      <c r="AB86" s="77">
        <f t="shared" si="89"/>
        <v>3</v>
      </c>
      <c r="AC86" s="77">
        <f t="shared" si="89"/>
        <v>4</v>
      </c>
      <c r="AD86" s="77">
        <f t="shared" si="89"/>
        <v>5</v>
      </c>
      <c r="AE86" s="77">
        <f t="shared" si="89"/>
        <v>6</v>
      </c>
      <c r="AF86" s="77">
        <f t="shared" si="89"/>
        <v>7</v>
      </c>
      <c r="AG86" s="77">
        <f t="shared" si="89"/>
        <v>8</v>
      </c>
      <c r="AH86" s="77">
        <f t="shared" si="89"/>
        <v>9</v>
      </c>
      <c r="AI86" s="77">
        <f t="shared" si="89"/>
        <v>10</v>
      </c>
      <c r="AJ86" s="77">
        <f t="shared" si="89"/>
        <v>11</v>
      </c>
      <c r="AK86" s="77">
        <f t="shared" si="90"/>
        <v>12</v>
      </c>
      <c r="AL86" s="77">
        <f t="shared" si="90"/>
        <v>13</v>
      </c>
      <c r="AM86" s="77">
        <f t="shared" si="90"/>
        <v>14</v>
      </c>
      <c r="AN86" s="77">
        <f t="shared" si="91"/>
        <v>15</v>
      </c>
      <c r="AO86" s="77">
        <f t="shared" si="90"/>
        <v>16</v>
      </c>
      <c r="AP86" s="77">
        <f t="shared" si="90"/>
        <v>17</v>
      </c>
      <c r="AQ86" s="77">
        <f t="shared" si="90"/>
        <v>18</v>
      </c>
      <c r="AR86" s="77">
        <f t="shared" si="105"/>
        <v>19</v>
      </c>
      <c r="AS86" s="77">
        <f t="shared" si="110"/>
        <v>20</v>
      </c>
      <c r="AT86" s="77">
        <f t="shared" si="110"/>
        <v>21</v>
      </c>
      <c r="AU86" s="77">
        <f t="shared" si="110"/>
        <v>22</v>
      </c>
      <c r="AV86" s="77">
        <f t="shared" si="110"/>
        <v>23</v>
      </c>
      <c r="AW86" s="77">
        <f t="shared" si="110"/>
        <v>24</v>
      </c>
      <c r="AX86" s="77">
        <f t="shared" si="110"/>
        <v>25</v>
      </c>
      <c r="AY86" s="77">
        <f t="shared" si="110"/>
        <v>26</v>
      </c>
      <c r="AZ86" s="77">
        <f t="shared" si="110"/>
        <v>27</v>
      </c>
      <c r="BA86" s="77">
        <v>0</v>
      </c>
      <c r="BB86" s="77">
        <f t="shared" si="110"/>
        <v>1</v>
      </c>
      <c r="BC86" s="77">
        <f t="shared" si="110"/>
        <v>2</v>
      </c>
      <c r="BD86" s="77">
        <f t="shared" si="110"/>
        <v>3</v>
      </c>
      <c r="BE86" s="77">
        <f t="shared" si="110"/>
        <v>4</v>
      </c>
      <c r="BF86" s="77">
        <f t="shared" si="110"/>
        <v>5</v>
      </c>
      <c r="BG86" s="77">
        <f t="shared" si="110"/>
        <v>6</v>
      </c>
      <c r="BH86" s="77">
        <f t="shared" si="110"/>
        <v>7</v>
      </c>
      <c r="BI86" s="77">
        <f t="shared" si="110"/>
        <v>8</v>
      </c>
      <c r="BJ86" s="77">
        <f t="shared" si="110"/>
        <v>9</v>
      </c>
      <c r="BK86" s="77">
        <f t="shared" si="110"/>
        <v>10</v>
      </c>
      <c r="BL86" s="77">
        <f t="shared" si="110"/>
        <v>11</v>
      </c>
      <c r="BM86" s="77">
        <f t="shared" si="110"/>
        <v>12</v>
      </c>
      <c r="BN86" s="77">
        <f t="shared" si="110"/>
        <v>13</v>
      </c>
      <c r="BO86" s="77">
        <f t="shared" si="110"/>
        <v>14</v>
      </c>
      <c r="BP86" s="77">
        <f t="shared" si="110"/>
        <v>15</v>
      </c>
      <c r="BQ86" s="77">
        <f t="shared" si="110"/>
        <v>16</v>
      </c>
      <c r="BR86" s="77">
        <f t="shared" si="110"/>
        <v>17</v>
      </c>
      <c r="BS86" s="77">
        <f t="shared" si="110"/>
        <v>18</v>
      </c>
      <c r="BT86" s="77">
        <f t="shared" si="110"/>
        <v>19</v>
      </c>
      <c r="BU86" s="77">
        <f t="shared" si="110"/>
        <v>20</v>
      </c>
      <c r="BV86" s="77">
        <f t="shared" si="110"/>
        <v>21</v>
      </c>
      <c r="BW86" s="77">
        <f t="shared" si="110"/>
        <v>22</v>
      </c>
      <c r="BX86" s="77">
        <f t="shared" si="110"/>
        <v>23</v>
      </c>
      <c r="BY86" s="77">
        <f t="shared" si="110"/>
        <v>24</v>
      </c>
      <c r="BZ86" s="77">
        <f t="shared" si="110"/>
        <v>25</v>
      </c>
      <c r="CA86" s="77">
        <f t="shared" si="110"/>
        <v>26</v>
      </c>
      <c r="CB86" s="77">
        <f t="shared" si="110"/>
        <v>27</v>
      </c>
      <c r="CC86" s="77">
        <f t="shared" si="110"/>
        <v>28</v>
      </c>
      <c r="CD86" s="77">
        <f t="shared" si="110"/>
        <v>29</v>
      </c>
      <c r="CE86" s="77">
        <f t="shared" si="110"/>
        <v>30</v>
      </c>
      <c r="CF86" s="77">
        <f t="shared" si="110"/>
        <v>31</v>
      </c>
      <c r="CG86" s="77">
        <f t="shared" si="110"/>
        <v>32</v>
      </c>
      <c r="CH86" s="77">
        <f t="shared" si="110"/>
        <v>33</v>
      </c>
      <c r="CI86" s="77">
        <f t="shared" si="110"/>
        <v>34</v>
      </c>
      <c r="CJ86" s="77">
        <f t="shared" si="110"/>
        <v>35</v>
      </c>
      <c r="CK86" s="77">
        <f t="shared" si="111"/>
        <v>36</v>
      </c>
      <c r="CL86" s="77">
        <f t="shared" si="111"/>
        <v>37</v>
      </c>
      <c r="CM86" s="77">
        <f t="shared" si="111"/>
        <v>38</v>
      </c>
      <c r="CN86" s="77">
        <f t="shared" si="111"/>
        <v>39</v>
      </c>
      <c r="CO86" s="77">
        <f t="shared" si="111"/>
        <v>40</v>
      </c>
      <c r="CP86" s="77">
        <f t="shared" si="111"/>
        <v>41</v>
      </c>
      <c r="CQ86" s="77">
        <f t="shared" si="111"/>
        <v>42</v>
      </c>
      <c r="CR86" s="77">
        <f t="shared" si="111"/>
        <v>43</v>
      </c>
      <c r="CS86" s="77">
        <f t="shared" si="111"/>
        <v>44</v>
      </c>
      <c r="CT86" s="77">
        <f t="shared" si="111"/>
        <v>45</v>
      </c>
      <c r="CU86" s="77">
        <f t="shared" si="111"/>
        <v>46</v>
      </c>
      <c r="CV86" s="77">
        <f t="shared" si="111"/>
        <v>47</v>
      </c>
      <c r="CW86" s="77">
        <f t="shared" si="111"/>
        <v>48</v>
      </c>
      <c r="CX86" s="77">
        <f t="shared" si="111"/>
        <v>49</v>
      </c>
      <c r="CY86" s="77">
        <f t="shared" si="111"/>
        <v>50</v>
      </c>
      <c r="CZ86" s="77">
        <f t="shared" si="111"/>
        <v>51</v>
      </c>
      <c r="DA86" s="77">
        <f t="shared" si="111"/>
        <v>52</v>
      </c>
      <c r="DB86" s="77">
        <f t="shared" si="111"/>
        <v>53</v>
      </c>
      <c r="DC86" s="77">
        <f t="shared" si="111"/>
        <v>54</v>
      </c>
      <c r="DD86" s="77">
        <f t="shared" si="111"/>
        <v>55</v>
      </c>
      <c r="DE86" s="77">
        <f t="shared" si="111"/>
        <v>56</v>
      </c>
      <c r="DF86" s="77">
        <f t="shared" si="111"/>
        <v>57</v>
      </c>
      <c r="DG86" s="77">
        <f t="shared" si="111"/>
        <v>58</v>
      </c>
      <c r="DH86" s="77">
        <f t="shared" si="111"/>
        <v>59</v>
      </c>
      <c r="DI86" s="77">
        <f t="shared" si="111"/>
        <v>60</v>
      </c>
      <c r="DJ86" s="77">
        <f t="shared" si="111"/>
        <v>61</v>
      </c>
      <c r="DK86" s="77">
        <f t="shared" si="111"/>
        <v>62</v>
      </c>
      <c r="DL86" s="77">
        <f t="shared" si="111"/>
        <v>63</v>
      </c>
      <c r="DM86" s="77">
        <f t="shared" si="111"/>
        <v>64</v>
      </c>
      <c r="DN86" s="77">
        <f t="shared" si="111"/>
        <v>65</v>
      </c>
      <c r="DO86" s="77">
        <f t="shared" si="111"/>
        <v>66</v>
      </c>
      <c r="DP86" s="77">
        <f t="shared" si="111"/>
        <v>67</v>
      </c>
      <c r="DQ86" s="77">
        <f t="shared" si="111"/>
        <v>68</v>
      </c>
      <c r="DR86" s="77">
        <f t="shared" si="111"/>
        <v>69</v>
      </c>
      <c r="DS86" s="77">
        <f t="shared" si="111"/>
        <v>70</v>
      </c>
      <c r="DT86" s="77">
        <f t="shared" si="111"/>
        <v>71</v>
      </c>
      <c r="DU86" s="77">
        <f t="shared" si="111"/>
        <v>72</v>
      </c>
      <c r="DV86" s="77">
        <f t="shared" si="111"/>
        <v>73</v>
      </c>
      <c r="DW86" s="77">
        <f t="shared" si="111"/>
        <v>74</v>
      </c>
      <c r="DX86" s="77">
        <f t="shared" si="111"/>
        <v>75</v>
      </c>
      <c r="DY86" s="77">
        <f t="shared" si="111"/>
        <v>76</v>
      </c>
      <c r="DZ86" s="77">
        <f t="shared" si="111"/>
        <v>77</v>
      </c>
      <c r="EA86" s="77">
        <f t="shared" si="111"/>
        <v>78</v>
      </c>
      <c r="EB86" s="77">
        <f t="shared" si="111"/>
        <v>79</v>
      </c>
      <c r="EC86" s="77">
        <f t="shared" si="111"/>
        <v>80</v>
      </c>
      <c r="ED86" s="77">
        <f t="shared" si="111"/>
        <v>81</v>
      </c>
      <c r="EE86" s="77">
        <f t="shared" si="111"/>
        <v>82</v>
      </c>
      <c r="EF86" s="77">
        <f t="shared" si="111"/>
        <v>83</v>
      </c>
      <c r="EG86" s="77">
        <f t="shared" si="111"/>
        <v>84</v>
      </c>
      <c r="EH86" s="77">
        <f t="shared" si="111"/>
        <v>85</v>
      </c>
      <c r="EI86" s="77">
        <f t="shared" si="111"/>
        <v>86</v>
      </c>
      <c r="EJ86" s="77">
        <f t="shared" si="111"/>
        <v>87</v>
      </c>
      <c r="EK86" s="77">
        <f t="shared" si="111"/>
        <v>88</v>
      </c>
      <c r="EL86" s="77">
        <f t="shared" si="111"/>
        <v>89</v>
      </c>
      <c r="EM86" s="77">
        <f t="shared" si="111"/>
        <v>90</v>
      </c>
      <c r="EN86" s="77">
        <f t="shared" si="111"/>
        <v>91</v>
      </c>
      <c r="EO86" s="77">
        <f t="shared" si="111"/>
        <v>92</v>
      </c>
      <c r="EP86" s="77">
        <f t="shared" si="111"/>
        <v>93</v>
      </c>
      <c r="EQ86" s="77">
        <f t="shared" si="111"/>
        <v>94</v>
      </c>
      <c r="ER86" s="77">
        <f t="shared" si="111"/>
        <v>95</v>
      </c>
      <c r="ES86" s="77">
        <f t="shared" si="111"/>
        <v>96</v>
      </c>
      <c r="ET86" s="77">
        <f t="shared" si="111"/>
        <v>97</v>
      </c>
      <c r="EU86" s="77">
        <f t="shared" si="111"/>
        <v>98</v>
      </c>
      <c r="EV86" s="77">
        <f t="shared" si="113"/>
        <v>99</v>
      </c>
      <c r="EW86" s="77">
        <f t="shared" si="113"/>
        <v>100</v>
      </c>
      <c r="EX86" s="77">
        <f t="shared" si="113"/>
        <v>101</v>
      </c>
      <c r="EY86" s="77">
        <f t="shared" si="113"/>
        <v>102</v>
      </c>
      <c r="EZ86" s="77">
        <f t="shared" si="113"/>
        <v>103</v>
      </c>
      <c r="FA86" s="77">
        <f t="shared" si="113"/>
        <v>104</v>
      </c>
      <c r="FB86" s="77">
        <f t="shared" si="113"/>
        <v>105</v>
      </c>
      <c r="FC86" s="77">
        <f t="shared" si="113"/>
        <v>106</v>
      </c>
      <c r="FD86" s="77">
        <f t="shared" si="113"/>
        <v>107</v>
      </c>
      <c r="FE86" s="77">
        <f t="shared" si="113"/>
        <v>108</v>
      </c>
      <c r="FF86" s="77">
        <f t="shared" si="113"/>
        <v>109</v>
      </c>
      <c r="FG86" s="77">
        <f t="shared" si="113"/>
        <v>110</v>
      </c>
      <c r="FH86" s="77">
        <f t="shared" si="113"/>
        <v>111</v>
      </c>
      <c r="FI86" s="77">
        <f t="shared" si="113"/>
        <v>112</v>
      </c>
      <c r="FJ86" s="77">
        <f t="shared" si="113"/>
        <v>113</v>
      </c>
      <c r="FK86" s="77">
        <f t="shared" si="113"/>
        <v>114</v>
      </c>
      <c r="FL86" s="77">
        <f t="shared" si="113"/>
        <v>115</v>
      </c>
      <c r="FM86" s="77">
        <f t="shared" si="113"/>
        <v>116</v>
      </c>
      <c r="FN86" s="77">
        <f t="shared" si="113"/>
        <v>117</v>
      </c>
      <c r="FO86" s="77">
        <f t="shared" si="113"/>
        <v>118</v>
      </c>
      <c r="FP86" s="77">
        <f t="shared" si="113"/>
        <v>119</v>
      </c>
      <c r="FQ86" s="77">
        <f t="shared" si="113"/>
        <v>120</v>
      </c>
      <c r="FR86" s="77">
        <f t="shared" si="113"/>
        <v>121</v>
      </c>
      <c r="FS86" s="77">
        <f t="shared" si="113"/>
        <v>122</v>
      </c>
      <c r="FT86" s="77">
        <f t="shared" si="113"/>
        <v>123</v>
      </c>
      <c r="FU86" s="77">
        <f t="shared" si="113"/>
        <v>124</v>
      </c>
      <c r="FV86" s="77">
        <f t="shared" si="113"/>
        <v>125</v>
      </c>
      <c r="FW86" s="77">
        <f t="shared" si="113"/>
        <v>126</v>
      </c>
      <c r="FX86" s="77">
        <f t="shared" si="113"/>
        <v>127</v>
      </c>
      <c r="FY86" s="77">
        <f t="shared" si="113"/>
        <v>128</v>
      </c>
      <c r="FZ86" s="77">
        <f t="shared" si="113"/>
        <v>129</v>
      </c>
      <c r="GA86" s="77">
        <f t="shared" si="113"/>
        <v>130</v>
      </c>
      <c r="GB86" s="77">
        <f t="shared" si="113"/>
        <v>131</v>
      </c>
      <c r="GC86" s="77">
        <f t="shared" si="113"/>
        <v>132</v>
      </c>
      <c r="GD86" s="77">
        <f t="shared" si="113"/>
        <v>133</v>
      </c>
      <c r="GE86" s="77">
        <f t="shared" si="113"/>
        <v>134</v>
      </c>
      <c r="GF86" s="77">
        <f t="shared" si="113"/>
        <v>135</v>
      </c>
      <c r="GG86" s="77">
        <f t="shared" si="113"/>
        <v>136</v>
      </c>
      <c r="GH86" s="77">
        <f t="shared" si="113"/>
        <v>137</v>
      </c>
      <c r="GI86" s="77">
        <f t="shared" si="113"/>
        <v>138</v>
      </c>
      <c r="GJ86" s="77">
        <f t="shared" si="113"/>
        <v>139</v>
      </c>
      <c r="GK86" s="77">
        <f t="shared" si="113"/>
        <v>140</v>
      </c>
      <c r="GL86" s="77">
        <f t="shared" si="113"/>
        <v>141</v>
      </c>
      <c r="GM86" s="77">
        <f t="shared" si="113"/>
        <v>142</v>
      </c>
      <c r="GN86" s="77">
        <f t="shared" si="113"/>
        <v>143</v>
      </c>
      <c r="GO86" s="77">
        <f t="shared" si="113"/>
        <v>144</v>
      </c>
      <c r="GP86" s="77">
        <f t="shared" si="113"/>
        <v>145</v>
      </c>
      <c r="GQ86" s="77">
        <f t="shared" si="113"/>
        <v>146</v>
      </c>
      <c r="GR86" s="77">
        <f t="shared" si="113"/>
        <v>147</v>
      </c>
      <c r="GS86" s="77">
        <f t="shared" si="113"/>
        <v>148</v>
      </c>
      <c r="GT86" s="77">
        <f t="shared" si="113"/>
        <v>149</v>
      </c>
      <c r="GU86" s="77">
        <f t="shared" si="113"/>
        <v>150</v>
      </c>
      <c r="GV86" s="77">
        <f t="shared" si="113"/>
        <v>151</v>
      </c>
      <c r="GW86" s="77">
        <f t="shared" si="113"/>
        <v>152</v>
      </c>
      <c r="GX86" s="77">
        <f t="shared" si="113"/>
        <v>153</v>
      </c>
    </row>
    <row r="87" spans="1:206" ht="15" customHeight="1" x14ac:dyDescent="0.2">
      <c r="A87" s="22" t="s">
        <v>194</v>
      </c>
      <c r="B87" s="22">
        <v>5</v>
      </c>
      <c r="C87" s="22" t="s">
        <v>194</v>
      </c>
      <c r="D87" s="22" t="s">
        <v>202</v>
      </c>
      <c r="E87" s="22" t="s">
        <v>203</v>
      </c>
      <c r="F87" s="22" t="s">
        <v>71</v>
      </c>
      <c r="G87" s="22" t="s">
        <v>72</v>
      </c>
      <c r="H87" s="22">
        <v>2022</v>
      </c>
      <c r="I87" s="22">
        <v>4</v>
      </c>
      <c r="J87" s="22">
        <v>17</v>
      </c>
      <c r="K87" s="22">
        <v>0</v>
      </c>
      <c r="L87" s="22">
        <v>2567</v>
      </c>
      <c r="M87" s="22">
        <v>2567</v>
      </c>
      <c r="N87" s="22" t="s">
        <v>196</v>
      </c>
      <c r="O87" s="22" t="s">
        <v>74</v>
      </c>
      <c r="P87" s="22" t="s">
        <v>75</v>
      </c>
      <c r="Q87" s="108">
        <f>IF(R87="","",'Dashboard Ciclos'!$B$2-R87)</f>
        <v>46233</v>
      </c>
      <c r="R87" s="22">
        <f>IF($E87="","",IFERROR(INDEX($W87:$GX87,MATCH('Dashboard Ciclos'!$B$2,$W$1:$GX$1,0)),""))</f>
        <v>16</v>
      </c>
      <c r="S87" s="22" t="str">
        <f t="shared" si="83"/>
        <v>Vencido 1-5 d</v>
      </c>
      <c r="T87" s="22" t="str">
        <f t="shared" si="84"/>
        <v>Fuera de ciclo</v>
      </c>
      <c r="U87" s="22">
        <f t="shared" si="85"/>
        <v>-4</v>
      </c>
      <c r="V87" s="23">
        <f t="shared" si="86"/>
        <v>46245</v>
      </c>
      <c r="W87" s="77">
        <f t="shared" si="108"/>
        <v>40</v>
      </c>
      <c r="X87" s="77">
        <f t="shared" si="108"/>
        <v>41</v>
      </c>
      <c r="Y87" s="77">
        <f t="shared" si="108"/>
        <v>42</v>
      </c>
      <c r="Z87" s="77">
        <f t="shared" si="108"/>
        <v>43</v>
      </c>
      <c r="AA87" s="77">
        <v>44</v>
      </c>
      <c r="AB87" s="77">
        <v>0</v>
      </c>
      <c r="AC87" s="77">
        <f t="shared" si="89"/>
        <v>1</v>
      </c>
      <c r="AD87" s="77">
        <f t="shared" si="89"/>
        <v>2</v>
      </c>
      <c r="AE87" s="77">
        <f t="shared" si="89"/>
        <v>3</v>
      </c>
      <c r="AF87" s="77">
        <f t="shared" si="89"/>
        <v>4</v>
      </c>
      <c r="AG87" s="77">
        <f t="shared" si="89"/>
        <v>5</v>
      </c>
      <c r="AH87" s="77">
        <f t="shared" si="89"/>
        <v>6</v>
      </c>
      <c r="AI87" s="77">
        <f t="shared" si="89"/>
        <v>7</v>
      </c>
      <c r="AJ87" s="77">
        <f t="shared" si="89"/>
        <v>8</v>
      </c>
      <c r="AK87" s="77">
        <f t="shared" si="90"/>
        <v>9</v>
      </c>
      <c r="AL87" s="77">
        <f t="shared" si="90"/>
        <v>10</v>
      </c>
      <c r="AM87" s="77">
        <f t="shared" si="90"/>
        <v>11</v>
      </c>
      <c r="AN87" s="77">
        <f t="shared" si="91"/>
        <v>12</v>
      </c>
      <c r="AO87" s="77">
        <f t="shared" si="90"/>
        <v>13</v>
      </c>
      <c r="AP87" s="77">
        <f t="shared" si="90"/>
        <v>14</v>
      </c>
      <c r="AQ87" s="77">
        <f t="shared" si="90"/>
        <v>15</v>
      </c>
      <c r="AR87" s="77">
        <f t="shared" si="105"/>
        <v>16</v>
      </c>
      <c r="AS87" s="77">
        <f t="shared" si="110"/>
        <v>17</v>
      </c>
      <c r="AT87" s="77">
        <f t="shared" si="110"/>
        <v>18</v>
      </c>
      <c r="AU87" s="77">
        <f t="shared" si="110"/>
        <v>19</v>
      </c>
      <c r="AV87" s="77">
        <f t="shared" si="110"/>
        <v>20</v>
      </c>
      <c r="AW87" s="77">
        <f t="shared" si="110"/>
        <v>21</v>
      </c>
      <c r="AX87" s="77">
        <f t="shared" si="110"/>
        <v>22</v>
      </c>
      <c r="AY87" s="77">
        <f t="shared" si="110"/>
        <v>23</v>
      </c>
      <c r="AZ87" s="77">
        <v>0</v>
      </c>
      <c r="BA87" s="77">
        <f t="shared" si="110"/>
        <v>1</v>
      </c>
      <c r="BB87" s="77">
        <f t="shared" si="110"/>
        <v>2</v>
      </c>
      <c r="BC87" s="77">
        <f t="shared" si="110"/>
        <v>3</v>
      </c>
      <c r="BD87" s="77">
        <f t="shared" si="110"/>
        <v>4</v>
      </c>
      <c r="BE87" s="77">
        <f t="shared" si="110"/>
        <v>5</v>
      </c>
      <c r="BF87" s="77">
        <f t="shared" si="110"/>
        <v>6</v>
      </c>
      <c r="BG87" s="77">
        <f t="shared" si="110"/>
        <v>7</v>
      </c>
      <c r="BH87" s="77">
        <f t="shared" si="110"/>
        <v>8</v>
      </c>
      <c r="BI87" s="77">
        <f t="shared" si="110"/>
        <v>9</v>
      </c>
      <c r="BJ87" s="77">
        <f t="shared" si="110"/>
        <v>10</v>
      </c>
      <c r="BK87" s="77">
        <f t="shared" si="110"/>
        <v>11</v>
      </c>
      <c r="BL87" s="77">
        <f t="shared" si="110"/>
        <v>12</v>
      </c>
      <c r="BM87" s="77">
        <f t="shared" si="110"/>
        <v>13</v>
      </c>
      <c r="BN87" s="77">
        <f t="shared" si="110"/>
        <v>14</v>
      </c>
      <c r="BO87" s="77">
        <f t="shared" si="110"/>
        <v>15</v>
      </c>
      <c r="BP87" s="77">
        <f t="shared" si="110"/>
        <v>16</v>
      </c>
      <c r="BQ87" s="77">
        <f t="shared" si="110"/>
        <v>17</v>
      </c>
      <c r="BR87" s="77">
        <f t="shared" si="110"/>
        <v>18</v>
      </c>
      <c r="BS87" s="77">
        <f t="shared" si="110"/>
        <v>19</v>
      </c>
      <c r="BT87" s="77">
        <f t="shared" si="110"/>
        <v>20</v>
      </c>
      <c r="BU87" s="77">
        <f t="shared" si="110"/>
        <v>21</v>
      </c>
      <c r="BV87" s="77">
        <f t="shared" si="110"/>
        <v>22</v>
      </c>
      <c r="BW87" s="77">
        <f t="shared" si="110"/>
        <v>23</v>
      </c>
      <c r="BX87" s="77">
        <f t="shared" si="110"/>
        <v>24</v>
      </c>
      <c r="BY87" s="77">
        <f t="shared" si="110"/>
        <v>25</v>
      </c>
      <c r="BZ87" s="77">
        <f t="shared" si="110"/>
        <v>26</v>
      </c>
      <c r="CA87" s="77">
        <f t="shared" si="110"/>
        <v>27</v>
      </c>
      <c r="CB87" s="77">
        <f t="shared" si="110"/>
        <v>28</v>
      </c>
      <c r="CC87" s="77">
        <f t="shared" si="110"/>
        <v>29</v>
      </c>
      <c r="CD87" s="77">
        <f t="shared" si="110"/>
        <v>30</v>
      </c>
      <c r="CE87" s="77">
        <f t="shared" si="110"/>
        <v>31</v>
      </c>
      <c r="CF87" s="77">
        <f t="shared" si="110"/>
        <v>32</v>
      </c>
      <c r="CG87" s="77">
        <f t="shared" si="110"/>
        <v>33</v>
      </c>
      <c r="CH87" s="77">
        <f t="shared" si="110"/>
        <v>34</v>
      </c>
      <c r="CI87" s="77">
        <f t="shared" si="110"/>
        <v>35</v>
      </c>
      <c r="CJ87" s="77">
        <f t="shared" ref="CJ87:EU90" si="114">IF(CI87="","",CI87+1)</f>
        <v>36</v>
      </c>
      <c r="CK87" s="77">
        <f t="shared" si="114"/>
        <v>37</v>
      </c>
      <c r="CL87" s="77">
        <f t="shared" si="114"/>
        <v>38</v>
      </c>
      <c r="CM87" s="77">
        <f t="shared" si="114"/>
        <v>39</v>
      </c>
      <c r="CN87" s="77">
        <f t="shared" si="114"/>
        <v>40</v>
      </c>
      <c r="CO87" s="77">
        <f t="shared" si="114"/>
        <v>41</v>
      </c>
      <c r="CP87" s="77">
        <f t="shared" si="114"/>
        <v>42</v>
      </c>
      <c r="CQ87" s="77">
        <f t="shared" si="114"/>
        <v>43</v>
      </c>
      <c r="CR87" s="77">
        <f t="shared" si="114"/>
        <v>44</v>
      </c>
      <c r="CS87" s="77">
        <f t="shared" si="114"/>
        <v>45</v>
      </c>
      <c r="CT87" s="77">
        <f t="shared" si="114"/>
        <v>46</v>
      </c>
      <c r="CU87" s="77">
        <f t="shared" si="114"/>
        <v>47</v>
      </c>
      <c r="CV87" s="77">
        <f t="shared" si="114"/>
        <v>48</v>
      </c>
      <c r="CW87" s="77">
        <f t="shared" si="114"/>
        <v>49</v>
      </c>
      <c r="CX87" s="77">
        <f t="shared" si="114"/>
        <v>50</v>
      </c>
      <c r="CY87" s="77">
        <f t="shared" si="114"/>
        <v>51</v>
      </c>
      <c r="CZ87" s="77">
        <f t="shared" si="114"/>
        <v>52</v>
      </c>
      <c r="DA87" s="77">
        <f t="shared" si="114"/>
        <v>53</v>
      </c>
      <c r="DB87" s="77">
        <f t="shared" si="114"/>
        <v>54</v>
      </c>
      <c r="DC87" s="77">
        <f t="shared" si="114"/>
        <v>55</v>
      </c>
      <c r="DD87" s="77">
        <f t="shared" si="114"/>
        <v>56</v>
      </c>
      <c r="DE87" s="77">
        <f t="shared" si="114"/>
        <v>57</v>
      </c>
      <c r="DF87" s="77">
        <f t="shared" si="114"/>
        <v>58</v>
      </c>
      <c r="DG87" s="77">
        <f t="shared" si="114"/>
        <v>59</v>
      </c>
      <c r="DH87" s="77">
        <f t="shared" si="114"/>
        <v>60</v>
      </c>
      <c r="DI87" s="77">
        <f t="shared" si="114"/>
        <v>61</v>
      </c>
      <c r="DJ87" s="77">
        <f t="shared" si="114"/>
        <v>62</v>
      </c>
      <c r="DK87" s="77">
        <f t="shared" si="114"/>
        <v>63</v>
      </c>
      <c r="DL87" s="77">
        <f t="shared" si="114"/>
        <v>64</v>
      </c>
      <c r="DM87" s="77">
        <f t="shared" si="114"/>
        <v>65</v>
      </c>
      <c r="DN87" s="77">
        <f t="shared" si="114"/>
        <v>66</v>
      </c>
      <c r="DO87" s="77">
        <f t="shared" si="114"/>
        <v>67</v>
      </c>
      <c r="DP87" s="77">
        <f t="shared" si="114"/>
        <v>68</v>
      </c>
      <c r="DQ87" s="77">
        <f t="shared" si="114"/>
        <v>69</v>
      </c>
      <c r="DR87" s="77">
        <f t="shared" si="114"/>
        <v>70</v>
      </c>
      <c r="DS87" s="77">
        <f t="shared" si="114"/>
        <v>71</v>
      </c>
      <c r="DT87" s="77">
        <f t="shared" si="114"/>
        <v>72</v>
      </c>
      <c r="DU87" s="77">
        <f t="shared" si="114"/>
        <v>73</v>
      </c>
      <c r="DV87" s="77">
        <f t="shared" si="114"/>
        <v>74</v>
      </c>
      <c r="DW87" s="77">
        <f t="shared" si="114"/>
        <v>75</v>
      </c>
      <c r="DX87" s="77">
        <f t="shared" si="114"/>
        <v>76</v>
      </c>
      <c r="DY87" s="77">
        <f t="shared" si="114"/>
        <v>77</v>
      </c>
      <c r="DZ87" s="77">
        <f t="shared" si="114"/>
        <v>78</v>
      </c>
      <c r="EA87" s="77">
        <f t="shared" si="114"/>
        <v>79</v>
      </c>
      <c r="EB87" s="77">
        <f t="shared" si="114"/>
        <v>80</v>
      </c>
      <c r="EC87" s="77">
        <f t="shared" si="114"/>
        <v>81</v>
      </c>
      <c r="ED87" s="77">
        <f t="shared" si="114"/>
        <v>82</v>
      </c>
      <c r="EE87" s="77">
        <f t="shared" si="114"/>
        <v>83</v>
      </c>
      <c r="EF87" s="77">
        <f t="shared" si="114"/>
        <v>84</v>
      </c>
      <c r="EG87" s="77">
        <f t="shared" si="114"/>
        <v>85</v>
      </c>
      <c r="EH87" s="77">
        <f t="shared" si="114"/>
        <v>86</v>
      </c>
      <c r="EI87" s="77">
        <f t="shared" si="114"/>
        <v>87</v>
      </c>
      <c r="EJ87" s="77">
        <f t="shared" si="114"/>
        <v>88</v>
      </c>
      <c r="EK87" s="77">
        <f t="shared" si="114"/>
        <v>89</v>
      </c>
      <c r="EL87" s="77">
        <f t="shared" si="114"/>
        <v>90</v>
      </c>
      <c r="EM87" s="77">
        <f t="shared" si="114"/>
        <v>91</v>
      </c>
      <c r="EN87" s="77">
        <f t="shared" si="114"/>
        <v>92</v>
      </c>
      <c r="EO87" s="77">
        <f t="shared" si="114"/>
        <v>93</v>
      </c>
      <c r="EP87" s="77">
        <f t="shared" si="114"/>
        <v>94</v>
      </c>
      <c r="EQ87" s="77">
        <f t="shared" si="114"/>
        <v>95</v>
      </c>
      <c r="ER87" s="77">
        <f t="shared" si="114"/>
        <v>96</v>
      </c>
      <c r="ES87" s="77">
        <f t="shared" si="114"/>
        <v>97</v>
      </c>
      <c r="ET87" s="77">
        <f t="shared" si="114"/>
        <v>98</v>
      </c>
      <c r="EU87" s="77">
        <f t="shared" si="114"/>
        <v>99</v>
      </c>
      <c r="EV87" s="77">
        <f t="shared" si="113"/>
        <v>100</v>
      </c>
      <c r="EW87" s="77">
        <f t="shared" si="113"/>
        <v>101</v>
      </c>
      <c r="EX87" s="77">
        <f t="shared" si="113"/>
        <v>102</v>
      </c>
      <c r="EY87" s="77">
        <f t="shared" si="113"/>
        <v>103</v>
      </c>
      <c r="EZ87" s="77">
        <f t="shared" si="113"/>
        <v>104</v>
      </c>
      <c r="FA87" s="77">
        <f t="shared" si="113"/>
        <v>105</v>
      </c>
      <c r="FB87" s="77">
        <f t="shared" si="113"/>
        <v>106</v>
      </c>
      <c r="FC87" s="77">
        <f t="shared" si="113"/>
        <v>107</v>
      </c>
      <c r="FD87" s="77">
        <f t="shared" si="113"/>
        <v>108</v>
      </c>
      <c r="FE87" s="77">
        <f t="shared" si="113"/>
        <v>109</v>
      </c>
      <c r="FF87" s="77">
        <f t="shared" si="113"/>
        <v>110</v>
      </c>
      <c r="FG87" s="77">
        <f t="shared" si="113"/>
        <v>111</v>
      </c>
      <c r="FH87" s="77">
        <f t="shared" si="113"/>
        <v>112</v>
      </c>
      <c r="FI87" s="77">
        <f t="shared" si="113"/>
        <v>113</v>
      </c>
      <c r="FJ87" s="77">
        <f t="shared" si="113"/>
        <v>114</v>
      </c>
      <c r="FK87" s="77">
        <f t="shared" si="113"/>
        <v>115</v>
      </c>
      <c r="FL87" s="77">
        <f t="shared" si="113"/>
        <v>116</v>
      </c>
      <c r="FM87" s="77">
        <f t="shared" si="113"/>
        <v>117</v>
      </c>
      <c r="FN87" s="77">
        <f t="shared" si="113"/>
        <v>118</v>
      </c>
      <c r="FO87" s="77">
        <f t="shared" si="113"/>
        <v>119</v>
      </c>
      <c r="FP87" s="77">
        <f t="shared" si="113"/>
        <v>120</v>
      </c>
      <c r="FQ87" s="77">
        <f t="shared" si="113"/>
        <v>121</v>
      </c>
      <c r="FR87" s="77">
        <f t="shared" si="113"/>
        <v>122</v>
      </c>
      <c r="FS87" s="77">
        <f t="shared" si="113"/>
        <v>123</v>
      </c>
      <c r="FT87" s="77">
        <f t="shared" si="113"/>
        <v>124</v>
      </c>
      <c r="FU87" s="77">
        <f t="shared" si="113"/>
        <v>125</v>
      </c>
      <c r="FV87" s="77">
        <f t="shared" si="113"/>
        <v>126</v>
      </c>
      <c r="FW87" s="77">
        <f t="shared" si="113"/>
        <v>127</v>
      </c>
      <c r="FX87" s="77">
        <f t="shared" si="113"/>
        <v>128</v>
      </c>
      <c r="FY87" s="77">
        <f t="shared" si="113"/>
        <v>129</v>
      </c>
      <c r="FZ87" s="77">
        <f t="shared" si="113"/>
        <v>130</v>
      </c>
      <c r="GA87" s="77">
        <f t="shared" si="113"/>
        <v>131</v>
      </c>
      <c r="GB87" s="77">
        <f t="shared" si="113"/>
        <v>132</v>
      </c>
      <c r="GC87" s="77">
        <f t="shared" si="113"/>
        <v>133</v>
      </c>
      <c r="GD87" s="77">
        <f t="shared" si="113"/>
        <v>134</v>
      </c>
      <c r="GE87" s="77">
        <f t="shared" si="113"/>
        <v>135</v>
      </c>
      <c r="GF87" s="77">
        <f t="shared" si="113"/>
        <v>136</v>
      </c>
      <c r="GG87" s="77">
        <f t="shared" si="113"/>
        <v>137</v>
      </c>
      <c r="GH87" s="77">
        <f t="shared" si="113"/>
        <v>138</v>
      </c>
      <c r="GI87" s="77">
        <f t="shared" si="113"/>
        <v>139</v>
      </c>
      <c r="GJ87" s="77">
        <f t="shared" si="113"/>
        <v>140</v>
      </c>
      <c r="GK87" s="77">
        <f t="shared" si="113"/>
        <v>141</v>
      </c>
      <c r="GL87" s="77">
        <f t="shared" si="113"/>
        <v>142</v>
      </c>
      <c r="GM87" s="77">
        <f t="shared" si="113"/>
        <v>143</v>
      </c>
      <c r="GN87" s="77">
        <f t="shared" si="113"/>
        <v>144</v>
      </c>
      <c r="GO87" s="77">
        <f t="shared" si="113"/>
        <v>145</v>
      </c>
      <c r="GP87" s="77">
        <f t="shared" si="113"/>
        <v>146</v>
      </c>
      <c r="GQ87" s="77">
        <f t="shared" si="113"/>
        <v>147</v>
      </c>
      <c r="GR87" s="77">
        <f t="shared" si="113"/>
        <v>148</v>
      </c>
      <c r="GS87" s="77">
        <f t="shared" si="113"/>
        <v>149</v>
      </c>
      <c r="GT87" s="77">
        <f t="shared" si="113"/>
        <v>150</v>
      </c>
      <c r="GU87" s="77">
        <f t="shared" si="113"/>
        <v>151</v>
      </c>
      <c r="GV87" s="77">
        <f t="shared" si="113"/>
        <v>152</v>
      </c>
      <c r="GW87" s="77">
        <f t="shared" si="113"/>
        <v>153</v>
      </c>
      <c r="GX87" s="77">
        <f t="shared" si="113"/>
        <v>154</v>
      </c>
    </row>
    <row r="88" spans="1:206" ht="15" customHeight="1" x14ac:dyDescent="0.2">
      <c r="A88" s="22" t="s">
        <v>194</v>
      </c>
      <c r="B88" s="22">
        <v>5</v>
      </c>
      <c r="C88" s="22" t="s">
        <v>194</v>
      </c>
      <c r="D88" s="22">
        <v>3</v>
      </c>
      <c r="E88" s="22" t="s">
        <v>204</v>
      </c>
      <c r="F88" s="22" t="s">
        <v>71</v>
      </c>
      <c r="G88" s="22" t="s">
        <v>72</v>
      </c>
      <c r="H88" s="22">
        <v>2022</v>
      </c>
      <c r="I88" s="22">
        <v>4</v>
      </c>
      <c r="J88" s="22">
        <v>11</v>
      </c>
      <c r="K88" s="22">
        <v>0</v>
      </c>
      <c r="L88" s="22">
        <v>1553</v>
      </c>
      <c r="M88" s="22">
        <v>1553</v>
      </c>
      <c r="N88" s="22" t="s">
        <v>196</v>
      </c>
      <c r="O88" s="22" t="s">
        <v>74</v>
      </c>
      <c r="P88" s="22" t="s">
        <v>75</v>
      </c>
      <c r="Q88" s="108">
        <f>IF(R88="","",'Dashboard Ciclos'!$B$2-R88)</f>
        <v>46233</v>
      </c>
      <c r="R88" s="22">
        <f>IF($E88="","",IFERROR(INDEX($W88:$GX88,MATCH('Dashboard Ciclos'!$B$2,$W$1:$GX$1,0)),""))</f>
        <v>16</v>
      </c>
      <c r="S88" s="22" t="str">
        <f t="shared" si="83"/>
        <v>Vencido 1-5 d</v>
      </c>
      <c r="T88" s="22" t="str">
        <f t="shared" si="84"/>
        <v>Fuera de ciclo</v>
      </c>
      <c r="U88" s="22">
        <f t="shared" si="85"/>
        <v>-4</v>
      </c>
      <c r="V88" s="23">
        <f t="shared" si="86"/>
        <v>46245</v>
      </c>
      <c r="W88" s="77">
        <f t="shared" si="108"/>
        <v>36</v>
      </c>
      <c r="X88" s="77">
        <f t="shared" si="108"/>
        <v>37</v>
      </c>
      <c r="Y88" s="77">
        <f t="shared" si="108"/>
        <v>38</v>
      </c>
      <c r="Z88" s="77">
        <f t="shared" si="108"/>
        <v>39</v>
      </c>
      <c r="AA88" s="77">
        <v>40</v>
      </c>
      <c r="AB88" s="77">
        <f t="shared" ref="AB88:AJ95" si="115">IF(AA88="","",AA88+1)</f>
        <v>41</v>
      </c>
      <c r="AC88" s="77">
        <f t="shared" si="115"/>
        <v>42</v>
      </c>
      <c r="AD88" s="77">
        <f t="shared" si="115"/>
        <v>43</v>
      </c>
      <c r="AE88" s="77">
        <v>0</v>
      </c>
      <c r="AF88" s="77">
        <f t="shared" si="115"/>
        <v>1</v>
      </c>
      <c r="AG88" s="77">
        <f t="shared" si="115"/>
        <v>2</v>
      </c>
      <c r="AH88" s="77">
        <f t="shared" si="115"/>
        <v>3</v>
      </c>
      <c r="AI88" s="77">
        <f t="shared" si="115"/>
        <v>4</v>
      </c>
      <c r="AJ88" s="77">
        <f t="shared" si="115"/>
        <v>5</v>
      </c>
      <c r="AK88" s="77">
        <f t="shared" si="90"/>
        <v>6</v>
      </c>
      <c r="AL88" s="77">
        <f t="shared" si="90"/>
        <v>7</v>
      </c>
      <c r="AM88" s="77">
        <f t="shared" si="90"/>
        <v>8</v>
      </c>
      <c r="AN88" s="77">
        <f t="shared" si="91"/>
        <v>9</v>
      </c>
      <c r="AO88" s="77">
        <f t="shared" si="90"/>
        <v>10</v>
      </c>
      <c r="AP88" s="77">
        <f t="shared" si="90"/>
        <v>11</v>
      </c>
      <c r="AQ88" s="77">
        <f t="shared" si="90"/>
        <v>12</v>
      </c>
      <c r="AR88" s="77">
        <f t="shared" si="105"/>
        <v>13</v>
      </c>
      <c r="AS88" s="77">
        <f t="shared" ref="AS88:CJ91" si="116">IF(AR88="","",AR88+1)</f>
        <v>14</v>
      </c>
      <c r="AT88" s="77">
        <f t="shared" si="116"/>
        <v>15</v>
      </c>
      <c r="AU88" s="77">
        <f t="shared" si="116"/>
        <v>16</v>
      </c>
      <c r="AV88" s="77">
        <f t="shared" si="116"/>
        <v>17</v>
      </c>
      <c r="AW88" s="77">
        <f t="shared" si="116"/>
        <v>18</v>
      </c>
      <c r="AX88" s="77">
        <f t="shared" si="116"/>
        <v>19</v>
      </c>
      <c r="AY88" s="77">
        <f t="shared" si="116"/>
        <v>20</v>
      </c>
      <c r="AZ88" s="77">
        <v>0</v>
      </c>
      <c r="BA88" s="77">
        <f t="shared" si="116"/>
        <v>1</v>
      </c>
      <c r="BB88" s="77">
        <f t="shared" si="116"/>
        <v>2</v>
      </c>
      <c r="BC88" s="77">
        <f t="shared" si="116"/>
        <v>3</v>
      </c>
      <c r="BD88" s="77">
        <f t="shared" si="116"/>
        <v>4</v>
      </c>
      <c r="BE88" s="77">
        <f t="shared" si="116"/>
        <v>5</v>
      </c>
      <c r="BF88" s="77">
        <f t="shared" si="116"/>
        <v>6</v>
      </c>
      <c r="BG88" s="77">
        <f t="shared" si="116"/>
        <v>7</v>
      </c>
      <c r="BH88" s="77">
        <f t="shared" si="116"/>
        <v>8</v>
      </c>
      <c r="BI88" s="77">
        <f t="shared" si="116"/>
        <v>9</v>
      </c>
      <c r="BJ88" s="77">
        <f t="shared" si="116"/>
        <v>10</v>
      </c>
      <c r="BK88" s="77">
        <f t="shared" si="116"/>
        <v>11</v>
      </c>
      <c r="BL88" s="77">
        <f t="shared" si="116"/>
        <v>12</v>
      </c>
      <c r="BM88" s="77">
        <f t="shared" si="116"/>
        <v>13</v>
      </c>
      <c r="BN88" s="77">
        <f t="shared" si="116"/>
        <v>14</v>
      </c>
      <c r="BO88" s="77">
        <f t="shared" si="116"/>
        <v>15</v>
      </c>
      <c r="BP88" s="77">
        <f t="shared" si="116"/>
        <v>16</v>
      </c>
      <c r="BQ88" s="77">
        <f t="shared" si="116"/>
        <v>17</v>
      </c>
      <c r="BR88" s="77">
        <f t="shared" si="116"/>
        <v>18</v>
      </c>
      <c r="BS88" s="77">
        <f t="shared" si="116"/>
        <v>19</v>
      </c>
      <c r="BT88" s="77">
        <f t="shared" si="116"/>
        <v>20</v>
      </c>
      <c r="BU88" s="77">
        <f t="shared" si="116"/>
        <v>21</v>
      </c>
      <c r="BV88" s="77">
        <f t="shared" si="116"/>
        <v>22</v>
      </c>
      <c r="BW88" s="77">
        <f t="shared" si="116"/>
        <v>23</v>
      </c>
      <c r="BX88" s="77">
        <f t="shared" si="116"/>
        <v>24</v>
      </c>
      <c r="BY88" s="77">
        <f t="shared" si="116"/>
        <v>25</v>
      </c>
      <c r="BZ88" s="77">
        <f t="shared" si="116"/>
        <v>26</v>
      </c>
      <c r="CA88" s="77">
        <f t="shared" si="116"/>
        <v>27</v>
      </c>
      <c r="CB88" s="77">
        <f t="shared" si="116"/>
        <v>28</v>
      </c>
      <c r="CC88" s="77">
        <f t="shared" si="116"/>
        <v>29</v>
      </c>
      <c r="CD88" s="77">
        <f t="shared" si="116"/>
        <v>30</v>
      </c>
      <c r="CE88" s="77">
        <f t="shared" si="116"/>
        <v>31</v>
      </c>
      <c r="CF88" s="77">
        <f t="shared" si="116"/>
        <v>32</v>
      </c>
      <c r="CG88" s="77">
        <f t="shared" si="116"/>
        <v>33</v>
      </c>
      <c r="CH88" s="77">
        <f t="shared" si="116"/>
        <v>34</v>
      </c>
      <c r="CI88" s="77">
        <f t="shared" si="116"/>
        <v>35</v>
      </c>
      <c r="CJ88" s="77">
        <f t="shared" si="116"/>
        <v>36</v>
      </c>
      <c r="CK88" s="77">
        <f t="shared" si="114"/>
        <v>37</v>
      </c>
      <c r="CL88" s="77">
        <f t="shared" si="114"/>
        <v>38</v>
      </c>
      <c r="CM88" s="77">
        <f t="shared" si="114"/>
        <v>39</v>
      </c>
      <c r="CN88" s="77">
        <f t="shared" si="114"/>
        <v>40</v>
      </c>
      <c r="CO88" s="77">
        <f t="shared" si="114"/>
        <v>41</v>
      </c>
      <c r="CP88" s="77">
        <f t="shared" si="114"/>
        <v>42</v>
      </c>
      <c r="CQ88" s="77">
        <f t="shared" si="114"/>
        <v>43</v>
      </c>
      <c r="CR88" s="77">
        <f t="shared" si="114"/>
        <v>44</v>
      </c>
      <c r="CS88" s="77">
        <f t="shared" si="114"/>
        <v>45</v>
      </c>
      <c r="CT88" s="77">
        <f t="shared" si="114"/>
        <v>46</v>
      </c>
      <c r="CU88" s="77">
        <f t="shared" si="114"/>
        <v>47</v>
      </c>
      <c r="CV88" s="77">
        <f t="shared" si="114"/>
        <v>48</v>
      </c>
      <c r="CW88" s="77">
        <f t="shared" si="114"/>
        <v>49</v>
      </c>
      <c r="CX88" s="77">
        <f t="shared" si="114"/>
        <v>50</v>
      </c>
      <c r="CY88" s="77">
        <f t="shared" si="114"/>
        <v>51</v>
      </c>
      <c r="CZ88" s="77">
        <f t="shared" si="114"/>
        <v>52</v>
      </c>
      <c r="DA88" s="77">
        <f t="shared" si="114"/>
        <v>53</v>
      </c>
      <c r="DB88" s="77">
        <f t="shared" si="114"/>
        <v>54</v>
      </c>
      <c r="DC88" s="77">
        <f t="shared" si="114"/>
        <v>55</v>
      </c>
      <c r="DD88" s="77">
        <f t="shared" si="114"/>
        <v>56</v>
      </c>
      <c r="DE88" s="77">
        <f t="shared" si="114"/>
        <v>57</v>
      </c>
      <c r="DF88" s="77">
        <f t="shared" si="114"/>
        <v>58</v>
      </c>
      <c r="DG88" s="77">
        <f t="shared" si="114"/>
        <v>59</v>
      </c>
      <c r="DH88" s="77">
        <f t="shared" si="114"/>
        <v>60</v>
      </c>
      <c r="DI88" s="77">
        <f t="shared" si="114"/>
        <v>61</v>
      </c>
      <c r="DJ88" s="77">
        <f t="shared" si="114"/>
        <v>62</v>
      </c>
      <c r="DK88" s="77">
        <f t="shared" si="114"/>
        <v>63</v>
      </c>
      <c r="DL88" s="77">
        <f t="shared" si="114"/>
        <v>64</v>
      </c>
      <c r="DM88" s="77">
        <f t="shared" si="114"/>
        <v>65</v>
      </c>
      <c r="DN88" s="77">
        <f t="shared" si="114"/>
        <v>66</v>
      </c>
      <c r="DO88" s="77">
        <f t="shared" si="114"/>
        <v>67</v>
      </c>
      <c r="DP88" s="77">
        <f t="shared" si="114"/>
        <v>68</v>
      </c>
      <c r="DQ88" s="77">
        <f t="shared" si="114"/>
        <v>69</v>
      </c>
      <c r="DR88" s="77">
        <f t="shared" si="114"/>
        <v>70</v>
      </c>
      <c r="DS88" s="77">
        <f t="shared" si="114"/>
        <v>71</v>
      </c>
      <c r="DT88" s="77">
        <f t="shared" si="114"/>
        <v>72</v>
      </c>
      <c r="DU88" s="77">
        <f t="shared" si="114"/>
        <v>73</v>
      </c>
      <c r="DV88" s="77">
        <f t="shared" si="114"/>
        <v>74</v>
      </c>
      <c r="DW88" s="77">
        <f t="shared" si="114"/>
        <v>75</v>
      </c>
      <c r="DX88" s="77">
        <f t="shared" si="114"/>
        <v>76</v>
      </c>
      <c r="DY88" s="77">
        <f t="shared" si="114"/>
        <v>77</v>
      </c>
      <c r="DZ88" s="77">
        <f t="shared" si="114"/>
        <v>78</v>
      </c>
      <c r="EA88" s="77">
        <f t="shared" si="114"/>
        <v>79</v>
      </c>
      <c r="EB88" s="77">
        <f t="shared" si="114"/>
        <v>80</v>
      </c>
      <c r="EC88" s="77">
        <f t="shared" si="114"/>
        <v>81</v>
      </c>
      <c r="ED88" s="77">
        <f t="shared" si="114"/>
        <v>82</v>
      </c>
      <c r="EE88" s="77">
        <f t="shared" si="114"/>
        <v>83</v>
      </c>
      <c r="EF88" s="77">
        <f t="shared" si="114"/>
        <v>84</v>
      </c>
      <c r="EG88" s="77">
        <f t="shared" si="114"/>
        <v>85</v>
      </c>
      <c r="EH88" s="77">
        <f t="shared" si="114"/>
        <v>86</v>
      </c>
      <c r="EI88" s="77">
        <f t="shared" si="114"/>
        <v>87</v>
      </c>
      <c r="EJ88" s="77">
        <f t="shared" si="114"/>
        <v>88</v>
      </c>
      <c r="EK88" s="77">
        <f t="shared" si="114"/>
        <v>89</v>
      </c>
      <c r="EL88" s="77">
        <f t="shared" si="114"/>
        <v>90</v>
      </c>
      <c r="EM88" s="77">
        <f t="shared" si="114"/>
        <v>91</v>
      </c>
      <c r="EN88" s="77">
        <f t="shared" si="114"/>
        <v>92</v>
      </c>
      <c r="EO88" s="77">
        <f t="shared" si="114"/>
        <v>93</v>
      </c>
      <c r="EP88" s="77">
        <f t="shared" si="114"/>
        <v>94</v>
      </c>
      <c r="EQ88" s="77">
        <f t="shared" si="114"/>
        <v>95</v>
      </c>
      <c r="ER88" s="77">
        <f t="shared" si="114"/>
        <v>96</v>
      </c>
      <c r="ES88" s="77">
        <f t="shared" si="114"/>
        <v>97</v>
      </c>
      <c r="ET88" s="77">
        <f t="shared" si="114"/>
        <v>98</v>
      </c>
      <c r="EU88" s="77">
        <f t="shared" si="114"/>
        <v>99</v>
      </c>
      <c r="EV88" s="77">
        <f t="shared" si="113"/>
        <v>100</v>
      </c>
      <c r="EW88" s="77">
        <f t="shared" si="113"/>
        <v>101</v>
      </c>
      <c r="EX88" s="77">
        <f t="shared" si="113"/>
        <v>102</v>
      </c>
      <c r="EY88" s="77">
        <f t="shared" si="113"/>
        <v>103</v>
      </c>
      <c r="EZ88" s="77">
        <f t="shared" si="113"/>
        <v>104</v>
      </c>
      <c r="FA88" s="77">
        <f t="shared" si="113"/>
        <v>105</v>
      </c>
      <c r="FB88" s="77">
        <f t="shared" si="113"/>
        <v>106</v>
      </c>
      <c r="FC88" s="77">
        <f t="shared" si="113"/>
        <v>107</v>
      </c>
      <c r="FD88" s="77">
        <f t="shared" si="113"/>
        <v>108</v>
      </c>
      <c r="FE88" s="77">
        <f t="shared" si="113"/>
        <v>109</v>
      </c>
      <c r="FF88" s="77">
        <f t="shared" si="113"/>
        <v>110</v>
      </c>
      <c r="FG88" s="77">
        <f t="shared" si="113"/>
        <v>111</v>
      </c>
      <c r="FH88" s="77">
        <f t="shared" si="113"/>
        <v>112</v>
      </c>
      <c r="FI88" s="77">
        <f t="shared" si="113"/>
        <v>113</v>
      </c>
      <c r="FJ88" s="77">
        <f t="shared" si="113"/>
        <v>114</v>
      </c>
      <c r="FK88" s="77">
        <f t="shared" si="113"/>
        <v>115</v>
      </c>
      <c r="FL88" s="77">
        <f t="shared" si="113"/>
        <v>116</v>
      </c>
      <c r="FM88" s="77">
        <f t="shared" si="113"/>
        <v>117</v>
      </c>
      <c r="FN88" s="77">
        <f t="shared" si="113"/>
        <v>118</v>
      </c>
      <c r="FO88" s="77">
        <f t="shared" si="113"/>
        <v>119</v>
      </c>
      <c r="FP88" s="77">
        <f t="shared" si="113"/>
        <v>120</v>
      </c>
      <c r="FQ88" s="77">
        <f t="shared" si="113"/>
        <v>121</v>
      </c>
      <c r="FR88" s="77">
        <f t="shared" si="113"/>
        <v>122</v>
      </c>
      <c r="FS88" s="77">
        <f t="shared" si="113"/>
        <v>123</v>
      </c>
      <c r="FT88" s="77">
        <f t="shared" si="113"/>
        <v>124</v>
      </c>
      <c r="FU88" s="77">
        <f t="shared" si="113"/>
        <v>125</v>
      </c>
      <c r="FV88" s="77">
        <f t="shared" si="113"/>
        <v>126</v>
      </c>
      <c r="FW88" s="77">
        <f t="shared" si="113"/>
        <v>127</v>
      </c>
      <c r="FX88" s="77">
        <f t="shared" si="113"/>
        <v>128</v>
      </c>
      <c r="FY88" s="77">
        <f t="shared" si="113"/>
        <v>129</v>
      </c>
      <c r="FZ88" s="77">
        <f t="shared" si="113"/>
        <v>130</v>
      </c>
      <c r="GA88" s="77">
        <f t="shared" si="113"/>
        <v>131</v>
      </c>
      <c r="GB88" s="77">
        <f t="shared" si="113"/>
        <v>132</v>
      </c>
      <c r="GC88" s="77">
        <f t="shared" si="113"/>
        <v>133</v>
      </c>
      <c r="GD88" s="77">
        <f t="shared" si="113"/>
        <v>134</v>
      </c>
      <c r="GE88" s="77">
        <f t="shared" ref="GE88:GX88" si="117">IF(GD88="","",GD88+1)</f>
        <v>135</v>
      </c>
      <c r="GF88" s="77">
        <f t="shared" si="117"/>
        <v>136</v>
      </c>
      <c r="GG88" s="77">
        <f t="shared" si="117"/>
        <v>137</v>
      </c>
      <c r="GH88" s="77">
        <f t="shared" si="117"/>
        <v>138</v>
      </c>
      <c r="GI88" s="77">
        <f t="shared" si="117"/>
        <v>139</v>
      </c>
      <c r="GJ88" s="77">
        <f t="shared" si="117"/>
        <v>140</v>
      </c>
      <c r="GK88" s="77">
        <f t="shared" si="117"/>
        <v>141</v>
      </c>
      <c r="GL88" s="77">
        <f t="shared" si="117"/>
        <v>142</v>
      </c>
      <c r="GM88" s="77">
        <f t="shared" si="117"/>
        <v>143</v>
      </c>
      <c r="GN88" s="77">
        <f t="shared" si="117"/>
        <v>144</v>
      </c>
      <c r="GO88" s="77">
        <f t="shared" si="117"/>
        <v>145</v>
      </c>
      <c r="GP88" s="77">
        <f t="shared" si="117"/>
        <v>146</v>
      </c>
      <c r="GQ88" s="77">
        <f t="shared" si="117"/>
        <v>147</v>
      </c>
      <c r="GR88" s="77">
        <f t="shared" si="117"/>
        <v>148</v>
      </c>
      <c r="GS88" s="77">
        <f t="shared" si="117"/>
        <v>149</v>
      </c>
      <c r="GT88" s="77">
        <f t="shared" si="117"/>
        <v>150</v>
      </c>
      <c r="GU88" s="77">
        <f t="shared" si="117"/>
        <v>151</v>
      </c>
      <c r="GV88" s="77">
        <f t="shared" si="117"/>
        <v>152</v>
      </c>
      <c r="GW88" s="77">
        <f t="shared" si="117"/>
        <v>153</v>
      </c>
      <c r="GX88" s="77">
        <f t="shared" si="117"/>
        <v>154</v>
      </c>
    </row>
    <row r="89" spans="1:206" ht="15" customHeight="1" x14ac:dyDescent="0.2">
      <c r="A89" s="22" t="s">
        <v>194</v>
      </c>
      <c r="B89" s="22">
        <v>5</v>
      </c>
      <c r="C89" s="22" t="s">
        <v>194</v>
      </c>
      <c r="D89" s="22" t="s">
        <v>205</v>
      </c>
      <c r="E89" s="22" t="s">
        <v>206</v>
      </c>
      <c r="F89" s="22" t="s">
        <v>71</v>
      </c>
      <c r="G89" s="22" t="s">
        <v>72</v>
      </c>
      <c r="H89" s="22">
        <v>2022</v>
      </c>
      <c r="I89" s="22">
        <v>4</v>
      </c>
      <c r="J89" s="22">
        <v>11</v>
      </c>
      <c r="K89" s="22">
        <v>0</v>
      </c>
      <c r="L89" s="22">
        <v>1499</v>
      </c>
      <c r="M89" s="22">
        <v>1499</v>
      </c>
      <c r="N89" s="22" t="s">
        <v>196</v>
      </c>
      <c r="O89" s="22" t="s">
        <v>74</v>
      </c>
      <c r="P89" s="22" t="s">
        <v>75</v>
      </c>
      <c r="Q89" s="108">
        <f>IF(R89="","",'Dashboard Ciclos'!$B$2-R89)</f>
        <v>46233</v>
      </c>
      <c r="R89" s="22">
        <f>IF($E89="","",IFERROR(INDEX($W89:$GX89,MATCH('Dashboard Ciclos'!$B$2,$W$1:$GX$1,0)),""))</f>
        <v>16</v>
      </c>
      <c r="S89" s="22" t="str">
        <f t="shared" si="83"/>
        <v>Vencido 1-5 d</v>
      </c>
      <c r="T89" s="22" t="str">
        <f t="shared" si="84"/>
        <v>Fuera de ciclo</v>
      </c>
      <c r="U89" s="22">
        <f t="shared" si="85"/>
        <v>-4</v>
      </c>
      <c r="V89" s="23">
        <f t="shared" si="86"/>
        <v>46245</v>
      </c>
      <c r="W89" s="77">
        <f t="shared" si="108"/>
        <v>36</v>
      </c>
      <c r="X89" s="77">
        <f t="shared" si="108"/>
        <v>37</v>
      </c>
      <c r="Y89" s="77">
        <f t="shared" si="108"/>
        <v>38</v>
      </c>
      <c r="Z89" s="77">
        <f t="shared" si="108"/>
        <v>39</v>
      </c>
      <c r="AA89" s="77">
        <v>40</v>
      </c>
      <c r="AB89" s="77">
        <f t="shared" si="115"/>
        <v>41</v>
      </c>
      <c r="AC89" s="77">
        <f t="shared" si="115"/>
        <v>42</v>
      </c>
      <c r="AD89" s="77">
        <f t="shared" si="115"/>
        <v>43</v>
      </c>
      <c r="AE89" s="77">
        <f t="shared" si="115"/>
        <v>44</v>
      </c>
      <c r="AF89" s="77">
        <f t="shared" si="115"/>
        <v>45</v>
      </c>
      <c r="AG89" s="77">
        <v>0</v>
      </c>
      <c r="AH89" s="77">
        <f t="shared" si="115"/>
        <v>1</v>
      </c>
      <c r="AI89" s="77">
        <f t="shared" si="115"/>
        <v>2</v>
      </c>
      <c r="AJ89" s="77">
        <f t="shared" si="115"/>
        <v>3</v>
      </c>
      <c r="AK89" s="77">
        <f t="shared" si="90"/>
        <v>4</v>
      </c>
      <c r="AL89" s="77">
        <f t="shared" si="90"/>
        <v>5</v>
      </c>
      <c r="AM89" s="77">
        <f t="shared" si="90"/>
        <v>6</v>
      </c>
      <c r="AN89" s="77">
        <f t="shared" si="91"/>
        <v>7</v>
      </c>
      <c r="AO89" s="77">
        <f t="shared" si="90"/>
        <v>8</v>
      </c>
      <c r="AP89" s="77">
        <f t="shared" si="90"/>
        <v>9</v>
      </c>
      <c r="AQ89" s="77">
        <f t="shared" si="90"/>
        <v>10</v>
      </c>
      <c r="AR89" s="77">
        <f t="shared" si="105"/>
        <v>11</v>
      </c>
      <c r="AS89" s="77">
        <f t="shared" si="116"/>
        <v>12</v>
      </c>
      <c r="AT89" s="77">
        <f t="shared" si="116"/>
        <v>13</v>
      </c>
      <c r="AU89" s="77">
        <f t="shared" si="116"/>
        <v>14</v>
      </c>
      <c r="AV89" s="77">
        <f t="shared" si="116"/>
        <v>15</v>
      </c>
      <c r="AW89" s="77">
        <f t="shared" si="116"/>
        <v>16</v>
      </c>
      <c r="AX89" s="77">
        <f t="shared" si="116"/>
        <v>17</v>
      </c>
      <c r="AY89" s="77">
        <f t="shared" si="116"/>
        <v>18</v>
      </c>
      <c r="AZ89" s="77">
        <v>0</v>
      </c>
      <c r="BA89" s="77">
        <f t="shared" si="116"/>
        <v>1</v>
      </c>
      <c r="BB89" s="77">
        <f t="shared" si="116"/>
        <v>2</v>
      </c>
      <c r="BC89" s="77">
        <f t="shared" si="116"/>
        <v>3</v>
      </c>
      <c r="BD89" s="77">
        <f t="shared" si="116"/>
        <v>4</v>
      </c>
      <c r="BE89" s="77">
        <f t="shared" si="116"/>
        <v>5</v>
      </c>
      <c r="BF89" s="77">
        <f t="shared" si="116"/>
        <v>6</v>
      </c>
      <c r="BG89" s="77">
        <f t="shared" si="116"/>
        <v>7</v>
      </c>
      <c r="BH89" s="77">
        <f t="shared" si="116"/>
        <v>8</v>
      </c>
      <c r="BI89" s="77">
        <f t="shared" si="116"/>
        <v>9</v>
      </c>
      <c r="BJ89" s="77">
        <f t="shared" si="116"/>
        <v>10</v>
      </c>
      <c r="BK89" s="77">
        <f t="shared" si="116"/>
        <v>11</v>
      </c>
      <c r="BL89" s="77">
        <f t="shared" si="116"/>
        <v>12</v>
      </c>
      <c r="BM89" s="77">
        <f t="shared" si="116"/>
        <v>13</v>
      </c>
      <c r="BN89" s="77">
        <f t="shared" si="116"/>
        <v>14</v>
      </c>
      <c r="BO89" s="77">
        <f t="shared" si="116"/>
        <v>15</v>
      </c>
      <c r="BP89" s="77">
        <f t="shared" si="116"/>
        <v>16</v>
      </c>
      <c r="BQ89" s="77">
        <f t="shared" si="116"/>
        <v>17</v>
      </c>
      <c r="BR89" s="77">
        <f t="shared" si="116"/>
        <v>18</v>
      </c>
      <c r="BS89" s="77">
        <f t="shared" si="116"/>
        <v>19</v>
      </c>
      <c r="BT89" s="77">
        <f t="shared" si="116"/>
        <v>20</v>
      </c>
      <c r="BU89" s="77">
        <f t="shared" si="116"/>
        <v>21</v>
      </c>
      <c r="BV89" s="77">
        <f t="shared" si="116"/>
        <v>22</v>
      </c>
      <c r="BW89" s="77">
        <f t="shared" si="116"/>
        <v>23</v>
      </c>
      <c r="BX89" s="77">
        <f t="shared" si="116"/>
        <v>24</v>
      </c>
      <c r="BY89" s="77">
        <f t="shared" si="116"/>
        <v>25</v>
      </c>
      <c r="BZ89" s="77">
        <f t="shared" si="116"/>
        <v>26</v>
      </c>
      <c r="CA89" s="77">
        <f t="shared" si="116"/>
        <v>27</v>
      </c>
      <c r="CB89" s="77">
        <f t="shared" si="116"/>
        <v>28</v>
      </c>
      <c r="CC89" s="77">
        <f t="shared" si="116"/>
        <v>29</v>
      </c>
      <c r="CD89" s="77">
        <f t="shared" si="116"/>
        <v>30</v>
      </c>
      <c r="CE89" s="77">
        <f t="shared" si="116"/>
        <v>31</v>
      </c>
      <c r="CF89" s="77">
        <f t="shared" si="116"/>
        <v>32</v>
      </c>
      <c r="CG89" s="77">
        <f t="shared" si="116"/>
        <v>33</v>
      </c>
      <c r="CH89" s="77">
        <f t="shared" si="116"/>
        <v>34</v>
      </c>
      <c r="CI89" s="77">
        <f t="shared" si="116"/>
        <v>35</v>
      </c>
      <c r="CJ89" s="77">
        <f t="shared" si="116"/>
        <v>36</v>
      </c>
      <c r="CK89" s="77">
        <f t="shared" si="114"/>
        <v>37</v>
      </c>
      <c r="CL89" s="77">
        <f t="shared" si="114"/>
        <v>38</v>
      </c>
      <c r="CM89" s="77">
        <f t="shared" si="114"/>
        <v>39</v>
      </c>
      <c r="CN89" s="77">
        <f t="shared" si="114"/>
        <v>40</v>
      </c>
      <c r="CO89" s="77">
        <f t="shared" si="114"/>
        <v>41</v>
      </c>
      <c r="CP89" s="77">
        <f t="shared" si="114"/>
        <v>42</v>
      </c>
      <c r="CQ89" s="77">
        <f t="shared" si="114"/>
        <v>43</v>
      </c>
      <c r="CR89" s="77">
        <f t="shared" si="114"/>
        <v>44</v>
      </c>
      <c r="CS89" s="77">
        <f t="shared" si="114"/>
        <v>45</v>
      </c>
      <c r="CT89" s="77">
        <f t="shared" si="114"/>
        <v>46</v>
      </c>
      <c r="CU89" s="77">
        <f t="shared" si="114"/>
        <v>47</v>
      </c>
      <c r="CV89" s="77">
        <f t="shared" si="114"/>
        <v>48</v>
      </c>
      <c r="CW89" s="77">
        <f t="shared" si="114"/>
        <v>49</v>
      </c>
      <c r="CX89" s="77">
        <f t="shared" si="114"/>
        <v>50</v>
      </c>
      <c r="CY89" s="77">
        <f t="shared" si="114"/>
        <v>51</v>
      </c>
      <c r="CZ89" s="77">
        <f t="shared" si="114"/>
        <v>52</v>
      </c>
      <c r="DA89" s="77">
        <f t="shared" si="114"/>
        <v>53</v>
      </c>
      <c r="DB89" s="77">
        <f t="shared" si="114"/>
        <v>54</v>
      </c>
      <c r="DC89" s="77">
        <f t="shared" si="114"/>
        <v>55</v>
      </c>
      <c r="DD89" s="77">
        <f t="shared" si="114"/>
        <v>56</v>
      </c>
      <c r="DE89" s="77">
        <f t="shared" si="114"/>
        <v>57</v>
      </c>
      <c r="DF89" s="77">
        <f t="shared" si="114"/>
        <v>58</v>
      </c>
      <c r="DG89" s="77">
        <f t="shared" si="114"/>
        <v>59</v>
      </c>
      <c r="DH89" s="77">
        <f t="shared" si="114"/>
        <v>60</v>
      </c>
      <c r="DI89" s="77">
        <f t="shared" si="114"/>
        <v>61</v>
      </c>
      <c r="DJ89" s="77">
        <f t="shared" si="114"/>
        <v>62</v>
      </c>
      <c r="DK89" s="77">
        <f t="shared" si="114"/>
        <v>63</v>
      </c>
      <c r="DL89" s="77">
        <f t="shared" si="114"/>
        <v>64</v>
      </c>
      <c r="DM89" s="77">
        <f t="shared" si="114"/>
        <v>65</v>
      </c>
      <c r="DN89" s="77">
        <f t="shared" si="114"/>
        <v>66</v>
      </c>
      <c r="DO89" s="77">
        <f t="shared" si="114"/>
        <v>67</v>
      </c>
      <c r="DP89" s="77">
        <f t="shared" si="114"/>
        <v>68</v>
      </c>
      <c r="DQ89" s="77">
        <f t="shared" si="114"/>
        <v>69</v>
      </c>
      <c r="DR89" s="77">
        <f t="shared" si="114"/>
        <v>70</v>
      </c>
      <c r="DS89" s="77">
        <f t="shared" si="114"/>
        <v>71</v>
      </c>
      <c r="DT89" s="77">
        <f t="shared" si="114"/>
        <v>72</v>
      </c>
      <c r="DU89" s="77">
        <f t="shared" si="114"/>
        <v>73</v>
      </c>
      <c r="DV89" s="77">
        <f t="shared" si="114"/>
        <v>74</v>
      </c>
      <c r="DW89" s="77">
        <f t="shared" si="114"/>
        <v>75</v>
      </c>
      <c r="DX89" s="77">
        <f t="shared" si="114"/>
        <v>76</v>
      </c>
      <c r="DY89" s="77">
        <f t="shared" si="114"/>
        <v>77</v>
      </c>
      <c r="DZ89" s="77">
        <f t="shared" si="114"/>
        <v>78</v>
      </c>
      <c r="EA89" s="77">
        <f t="shared" si="114"/>
        <v>79</v>
      </c>
      <c r="EB89" s="77">
        <f t="shared" si="114"/>
        <v>80</v>
      </c>
      <c r="EC89" s="77">
        <f t="shared" si="114"/>
        <v>81</v>
      </c>
      <c r="ED89" s="77">
        <f t="shared" si="114"/>
        <v>82</v>
      </c>
      <c r="EE89" s="77">
        <f t="shared" si="114"/>
        <v>83</v>
      </c>
      <c r="EF89" s="77">
        <f t="shared" si="114"/>
        <v>84</v>
      </c>
      <c r="EG89" s="77">
        <f t="shared" si="114"/>
        <v>85</v>
      </c>
      <c r="EH89" s="77">
        <f t="shared" si="114"/>
        <v>86</v>
      </c>
      <c r="EI89" s="77">
        <f t="shared" si="114"/>
        <v>87</v>
      </c>
      <c r="EJ89" s="77">
        <f t="shared" si="114"/>
        <v>88</v>
      </c>
      <c r="EK89" s="77">
        <f t="shared" si="114"/>
        <v>89</v>
      </c>
      <c r="EL89" s="77">
        <f t="shared" si="114"/>
        <v>90</v>
      </c>
      <c r="EM89" s="77">
        <f t="shared" si="114"/>
        <v>91</v>
      </c>
      <c r="EN89" s="77">
        <f t="shared" si="114"/>
        <v>92</v>
      </c>
      <c r="EO89" s="77">
        <f t="shared" si="114"/>
        <v>93</v>
      </c>
      <c r="EP89" s="77">
        <f t="shared" si="114"/>
        <v>94</v>
      </c>
      <c r="EQ89" s="77">
        <f t="shared" si="114"/>
        <v>95</v>
      </c>
      <c r="ER89" s="77">
        <f t="shared" si="114"/>
        <v>96</v>
      </c>
      <c r="ES89" s="77">
        <f t="shared" si="114"/>
        <v>97</v>
      </c>
      <c r="ET89" s="77">
        <f t="shared" si="114"/>
        <v>98</v>
      </c>
      <c r="EU89" s="77">
        <f t="shared" si="114"/>
        <v>99</v>
      </c>
      <c r="EV89" s="77">
        <f t="shared" ref="EV89:GX93" si="118">IF(EU89="","",EU89+1)</f>
        <v>100</v>
      </c>
      <c r="EW89" s="77">
        <f t="shared" si="118"/>
        <v>101</v>
      </c>
      <c r="EX89" s="77">
        <f t="shared" si="118"/>
        <v>102</v>
      </c>
      <c r="EY89" s="77">
        <f t="shared" si="118"/>
        <v>103</v>
      </c>
      <c r="EZ89" s="77">
        <f t="shared" si="118"/>
        <v>104</v>
      </c>
      <c r="FA89" s="77">
        <f t="shared" si="118"/>
        <v>105</v>
      </c>
      <c r="FB89" s="77">
        <f t="shared" si="118"/>
        <v>106</v>
      </c>
      <c r="FC89" s="77">
        <f t="shared" si="118"/>
        <v>107</v>
      </c>
      <c r="FD89" s="77">
        <f t="shared" si="118"/>
        <v>108</v>
      </c>
      <c r="FE89" s="77">
        <f t="shared" si="118"/>
        <v>109</v>
      </c>
      <c r="FF89" s="77">
        <f t="shared" si="118"/>
        <v>110</v>
      </c>
      <c r="FG89" s="77">
        <f t="shared" si="118"/>
        <v>111</v>
      </c>
      <c r="FH89" s="77">
        <f t="shared" si="118"/>
        <v>112</v>
      </c>
      <c r="FI89" s="77">
        <f t="shared" si="118"/>
        <v>113</v>
      </c>
      <c r="FJ89" s="77">
        <f t="shared" si="118"/>
        <v>114</v>
      </c>
      <c r="FK89" s="77">
        <f t="shared" si="118"/>
        <v>115</v>
      </c>
      <c r="FL89" s="77">
        <f t="shared" si="118"/>
        <v>116</v>
      </c>
      <c r="FM89" s="77">
        <f t="shared" si="118"/>
        <v>117</v>
      </c>
      <c r="FN89" s="77">
        <f t="shared" si="118"/>
        <v>118</v>
      </c>
      <c r="FO89" s="77">
        <f t="shared" si="118"/>
        <v>119</v>
      </c>
      <c r="FP89" s="77">
        <f t="shared" si="118"/>
        <v>120</v>
      </c>
      <c r="FQ89" s="77">
        <f t="shared" si="118"/>
        <v>121</v>
      </c>
      <c r="FR89" s="77">
        <f t="shared" si="118"/>
        <v>122</v>
      </c>
      <c r="FS89" s="77">
        <f t="shared" si="118"/>
        <v>123</v>
      </c>
      <c r="FT89" s="77">
        <f t="shared" si="118"/>
        <v>124</v>
      </c>
      <c r="FU89" s="77">
        <f t="shared" si="118"/>
        <v>125</v>
      </c>
      <c r="FV89" s="77">
        <f t="shared" si="118"/>
        <v>126</v>
      </c>
      <c r="FW89" s="77">
        <f t="shared" si="118"/>
        <v>127</v>
      </c>
      <c r="FX89" s="77">
        <f t="shared" si="118"/>
        <v>128</v>
      </c>
      <c r="FY89" s="77">
        <f t="shared" si="118"/>
        <v>129</v>
      </c>
      <c r="FZ89" s="77">
        <f t="shared" si="118"/>
        <v>130</v>
      </c>
      <c r="GA89" s="77">
        <f t="shared" si="118"/>
        <v>131</v>
      </c>
      <c r="GB89" s="77">
        <f t="shared" si="118"/>
        <v>132</v>
      </c>
      <c r="GC89" s="77">
        <f t="shared" si="118"/>
        <v>133</v>
      </c>
      <c r="GD89" s="77">
        <f t="shared" si="118"/>
        <v>134</v>
      </c>
      <c r="GE89" s="77">
        <f t="shared" si="118"/>
        <v>135</v>
      </c>
      <c r="GF89" s="77">
        <f t="shared" si="118"/>
        <v>136</v>
      </c>
      <c r="GG89" s="77">
        <f t="shared" si="118"/>
        <v>137</v>
      </c>
      <c r="GH89" s="77">
        <f t="shared" si="118"/>
        <v>138</v>
      </c>
      <c r="GI89" s="77">
        <f t="shared" si="118"/>
        <v>139</v>
      </c>
      <c r="GJ89" s="77">
        <f t="shared" si="118"/>
        <v>140</v>
      </c>
      <c r="GK89" s="77">
        <f t="shared" si="118"/>
        <v>141</v>
      </c>
      <c r="GL89" s="77">
        <f t="shared" si="118"/>
        <v>142</v>
      </c>
      <c r="GM89" s="77">
        <f t="shared" si="118"/>
        <v>143</v>
      </c>
      <c r="GN89" s="77">
        <f t="shared" si="118"/>
        <v>144</v>
      </c>
      <c r="GO89" s="77">
        <f t="shared" si="118"/>
        <v>145</v>
      </c>
      <c r="GP89" s="77">
        <f t="shared" si="118"/>
        <v>146</v>
      </c>
      <c r="GQ89" s="77">
        <f t="shared" si="118"/>
        <v>147</v>
      </c>
      <c r="GR89" s="77">
        <f t="shared" si="118"/>
        <v>148</v>
      </c>
      <c r="GS89" s="77">
        <f t="shared" si="118"/>
        <v>149</v>
      </c>
      <c r="GT89" s="77">
        <f t="shared" si="118"/>
        <v>150</v>
      </c>
      <c r="GU89" s="77">
        <f t="shared" si="118"/>
        <v>151</v>
      </c>
      <c r="GV89" s="77">
        <f t="shared" si="118"/>
        <v>152</v>
      </c>
      <c r="GW89" s="77">
        <f t="shared" si="118"/>
        <v>153</v>
      </c>
      <c r="GX89" s="77">
        <f t="shared" si="118"/>
        <v>154</v>
      </c>
    </row>
    <row r="90" spans="1:206" ht="15" customHeight="1" x14ac:dyDescent="0.2">
      <c r="A90" s="22" t="s">
        <v>194</v>
      </c>
      <c r="B90" s="22">
        <v>5</v>
      </c>
      <c r="C90" s="22" t="s">
        <v>194</v>
      </c>
      <c r="D90" s="22" t="s">
        <v>207</v>
      </c>
      <c r="E90" s="22" t="s">
        <v>208</v>
      </c>
      <c r="F90" s="22" t="s">
        <v>71</v>
      </c>
      <c r="G90" s="22" t="s">
        <v>72</v>
      </c>
      <c r="H90" s="22">
        <v>2022</v>
      </c>
      <c r="I90" s="22">
        <v>4</v>
      </c>
      <c r="J90" s="22">
        <v>16</v>
      </c>
      <c r="K90" s="22">
        <v>0</v>
      </c>
      <c r="L90" s="22">
        <v>2326</v>
      </c>
      <c r="M90" s="22">
        <v>2326</v>
      </c>
      <c r="N90" s="22" t="s">
        <v>196</v>
      </c>
      <c r="O90" s="22" t="s">
        <v>74</v>
      </c>
      <c r="P90" s="22" t="s">
        <v>75</v>
      </c>
      <c r="Q90" s="108">
        <f>IF(R90="","",'Dashboard Ciclos'!$B$2-R90)</f>
        <v>46233</v>
      </c>
      <c r="R90" s="22">
        <f>IF($E90="","",IFERROR(INDEX($W90:$GX90,MATCH('Dashboard Ciclos'!$B$2,$W$1:$GX$1,0)),""))</f>
        <v>16</v>
      </c>
      <c r="S90" s="22" t="str">
        <f t="shared" si="83"/>
        <v>Vencido 1-5 d</v>
      </c>
      <c r="T90" s="22" t="str">
        <f t="shared" si="84"/>
        <v>Fuera de ciclo</v>
      </c>
      <c r="U90" s="22">
        <f t="shared" si="85"/>
        <v>-4</v>
      </c>
      <c r="V90" s="23">
        <f t="shared" si="86"/>
        <v>46245</v>
      </c>
      <c r="W90" s="77">
        <f t="shared" si="108"/>
        <v>35</v>
      </c>
      <c r="X90" s="77">
        <f t="shared" si="108"/>
        <v>36</v>
      </c>
      <c r="Y90" s="77">
        <f t="shared" si="108"/>
        <v>37</v>
      </c>
      <c r="Z90" s="77">
        <f t="shared" si="108"/>
        <v>38</v>
      </c>
      <c r="AA90" s="77">
        <v>39</v>
      </c>
      <c r="AB90" s="77">
        <f t="shared" si="115"/>
        <v>40</v>
      </c>
      <c r="AC90" s="77">
        <f t="shared" si="115"/>
        <v>41</v>
      </c>
      <c r="AD90" s="77">
        <f t="shared" si="115"/>
        <v>42</v>
      </c>
      <c r="AE90" s="77">
        <f t="shared" si="115"/>
        <v>43</v>
      </c>
      <c r="AF90" s="77">
        <f t="shared" si="115"/>
        <v>44</v>
      </c>
      <c r="AG90" s="77">
        <f t="shared" si="115"/>
        <v>45</v>
      </c>
      <c r="AH90" s="77">
        <v>0</v>
      </c>
      <c r="AI90" s="77">
        <f t="shared" si="115"/>
        <v>1</v>
      </c>
      <c r="AJ90" s="77">
        <f t="shared" si="115"/>
        <v>2</v>
      </c>
      <c r="AK90" s="77">
        <f t="shared" si="90"/>
        <v>3</v>
      </c>
      <c r="AL90" s="77">
        <f t="shared" si="90"/>
        <v>4</v>
      </c>
      <c r="AM90" s="77">
        <f t="shared" si="90"/>
        <v>5</v>
      </c>
      <c r="AN90" s="77">
        <f t="shared" si="91"/>
        <v>6</v>
      </c>
      <c r="AO90" s="77">
        <f t="shared" si="90"/>
        <v>7</v>
      </c>
      <c r="AP90" s="77">
        <f t="shared" si="90"/>
        <v>8</v>
      </c>
      <c r="AQ90" s="77">
        <f t="shared" si="90"/>
        <v>9</v>
      </c>
      <c r="AR90" s="77">
        <f t="shared" si="105"/>
        <v>10</v>
      </c>
      <c r="AS90" s="77">
        <f t="shared" si="116"/>
        <v>11</v>
      </c>
      <c r="AT90" s="77">
        <f t="shared" si="116"/>
        <v>12</v>
      </c>
      <c r="AU90" s="77">
        <f t="shared" si="116"/>
        <v>13</v>
      </c>
      <c r="AV90" s="77">
        <f t="shared" si="116"/>
        <v>14</v>
      </c>
      <c r="AW90" s="77">
        <f t="shared" si="116"/>
        <v>15</v>
      </c>
      <c r="AX90" s="77">
        <f t="shared" si="116"/>
        <v>16</v>
      </c>
      <c r="AY90" s="77">
        <f t="shared" si="116"/>
        <v>17</v>
      </c>
      <c r="AZ90" s="77">
        <v>0</v>
      </c>
      <c r="BA90" s="77">
        <f t="shared" si="116"/>
        <v>1</v>
      </c>
      <c r="BB90" s="77">
        <f t="shared" si="116"/>
        <v>2</v>
      </c>
      <c r="BC90" s="77">
        <f t="shared" si="116"/>
        <v>3</v>
      </c>
      <c r="BD90" s="77">
        <f t="shared" si="116"/>
        <v>4</v>
      </c>
      <c r="BE90" s="77">
        <f t="shared" si="116"/>
        <v>5</v>
      </c>
      <c r="BF90" s="77">
        <f t="shared" si="116"/>
        <v>6</v>
      </c>
      <c r="BG90" s="77">
        <f t="shared" si="116"/>
        <v>7</v>
      </c>
      <c r="BH90" s="77">
        <f t="shared" si="116"/>
        <v>8</v>
      </c>
      <c r="BI90" s="77">
        <f t="shared" si="116"/>
        <v>9</v>
      </c>
      <c r="BJ90" s="77">
        <f t="shared" si="116"/>
        <v>10</v>
      </c>
      <c r="BK90" s="77">
        <f t="shared" si="116"/>
        <v>11</v>
      </c>
      <c r="BL90" s="77">
        <f t="shared" si="116"/>
        <v>12</v>
      </c>
      <c r="BM90" s="77">
        <f t="shared" si="116"/>
        <v>13</v>
      </c>
      <c r="BN90" s="77">
        <f t="shared" si="116"/>
        <v>14</v>
      </c>
      <c r="BO90" s="77">
        <f t="shared" si="116"/>
        <v>15</v>
      </c>
      <c r="BP90" s="77">
        <f t="shared" si="116"/>
        <v>16</v>
      </c>
      <c r="BQ90" s="77">
        <f t="shared" si="116"/>
        <v>17</v>
      </c>
      <c r="BR90" s="77">
        <f t="shared" si="116"/>
        <v>18</v>
      </c>
      <c r="BS90" s="77">
        <f t="shared" si="116"/>
        <v>19</v>
      </c>
      <c r="BT90" s="77">
        <f t="shared" si="116"/>
        <v>20</v>
      </c>
      <c r="BU90" s="77">
        <f t="shared" si="116"/>
        <v>21</v>
      </c>
      <c r="BV90" s="77">
        <f t="shared" si="116"/>
        <v>22</v>
      </c>
      <c r="BW90" s="77">
        <f t="shared" si="116"/>
        <v>23</v>
      </c>
      <c r="BX90" s="77">
        <f t="shared" si="116"/>
        <v>24</v>
      </c>
      <c r="BY90" s="77">
        <f t="shared" si="116"/>
        <v>25</v>
      </c>
      <c r="BZ90" s="77">
        <f t="shared" si="116"/>
        <v>26</v>
      </c>
      <c r="CA90" s="77">
        <f t="shared" si="116"/>
        <v>27</v>
      </c>
      <c r="CB90" s="77">
        <f t="shared" si="116"/>
        <v>28</v>
      </c>
      <c r="CC90" s="77">
        <f t="shared" si="116"/>
        <v>29</v>
      </c>
      <c r="CD90" s="77">
        <f t="shared" si="116"/>
        <v>30</v>
      </c>
      <c r="CE90" s="77">
        <f t="shared" si="116"/>
        <v>31</v>
      </c>
      <c r="CF90" s="77">
        <f t="shared" si="116"/>
        <v>32</v>
      </c>
      <c r="CG90" s="77">
        <f t="shared" si="116"/>
        <v>33</v>
      </c>
      <c r="CH90" s="77">
        <f t="shared" si="116"/>
        <v>34</v>
      </c>
      <c r="CI90" s="77">
        <f t="shared" si="116"/>
        <v>35</v>
      </c>
      <c r="CJ90" s="77">
        <f t="shared" si="116"/>
        <v>36</v>
      </c>
      <c r="CK90" s="77">
        <f t="shared" si="114"/>
        <v>37</v>
      </c>
      <c r="CL90" s="77">
        <f t="shared" si="114"/>
        <v>38</v>
      </c>
      <c r="CM90" s="77">
        <f t="shared" si="114"/>
        <v>39</v>
      </c>
      <c r="CN90" s="77">
        <f t="shared" si="114"/>
        <v>40</v>
      </c>
      <c r="CO90" s="77">
        <f t="shared" si="114"/>
        <v>41</v>
      </c>
      <c r="CP90" s="77">
        <f t="shared" si="114"/>
        <v>42</v>
      </c>
      <c r="CQ90" s="77">
        <f t="shared" si="114"/>
        <v>43</v>
      </c>
      <c r="CR90" s="77">
        <f t="shared" si="114"/>
        <v>44</v>
      </c>
      <c r="CS90" s="77">
        <f t="shared" si="114"/>
        <v>45</v>
      </c>
      <c r="CT90" s="77">
        <f t="shared" si="114"/>
        <v>46</v>
      </c>
      <c r="CU90" s="77">
        <f t="shared" si="114"/>
        <v>47</v>
      </c>
      <c r="CV90" s="77">
        <f t="shared" si="114"/>
        <v>48</v>
      </c>
      <c r="CW90" s="77">
        <f t="shared" si="114"/>
        <v>49</v>
      </c>
      <c r="CX90" s="77">
        <f t="shared" si="114"/>
        <v>50</v>
      </c>
      <c r="CY90" s="77">
        <f t="shared" si="114"/>
        <v>51</v>
      </c>
      <c r="CZ90" s="77">
        <f t="shared" si="114"/>
        <v>52</v>
      </c>
      <c r="DA90" s="77">
        <f t="shared" si="114"/>
        <v>53</v>
      </c>
      <c r="DB90" s="77">
        <f t="shared" si="114"/>
        <v>54</v>
      </c>
      <c r="DC90" s="77">
        <f t="shared" si="114"/>
        <v>55</v>
      </c>
      <c r="DD90" s="77">
        <f t="shared" si="114"/>
        <v>56</v>
      </c>
      <c r="DE90" s="77">
        <f t="shared" si="114"/>
        <v>57</v>
      </c>
      <c r="DF90" s="77">
        <f t="shared" si="114"/>
        <v>58</v>
      </c>
      <c r="DG90" s="77">
        <f t="shared" si="114"/>
        <v>59</v>
      </c>
      <c r="DH90" s="77">
        <f t="shared" si="114"/>
        <v>60</v>
      </c>
      <c r="DI90" s="77">
        <f t="shared" si="114"/>
        <v>61</v>
      </c>
      <c r="DJ90" s="77">
        <f t="shared" si="114"/>
        <v>62</v>
      </c>
      <c r="DK90" s="77">
        <f t="shared" si="114"/>
        <v>63</v>
      </c>
      <c r="DL90" s="77">
        <f t="shared" si="114"/>
        <v>64</v>
      </c>
      <c r="DM90" s="77">
        <f t="shared" si="114"/>
        <v>65</v>
      </c>
      <c r="DN90" s="77">
        <f t="shared" si="114"/>
        <v>66</v>
      </c>
      <c r="DO90" s="77">
        <f t="shared" si="114"/>
        <v>67</v>
      </c>
      <c r="DP90" s="77">
        <f t="shared" si="114"/>
        <v>68</v>
      </c>
      <c r="DQ90" s="77">
        <f t="shared" si="114"/>
        <v>69</v>
      </c>
      <c r="DR90" s="77">
        <f t="shared" si="114"/>
        <v>70</v>
      </c>
      <c r="DS90" s="77">
        <f t="shared" si="114"/>
        <v>71</v>
      </c>
      <c r="DT90" s="77">
        <f t="shared" si="114"/>
        <v>72</v>
      </c>
      <c r="DU90" s="77">
        <f t="shared" si="114"/>
        <v>73</v>
      </c>
      <c r="DV90" s="77">
        <f t="shared" si="114"/>
        <v>74</v>
      </c>
      <c r="DW90" s="77">
        <f t="shared" si="114"/>
        <v>75</v>
      </c>
      <c r="DX90" s="77">
        <f t="shared" si="114"/>
        <v>76</v>
      </c>
      <c r="DY90" s="77">
        <f t="shared" si="114"/>
        <v>77</v>
      </c>
      <c r="DZ90" s="77">
        <f t="shared" si="114"/>
        <v>78</v>
      </c>
      <c r="EA90" s="77">
        <f t="shared" si="114"/>
        <v>79</v>
      </c>
      <c r="EB90" s="77">
        <f t="shared" si="114"/>
        <v>80</v>
      </c>
      <c r="EC90" s="77">
        <f t="shared" si="114"/>
        <v>81</v>
      </c>
      <c r="ED90" s="77">
        <f t="shared" si="114"/>
        <v>82</v>
      </c>
      <c r="EE90" s="77">
        <f t="shared" si="114"/>
        <v>83</v>
      </c>
      <c r="EF90" s="77">
        <f t="shared" si="114"/>
        <v>84</v>
      </c>
      <c r="EG90" s="77">
        <f t="shared" si="114"/>
        <v>85</v>
      </c>
      <c r="EH90" s="77">
        <f t="shared" si="114"/>
        <v>86</v>
      </c>
      <c r="EI90" s="77">
        <f t="shared" si="114"/>
        <v>87</v>
      </c>
      <c r="EJ90" s="77">
        <f t="shared" si="114"/>
        <v>88</v>
      </c>
      <c r="EK90" s="77">
        <f t="shared" si="114"/>
        <v>89</v>
      </c>
      <c r="EL90" s="77">
        <f t="shared" si="114"/>
        <v>90</v>
      </c>
      <c r="EM90" s="77">
        <f t="shared" si="114"/>
        <v>91</v>
      </c>
      <c r="EN90" s="77">
        <f t="shared" si="114"/>
        <v>92</v>
      </c>
      <c r="EO90" s="77">
        <f t="shared" si="114"/>
        <v>93</v>
      </c>
      <c r="EP90" s="77">
        <f t="shared" si="114"/>
        <v>94</v>
      </c>
      <c r="EQ90" s="77">
        <f t="shared" si="114"/>
        <v>95</v>
      </c>
      <c r="ER90" s="77">
        <f t="shared" si="114"/>
        <v>96</v>
      </c>
      <c r="ES90" s="77">
        <f t="shared" si="114"/>
        <v>97</v>
      </c>
      <c r="ET90" s="77">
        <f t="shared" si="114"/>
        <v>98</v>
      </c>
      <c r="EU90" s="77">
        <f t="shared" si="114"/>
        <v>99</v>
      </c>
      <c r="EV90" s="77">
        <f t="shared" si="118"/>
        <v>100</v>
      </c>
      <c r="EW90" s="77">
        <f t="shared" si="118"/>
        <v>101</v>
      </c>
      <c r="EX90" s="77">
        <f t="shared" si="118"/>
        <v>102</v>
      </c>
      <c r="EY90" s="77">
        <f t="shared" si="118"/>
        <v>103</v>
      </c>
      <c r="EZ90" s="77">
        <f t="shared" si="118"/>
        <v>104</v>
      </c>
      <c r="FA90" s="77">
        <f t="shared" si="118"/>
        <v>105</v>
      </c>
      <c r="FB90" s="77">
        <f t="shared" si="118"/>
        <v>106</v>
      </c>
      <c r="FC90" s="77">
        <f t="shared" si="118"/>
        <v>107</v>
      </c>
      <c r="FD90" s="77">
        <f t="shared" si="118"/>
        <v>108</v>
      </c>
      <c r="FE90" s="77">
        <f t="shared" si="118"/>
        <v>109</v>
      </c>
      <c r="FF90" s="77">
        <f t="shared" si="118"/>
        <v>110</v>
      </c>
      <c r="FG90" s="77">
        <f t="shared" si="118"/>
        <v>111</v>
      </c>
      <c r="FH90" s="77">
        <f t="shared" si="118"/>
        <v>112</v>
      </c>
      <c r="FI90" s="77">
        <f t="shared" si="118"/>
        <v>113</v>
      </c>
      <c r="FJ90" s="77">
        <f t="shared" si="118"/>
        <v>114</v>
      </c>
      <c r="FK90" s="77">
        <f t="shared" si="118"/>
        <v>115</v>
      </c>
      <c r="FL90" s="77">
        <f t="shared" si="118"/>
        <v>116</v>
      </c>
      <c r="FM90" s="77">
        <f t="shared" si="118"/>
        <v>117</v>
      </c>
      <c r="FN90" s="77">
        <f t="shared" si="118"/>
        <v>118</v>
      </c>
      <c r="FO90" s="77">
        <f t="shared" si="118"/>
        <v>119</v>
      </c>
      <c r="FP90" s="77">
        <f t="shared" si="118"/>
        <v>120</v>
      </c>
      <c r="FQ90" s="77">
        <f t="shared" si="118"/>
        <v>121</v>
      </c>
      <c r="FR90" s="77">
        <f t="shared" si="118"/>
        <v>122</v>
      </c>
      <c r="FS90" s="77">
        <f t="shared" si="118"/>
        <v>123</v>
      </c>
      <c r="FT90" s="77">
        <f t="shared" si="118"/>
        <v>124</v>
      </c>
      <c r="FU90" s="77">
        <f t="shared" si="118"/>
        <v>125</v>
      </c>
      <c r="FV90" s="77">
        <f t="shared" si="118"/>
        <v>126</v>
      </c>
      <c r="FW90" s="77">
        <f t="shared" si="118"/>
        <v>127</v>
      </c>
      <c r="FX90" s="77">
        <f t="shared" si="118"/>
        <v>128</v>
      </c>
      <c r="FY90" s="77">
        <f t="shared" si="118"/>
        <v>129</v>
      </c>
      <c r="FZ90" s="77">
        <f t="shared" si="118"/>
        <v>130</v>
      </c>
      <c r="GA90" s="77">
        <f t="shared" si="118"/>
        <v>131</v>
      </c>
      <c r="GB90" s="77">
        <f t="shared" si="118"/>
        <v>132</v>
      </c>
      <c r="GC90" s="77">
        <f t="shared" si="118"/>
        <v>133</v>
      </c>
      <c r="GD90" s="77">
        <f t="shared" si="118"/>
        <v>134</v>
      </c>
      <c r="GE90" s="77">
        <f t="shared" si="118"/>
        <v>135</v>
      </c>
      <c r="GF90" s="77">
        <f t="shared" si="118"/>
        <v>136</v>
      </c>
      <c r="GG90" s="77">
        <f t="shared" si="118"/>
        <v>137</v>
      </c>
      <c r="GH90" s="77">
        <f t="shared" si="118"/>
        <v>138</v>
      </c>
      <c r="GI90" s="77">
        <f t="shared" si="118"/>
        <v>139</v>
      </c>
      <c r="GJ90" s="77">
        <f t="shared" si="118"/>
        <v>140</v>
      </c>
      <c r="GK90" s="77">
        <f t="shared" si="118"/>
        <v>141</v>
      </c>
      <c r="GL90" s="77">
        <f t="shared" si="118"/>
        <v>142</v>
      </c>
      <c r="GM90" s="77">
        <f t="shared" si="118"/>
        <v>143</v>
      </c>
      <c r="GN90" s="77">
        <f t="shared" si="118"/>
        <v>144</v>
      </c>
      <c r="GO90" s="77">
        <f t="shared" si="118"/>
        <v>145</v>
      </c>
      <c r="GP90" s="77">
        <f t="shared" si="118"/>
        <v>146</v>
      </c>
      <c r="GQ90" s="77">
        <f t="shared" si="118"/>
        <v>147</v>
      </c>
      <c r="GR90" s="77">
        <f t="shared" si="118"/>
        <v>148</v>
      </c>
      <c r="GS90" s="77">
        <f t="shared" si="118"/>
        <v>149</v>
      </c>
      <c r="GT90" s="77">
        <f t="shared" si="118"/>
        <v>150</v>
      </c>
      <c r="GU90" s="77">
        <f t="shared" si="118"/>
        <v>151</v>
      </c>
      <c r="GV90" s="77">
        <f t="shared" si="118"/>
        <v>152</v>
      </c>
      <c r="GW90" s="77">
        <f t="shared" si="118"/>
        <v>153</v>
      </c>
      <c r="GX90" s="77">
        <f t="shared" si="118"/>
        <v>154</v>
      </c>
    </row>
    <row r="91" spans="1:206" ht="15" customHeight="1" x14ac:dyDescent="0.2">
      <c r="A91" s="22" t="s">
        <v>194</v>
      </c>
      <c r="B91" s="22">
        <v>5</v>
      </c>
      <c r="C91" s="22" t="s">
        <v>194</v>
      </c>
      <c r="D91" s="22">
        <v>4</v>
      </c>
      <c r="E91" s="22" t="s">
        <v>209</v>
      </c>
      <c r="F91" s="22" t="s">
        <v>71</v>
      </c>
      <c r="G91" s="22" t="s">
        <v>72</v>
      </c>
      <c r="H91" s="22">
        <v>2023</v>
      </c>
      <c r="I91" s="22">
        <v>3</v>
      </c>
      <c r="J91" s="22">
        <v>33</v>
      </c>
      <c r="K91" s="22">
        <v>0</v>
      </c>
      <c r="L91" s="22">
        <v>4567</v>
      </c>
      <c r="M91" s="22">
        <v>4567</v>
      </c>
      <c r="N91" s="22" t="s">
        <v>196</v>
      </c>
      <c r="O91" s="22" t="s">
        <v>74</v>
      </c>
      <c r="P91" s="22" t="s">
        <v>75</v>
      </c>
      <c r="Q91" s="108">
        <f>IF(R91="","",'Dashboard Ciclos'!$B$2-R91)</f>
        <v>46248</v>
      </c>
      <c r="R91" s="22">
        <f>IF($E91="","",IFERROR(INDEX($W91:$GX91,MATCH('Dashboard Ciclos'!$B$2,$W$1:$GX$1,0)),""))</f>
        <v>1</v>
      </c>
      <c r="S91" s="22" t="str">
        <f t="shared" si="83"/>
        <v>En ciclo</v>
      </c>
      <c r="T91" s="22" t="str">
        <f t="shared" si="84"/>
        <v>Recién cortado</v>
      </c>
      <c r="U91" s="22">
        <f t="shared" si="85"/>
        <v>11</v>
      </c>
      <c r="V91" s="23">
        <f t="shared" si="86"/>
        <v>46260</v>
      </c>
      <c r="W91" s="77">
        <f t="shared" si="108"/>
        <v>21</v>
      </c>
      <c r="X91" s="77">
        <f t="shared" si="108"/>
        <v>22</v>
      </c>
      <c r="Y91" s="77">
        <f t="shared" si="108"/>
        <v>23</v>
      </c>
      <c r="Z91" s="77">
        <f t="shared" si="108"/>
        <v>24</v>
      </c>
      <c r="AA91" s="77">
        <v>25</v>
      </c>
      <c r="AB91" s="77">
        <f t="shared" si="115"/>
        <v>26</v>
      </c>
      <c r="AC91" s="77">
        <f t="shared" si="115"/>
        <v>27</v>
      </c>
      <c r="AD91" s="77">
        <f t="shared" si="115"/>
        <v>28</v>
      </c>
      <c r="AE91" s="77">
        <f t="shared" si="115"/>
        <v>29</v>
      </c>
      <c r="AF91" s="77">
        <f t="shared" si="115"/>
        <v>30</v>
      </c>
      <c r="AG91" s="77">
        <f t="shared" si="115"/>
        <v>31</v>
      </c>
      <c r="AH91" s="77">
        <f t="shared" si="115"/>
        <v>32</v>
      </c>
      <c r="AI91" s="77">
        <f t="shared" si="115"/>
        <v>33</v>
      </c>
      <c r="AJ91" s="77">
        <f t="shared" si="115"/>
        <v>34</v>
      </c>
      <c r="AK91" s="77">
        <f t="shared" si="90"/>
        <v>35</v>
      </c>
      <c r="AL91" s="77">
        <f t="shared" si="90"/>
        <v>36</v>
      </c>
      <c r="AM91" s="77">
        <f t="shared" si="90"/>
        <v>37</v>
      </c>
      <c r="AN91" s="77">
        <f t="shared" si="91"/>
        <v>38</v>
      </c>
      <c r="AO91" s="77">
        <f t="shared" si="90"/>
        <v>39</v>
      </c>
      <c r="AP91" s="77">
        <f t="shared" si="90"/>
        <v>40</v>
      </c>
      <c r="AQ91" s="77">
        <f t="shared" si="90"/>
        <v>41</v>
      </c>
      <c r="AR91" s="77">
        <f t="shared" si="105"/>
        <v>42</v>
      </c>
      <c r="AS91" s="77">
        <f t="shared" si="116"/>
        <v>43</v>
      </c>
      <c r="AT91" s="77">
        <f t="shared" si="116"/>
        <v>44</v>
      </c>
      <c r="AU91" s="77">
        <f t="shared" si="116"/>
        <v>45</v>
      </c>
      <c r="AV91" s="77">
        <f t="shared" si="116"/>
        <v>46</v>
      </c>
      <c r="AW91" s="77">
        <v>0</v>
      </c>
      <c r="AX91" s="77">
        <f t="shared" si="116"/>
        <v>1</v>
      </c>
      <c r="AY91" s="77">
        <f t="shared" si="116"/>
        <v>2</v>
      </c>
      <c r="AZ91" s="77">
        <f t="shared" si="116"/>
        <v>3</v>
      </c>
      <c r="BA91" s="77">
        <f t="shared" si="116"/>
        <v>4</v>
      </c>
      <c r="BB91" s="77">
        <f t="shared" si="116"/>
        <v>5</v>
      </c>
      <c r="BC91" s="77">
        <f t="shared" si="116"/>
        <v>6</v>
      </c>
      <c r="BD91" s="77">
        <f t="shared" si="116"/>
        <v>7</v>
      </c>
      <c r="BE91" s="77">
        <f t="shared" si="116"/>
        <v>8</v>
      </c>
      <c r="BF91" s="77">
        <f t="shared" si="116"/>
        <v>9</v>
      </c>
      <c r="BG91" s="77">
        <f t="shared" si="116"/>
        <v>10</v>
      </c>
      <c r="BH91" s="77">
        <f t="shared" si="116"/>
        <v>11</v>
      </c>
      <c r="BI91" s="77">
        <f t="shared" si="116"/>
        <v>12</v>
      </c>
      <c r="BJ91" s="77">
        <f t="shared" si="116"/>
        <v>13</v>
      </c>
      <c r="BK91" s="77">
        <f t="shared" si="116"/>
        <v>14</v>
      </c>
      <c r="BL91" s="77">
        <f t="shared" si="116"/>
        <v>15</v>
      </c>
      <c r="BM91" s="77">
        <f t="shared" si="116"/>
        <v>16</v>
      </c>
      <c r="BN91" s="77">
        <f t="shared" si="116"/>
        <v>17</v>
      </c>
      <c r="BO91" s="77">
        <v>0</v>
      </c>
      <c r="BP91" s="77">
        <f t="shared" si="116"/>
        <v>1</v>
      </c>
      <c r="BQ91" s="77">
        <f t="shared" si="116"/>
        <v>2</v>
      </c>
      <c r="BR91" s="77">
        <f t="shared" si="116"/>
        <v>3</v>
      </c>
      <c r="BS91" s="77">
        <f t="shared" si="116"/>
        <v>4</v>
      </c>
      <c r="BT91" s="77">
        <f t="shared" si="116"/>
        <v>5</v>
      </c>
      <c r="BU91" s="77">
        <f t="shared" si="116"/>
        <v>6</v>
      </c>
      <c r="BV91" s="77">
        <f t="shared" si="116"/>
        <v>7</v>
      </c>
      <c r="BW91" s="77">
        <f t="shared" si="116"/>
        <v>8</v>
      </c>
      <c r="BX91" s="77">
        <f t="shared" si="116"/>
        <v>9</v>
      </c>
      <c r="BY91" s="77">
        <f t="shared" si="116"/>
        <v>10</v>
      </c>
      <c r="BZ91" s="77">
        <f t="shared" si="116"/>
        <v>11</v>
      </c>
      <c r="CA91" s="77">
        <f t="shared" si="116"/>
        <v>12</v>
      </c>
      <c r="CB91" s="77">
        <f t="shared" si="116"/>
        <v>13</v>
      </c>
      <c r="CC91" s="77">
        <f t="shared" si="116"/>
        <v>14</v>
      </c>
      <c r="CD91" s="77">
        <f t="shared" si="116"/>
        <v>15</v>
      </c>
      <c r="CE91" s="77">
        <f t="shared" si="116"/>
        <v>16</v>
      </c>
      <c r="CF91" s="77">
        <f t="shared" si="116"/>
        <v>17</v>
      </c>
      <c r="CG91" s="77">
        <f t="shared" si="116"/>
        <v>18</v>
      </c>
      <c r="CH91" s="77">
        <f t="shared" si="116"/>
        <v>19</v>
      </c>
      <c r="CI91" s="77">
        <f t="shared" si="116"/>
        <v>20</v>
      </c>
      <c r="CJ91" s="77">
        <f t="shared" ref="CJ91:EU94" si="119">IF(CI91="","",CI91+1)</f>
        <v>21</v>
      </c>
      <c r="CK91" s="77">
        <f t="shared" si="119"/>
        <v>22</v>
      </c>
      <c r="CL91" s="77">
        <f t="shared" si="119"/>
        <v>23</v>
      </c>
      <c r="CM91" s="77">
        <f t="shared" si="119"/>
        <v>24</v>
      </c>
      <c r="CN91" s="77">
        <f t="shared" si="119"/>
        <v>25</v>
      </c>
      <c r="CO91" s="77">
        <f t="shared" si="119"/>
        <v>26</v>
      </c>
      <c r="CP91" s="77">
        <f t="shared" si="119"/>
        <v>27</v>
      </c>
      <c r="CQ91" s="77">
        <f t="shared" si="119"/>
        <v>28</v>
      </c>
      <c r="CR91" s="77">
        <f t="shared" si="119"/>
        <v>29</v>
      </c>
      <c r="CS91" s="77">
        <f t="shared" si="119"/>
        <v>30</v>
      </c>
      <c r="CT91" s="77">
        <f t="shared" si="119"/>
        <v>31</v>
      </c>
      <c r="CU91" s="77">
        <f t="shared" si="119"/>
        <v>32</v>
      </c>
      <c r="CV91" s="77">
        <f t="shared" si="119"/>
        <v>33</v>
      </c>
      <c r="CW91" s="77">
        <f t="shared" si="119"/>
        <v>34</v>
      </c>
      <c r="CX91" s="77">
        <f t="shared" si="119"/>
        <v>35</v>
      </c>
      <c r="CY91" s="77">
        <f t="shared" si="119"/>
        <v>36</v>
      </c>
      <c r="CZ91" s="77">
        <f t="shared" si="119"/>
        <v>37</v>
      </c>
      <c r="DA91" s="77">
        <f t="shared" si="119"/>
        <v>38</v>
      </c>
      <c r="DB91" s="77">
        <f t="shared" si="119"/>
        <v>39</v>
      </c>
      <c r="DC91" s="77">
        <f t="shared" si="119"/>
        <v>40</v>
      </c>
      <c r="DD91" s="77">
        <f t="shared" si="119"/>
        <v>41</v>
      </c>
      <c r="DE91" s="77">
        <f t="shared" si="119"/>
        <v>42</v>
      </c>
      <c r="DF91" s="77">
        <f t="shared" si="119"/>
        <v>43</v>
      </c>
      <c r="DG91" s="77">
        <f t="shared" si="119"/>
        <v>44</v>
      </c>
      <c r="DH91" s="77">
        <f t="shared" si="119"/>
        <v>45</v>
      </c>
      <c r="DI91" s="77">
        <f t="shared" si="119"/>
        <v>46</v>
      </c>
      <c r="DJ91" s="77">
        <f t="shared" si="119"/>
        <v>47</v>
      </c>
      <c r="DK91" s="77">
        <f t="shared" si="119"/>
        <v>48</v>
      </c>
      <c r="DL91" s="77">
        <f t="shared" si="119"/>
        <v>49</v>
      </c>
      <c r="DM91" s="77">
        <f t="shared" si="119"/>
        <v>50</v>
      </c>
      <c r="DN91" s="77">
        <f t="shared" si="119"/>
        <v>51</v>
      </c>
      <c r="DO91" s="77">
        <f t="shared" si="119"/>
        <v>52</v>
      </c>
      <c r="DP91" s="77">
        <f t="shared" si="119"/>
        <v>53</v>
      </c>
      <c r="DQ91" s="77">
        <f t="shared" si="119"/>
        <v>54</v>
      </c>
      <c r="DR91" s="77">
        <f t="shared" si="119"/>
        <v>55</v>
      </c>
      <c r="DS91" s="77">
        <f t="shared" si="119"/>
        <v>56</v>
      </c>
      <c r="DT91" s="77">
        <f t="shared" si="119"/>
        <v>57</v>
      </c>
      <c r="DU91" s="77">
        <f t="shared" si="119"/>
        <v>58</v>
      </c>
      <c r="DV91" s="77">
        <f t="shared" si="119"/>
        <v>59</v>
      </c>
      <c r="DW91" s="77">
        <f t="shared" si="119"/>
        <v>60</v>
      </c>
      <c r="DX91" s="77">
        <f t="shared" si="119"/>
        <v>61</v>
      </c>
      <c r="DY91" s="77">
        <f t="shared" si="119"/>
        <v>62</v>
      </c>
      <c r="DZ91" s="77">
        <f t="shared" si="119"/>
        <v>63</v>
      </c>
      <c r="EA91" s="77">
        <f t="shared" si="119"/>
        <v>64</v>
      </c>
      <c r="EB91" s="77">
        <f t="shared" si="119"/>
        <v>65</v>
      </c>
      <c r="EC91" s="77">
        <f t="shared" si="119"/>
        <v>66</v>
      </c>
      <c r="ED91" s="77">
        <f t="shared" si="119"/>
        <v>67</v>
      </c>
      <c r="EE91" s="77">
        <f t="shared" si="119"/>
        <v>68</v>
      </c>
      <c r="EF91" s="77">
        <f t="shared" si="119"/>
        <v>69</v>
      </c>
      <c r="EG91" s="77">
        <f t="shared" si="119"/>
        <v>70</v>
      </c>
      <c r="EH91" s="77">
        <f t="shared" si="119"/>
        <v>71</v>
      </c>
      <c r="EI91" s="77">
        <f t="shared" si="119"/>
        <v>72</v>
      </c>
      <c r="EJ91" s="77">
        <f t="shared" si="119"/>
        <v>73</v>
      </c>
      <c r="EK91" s="77">
        <f t="shared" si="119"/>
        <v>74</v>
      </c>
      <c r="EL91" s="77">
        <f t="shared" si="119"/>
        <v>75</v>
      </c>
      <c r="EM91" s="77">
        <f t="shared" si="119"/>
        <v>76</v>
      </c>
      <c r="EN91" s="77">
        <f t="shared" si="119"/>
        <v>77</v>
      </c>
      <c r="EO91" s="77">
        <f t="shared" si="119"/>
        <v>78</v>
      </c>
      <c r="EP91" s="77">
        <f t="shared" si="119"/>
        <v>79</v>
      </c>
      <c r="EQ91" s="77">
        <f t="shared" si="119"/>
        <v>80</v>
      </c>
      <c r="ER91" s="77">
        <f t="shared" si="119"/>
        <v>81</v>
      </c>
      <c r="ES91" s="77">
        <f t="shared" si="119"/>
        <v>82</v>
      </c>
      <c r="ET91" s="77">
        <f t="shared" si="119"/>
        <v>83</v>
      </c>
      <c r="EU91" s="77">
        <f t="shared" si="119"/>
        <v>84</v>
      </c>
      <c r="EV91" s="77">
        <f t="shared" si="118"/>
        <v>85</v>
      </c>
      <c r="EW91" s="77">
        <f t="shared" si="118"/>
        <v>86</v>
      </c>
      <c r="EX91" s="77">
        <f t="shared" si="118"/>
        <v>87</v>
      </c>
      <c r="EY91" s="77">
        <f t="shared" si="118"/>
        <v>88</v>
      </c>
      <c r="EZ91" s="77">
        <f t="shared" si="118"/>
        <v>89</v>
      </c>
      <c r="FA91" s="77">
        <f t="shared" si="118"/>
        <v>90</v>
      </c>
      <c r="FB91" s="77">
        <f t="shared" si="118"/>
        <v>91</v>
      </c>
      <c r="FC91" s="77">
        <f t="shared" si="118"/>
        <v>92</v>
      </c>
      <c r="FD91" s="77">
        <f t="shared" si="118"/>
        <v>93</v>
      </c>
      <c r="FE91" s="77">
        <f t="shared" si="118"/>
        <v>94</v>
      </c>
      <c r="FF91" s="77">
        <f t="shared" si="118"/>
        <v>95</v>
      </c>
      <c r="FG91" s="77">
        <f t="shared" si="118"/>
        <v>96</v>
      </c>
      <c r="FH91" s="77">
        <f t="shared" si="118"/>
        <v>97</v>
      </c>
      <c r="FI91" s="77">
        <f t="shared" si="118"/>
        <v>98</v>
      </c>
      <c r="FJ91" s="77">
        <f t="shared" si="118"/>
        <v>99</v>
      </c>
      <c r="FK91" s="77">
        <f t="shared" si="118"/>
        <v>100</v>
      </c>
      <c r="FL91" s="77">
        <f t="shared" si="118"/>
        <v>101</v>
      </c>
      <c r="FM91" s="77">
        <f t="shared" si="118"/>
        <v>102</v>
      </c>
      <c r="FN91" s="77">
        <f t="shared" si="118"/>
        <v>103</v>
      </c>
      <c r="FO91" s="77">
        <f t="shared" si="118"/>
        <v>104</v>
      </c>
      <c r="FP91" s="77">
        <f t="shared" si="118"/>
        <v>105</v>
      </c>
      <c r="FQ91" s="77">
        <f t="shared" si="118"/>
        <v>106</v>
      </c>
      <c r="FR91" s="77">
        <f t="shared" si="118"/>
        <v>107</v>
      </c>
      <c r="FS91" s="77">
        <f t="shared" si="118"/>
        <v>108</v>
      </c>
      <c r="FT91" s="77">
        <f t="shared" si="118"/>
        <v>109</v>
      </c>
      <c r="FU91" s="77">
        <f t="shared" si="118"/>
        <v>110</v>
      </c>
      <c r="FV91" s="77">
        <f t="shared" si="118"/>
        <v>111</v>
      </c>
      <c r="FW91" s="77">
        <f t="shared" si="118"/>
        <v>112</v>
      </c>
      <c r="FX91" s="77">
        <f t="shared" si="118"/>
        <v>113</v>
      </c>
      <c r="FY91" s="77">
        <f t="shared" si="118"/>
        <v>114</v>
      </c>
      <c r="FZ91" s="77">
        <f t="shared" si="118"/>
        <v>115</v>
      </c>
      <c r="GA91" s="77">
        <f t="shared" si="118"/>
        <v>116</v>
      </c>
      <c r="GB91" s="77">
        <f t="shared" si="118"/>
        <v>117</v>
      </c>
      <c r="GC91" s="77">
        <f t="shared" si="118"/>
        <v>118</v>
      </c>
      <c r="GD91" s="77">
        <f t="shared" si="118"/>
        <v>119</v>
      </c>
      <c r="GE91" s="77">
        <f t="shared" si="118"/>
        <v>120</v>
      </c>
      <c r="GF91" s="77">
        <f t="shared" si="118"/>
        <v>121</v>
      </c>
      <c r="GG91" s="77">
        <f t="shared" si="118"/>
        <v>122</v>
      </c>
      <c r="GH91" s="77">
        <f t="shared" si="118"/>
        <v>123</v>
      </c>
      <c r="GI91" s="77">
        <f t="shared" si="118"/>
        <v>124</v>
      </c>
      <c r="GJ91" s="77">
        <f t="shared" si="118"/>
        <v>125</v>
      </c>
      <c r="GK91" s="77">
        <f t="shared" si="118"/>
        <v>126</v>
      </c>
      <c r="GL91" s="77">
        <f t="shared" si="118"/>
        <v>127</v>
      </c>
      <c r="GM91" s="77">
        <f t="shared" si="118"/>
        <v>128</v>
      </c>
      <c r="GN91" s="77">
        <f t="shared" si="118"/>
        <v>129</v>
      </c>
      <c r="GO91" s="77">
        <f t="shared" si="118"/>
        <v>130</v>
      </c>
      <c r="GP91" s="77">
        <f t="shared" si="118"/>
        <v>131</v>
      </c>
      <c r="GQ91" s="77">
        <f t="shared" si="118"/>
        <v>132</v>
      </c>
      <c r="GR91" s="77">
        <f t="shared" si="118"/>
        <v>133</v>
      </c>
      <c r="GS91" s="77">
        <f t="shared" si="118"/>
        <v>134</v>
      </c>
      <c r="GT91" s="77">
        <f t="shared" si="118"/>
        <v>135</v>
      </c>
      <c r="GU91" s="77">
        <f t="shared" si="118"/>
        <v>136</v>
      </c>
      <c r="GV91" s="77">
        <f t="shared" si="118"/>
        <v>137</v>
      </c>
      <c r="GW91" s="77">
        <f t="shared" si="118"/>
        <v>138</v>
      </c>
      <c r="GX91" s="77">
        <f t="shared" si="118"/>
        <v>139</v>
      </c>
    </row>
    <row r="92" spans="1:206" ht="15" customHeight="1" x14ac:dyDescent="0.2">
      <c r="A92" s="22" t="s">
        <v>194</v>
      </c>
      <c r="B92" s="22">
        <v>5</v>
      </c>
      <c r="C92" s="22" t="s">
        <v>194</v>
      </c>
      <c r="D92" s="22" t="s">
        <v>210</v>
      </c>
      <c r="E92" s="22" t="s">
        <v>211</v>
      </c>
      <c r="F92" s="22" t="s">
        <v>71</v>
      </c>
      <c r="G92" s="22" t="s">
        <v>72</v>
      </c>
      <c r="H92" s="22">
        <v>2022</v>
      </c>
      <c r="I92" s="22">
        <v>4</v>
      </c>
      <c r="J92" s="22">
        <v>11</v>
      </c>
      <c r="K92" s="22">
        <v>0</v>
      </c>
      <c r="L92" s="22">
        <v>1375</v>
      </c>
      <c r="M92" s="22">
        <v>1375</v>
      </c>
      <c r="N92" s="22" t="s">
        <v>196</v>
      </c>
      <c r="O92" s="22" t="s">
        <v>74</v>
      </c>
      <c r="P92" s="22" t="s">
        <v>75</v>
      </c>
      <c r="Q92" s="108">
        <f>IF(R92="","",'Dashboard Ciclos'!$B$2-R92)</f>
        <v>46246</v>
      </c>
      <c r="R92" s="22">
        <f>IF($E92="","",IFERROR(INDEX($W92:$GX92,MATCH('Dashboard Ciclos'!$B$2,$W$1:$GX$1,0)),""))</f>
        <v>3</v>
      </c>
      <c r="S92" s="22" t="str">
        <f t="shared" si="83"/>
        <v>En ciclo</v>
      </c>
      <c r="T92" s="22" t="str">
        <f t="shared" si="84"/>
        <v>Recién cortado</v>
      </c>
      <c r="U92" s="22">
        <f t="shared" si="85"/>
        <v>9</v>
      </c>
      <c r="V92" s="23">
        <f t="shared" si="86"/>
        <v>46258</v>
      </c>
      <c r="W92" s="77">
        <f t="shared" si="108"/>
        <v>21</v>
      </c>
      <c r="X92" s="77">
        <f t="shared" si="108"/>
        <v>22</v>
      </c>
      <c r="Y92" s="77">
        <f t="shared" si="108"/>
        <v>23</v>
      </c>
      <c r="Z92" s="77">
        <f t="shared" si="108"/>
        <v>24</v>
      </c>
      <c r="AA92" s="77">
        <v>25</v>
      </c>
      <c r="AB92" s="77">
        <f t="shared" si="115"/>
        <v>26</v>
      </c>
      <c r="AC92" s="77">
        <f t="shared" si="115"/>
        <v>27</v>
      </c>
      <c r="AD92" s="77">
        <f t="shared" si="115"/>
        <v>28</v>
      </c>
      <c r="AE92" s="77">
        <f t="shared" si="115"/>
        <v>29</v>
      </c>
      <c r="AF92" s="77">
        <f t="shared" si="115"/>
        <v>30</v>
      </c>
      <c r="AG92" s="77">
        <f t="shared" si="115"/>
        <v>31</v>
      </c>
      <c r="AH92" s="77">
        <f t="shared" si="115"/>
        <v>32</v>
      </c>
      <c r="AI92" s="77">
        <f t="shared" si="115"/>
        <v>33</v>
      </c>
      <c r="AJ92" s="77">
        <f t="shared" si="115"/>
        <v>34</v>
      </c>
      <c r="AK92" s="77">
        <f t="shared" si="90"/>
        <v>35</v>
      </c>
      <c r="AL92" s="77">
        <f t="shared" si="90"/>
        <v>36</v>
      </c>
      <c r="AM92" s="77">
        <f t="shared" si="90"/>
        <v>37</v>
      </c>
      <c r="AN92" s="77">
        <f t="shared" si="91"/>
        <v>38</v>
      </c>
      <c r="AO92" s="77">
        <f t="shared" si="90"/>
        <v>39</v>
      </c>
      <c r="AP92" s="77">
        <f t="shared" si="90"/>
        <v>40</v>
      </c>
      <c r="AQ92" s="77">
        <f t="shared" si="90"/>
        <v>41</v>
      </c>
      <c r="AR92" s="77">
        <f t="shared" si="105"/>
        <v>42</v>
      </c>
      <c r="AS92" s="77">
        <f t="shared" ref="AS92:CJ95" si="120">IF(AR92="","",AR92+1)</f>
        <v>43</v>
      </c>
      <c r="AT92" s="77">
        <f t="shared" si="120"/>
        <v>44</v>
      </c>
      <c r="AU92" s="77">
        <f t="shared" si="120"/>
        <v>45</v>
      </c>
      <c r="AV92" s="77">
        <f t="shared" si="120"/>
        <v>46</v>
      </c>
      <c r="AW92" s="77">
        <v>0</v>
      </c>
      <c r="AX92" s="77">
        <f t="shared" si="120"/>
        <v>1</v>
      </c>
      <c r="AY92" s="77">
        <f t="shared" si="120"/>
        <v>2</v>
      </c>
      <c r="AZ92" s="77">
        <f t="shared" si="120"/>
        <v>3</v>
      </c>
      <c r="BA92" s="77">
        <f t="shared" si="120"/>
        <v>4</v>
      </c>
      <c r="BB92" s="77">
        <f t="shared" si="120"/>
        <v>5</v>
      </c>
      <c r="BC92" s="77">
        <f t="shared" si="120"/>
        <v>6</v>
      </c>
      <c r="BD92" s="77">
        <f t="shared" si="120"/>
        <v>7</v>
      </c>
      <c r="BE92" s="77">
        <f t="shared" si="120"/>
        <v>8</v>
      </c>
      <c r="BF92" s="77">
        <f t="shared" si="120"/>
        <v>9</v>
      </c>
      <c r="BG92" s="77">
        <f t="shared" si="120"/>
        <v>10</v>
      </c>
      <c r="BH92" s="77">
        <f t="shared" si="120"/>
        <v>11</v>
      </c>
      <c r="BI92" s="77">
        <f t="shared" si="120"/>
        <v>12</v>
      </c>
      <c r="BJ92" s="77">
        <f t="shared" si="120"/>
        <v>13</v>
      </c>
      <c r="BK92" s="77">
        <f t="shared" si="120"/>
        <v>14</v>
      </c>
      <c r="BL92" s="77">
        <f t="shared" si="120"/>
        <v>15</v>
      </c>
      <c r="BM92" s="77">
        <v>0</v>
      </c>
      <c r="BN92" s="77">
        <f t="shared" si="120"/>
        <v>1</v>
      </c>
      <c r="BO92" s="77">
        <f t="shared" si="120"/>
        <v>2</v>
      </c>
      <c r="BP92" s="77">
        <f t="shared" si="120"/>
        <v>3</v>
      </c>
      <c r="BQ92" s="77">
        <f t="shared" si="120"/>
        <v>4</v>
      </c>
      <c r="BR92" s="77">
        <f t="shared" si="120"/>
        <v>5</v>
      </c>
      <c r="BS92" s="77">
        <f t="shared" si="120"/>
        <v>6</v>
      </c>
      <c r="BT92" s="77">
        <f t="shared" si="120"/>
        <v>7</v>
      </c>
      <c r="BU92" s="77">
        <f t="shared" si="120"/>
        <v>8</v>
      </c>
      <c r="BV92" s="77">
        <f t="shared" si="120"/>
        <v>9</v>
      </c>
      <c r="BW92" s="77">
        <f t="shared" si="120"/>
        <v>10</v>
      </c>
      <c r="BX92" s="77">
        <f t="shared" si="120"/>
        <v>11</v>
      </c>
      <c r="BY92" s="77">
        <f t="shared" si="120"/>
        <v>12</v>
      </c>
      <c r="BZ92" s="77">
        <f t="shared" si="120"/>
        <v>13</v>
      </c>
      <c r="CA92" s="77">
        <f t="shared" si="120"/>
        <v>14</v>
      </c>
      <c r="CB92" s="77">
        <f t="shared" si="120"/>
        <v>15</v>
      </c>
      <c r="CC92" s="77">
        <f t="shared" si="120"/>
        <v>16</v>
      </c>
      <c r="CD92" s="77">
        <f t="shared" si="120"/>
        <v>17</v>
      </c>
      <c r="CE92" s="77">
        <f t="shared" si="120"/>
        <v>18</v>
      </c>
      <c r="CF92" s="77">
        <f t="shared" si="120"/>
        <v>19</v>
      </c>
      <c r="CG92" s="77">
        <f t="shared" si="120"/>
        <v>20</v>
      </c>
      <c r="CH92" s="77">
        <f t="shared" si="120"/>
        <v>21</v>
      </c>
      <c r="CI92" s="77">
        <f t="shared" si="120"/>
        <v>22</v>
      </c>
      <c r="CJ92" s="77">
        <f t="shared" si="120"/>
        <v>23</v>
      </c>
      <c r="CK92" s="77">
        <f t="shared" si="119"/>
        <v>24</v>
      </c>
      <c r="CL92" s="77">
        <f t="shared" si="119"/>
        <v>25</v>
      </c>
      <c r="CM92" s="77">
        <f t="shared" si="119"/>
        <v>26</v>
      </c>
      <c r="CN92" s="77">
        <f t="shared" si="119"/>
        <v>27</v>
      </c>
      <c r="CO92" s="77">
        <f t="shared" si="119"/>
        <v>28</v>
      </c>
      <c r="CP92" s="77">
        <f t="shared" si="119"/>
        <v>29</v>
      </c>
      <c r="CQ92" s="77">
        <f t="shared" si="119"/>
        <v>30</v>
      </c>
      <c r="CR92" s="77">
        <f t="shared" si="119"/>
        <v>31</v>
      </c>
      <c r="CS92" s="77">
        <f t="shared" si="119"/>
        <v>32</v>
      </c>
      <c r="CT92" s="77">
        <f t="shared" si="119"/>
        <v>33</v>
      </c>
      <c r="CU92" s="77">
        <f t="shared" si="119"/>
        <v>34</v>
      </c>
      <c r="CV92" s="77">
        <f t="shared" si="119"/>
        <v>35</v>
      </c>
      <c r="CW92" s="77">
        <f t="shared" si="119"/>
        <v>36</v>
      </c>
      <c r="CX92" s="77">
        <f t="shared" si="119"/>
        <v>37</v>
      </c>
      <c r="CY92" s="77">
        <f t="shared" si="119"/>
        <v>38</v>
      </c>
      <c r="CZ92" s="77">
        <f t="shared" si="119"/>
        <v>39</v>
      </c>
      <c r="DA92" s="77">
        <f t="shared" si="119"/>
        <v>40</v>
      </c>
      <c r="DB92" s="77">
        <f t="shared" si="119"/>
        <v>41</v>
      </c>
      <c r="DC92" s="77">
        <f t="shared" si="119"/>
        <v>42</v>
      </c>
      <c r="DD92" s="77">
        <f t="shared" si="119"/>
        <v>43</v>
      </c>
      <c r="DE92" s="77">
        <f t="shared" si="119"/>
        <v>44</v>
      </c>
      <c r="DF92" s="77">
        <f t="shared" si="119"/>
        <v>45</v>
      </c>
      <c r="DG92" s="77">
        <f t="shared" si="119"/>
        <v>46</v>
      </c>
      <c r="DH92" s="77">
        <f t="shared" si="119"/>
        <v>47</v>
      </c>
      <c r="DI92" s="77">
        <f t="shared" si="119"/>
        <v>48</v>
      </c>
      <c r="DJ92" s="77">
        <f t="shared" si="119"/>
        <v>49</v>
      </c>
      <c r="DK92" s="77">
        <f t="shared" si="119"/>
        <v>50</v>
      </c>
      <c r="DL92" s="77">
        <f t="shared" si="119"/>
        <v>51</v>
      </c>
      <c r="DM92" s="77">
        <f t="shared" si="119"/>
        <v>52</v>
      </c>
      <c r="DN92" s="77">
        <f t="shared" si="119"/>
        <v>53</v>
      </c>
      <c r="DO92" s="77">
        <f t="shared" si="119"/>
        <v>54</v>
      </c>
      <c r="DP92" s="77">
        <f t="shared" si="119"/>
        <v>55</v>
      </c>
      <c r="DQ92" s="77">
        <f t="shared" si="119"/>
        <v>56</v>
      </c>
      <c r="DR92" s="77">
        <f t="shared" si="119"/>
        <v>57</v>
      </c>
      <c r="DS92" s="77">
        <f t="shared" si="119"/>
        <v>58</v>
      </c>
      <c r="DT92" s="77">
        <f t="shared" si="119"/>
        <v>59</v>
      </c>
      <c r="DU92" s="77">
        <f t="shared" si="119"/>
        <v>60</v>
      </c>
      <c r="DV92" s="77">
        <f t="shared" si="119"/>
        <v>61</v>
      </c>
      <c r="DW92" s="77">
        <f t="shared" si="119"/>
        <v>62</v>
      </c>
      <c r="DX92" s="77">
        <f t="shared" si="119"/>
        <v>63</v>
      </c>
      <c r="DY92" s="77">
        <f t="shared" si="119"/>
        <v>64</v>
      </c>
      <c r="DZ92" s="77">
        <f t="shared" si="119"/>
        <v>65</v>
      </c>
      <c r="EA92" s="77">
        <f t="shared" si="119"/>
        <v>66</v>
      </c>
      <c r="EB92" s="77">
        <f t="shared" si="119"/>
        <v>67</v>
      </c>
      <c r="EC92" s="77">
        <f t="shared" si="119"/>
        <v>68</v>
      </c>
      <c r="ED92" s="77">
        <f t="shared" si="119"/>
        <v>69</v>
      </c>
      <c r="EE92" s="77">
        <f t="shared" si="119"/>
        <v>70</v>
      </c>
      <c r="EF92" s="77">
        <f t="shared" si="119"/>
        <v>71</v>
      </c>
      <c r="EG92" s="77">
        <f t="shared" si="119"/>
        <v>72</v>
      </c>
      <c r="EH92" s="77">
        <f t="shared" si="119"/>
        <v>73</v>
      </c>
      <c r="EI92" s="77">
        <f t="shared" si="119"/>
        <v>74</v>
      </c>
      <c r="EJ92" s="77">
        <f t="shared" si="119"/>
        <v>75</v>
      </c>
      <c r="EK92" s="77">
        <f t="shared" si="119"/>
        <v>76</v>
      </c>
      <c r="EL92" s="77">
        <f t="shared" si="119"/>
        <v>77</v>
      </c>
      <c r="EM92" s="77">
        <f t="shared" si="119"/>
        <v>78</v>
      </c>
      <c r="EN92" s="77">
        <f t="shared" si="119"/>
        <v>79</v>
      </c>
      <c r="EO92" s="77">
        <f t="shared" si="119"/>
        <v>80</v>
      </c>
      <c r="EP92" s="77">
        <f t="shared" si="119"/>
        <v>81</v>
      </c>
      <c r="EQ92" s="77">
        <f t="shared" si="119"/>
        <v>82</v>
      </c>
      <c r="ER92" s="77">
        <f t="shared" si="119"/>
        <v>83</v>
      </c>
      <c r="ES92" s="77">
        <f t="shared" si="119"/>
        <v>84</v>
      </c>
      <c r="ET92" s="77">
        <f t="shared" si="119"/>
        <v>85</v>
      </c>
      <c r="EU92" s="77">
        <f t="shared" si="119"/>
        <v>86</v>
      </c>
      <c r="EV92" s="77">
        <f t="shared" si="118"/>
        <v>87</v>
      </c>
      <c r="EW92" s="77">
        <f t="shared" si="118"/>
        <v>88</v>
      </c>
      <c r="EX92" s="77">
        <f t="shared" si="118"/>
        <v>89</v>
      </c>
      <c r="EY92" s="77">
        <f t="shared" si="118"/>
        <v>90</v>
      </c>
      <c r="EZ92" s="77">
        <f t="shared" si="118"/>
        <v>91</v>
      </c>
      <c r="FA92" s="77">
        <f t="shared" si="118"/>
        <v>92</v>
      </c>
      <c r="FB92" s="77">
        <f t="shared" si="118"/>
        <v>93</v>
      </c>
      <c r="FC92" s="77">
        <f t="shared" si="118"/>
        <v>94</v>
      </c>
      <c r="FD92" s="77">
        <f t="shared" si="118"/>
        <v>95</v>
      </c>
      <c r="FE92" s="77">
        <f t="shared" si="118"/>
        <v>96</v>
      </c>
      <c r="FF92" s="77">
        <f t="shared" si="118"/>
        <v>97</v>
      </c>
      <c r="FG92" s="77">
        <f t="shared" si="118"/>
        <v>98</v>
      </c>
      <c r="FH92" s="77">
        <f t="shared" si="118"/>
        <v>99</v>
      </c>
      <c r="FI92" s="77">
        <f t="shared" si="118"/>
        <v>100</v>
      </c>
      <c r="FJ92" s="77">
        <f t="shared" si="118"/>
        <v>101</v>
      </c>
      <c r="FK92" s="77">
        <f t="shared" si="118"/>
        <v>102</v>
      </c>
      <c r="FL92" s="77">
        <f t="shared" si="118"/>
        <v>103</v>
      </c>
      <c r="FM92" s="77">
        <f t="shared" si="118"/>
        <v>104</v>
      </c>
      <c r="FN92" s="77">
        <f t="shared" si="118"/>
        <v>105</v>
      </c>
      <c r="FO92" s="77">
        <f t="shared" si="118"/>
        <v>106</v>
      </c>
      <c r="FP92" s="77">
        <f t="shared" si="118"/>
        <v>107</v>
      </c>
      <c r="FQ92" s="77">
        <f t="shared" si="118"/>
        <v>108</v>
      </c>
      <c r="FR92" s="77">
        <f t="shared" si="118"/>
        <v>109</v>
      </c>
      <c r="FS92" s="77">
        <f t="shared" si="118"/>
        <v>110</v>
      </c>
      <c r="FT92" s="77">
        <f t="shared" si="118"/>
        <v>111</v>
      </c>
      <c r="FU92" s="77">
        <f t="shared" si="118"/>
        <v>112</v>
      </c>
      <c r="FV92" s="77">
        <f t="shared" si="118"/>
        <v>113</v>
      </c>
      <c r="FW92" s="77">
        <f t="shared" si="118"/>
        <v>114</v>
      </c>
      <c r="FX92" s="77">
        <f t="shared" si="118"/>
        <v>115</v>
      </c>
      <c r="FY92" s="77">
        <f t="shared" si="118"/>
        <v>116</v>
      </c>
      <c r="FZ92" s="77">
        <f t="shared" si="118"/>
        <v>117</v>
      </c>
      <c r="GA92" s="77">
        <f t="shared" si="118"/>
        <v>118</v>
      </c>
      <c r="GB92" s="77">
        <f t="shared" si="118"/>
        <v>119</v>
      </c>
      <c r="GC92" s="77">
        <f t="shared" si="118"/>
        <v>120</v>
      </c>
      <c r="GD92" s="77">
        <f t="shared" si="118"/>
        <v>121</v>
      </c>
      <c r="GE92" s="77">
        <f t="shared" si="118"/>
        <v>122</v>
      </c>
      <c r="GF92" s="77">
        <f t="shared" si="118"/>
        <v>123</v>
      </c>
      <c r="GG92" s="77">
        <f t="shared" si="118"/>
        <v>124</v>
      </c>
      <c r="GH92" s="77">
        <f t="shared" si="118"/>
        <v>125</v>
      </c>
      <c r="GI92" s="77">
        <f t="shared" si="118"/>
        <v>126</v>
      </c>
      <c r="GJ92" s="77">
        <f t="shared" si="118"/>
        <v>127</v>
      </c>
      <c r="GK92" s="77">
        <f t="shared" si="118"/>
        <v>128</v>
      </c>
      <c r="GL92" s="77">
        <f t="shared" si="118"/>
        <v>129</v>
      </c>
      <c r="GM92" s="77">
        <f t="shared" si="118"/>
        <v>130</v>
      </c>
      <c r="GN92" s="77">
        <f t="shared" si="118"/>
        <v>131</v>
      </c>
      <c r="GO92" s="77">
        <f t="shared" si="118"/>
        <v>132</v>
      </c>
      <c r="GP92" s="77">
        <f t="shared" si="118"/>
        <v>133</v>
      </c>
      <c r="GQ92" s="77">
        <f t="shared" si="118"/>
        <v>134</v>
      </c>
      <c r="GR92" s="77">
        <f t="shared" si="118"/>
        <v>135</v>
      </c>
      <c r="GS92" s="77">
        <f t="shared" si="118"/>
        <v>136</v>
      </c>
      <c r="GT92" s="77">
        <f t="shared" si="118"/>
        <v>137</v>
      </c>
      <c r="GU92" s="77">
        <f t="shared" si="118"/>
        <v>138</v>
      </c>
      <c r="GV92" s="77">
        <f t="shared" si="118"/>
        <v>139</v>
      </c>
      <c r="GW92" s="77">
        <f t="shared" si="118"/>
        <v>140</v>
      </c>
      <c r="GX92" s="77">
        <f t="shared" si="118"/>
        <v>141</v>
      </c>
    </row>
    <row r="93" spans="1:206" ht="15" customHeight="1" x14ac:dyDescent="0.2">
      <c r="A93" s="22" t="s">
        <v>194</v>
      </c>
      <c r="B93" s="22">
        <v>5</v>
      </c>
      <c r="C93" s="22" t="s">
        <v>194</v>
      </c>
      <c r="D93" s="22">
        <v>5</v>
      </c>
      <c r="E93" s="22" t="s">
        <v>212</v>
      </c>
      <c r="F93" s="22" t="s">
        <v>71</v>
      </c>
      <c r="G93" s="22" t="s">
        <v>72</v>
      </c>
      <c r="H93" s="22">
        <v>2022</v>
      </c>
      <c r="I93" s="22">
        <v>4</v>
      </c>
      <c r="J93" s="22">
        <v>10</v>
      </c>
      <c r="K93" s="22">
        <v>0</v>
      </c>
      <c r="L93" s="22">
        <v>1436</v>
      </c>
      <c r="M93" s="22">
        <v>1436</v>
      </c>
      <c r="N93" s="22" t="s">
        <v>196</v>
      </c>
      <c r="O93" s="22" t="s">
        <v>74</v>
      </c>
      <c r="P93" s="22" t="s">
        <v>75</v>
      </c>
      <c r="Q93" s="108">
        <f>IF(R93="","",'Dashboard Ciclos'!$B$2-R93)</f>
        <v>46246</v>
      </c>
      <c r="R93" s="22">
        <f>IF($E93="","",IFERROR(INDEX($W93:$GX93,MATCH('Dashboard Ciclos'!$B$2,$W$1:$GX$1,0)),""))</f>
        <v>3</v>
      </c>
      <c r="S93" s="22" t="str">
        <f t="shared" si="83"/>
        <v>En ciclo</v>
      </c>
      <c r="T93" s="22" t="str">
        <f t="shared" si="84"/>
        <v>Recién cortado</v>
      </c>
      <c r="U93" s="22">
        <f t="shared" si="85"/>
        <v>9</v>
      </c>
      <c r="V93" s="23">
        <f t="shared" si="86"/>
        <v>46258</v>
      </c>
      <c r="W93" s="77">
        <f t="shared" si="108"/>
        <v>20</v>
      </c>
      <c r="X93" s="77">
        <f t="shared" si="108"/>
        <v>21</v>
      </c>
      <c r="Y93" s="77">
        <f t="shared" si="108"/>
        <v>22</v>
      </c>
      <c r="Z93" s="77">
        <f t="shared" si="108"/>
        <v>23</v>
      </c>
      <c r="AA93" s="77">
        <v>24</v>
      </c>
      <c r="AB93" s="77">
        <f t="shared" si="115"/>
        <v>25</v>
      </c>
      <c r="AC93" s="77">
        <f t="shared" si="115"/>
        <v>26</v>
      </c>
      <c r="AD93" s="77">
        <f t="shared" si="115"/>
        <v>27</v>
      </c>
      <c r="AE93" s="77">
        <f t="shared" si="115"/>
        <v>28</v>
      </c>
      <c r="AF93" s="77">
        <f t="shared" si="115"/>
        <v>29</v>
      </c>
      <c r="AG93" s="77">
        <f t="shared" si="115"/>
        <v>30</v>
      </c>
      <c r="AH93" s="77">
        <f t="shared" si="115"/>
        <v>31</v>
      </c>
      <c r="AI93" s="77">
        <f t="shared" si="115"/>
        <v>32</v>
      </c>
      <c r="AJ93" s="77">
        <f t="shared" si="115"/>
        <v>33</v>
      </c>
      <c r="AK93" s="77">
        <f t="shared" si="90"/>
        <v>34</v>
      </c>
      <c r="AL93" s="77">
        <f t="shared" si="90"/>
        <v>35</v>
      </c>
      <c r="AM93" s="77">
        <f t="shared" si="90"/>
        <v>36</v>
      </c>
      <c r="AN93" s="77">
        <f t="shared" si="91"/>
        <v>37</v>
      </c>
      <c r="AO93" s="77">
        <f t="shared" si="90"/>
        <v>38</v>
      </c>
      <c r="AP93" s="77">
        <f t="shared" si="90"/>
        <v>39</v>
      </c>
      <c r="AQ93" s="77">
        <f t="shared" si="90"/>
        <v>40</v>
      </c>
      <c r="AR93" s="77">
        <f t="shared" si="105"/>
        <v>41</v>
      </c>
      <c r="AS93" s="77">
        <f t="shared" si="120"/>
        <v>42</v>
      </c>
      <c r="AT93" s="77">
        <f t="shared" si="120"/>
        <v>43</v>
      </c>
      <c r="AU93" s="77">
        <f t="shared" si="120"/>
        <v>44</v>
      </c>
      <c r="AV93" s="77">
        <f t="shared" si="120"/>
        <v>45</v>
      </c>
      <c r="AW93" s="77">
        <v>0</v>
      </c>
      <c r="AX93" s="77">
        <f t="shared" si="120"/>
        <v>1</v>
      </c>
      <c r="AY93" s="77">
        <f t="shared" si="120"/>
        <v>2</v>
      </c>
      <c r="AZ93" s="77">
        <f t="shared" si="120"/>
        <v>3</v>
      </c>
      <c r="BA93" s="77">
        <f t="shared" si="120"/>
        <v>4</v>
      </c>
      <c r="BB93" s="77">
        <f t="shared" si="120"/>
        <v>5</v>
      </c>
      <c r="BC93" s="77">
        <f t="shared" si="120"/>
        <v>6</v>
      </c>
      <c r="BD93" s="77">
        <f t="shared" si="120"/>
        <v>7</v>
      </c>
      <c r="BE93" s="77">
        <f t="shared" si="120"/>
        <v>8</v>
      </c>
      <c r="BF93" s="77">
        <f t="shared" si="120"/>
        <v>9</v>
      </c>
      <c r="BG93" s="77">
        <f t="shared" si="120"/>
        <v>10</v>
      </c>
      <c r="BH93" s="77">
        <f t="shared" si="120"/>
        <v>11</v>
      </c>
      <c r="BI93" s="77">
        <f t="shared" si="120"/>
        <v>12</v>
      </c>
      <c r="BJ93" s="77">
        <f t="shared" si="120"/>
        <v>13</v>
      </c>
      <c r="BK93" s="77">
        <f t="shared" si="120"/>
        <v>14</v>
      </c>
      <c r="BL93" s="77">
        <f t="shared" si="120"/>
        <v>15</v>
      </c>
      <c r="BM93" s="77">
        <v>0</v>
      </c>
      <c r="BN93" s="77">
        <f t="shared" si="120"/>
        <v>1</v>
      </c>
      <c r="BO93" s="77">
        <f t="shared" si="120"/>
        <v>2</v>
      </c>
      <c r="BP93" s="77">
        <f t="shared" si="120"/>
        <v>3</v>
      </c>
      <c r="BQ93" s="77">
        <f t="shared" si="120"/>
        <v>4</v>
      </c>
      <c r="BR93" s="77">
        <f t="shared" si="120"/>
        <v>5</v>
      </c>
      <c r="BS93" s="77">
        <f t="shared" si="120"/>
        <v>6</v>
      </c>
      <c r="BT93" s="77">
        <f t="shared" si="120"/>
        <v>7</v>
      </c>
      <c r="BU93" s="77">
        <f t="shared" si="120"/>
        <v>8</v>
      </c>
      <c r="BV93" s="77">
        <f t="shared" si="120"/>
        <v>9</v>
      </c>
      <c r="BW93" s="77">
        <f t="shared" si="120"/>
        <v>10</v>
      </c>
      <c r="BX93" s="77">
        <f t="shared" si="120"/>
        <v>11</v>
      </c>
      <c r="BY93" s="77">
        <f t="shared" si="120"/>
        <v>12</v>
      </c>
      <c r="BZ93" s="77">
        <f t="shared" si="120"/>
        <v>13</v>
      </c>
      <c r="CA93" s="77">
        <f t="shared" si="120"/>
        <v>14</v>
      </c>
      <c r="CB93" s="77">
        <f t="shared" si="120"/>
        <v>15</v>
      </c>
      <c r="CC93" s="77">
        <f t="shared" si="120"/>
        <v>16</v>
      </c>
      <c r="CD93" s="77">
        <f t="shared" si="120"/>
        <v>17</v>
      </c>
      <c r="CE93" s="77">
        <f t="shared" si="120"/>
        <v>18</v>
      </c>
      <c r="CF93" s="77">
        <f t="shared" si="120"/>
        <v>19</v>
      </c>
      <c r="CG93" s="77">
        <f t="shared" si="120"/>
        <v>20</v>
      </c>
      <c r="CH93" s="77">
        <f t="shared" si="120"/>
        <v>21</v>
      </c>
      <c r="CI93" s="77">
        <f t="shared" si="120"/>
        <v>22</v>
      </c>
      <c r="CJ93" s="77">
        <f t="shared" si="120"/>
        <v>23</v>
      </c>
      <c r="CK93" s="77">
        <f t="shared" si="119"/>
        <v>24</v>
      </c>
      <c r="CL93" s="77">
        <f t="shared" si="119"/>
        <v>25</v>
      </c>
      <c r="CM93" s="77">
        <f t="shared" si="119"/>
        <v>26</v>
      </c>
      <c r="CN93" s="77">
        <f t="shared" si="119"/>
        <v>27</v>
      </c>
      <c r="CO93" s="77">
        <f t="shared" si="119"/>
        <v>28</v>
      </c>
      <c r="CP93" s="77">
        <f t="shared" si="119"/>
        <v>29</v>
      </c>
      <c r="CQ93" s="77">
        <f t="shared" si="119"/>
        <v>30</v>
      </c>
      <c r="CR93" s="77">
        <f t="shared" si="119"/>
        <v>31</v>
      </c>
      <c r="CS93" s="77">
        <f t="shared" si="119"/>
        <v>32</v>
      </c>
      <c r="CT93" s="77">
        <f t="shared" si="119"/>
        <v>33</v>
      </c>
      <c r="CU93" s="77">
        <f t="shared" si="119"/>
        <v>34</v>
      </c>
      <c r="CV93" s="77">
        <f t="shared" si="119"/>
        <v>35</v>
      </c>
      <c r="CW93" s="77">
        <f t="shared" si="119"/>
        <v>36</v>
      </c>
      <c r="CX93" s="77">
        <f t="shared" si="119"/>
        <v>37</v>
      </c>
      <c r="CY93" s="77">
        <f t="shared" si="119"/>
        <v>38</v>
      </c>
      <c r="CZ93" s="77">
        <f t="shared" si="119"/>
        <v>39</v>
      </c>
      <c r="DA93" s="77">
        <f t="shared" si="119"/>
        <v>40</v>
      </c>
      <c r="DB93" s="77">
        <f t="shared" si="119"/>
        <v>41</v>
      </c>
      <c r="DC93" s="77">
        <f t="shared" si="119"/>
        <v>42</v>
      </c>
      <c r="DD93" s="77">
        <f t="shared" si="119"/>
        <v>43</v>
      </c>
      <c r="DE93" s="77">
        <f t="shared" si="119"/>
        <v>44</v>
      </c>
      <c r="DF93" s="77">
        <f t="shared" si="119"/>
        <v>45</v>
      </c>
      <c r="DG93" s="77">
        <f t="shared" si="119"/>
        <v>46</v>
      </c>
      <c r="DH93" s="77">
        <f t="shared" si="119"/>
        <v>47</v>
      </c>
      <c r="DI93" s="77">
        <f t="shared" si="119"/>
        <v>48</v>
      </c>
      <c r="DJ93" s="77">
        <f t="shared" si="119"/>
        <v>49</v>
      </c>
      <c r="DK93" s="77">
        <f t="shared" si="119"/>
        <v>50</v>
      </c>
      <c r="DL93" s="77">
        <f t="shared" si="119"/>
        <v>51</v>
      </c>
      <c r="DM93" s="77">
        <f t="shared" si="119"/>
        <v>52</v>
      </c>
      <c r="DN93" s="77">
        <f t="shared" si="119"/>
        <v>53</v>
      </c>
      <c r="DO93" s="77">
        <f t="shared" si="119"/>
        <v>54</v>
      </c>
      <c r="DP93" s="77">
        <f t="shared" si="119"/>
        <v>55</v>
      </c>
      <c r="DQ93" s="77">
        <f t="shared" si="119"/>
        <v>56</v>
      </c>
      <c r="DR93" s="77">
        <f t="shared" si="119"/>
        <v>57</v>
      </c>
      <c r="DS93" s="77">
        <f t="shared" si="119"/>
        <v>58</v>
      </c>
      <c r="DT93" s="77">
        <f t="shared" si="119"/>
        <v>59</v>
      </c>
      <c r="DU93" s="77">
        <f t="shared" si="119"/>
        <v>60</v>
      </c>
      <c r="DV93" s="77">
        <f t="shared" si="119"/>
        <v>61</v>
      </c>
      <c r="DW93" s="77">
        <f t="shared" si="119"/>
        <v>62</v>
      </c>
      <c r="DX93" s="77">
        <f t="shared" si="119"/>
        <v>63</v>
      </c>
      <c r="DY93" s="77">
        <f t="shared" si="119"/>
        <v>64</v>
      </c>
      <c r="DZ93" s="77">
        <f t="shared" si="119"/>
        <v>65</v>
      </c>
      <c r="EA93" s="77">
        <f t="shared" si="119"/>
        <v>66</v>
      </c>
      <c r="EB93" s="77">
        <f t="shared" si="119"/>
        <v>67</v>
      </c>
      <c r="EC93" s="77">
        <f t="shared" si="119"/>
        <v>68</v>
      </c>
      <c r="ED93" s="77">
        <f t="shared" si="119"/>
        <v>69</v>
      </c>
      <c r="EE93" s="77">
        <f t="shared" si="119"/>
        <v>70</v>
      </c>
      <c r="EF93" s="77">
        <f t="shared" si="119"/>
        <v>71</v>
      </c>
      <c r="EG93" s="77">
        <f t="shared" si="119"/>
        <v>72</v>
      </c>
      <c r="EH93" s="77">
        <f t="shared" si="119"/>
        <v>73</v>
      </c>
      <c r="EI93" s="77">
        <f t="shared" si="119"/>
        <v>74</v>
      </c>
      <c r="EJ93" s="77">
        <f t="shared" si="119"/>
        <v>75</v>
      </c>
      <c r="EK93" s="77">
        <f t="shared" si="119"/>
        <v>76</v>
      </c>
      <c r="EL93" s="77">
        <f t="shared" si="119"/>
        <v>77</v>
      </c>
      <c r="EM93" s="77">
        <f t="shared" si="119"/>
        <v>78</v>
      </c>
      <c r="EN93" s="77">
        <f t="shared" si="119"/>
        <v>79</v>
      </c>
      <c r="EO93" s="77">
        <f t="shared" si="119"/>
        <v>80</v>
      </c>
      <c r="EP93" s="77">
        <f t="shared" si="119"/>
        <v>81</v>
      </c>
      <c r="EQ93" s="77">
        <f t="shared" si="119"/>
        <v>82</v>
      </c>
      <c r="ER93" s="77">
        <f t="shared" si="119"/>
        <v>83</v>
      </c>
      <c r="ES93" s="77">
        <f t="shared" si="119"/>
        <v>84</v>
      </c>
      <c r="ET93" s="77">
        <f t="shared" si="119"/>
        <v>85</v>
      </c>
      <c r="EU93" s="77">
        <f t="shared" si="119"/>
        <v>86</v>
      </c>
      <c r="EV93" s="77">
        <f t="shared" si="118"/>
        <v>87</v>
      </c>
      <c r="EW93" s="77">
        <f t="shared" si="118"/>
        <v>88</v>
      </c>
      <c r="EX93" s="77">
        <f t="shared" si="118"/>
        <v>89</v>
      </c>
      <c r="EY93" s="77">
        <f t="shared" si="118"/>
        <v>90</v>
      </c>
      <c r="EZ93" s="77">
        <f t="shared" si="118"/>
        <v>91</v>
      </c>
      <c r="FA93" s="77">
        <f t="shared" si="118"/>
        <v>92</v>
      </c>
      <c r="FB93" s="77">
        <f t="shared" si="118"/>
        <v>93</v>
      </c>
      <c r="FC93" s="77">
        <f t="shared" si="118"/>
        <v>94</v>
      </c>
      <c r="FD93" s="77">
        <f t="shared" si="118"/>
        <v>95</v>
      </c>
      <c r="FE93" s="77">
        <f t="shared" si="118"/>
        <v>96</v>
      </c>
      <c r="FF93" s="77">
        <f t="shared" si="118"/>
        <v>97</v>
      </c>
      <c r="FG93" s="77">
        <f t="shared" si="118"/>
        <v>98</v>
      </c>
      <c r="FH93" s="77">
        <f t="shared" si="118"/>
        <v>99</v>
      </c>
      <c r="FI93" s="77">
        <f t="shared" si="118"/>
        <v>100</v>
      </c>
      <c r="FJ93" s="77">
        <f t="shared" si="118"/>
        <v>101</v>
      </c>
      <c r="FK93" s="77">
        <f t="shared" si="118"/>
        <v>102</v>
      </c>
      <c r="FL93" s="77">
        <f t="shared" si="118"/>
        <v>103</v>
      </c>
      <c r="FM93" s="77">
        <f t="shared" si="118"/>
        <v>104</v>
      </c>
      <c r="FN93" s="77">
        <f t="shared" si="118"/>
        <v>105</v>
      </c>
      <c r="FO93" s="77">
        <f t="shared" si="118"/>
        <v>106</v>
      </c>
      <c r="FP93" s="77">
        <f t="shared" si="118"/>
        <v>107</v>
      </c>
      <c r="FQ93" s="77">
        <f t="shared" si="118"/>
        <v>108</v>
      </c>
      <c r="FR93" s="77">
        <f t="shared" si="118"/>
        <v>109</v>
      </c>
      <c r="FS93" s="77">
        <f t="shared" si="118"/>
        <v>110</v>
      </c>
      <c r="FT93" s="77">
        <f t="shared" si="118"/>
        <v>111</v>
      </c>
      <c r="FU93" s="77">
        <f t="shared" si="118"/>
        <v>112</v>
      </c>
      <c r="FV93" s="77">
        <f t="shared" si="118"/>
        <v>113</v>
      </c>
      <c r="FW93" s="77">
        <f t="shared" si="118"/>
        <v>114</v>
      </c>
      <c r="FX93" s="77">
        <f t="shared" si="118"/>
        <v>115</v>
      </c>
      <c r="FY93" s="77">
        <f t="shared" si="118"/>
        <v>116</v>
      </c>
      <c r="FZ93" s="77">
        <f t="shared" si="118"/>
        <v>117</v>
      </c>
      <c r="GA93" s="77">
        <f t="shared" si="118"/>
        <v>118</v>
      </c>
      <c r="GB93" s="77">
        <f t="shared" si="118"/>
        <v>119</v>
      </c>
      <c r="GC93" s="77">
        <f t="shared" si="118"/>
        <v>120</v>
      </c>
      <c r="GD93" s="77">
        <f t="shared" si="118"/>
        <v>121</v>
      </c>
      <c r="GE93" s="77">
        <f t="shared" ref="GE93:GX93" si="121">IF(GD93="","",GD93+1)</f>
        <v>122</v>
      </c>
      <c r="GF93" s="77">
        <f t="shared" si="121"/>
        <v>123</v>
      </c>
      <c r="GG93" s="77">
        <f t="shared" si="121"/>
        <v>124</v>
      </c>
      <c r="GH93" s="77">
        <f t="shared" si="121"/>
        <v>125</v>
      </c>
      <c r="GI93" s="77">
        <f t="shared" si="121"/>
        <v>126</v>
      </c>
      <c r="GJ93" s="77">
        <f t="shared" si="121"/>
        <v>127</v>
      </c>
      <c r="GK93" s="77">
        <f t="shared" si="121"/>
        <v>128</v>
      </c>
      <c r="GL93" s="77">
        <f t="shared" si="121"/>
        <v>129</v>
      </c>
      <c r="GM93" s="77">
        <f t="shared" si="121"/>
        <v>130</v>
      </c>
      <c r="GN93" s="77">
        <f t="shared" si="121"/>
        <v>131</v>
      </c>
      <c r="GO93" s="77">
        <f t="shared" si="121"/>
        <v>132</v>
      </c>
      <c r="GP93" s="77">
        <f t="shared" si="121"/>
        <v>133</v>
      </c>
      <c r="GQ93" s="77">
        <f t="shared" si="121"/>
        <v>134</v>
      </c>
      <c r="GR93" s="77">
        <f t="shared" si="121"/>
        <v>135</v>
      </c>
      <c r="GS93" s="77">
        <f t="shared" si="121"/>
        <v>136</v>
      </c>
      <c r="GT93" s="77">
        <f t="shared" si="121"/>
        <v>137</v>
      </c>
      <c r="GU93" s="77">
        <f t="shared" si="121"/>
        <v>138</v>
      </c>
      <c r="GV93" s="77">
        <f t="shared" si="121"/>
        <v>139</v>
      </c>
      <c r="GW93" s="77">
        <f t="shared" si="121"/>
        <v>140</v>
      </c>
      <c r="GX93" s="77">
        <f t="shared" si="121"/>
        <v>141</v>
      </c>
    </row>
    <row r="94" spans="1:206" ht="15" customHeight="1" x14ac:dyDescent="0.2">
      <c r="A94" s="22" t="s">
        <v>194</v>
      </c>
      <c r="B94" s="22">
        <v>5</v>
      </c>
      <c r="C94" s="22" t="s">
        <v>194</v>
      </c>
      <c r="D94" s="22" t="s">
        <v>213</v>
      </c>
      <c r="E94" s="22" t="s">
        <v>214</v>
      </c>
      <c r="F94" s="22" t="s">
        <v>71</v>
      </c>
      <c r="G94" s="22" t="s">
        <v>72</v>
      </c>
      <c r="H94" s="22">
        <v>2023</v>
      </c>
      <c r="I94" s="22">
        <v>3</v>
      </c>
      <c r="J94" s="22">
        <v>24</v>
      </c>
      <c r="K94" s="22">
        <v>0</v>
      </c>
      <c r="L94" s="22">
        <v>3371</v>
      </c>
      <c r="M94" s="22">
        <v>3371</v>
      </c>
      <c r="N94" s="22" t="s">
        <v>196</v>
      </c>
      <c r="O94" s="22" t="s">
        <v>74</v>
      </c>
      <c r="P94" s="22" t="s">
        <v>75</v>
      </c>
      <c r="Q94" s="108">
        <f>IF(R94="","",'Dashboard Ciclos'!$B$2-R94)</f>
        <v>46246</v>
      </c>
      <c r="R94" s="22">
        <f>IF($E94="","",IFERROR(INDEX($W94:$GX94,MATCH('Dashboard Ciclos'!$B$2,$W$1:$GX$1,0)),""))</f>
        <v>3</v>
      </c>
      <c r="S94" s="22" t="str">
        <f t="shared" si="83"/>
        <v>En ciclo</v>
      </c>
      <c r="T94" s="22" t="str">
        <f t="shared" si="84"/>
        <v>Recién cortado</v>
      </c>
      <c r="U94" s="22">
        <f t="shared" si="85"/>
        <v>9</v>
      </c>
      <c r="V94" s="23">
        <f t="shared" si="86"/>
        <v>46258</v>
      </c>
      <c r="W94" s="77">
        <f t="shared" si="108"/>
        <v>21</v>
      </c>
      <c r="X94" s="77">
        <f t="shared" si="108"/>
        <v>22</v>
      </c>
      <c r="Y94" s="77">
        <f t="shared" si="108"/>
        <v>23</v>
      </c>
      <c r="Z94" s="77">
        <f t="shared" si="108"/>
        <v>24</v>
      </c>
      <c r="AA94" s="77">
        <v>25</v>
      </c>
      <c r="AB94" s="77">
        <f t="shared" si="115"/>
        <v>26</v>
      </c>
      <c r="AC94" s="77">
        <f t="shared" si="115"/>
        <v>27</v>
      </c>
      <c r="AD94" s="77">
        <f t="shared" si="115"/>
        <v>28</v>
      </c>
      <c r="AE94" s="77">
        <f t="shared" si="115"/>
        <v>29</v>
      </c>
      <c r="AF94" s="77">
        <f t="shared" si="115"/>
        <v>30</v>
      </c>
      <c r="AG94" s="77">
        <f t="shared" si="115"/>
        <v>31</v>
      </c>
      <c r="AH94" s="77">
        <f t="shared" si="115"/>
        <v>32</v>
      </c>
      <c r="AI94" s="77">
        <f t="shared" si="115"/>
        <v>33</v>
      </c>
      <c r="AJ94" s="77">
        <f t="shared" si="115"/>
        <v>34</v>
      </c>
      <c r="AK94" s="77">
        <f t="shared" si="90"/>
        <v>35</v>
      </c>
      <c r="AL94" s="77">
        <f t="shared" si="90"/>
        <v>36</v>
      </c>
      <c r="AM94" s="77">
        <f t="shared" si="90"/>
        <v>37</v>
      </c>
      <c r="AN94" s="77">
        <f t="shared" si="91"/>
        <v>38</v>
      </c>
      <c r="AO94" s="77">
        <f t="shared" si="90"/>
        <v>39</v>
      </c>
      <c r="AP94" s="77">
        <f t="shared" si="90"/>
        <v>40</v>
      </c>
      <c r="AQ94" s="77">
        <f t="shared" si="90"/>
        <v>41</v>
      </c>
      <c r="AR94" s="77">
        <f t="shared" si="105"/>
        <v>42</v>
      </c>
      <c r="AS94" s="77">
        <f t="shared" si="120"/>
        <v>43</v>
      </c>
      <c r="AT94" s="77">
        <f t="shared" si="120"/>
        <v>44</v>
      </c>
      <c r="AU94" s="77">
        <f t="shared" si="120"/>
        <v>45</v>
      </c>
      <c r="AV94" s="77">
        <f t="shared" si="120"/>
        <v>46</v>
      </c>
      <c r="AW94" s="77">
        <v>0</v>
      </c>
      <c r="AX94" s="77">
        <f t="shared" si="120"/>
        <v>1</v>
      </c>
      <c r="AY94" s="77">
        <f t="shared" si="120"/>
        <v>2</v>
      </c>
      <c r="AZ94" s="77">
        <f t="shared" si="120"/>
        <v>3</v>
      </c>
      <c r="BA94" s="77">
        <f t="shared" si="120"/>
        <v>4</v>
      </c>
      <c r="BB94" s="77">
        <f t="shared" si="120"/>
        <v>5</v>
      </c>
      <c r="BC94" s="77">
        <f t="shared" si="120"/>
        <v>6</v>
      </c>
      <c r="BD94" s="77">
        <f t="shared" si="120"/>
        <v>7</v>
      </c>
      <c r="BE94" s="77">
        <f t="shared" si="120"/>
        <v>8</v>
      </c>
      <c r="BF94" s="77">
        <f t="shared" si="120"/>
        <v>9</v>
      </c>
      <c r="BG94" s="77">
        <f t="shared" si="120"/>
        <v>10</v>
      </c>
      <c r="BH94" s="77">
        <f t="shared" si="120"/>
        <v>11</v>
      </c>
      <c r="BI94" s="77">
        <f t="shared" si="120"/>
        <v>12</v>
      </c>
      <c r="BJ94" s="77">
        <f t="shared" si="120"/>
        <v>13</v>
      </c>
      <c r="BK94" s="77">
        <f t="shared" si="120"/>
        <v>14</v>
      </c>
      <c r="BL94" s="77">
        <f t="shared" si="120"/>
        <v>15</v>
      </c>
      <c r="BM94" s="77">
        <v>0</v>
      </c>
      <c r="BN94" s="77">
        <f t="shared" si="120"/>
        <v>1</v>
      </c>
      <c r="BO94" s="77">
        <f t="shared" si="120"/>
        <v>2</v>
      </c>
      <c r="BP94" s="77">
        <f t="shared" si="120"/>
        <v>3</v>
      </c>
      <c r="BQ94" s="77">
        <f t="shared" si="120"/>
        <v>4</v>
      </c>
      <c r="BR94" s="77">
        <f t="shared" si="120"/>
        <v>5</v>
      </c>
      <c r="BS94" s="77">
        <f t="shared" si="120"/>
        <v>6</v>
      </c>
      <c r="BT94" s="77">
        <f t="shared" si="120"/>
        <v>7</v>
      </c>
      <c r="BU94" s="77">
        <f t="shared" si="120"/>
        <v>8</v>
      </c>
      <c r="BV94" s="77">
        <f t="shared" si="120"/>
        <v>9</v>
      </c>
      <c r="BW94" s="77">
        <f t="shared" si="120"/>
        <v>10</v>
      </c>
      <c r="BX94" s="77">
        <f t="shared" si="120"/>
        <v>11</v>
      </c>
      <c r="BY94" s="77">
        <f t="shared" si="120"/>
        <v>12</v>
      </c>
      <c r="BZ94" s="77">
        <f t="shared" si="120"/>
        <v>13</v>
      </c>
      <c r="CA94" s="77">
        <f t="shared" si="120"/>
        <v>14</v>
      </c>
      <c r="CB94" s="77">
        <f t="shared" si="120"/>
        <v>15</v>
      </c>
      <c r="CC94" s="77">
        <f t="shared" si="120"/>
        <v>16</v>
      </c>
      <c r="CD94" s="77">
        <f t="shared" si="120"/>
        <v>17</v>
      </c>
      <c r="CE94" s="77">
        <f t="shared" si="120"/>
        <v>18</v>
      </c>
      <c r="CF94" s="77">
        <f t="shared" si="120"/>
        <v>19</v>
      </c>
      <c r="CG94" s="77">
        <f t="shared" si="120"/>
        <v>20</v>
      </c>
      <c r="CH94" s="77">
        <f t="shared" si="120"/>
        <v>21</v>
      </c>
      <c r="CI94" s="77">
        <f t="shared" si="120"/>
        <v>22</v>
      </c>
      <c r="CJ94" s="77">
        <f t="shared" si="120"/>
        <v>23</v>
      </c>
      <c r="CK94" s="77">
        <f t="shared" si="119"/>
        <v>24</v>
      </c>
      <c r="CL94" s="77">
        <f t="shared" si="119"/>
        <v>25</v>
      </c>
      <c r="CM94" s="77">
        <f t="shared" si="119"/>
        <v>26</v>
      </c>
      <c r="CN94" s="77">
        <f t="shared" si="119"/>
        <v>27</v>
      </c>
      <c r="CO94" s="77">
        <f t="shared" si="119"/>
        <v>28</v>
      </c>
      <c r="CP94" s="77">
        <f t="shared" si="119"/>
        <v>29</v>
      </c>
      <c r="CQ94" s="77">
        <f t="shared" si="119"/>
        <v>30</v>
      </c>
      <c r="CR94" s="77">
        <f t="shared" si="119"/>
        <v>31</v>
      </c>
      <c r="CS94" s="77">
        <f t="shared" si="119"/>
        <v>32</v>
      </c>
      <c r="CT94" s="77">
        <f t="shared" si="119"/>
        <v>33</v>
      </c>
      <c r="CU94" s="77">
        <f t="shared" si="119"/>
        <v>34</v>
      </c>
      <c r="CV94" s="77">
        <f t="shared" si="119"/>
        <v>35</v>
      </c>
      <c r="CW94" s="77">
        <f t="shared" si="119"/>
        <v>36</v>
      </c>
      <c r="CX94" s="77">
        <f t="shared" si="119"/>
        <v>37</v>
      </c>
      <c r="CY94" s="77">
        <f t="shared" si="119"/>
        <v>38</v>
      </c>
      <c r="CZ94" s="77">
        <f t="shared" si="119"/>
        <v>39</v>
      </c>
      <c r="DA94" s="77">
        <f t="shared" si="119"/>
        <v>40</v>
      </c>
      <c r="DB94" s="77">
        <f t="shared" si="119"/>
        <v>41</v>
      </c>
      <c r="DC94" s="77">
        <f t="shared" si="119"/>
        <v>42</v>
      </c>
      <c r="DD94" s="77">
        <f t="shared" si="119"/>
        <v>43</v>
      </c>
      <c r="DE94" s="77">
        <f t="shared" si="119"/>
        <v>44</v>
      </c>
      <c r="DF94" s="77">
        <f t="shared" si="119"/>
        <v>45</v>
      </c>
      <c r="DG94" s="77">
        <f t="shared" si="119"/>
        <v>46</v>
      </c>
      <c r="DH94" s="77">
        <f t="shared" si="119"/>
        <v>47</v>
      </c>
      <c r="DI94" s="77">
        <f t="shared" si="119"/>
        <v>48</v>
      </c>
      <c r="DJ94" s="77">
        <f t="shared" si="119"/>
        <v>49</v>
      </c>
      <c r="DK94" s="77">
        <f t="shared" si="119"/>
        <v>50</v>
      </c>
      <c r="DL94" s="77">
        <f t="shared" si="119"/>
        <v>51</v>
      </c>
      <c r="DM94" s="77">
        <f t="shared" si="119"/>
        <v>52</v>
      </c>
      <c r="DN94" s="77">
        <f t="shared" si="119"/>
        <v>53</v>
      </c>
      <c r="DO94" s="77">
        <f t="shared" si="119"/>
        <v>54</v>
      </c>
      <c r="DP94" s="77">
        <f t="shared" si="119"/>
        <v>55</v>
      </c>
      <c r="DQ94" s="77">
        <f t="shared" si="119"/>
        <v>56</v>
      </c>
      <c r="DR94" s="77">
        <f t="shared" si="119"/>
        <v>57</v>
      </c>
      <c r="DS94" s="77">
        <f t="shared" si="119"/>
        <v>58</v>
      </c>
      <c r="DT94" s="77">
        <f t="shared" si="119"/>
        <v>59</v>
      </c>
      <c r="DU94" s="77">
        <f t="shared" si="119"/>
        <v>60</v>
      </c>
      <c r="DV94" s="77">
        <f t="shared" si="119"/>
        <v>61</v>
      </c>
      <c r="DW94" s="77">
        <f t="shared" si="119"/>
        <v>62</v>
      </c>
      <c r="DX94" s="77">
        <f t="shared" si="119"/>
        <v>63</v>
      </c>
      <c r="DY94" s="77">
        <f t="shared" si="119"/>
        <v>64</v>
      </c>
      <c r="DZ94" s="77">
        <f t="shared" si="119"/>
        <v>65</v>
      </c>
      <c r="EA94" s="77">
        <f t="shared" si="119"/>
        <v>66</v>
      </c>
      <c r="EB94" s="77">
        <f t="shared" si="119"/>
        <v>67</v>
      </c>
      <c r="EC94" s="77">
        <f t="shared" si="119"/>
        <v>68</v>
      </c>
      <c r="ED94" s="77">
        <f t="shared" si="119"/>
        <v>69</v>
      </c>
      <c r="EE94" s="77">
        <f t="shared" si="119"/>
        <v>70</v>
      </c>
      <c r="EF94" s="77">
        <f t="shared" si="119"/>
        <v>71</v>
      </c>
      <c r="EG94" s="77">
        <f t="shared" si="119"/>
        <v>72</v>
      </c>
      <c r="EH94" s="77">
        <f t="shared" si="119"/>
        <v>73</v>
      </c>
      <c r="EI94" s="77">
        <f t="shared" si="119"/>
        <v>74</v>
      </c>
      <c r="EJ94" s="77">
        <f t="shared" si="119"/>
        <v>75</v>
      </c>
      <c r="EK94" s="77">
        <f t="shared" si="119"/>
        <v>76</v>
      </c>
      <c r="EL94" s="77">
        <f t="shared" si="119"/>
        <v>77</v>
      </c>
      <c r="EM94" s="77">
        <f t="shared" si="119"/>
        <v>78</v>
      </c>
      <c r="EN94" s="77">
        <f t="shared" si="119"/>
        <v>79</v>
      </c>
      <c r="EO94" s="77">
        <f t="shared" si="119"/>
        <v>80</v>
      </c>
      <c r="EP94" s="77">
        <f t="shared" si="119"/>
        <v>81</v>
      </c>
      <c r="EQ94" s="77">
        <f t="shared" si="119"/>
        <v>82</v>
      </c>
      <c r="ER94" s="77">
        <f t="shared" si="119"/>
        <v>83</v>
      </c>
      <c r="ES94" s="77">
        <f t="shared" si="119"/>
        <v>84</v>
      </c>
      <c r="ET94" s="77">
        <f t="shared" si="119"/>
        <v>85</v>
      </c>
      <c r="EU94" s="77">
        <f t="shared" si="119"/>
        <v>86</v>
      </c>
      <c r="EV94" s="77">
        <f t="shared" ref="EV94:GX98" si="122">IF(EU94="","",EU94+1)</f>
        <v>87</v>
      </c>
      <c r="EW94" s="77">
        <f t="shared" si="122"/>
        <v>88</v>
      </c>
      <c r="EX94" s="77">
        <f t="shared" si="122"/>
        <v>89</v>
      </c>
      <c r="EY94" s="77">
        <f t="shared" si="122"/>
        <v>90</v>
      </c>
      <c r="EZ94" s="77">
        <f t="shared" si="122"/>
        <v>91</v>
      </c>
      <c r="FA94" s="77">
        <f t="shared" si="122"/>
        <v>92</v>
      </c>
      <c r="FB94" s="77">
        <f t="shared" si="122"/>
        <v>93</v>
      </c>
      <c r="FC94" s="77">
        <f t="shared" si="122"/>
        <v>94</v>
      </c>
      <c r="FD94" s="77">
        <f t="shared" si="122"/>
        <v>95</v>
      </c>
      <c r="FE94" s="77">
        <f t="shared" si="122"/>
        <v>96</v>
      </c>
      <c r="FF94" s="77">
        <f t="shared" si="122"/>
        <v>97</v>
      </c>
      <c r="FG94" s="77">
        <f t="shared" si="122"/>
        <v>98</v>
      </c>
      <c r="FH94" s="77">
        <f t="shared" si="122"/>
        <v>99</v>
      </c>
      <c r="FI94" s="77">
        <f t="shared" si="122"/>
        <v>100</v>
      </c>
      <c r="FJ94" s="77">
        <f t="shared" si="122"/>
        <v>101</v>
      </c>
      <c r="FK94" s="77">
        <f t="shared" si="122"/>
        <v>102</v>
      </c>
      <c r="FL94" s="77">
        <f t="shared" si="122"/>
        <v>103</v>
      </c>
      <c r="FM94" s="77">
        <f t="shared" si="122"/>
        <v>104</v>
      </c>
      <c r="FN94" s="77">
        <f t="shared" si="122"/>
        <v>105</v>
      </c>
      <c r="FO94" s="77">
        <f t="shared" si="122"/>
        <v>106</v>
      </c>
      <c r="FP94" s="77">
        <f t="shared" si="122"/>
        <v>107</v>
      </c>
      <c r="FQ94" s="77">
        <f t="shared" si="122"/>
        <v>108</v>
      </c>
      <c r="FR94" s="77">
        <f t="shared" si="122"/>
        <v>109</v>
      </c>
      <c r="FS94" s="77">
        <f t="shared" si="122"/>
        <v>110</v>
      </c>
      <c r="FT94" s="77">
        <f t="shared" si="122"/>
        <v>111</v>
      </c>
      <c r="FU94" s="77">
        <f t="shared" si="122"/>
        <v>112</v>
      </c>
      <c r="FV94" s="77">
        <f t="shared" si="122"/>
        <v>113</v>
      </c>
      <c r="FW94" s="77">
        <f t="shared" si="122"/>
        <v>114</v>
      </c>
      <c r="FX94" s="77">
        <f t="shared" si="122"/>
        <v>115</v>
      </c>
      <c r="FY94" s="77">
        <f t="shared" si="122"/>
        <v>116</v>
      </c>
      <c r="FZ94" s="77">
        <f t="shared" si="122"/>
        <v>117</v>
      </c>
      <c r="GA94" s="77">
        <f t="shared" si="122"/>
        <v>118</v>
      </c>
      <c r="GB94" s="77">
        <f t="shared" si="122"/>
        <v>119</v>
      </c>
      <c r="GC94" s="77">
        <f t="shared" si="122"/>
        <v>120</v>
      </c>
      <c r="GD94" s="77">
        <f t="shared" si="122"/>
        <v>121</v>
      </c>
      <c r="GE94" s="77">
        <f t="shared" si="122"/>
        <v>122</v>
      </c>
      <c r="GF94" s="77">
        <f t="shared" si="122"/>
        <v>123</v>
      </c>
      <c r="GG94" s="77">
        <f t="shared" si="122"/>
        <v>124</v>
      </c>
      <c r="GH94" s="77">
        <f t="shared" si="122"/>
        <v>125</v>
      </c>
      <c r="GI94" s="77">
        <f t="shared" si="122"/>
        <v>126</v>
      </c>
      <c r="GJ94" s="77">
        <f t="shared" si="122"/>
        <v>127</v>
      </c>
      <c r="GK94" s="77">
        <f t="shared" si="122"/>
        <v>128</v>
      </c>
      <c r="GL94" s="77">
        <f t="shared" si="122"/>
        <v>129</v>
      </c>
      <c r="GM94" s="77">
        <f t="shared" si="122"/>
        <v>130</v>
      </c>
      <c r="GN94" s="77">
        <f t="shared" si="122"/>
        <v>131</v>
      </c>
      <c r="GO94" s="77">
        <f t="shared" si="122"/>
        <v>132</v>
      </c>
      <c r="GP94" s="77">
        <f t="shared" si="122"/>
        <v>133</v>
      </c>
      <c r="GQ94" s="77">
        <f t="shared" si="122"/>
        <v>134</v>
      </c>
      <c r="GR94" s="77">
        <f t="shared" si="122"/>
        <v>135</v>
      </c>
      <c r="GS94" s="77">
        <f t="shared" si="122"/>
        <v>136</v>
      </c>
      <c r="GT94" s="77">
        <f t="shared" si="122"/>
        <v>137</v>
      </c>
      <c r="GU94" s="77">
        <f t="shared" si="122"/>
        <v>138</v>
      </c>
      <c r="GV94" s="77">
        <f t="shared" si="122"/>
        <v>139</v>
      </c>
      <c r="GW94" s="77">
        <f t="shared" si="122"/>
        <v>140</v>
      </c>
      <c r="GX94" s="77">
        <f t="shared" si="122"/>
        <v>141</v>
      </c>
    </row>
    <row r="95" spans="1:206" ht="15" customHeight="1" x14ac:dyDescent="0.2">
      <c r="A95" s="22" t="s">
        <v>194</v>
      </c>
      <c r="B95" s="22">
        <v>5</v>
      </c>
      <c r="C95" s="22" t="s">
        <v>194</v>
      </c>
      <c r="D95" s="22">
        <v>6</v>
      </c>
      <c r="E95" s="22" t="s">
        <v>215</v>
      </c>
      <c r="F95" s="22" t="s">
        <v>71</v>
      </c>
      <c r="G95" s="22" t="s">
        <v>72</v>
      </c>
      <c r="H95" s="22">
        <v>2023</v>
      </c>
      <c r="I95" s="22">
        <v>3</v>
      </c>
      <c r="J95" s="22">
        <v>6</v>
      </c>
      <c r="K95" s="22">
        <v>0</v>
      </c>
      <c r="L95" s="22">
        <v>799</v>
      </c>
      <c r="M95" s="22">
        <v>799</v>
      </c>
      <c r="N95" s="22" t="s">
        <v>196</v>
      </c>
      <c r="O95" s="22" t="s">
        <v>74</v>
      </c>
      <c r="P95" s="22" t="s">
        <v>216</v>
      </c>
      <c r="Q95" s="21">
        <f t="shared" ref="Q95" ca="1" si="123">+TODAY()-R95</f>
        <v>46245</v>
      </c>
      <c r="R95" s="22">
        <f>IF($E95="","",IFERROR(INDEX($W95:$GX95,MATCH('Dashboard Ciclos'!$B$2,$W$1:$GX$1,0)),""))</f>
        <v>4</v>
      </c>
      <c r="S95" s="22" t="str">
        <f ca="1">IF($Q95="","Sin dato",IF($R95&lt;=CicloObjetivo,"En ciclo",IF($R95-CicloObjetivo&lt;=5,"Vencido 1-5 d",IF($R95-CicloObjetivo&lt;=10,"Vencido 6-10 d",IF($R95-CicloObjetivo&lt;=15,"Vencido 11-15 d","Vencido +15 d")))))</f>
        <v>En ciclo</v>
      </c>
      <c r="T95" s="22" t="str">
        <f ca="1">IF($Q95="","Sin dato",IF($R95&lt;VentanaCosecha,"Recién cortado",IF($R95&lt;=CicloObjetivo,"En ciclo","Fuera de ciclo")))</f>
        <v>Recién cortado</v>
      </c>
      <c r="U95" s="22">
        <f ca="1">IF($Q95="","",CicloObjetivo-$R95)</f>
        <v>8</v>
      </c>
      <c r="V95" s="23">
        <f ca="1">IF($Q95="","",$Q95+CicloObjetivo)</f>
        <v>46257</v>
      </c>
      <c r="W95" s="77">
        <f t="shared" si="108"/>
        <v>31</v>
      </c>
      <c r="X95" s="77">
        <f t="shared" si="108"/>
        <v>32</v>
      </c>
      <c r="Y95" s="77">
        <f t="shared" si="108"/>
        <v>33</v>
      </c>
      <c r="Z95" s="77">
        <f t="shared" si="108"/>
        <v>34</v>
      </c>
      <c r="AA95" s="77">
        <v>35</v>
      </c>
      <c r="AB95" s="77">
        <f t="shared" si="115"/>
        <v>36</v>
      </c>
      <c r="AC95" s="77">
        <f t="shared" si="115"/>
        <v>37</v>
      </c>
      <c r="AD95" s="77">
        <f t="shared" si="115"/>
        <v>38</v>
      </c>
      <c r="AE95" s="77">
        <f t="shared" si="115"/>
        <v>39</v>
      </c>
      <c r="AF95" s="77">
        <f t="shared" si="115"/>
        <v>40</v>
      </c>
      <c r="AG95" s="77">
        <f t="shared" si="115"/>
        <v>41</v>
      </c>
      <c r="AH95" s="77">
        <f t="shared" si="115"/>
        <v>42</v>
      </c>
      <c r="AI95" s="77">
        <f t="shared" si="115"/>
        <v>43</v>
      </c>
      <c r="AJ95" s="77">
        <f t="shared" si="115"/>
        <v>44</v>
      </c>
      <c r="AK95" s="77">
        <f t="shared" si="90"/>
        <v>45</v>
      </c>
      <c r="AL95" s="77">
        <f t="shared" si="90"/>
        <v>46</v>
      </c>
      <c r="AM95" s="77">
        <f t="shared" si="90"/>
        <v>47</v>
      </c>
      <c r="AN95" s="77">
        <f t="shared" si="91"/>
        <v>48</v>
      </c>
      <c r="AO95" s="77">
        <f t="shared" si="90"/>
        <v>49</v>
      </c>
      <c r="AP95" s="77">
        <f t="shared" si="90"/>
        <v>50</v>
      </c>
      <c r="AQ95" s="77">
        <f t="shared" si="90"/>
        <v>51</v>
      </c>
      <c r="AR95" s="77">
        <f t="shared" si="105"/>
        <v>52</v>
      </c>
      <c r="AS95" s="77">
        <f t="shared" si="120"/>
        <v>53</v>
      </c>
      <c r="AT95" s="77">
        <f t="shared" si="120"/>
        <v>54</v>
      </c>
      <c r="AU95" s="77">
        <f t="shared" si="120"/>
        <v>55</v>
      </c>
      <c r="AV95" s="77">
        <f t="shared" si="120"/>
        <v>56</v>
      </c>
      <c r="AW95" s="77">
        <v>0</v>
      </c>
      <c r="AX95" s="77">
        <f t="shared" si="120"/>
        <v>1</v>
      </c>
      <c r="AY95" s="77">
        <f t="shared" si="120"/>
        <v>2</v>
      </c>
      <c r="AZ95" s="77">
        <f t="shared" si="120"/>
        <v>3</v>
      </c>
      <c r="BA95" s="77">
        <f t="shared" si="120"/>
        <v>4</v>
      </c>
      <c r="BB95" s="77">
        <f t="shared" si="120"/>
        <v>5</v>
      </c>
      <c r="BC95" s="77">
        <f t="shared" si="120"/>
        <v>6</v>
      </c>
      <c r="BD95" s="77">
        <f t="shared" si="120"/>
        <v>7</v>
      </c>
      <c r="BE95" s="77">
        <f t="shared" si="120"/>
        <v>8</v>
      </c>
      <c r="BF95" s="77">
        <f t="shared" si="120"/>
        <v>9</v>
      </c>
      <c r="BG95" s="77">
        <f t="shared" si="120"/>
        <v>10</v>
      </c>
      <c r="BH95" s="77">
        <f t="shared" si="120"/>
        <v>11</v>
      </c>
      <c r="BI95" s="77">
        <f t="shared" si="120"/>
        <v>12</v>
      </c>
      <c r="BJ95" s="77">
        <f t="shared" si="120"/>
        <v>13</v>
      </c>
      <c r="BK95" s="77">
        <f t="shared" si="120"/>
        <v>14</v>
      </c>
      <c r="BL95" s="77">
        <v>0</v>
      </c>
      <c r="BM95" s="77">
        <f t="shared" si="120"/>
        <v>1</v>
      </c>
      <c r="BN95" s="77">
        <f t="shared" si="120"/>
        <v>2</v>
      </c>
      <c r="BO95" s="77">
        <f t="shared" si="120"/>
        <v>3</v>
      </c>
      <c r="BP95" s="77">
        <f t="shared" si="120"/>
        <v>4</v>
      </c>
      <c r="BQ95" s="77">
        <f t="shared" si="120"/>
        <v>5</v>
      </c>
      <c r="BR95" s="77">
        <f t="shared" si="120"/>
        <v>6</v>
      </c>
      <c r="BS95" s="77">
        <f t="shared" si="120"/>
        <v>7</v>
      </c>
      <c r="BT95" s="77">
        <f t="shared" si="120"/>
        <v>8</v>
      </c>
      <c r="BU95" s="77">
        <f t="shared" si="120"/>
        <v>9</v>
      </c>
      <c r="BV95" s="77">
        <f t="shared" si="120"/>
        <v>10</v>
      </c>
      <c r="BW95" s="77">
        <f t="shared" si="120"/>
        <v>11</v>
      </c>
      <c r="BX95" s="77">
        <f t="shared" si="120"/>
        <v>12</v>
      </c>
      <c r="BY95" s="77">
        <f t="shared" si="120"/>
        <v>13</v>
      </c>
      <c r="BZ95" s="77">
        <f t="shared" si="120"/>
        <v>14</v>
      </c>
      <c r="CA95" s="77">
        <f t="shared" si="120"/>
        <v>15</v>
      </c>
      <c r="CB95" s="77">
        <f t="shared" si="120"/>
        <v>16</v>
      </c>
      <c r="CC95" s="77">
        <f t="shared" si="120"/>
        <v>17</v>
      </c>
      <c r="CD95" s="77">
        <f t="shared" si="120"/>
        <v>18</v>
      </c>
      <c r="CE95" s="77">
        <f t="shared" si="120"/>
        <v>19</v>
      </c>
      <c r="CF95" s="77">
        <f t="shared" si="120"/>
        <v>20</v>
      </c>
      <c r="CG95" s="77">
        <f t="shared" si="120"/>
        <v>21</v>
      </c>
      <c r="CH95" s="77">
        <f t="shared" si="120"/>
        <v>22</v>
      </c>
      <c r="CI95" s="77">
        <f t="shared" si="120"/>
        <v>23</v>
      </c>
      <c r="CJ95" s="77">
        <f t="shared" ref="CJ95:EU98" si="124">IF(CI95="","",CI95+1)</f>
        <v>24</v>
      </c>
      <c r="CK95" s="77">
        <f t="shared" si="124"/>
        <v>25</v>
      </c>
      <c r="CL95" s="77">
        <f t="shared" si="124"/>
        <v>26</v>
      </c>
      <c r="CM95" s="77">
        <f t="shared" si="124"/>
        <v>27</v>
      </c>
      <c r="CN95" s="77">
        <f t="shared" si="124"/>
        <v>28</v>
      </c>
      <c r="CO95" s="77">
        <f t="shared" si="124"/>
        <v>29</v>
      </c>
      <c r="CP95" s="77">
        <f t="shared" si="124"/>
        <v>30</v>
      </c>
      <c r="CQ95" s="77">
        <f t="shared" si="124"/>
        <v>31</v>
      </c>
      <c r="CR95" s="77">
        <f t="shared" si="124"/>
        <v>32</v>
      </c>
      <c r="CS95" s="77">
        <f t="shared" si="124"/>
        <v>33</v>
      </c>
      <c r="CT95" s="77">
        <f t="shared" si="124"/>
        <v>34</v>
      </c>
      <c r="CU95" s="77">
        <f t="shared" si="124"/>
        <v>35</v>
      </c>
      <c r="CV95" s="77">
        <f t="shared" si="124"/>
        <v>36</v>
      </c>
      <c r="CW95" s="77">
        <f t="shared" si="124"/>
        <v>37</v>
      </c>
      <c r="CX95" s="77">
        <f t="shared" si="124"/>
        <v>38</v>
      </c>
      <c r="CY95" s="77">
        <f t="shared" si="124"/>
        <v>39</v>
      </c>
      <c r="CZ95" s="77">
        <f t="shared" si="124"/>
        <v>40</v>
      </c>
      <c r="DA95" s="77">
        <f t="shared" si="124"/>
        <v>41</v>
      </c>
      <c r="DB95" s="77">
        <f t="shared" si="124"/>
        <v>42</v>
      </c>
      <c r="DC95" s="77">
        <f t="shared" si="124"/>
        <v>43</v>
      </c>
      <c r="DD95" s="77">
        <f t="shared" si="124"/>
        <v>44</v>
      </c>
      <c r="DE95" s="77">
        <f t="shared" si="124"/>
        <v>45</v>
      </c>
      <c r="DF95" s="77">
        <f t="shared" si="124"/>
        <v>46</v>
      </c>
      <c r="DG95" s="77">
        <f t="shared" si="124"/>
        <v>47</v>
      </c>
      <c r="DH95" s="77">
        <f t="shared" si="124"/>
        <v>48</v>
      </c>
      <c r="DI95" s="77">
        <f t="shared" si="124"/>
        <v>49</v>
      </c>
      <c r="DJ95" s="77">
        <f t="shared" si="124"/>
        <v>50</v>
      </c>
      <c r="DK95" s="77">
        <f t="shared" si="124"/>
        <v>51</v>
      </c>
      <c r="DL95" s="77">
        <f t="shared" si="124"/>
        <v>52</v>
      </c>
      <c r="DM95" s="77">
        <f t="shared" si="124"/>
        <v>53</v>
      </c>
      <c r="DN95" s="77">
        <f t="shared" si="124"/>
        <v>54</v>
      </c>
      <c r="DO95" s="77">
        <f t="shared" si="124"/>
        <v>55</v>
      </c>
      <c r="DP95" s="77">
        <f t="shared" si="124"/>
        <v>56</v>
      </c>
      <c r="DQ95" s="77">
        <f t="shared" si="124"/>
        <v>57</v>
      </c>
      <c r="DR95" s="77">
        <f t="shared" si="124"/>
        <v>58</v>
      </c>
      <c r="DS95" s="77">
        <f t="shared" si="124"/>
        <v>59</v>
      </c>
      <c r="DT95" s="77">
        <f t="shared" si="124"/>
        <v>60</v>
      </c>
      <c r="DU95" s="77">
        <f t="shared" si="124"/>
        <v>61</v>
      </c>
      <c r="DV95" s="77">
        <f t="shared" si="124"/>
        <v>62</v>
      </c>
      <c r="DW95" s="77">
        <f t="shared" si="124"/>
        <v>63</v>
      </c>
      <c r="DX95" s="77">
        <f t="shared" si="124"/>
        <v>64</v>
      </c>
      <c r="DY95" s="77">
        <f t="shared" si="124"/>
        <v>65</v>
      </c>
      <c r="DZ95" s="77">
        <f t="shared" si="124"/>
        <v>66</v>
      </c>
      <c r="EA95" s="77">
        <f t="shared" si="124"/>
        <v>67</v>
      </c>
      <c r="EB95" s="77">
        <f t="shared" si="124"/>
        <v>68</v>
      </c>
      <c r="EC95" s="77">
        <f t="shared" si="124"/>
        <v>69</v>
      </c>
      <c r="ED95" s="77">
        <f t="shared" si="124"/>
        <v>70</v>
      </c>
      <c r="EE95" s="77">
        <f t="shared" si="124"/>
        <v>71</v>
      </c>
      <c r="EF95" s="77">
        <f t="shared" si="124"/>
        <v>72</v>
      </c>
      <c r="EG95" s="77">
        <f t="shared" si="124"/>
        <v>73</v>
      </c>
      <c r="EH95" s="77">
        <f t="shared" si="124"/>
        <v>74</v>
      </c>
      <c r="EI95" s="77">
        <f t="shared" si="124"/>
        <v>75</v>
      </c>
      <c r="EJ95" s="77">
        <f t="shared" si="124"/>
        <v>76</v>
      </c>
      <c r="EK95" s="77">
        <f t="shared" si="124"/>
        <v>77</v>
      </c>
      <c r="EL95" s="77">
        <f t="shared" si="124"/>
        <v>78</v>
      </c>
      <c r="EM95" s="77">
        <f t="shared" si="124"/>
        <v>79</v>
      </c>
      <c r="EN95" s="77">
        <f t="shared" si="124"/>
        <v>80</v>
      </c>
      <c r="EO95" s="77">
        <f t="shared" si="124"/>
        <v>81</v>
      </c>
      <c r="EP95" s="77">
        <f t="shared" si="124"/>
        <v>82</v>
      </c>
      <c r="EQ95" s="77">
        <f t="shared" si="124"/>
        <v>83</v>
      </c>
      <c r="ER95" s="77">
        <f t="shared" si="124"/>
        <v>84</v>
      </c>
      <c r="ES95" s="77">
        <f t="shared" si="124"/>
        <v>85</v>
      </c>
      <c r="ET95" s="77">
        <f t="shared" si="124"/>
        <v>86</v>
      </c>
      <c r="EU95" s="77">
        <f t="shared" si="124"/>
        <v>87</v>
      </c>
      <c r="EV95" s="77">
        <f t="shared" si="122"/>
        <v>88</v>
      </c>
      <c r="EW95" s="77">
        <f t="shared" si="122"/>
        <v>89</v>
      </c>
      <c r="EX95" s="77">
        <f t="shared" si="122"/>
        <v>90</v>
      </c>
      <c r="EY95" s="77">
        <f t="shared" si="122"/>
        <v>91</v>
      </c>
      <c r="EZ95" s="77">
        <f t="shared" si="122"/>
        <v>92</v>
      </c>
      <c r="FA95" s="77">
        <f t="shared" si="122"/>
        <v>93</v>
      </c>
      <c r="FB95" s="77">
        <f t="shared" si="122"/>
        <v>94</v>
      </c>
      <c r="FC95" s="77">
        <f t="shared" si="122"/>
        <v>95</v>
      </c>
      <c r="FD95" s="77">
        <f t="shared" si="122"/>
        <v>96</v>
      </c>
      <c r="FE95" s="77">
        <f t="shared" si="122"/>
        <v>97</v>
      </c>
      <c r="FF95" s="77">
        <f t="shared" si="122"/>
        <v>98</v>
      </c>
      <c r="FG95" s="77">
        <f t="shared" si="122"/>
        <v>99</v>
      </c>
      <c r="FH95" s="77">
        <f t="shared" si="122"/>
        <v>100</v>
      </c>
      <c r="FI95" s="77">
        <f t="shared" si="122"/>
        <v>101</v>
      </c>
      <c r="FJ95" s="77">
        <f t="shared" si="122"/>
        <v>102</v>
      </c>
      <c r="FK95" s="77">
        <f t="shared" si="122"/>
        <v>103</v>
      </c>
      <c r="FL95" s="77">
        <f t="shared" si="122"/>
        <v>104</v>
      </c>
      <c r="FM95" s="77">
        <f t="shared" si="122"/>
        <v>105</v>
      </c>
      <c r="FN95" s="77">
        <f t="shared" si="122"/>
        <v>106</v>
      </c>
      <c r="FO95" s="77">
        <f t="shared" si="122"/>
        <v>107</v>
      </c>
      <c r="FP95" s="77">
        <f t="shared" si="122"/>
        <v>108</v>
      </c>
      <c r="FQ95" s="77">
        <f t="shared" si="122"/>
        <v>109</v>
      </c>
      <c r="FR95" s="77">
        <f t="shared" si="122"/>
        <v>110</v>
      </c>
      <c r="FS95" s="77">
        <f t="shared" si="122"/>
        <v>111</v>
      </c>
      <c r="FT95" s="77">
        <f t="shared" si="122"/>
        <v>112</v>
      </c>
      <c r="FU95" s="77">
        <f t="shared" si="122"/>
        <v>113</v>
      </c>
      <c r="FV95" s="77">
        <f t="shared" si="122"/>
        <v>114</v>
      </c>
      <c r="FW95" s="77">
        <f t="shared" si="122"/>
        <v>115</v>
      </c>
      <c r="FX95" s="77">
        <f t="shared" si="122"/>
        <v>116</v>
      </c>
      <c r="FY95" s="77">
        <f t="shared" si="122"/>
        <v>117</v>
      </c>
      <c r="FZ95" s="77">
        <f t="shared" si="122"/>
        <v>118</v>
      </c>
      <c r="GA95" s="77">
        <f t="shared" si="122"/>
        <v>119</v>
      </c>
      <c r="GB95" s="77">
        <f t="shared" si="122"/>
        <v>120</v>
      </c>
      <c r="GC95" s="77">
        <f t="shared" si="122"/>
        <v>121</v>
      </c>
      <c r="GD95" s="77">
        <f t="shared" si="122"/>
        <v>122</v>
      </c>
      <c r="GE95" s="77">
        <f t="shared" si="122"/>
        <v>123</v>
      </c>
      <c r="GF95" s="77">
        <f t="shared" si="122"/>
        <v>124</v>
      </c>
      <c r="GG95" s="77">
        <f t="shared" si="122"/>
        <v>125</v>
      </c>
      <c r="GH95" s="77">
        <f t="shared" si="122"/>
        <v>126</v>
      </c>
      <c r="GI95" s="77">
        <f t="shared" si="122"/>
        <v>127</v>
      </c>
      <c r="GJ95" s="77">
        <f t="shared" si="122"/>
        <v>128</v>
      </c>
      <c r="GK95" s="77">
        <f t="shared" si="122"/>
        <v>129</v>
      </c>
      <c r="GL95" s="77">
        <f t="shared" si="122"/>
        <v>130</v>
      </c>
      <c r="GM95" s="77">
        <f t="shared" si="122"/>
        <v>131</v>
      </c>
      <c r="GN95" s="77">
        <f t="shared" si="122"/>
        <v>132</v>
      </c>
      <c r="GO95" s="77">
        <f t="shared" si="122"/>
        <v>133</v>
      </c>
      <c r="GP95" s="77">
        <f t="shared" si="122"/>
        <v>134</v>
      </c>
      <c r="GQ95" s="77">
        <f t="shared" si="122"/>
        <v>135</v>
      </c>
      <c r="GR95" s="77">
        <f t="shared" si="122"/>
        <v>136</v>
      </c>
      <c r="GS95" s="77">
        <f t="shared" si="122"/>
        <v>137</v>
      </c>
      <c r="GT95" s="77">
        <f t="shared" si="122"/>
        <v>138</v>
      </c>
      <c r="GU95" s="77">
        <f t="shared" si="122"/>
        <v>139</v>
      </c>
      <c r="GV95" s="77">
        <f t="shared" si="122"/>
        <v>140</v>
      </c>
      <c r="GW95" s="77">
        <f t="shared" si="122"/>
        <v>141</v>
      </c>
      <c r="GX95" s="77">
        <f t="shared" si="122"/>
        <v>142</v>
      </c>
    </row>
    <row r="96" spans="1:206" ht="15" customHeight="1" x14ac:dyDescent="0.2">
      <c r="A96" s="22" t="s">
        <v>162</v>
      </c>
      <c r="B96" s="22">
        <v>5</v>
      </c>
      <c r="C96" s="22" t="s">
        <v>162</v>
      </c>
      <c r="D96" s="22">
        <v>1</v>
      </c>
      <c r="E96" s="22" t="s">
        <v>217</v>
      </c>
      <c r="F96" s="22" t="s">
        <v>71</v>
      </c>
      <c r="G96" s="22" t="s">
        <v>72</v>
      </c>
      <c r="H96" s="22">
        <v>2024</v>
      </c>
      <c r="I96" s="22">
        <v>2</v>
      </c>
      <c r="J96" s="22">
        <v>25.03</v>
      </c>
      <c r="K96" s="22">
        <v>0</v>
      </c>
      <c r="L96" s="22">
        <v>3598</v>
      </c>
      <c r="M96" s="22">
        <v>3598</v>
      </c>
      <c r="N96" s="22" t="s">
        <v>196</v>
      </c>
      <c r="O96" s="22" t="s">
        <v>74</v>
      </c>
      <c r="P96" s="22" t="s">
        <v>216</v>
      </c>
      <c r="Q96" s="24"/>
      <c r="R96" s="22" t="str">
        <f>IF($E96="","",IFERROR(INDEX($W96:$GX96,MATCH('Dashboard Ciclos'!$B$2,$W$1:$GX$1,0)),""))</f>
        <v/>
      </c>
      <c r="S96" s="22" t="str">
        <f t="shared" si="83"/>
        <v>Sin dato</v>
      </c>
      <c r="T96" s="22" t="str">
        <f t="shared" si="84"/>
        <v>Sin dato</v>
      </c>
      <c r="U96" s="22" t="str">
        <f t="shared" si="85"/>
        <v/>
      </c>
      <c r="V96" s="23" t="str">
        <f t="shared" si="86"/>
        <v/>
      </c>
      <c r="W96" s="77" t="str">
        <f t="shared" ref="W96:W126" si="125">IF(OR($P96&lt;&gt;"Productivo",$Q96="",$Q96&gt;W$1),"",W$1-$Q96)</f>
        <v/>
      </c>
      <c r="X96" s="77" t="str">
        <f t="shared" si="89"/>
        <v/>
      </c>
      <c r="Y96" s="77" t="str">
        <f t="shared" si="89"/>
        <v/>
      </c>
      <c r="Z96" s="77" t="str">
        <f t="shared" si="89"/>
        <v/>
      </c>
      <c r="AA96" s="77" t="s">
        <v>218</v>
      </c>
      <c r="AB96" s="77" t="str">
        <f t="shared" si="89"/>
        <v/>
      </c>
      <c r="AC96" s="77" t="str">
        <f t="shared" si="89"/>
        <v/>
      </c>
      <c r="AD96" s="77" t="str">
        <f t="shared" si="89"/>
        <v/>
      </c>
      <c r="AE96" s="77" t="str">
        <f t="shared" si="89"/>
        <v/>
      </c>
      <c r="AF96" s="77" t="str">
        <f t="shared" si="89"/>
        <v/>
      </c>
      <c r="AG96" s="77" t="str">
        <f t="shared" si="89"/>
        <v/>
      </c>
      <c r="AH96" s="77" t="str">
        <f t="shared" si="89"/>
        <v/>
      </c>
      <c r="AI96" s="77" t="str">
        <f t="shared" si="89"/>
        <v/>
      </c>
      <c r="AJ96" s="77" t="str">
        <f t="shared" si="89"/>
        <v/>
      </c>
      <c r="AK96" s="77" t="str">
        <f t="shared" si="90"/>
        <v/>
      </c>
      <c r="AL96" s="77" t="str">
        <f t="shared" si="90"/>
        <v/>
      </c>
      <c r="AM96" s="77" t="str">
        <f t="shared" si="90"/>
        <v/>
      </c>
      <c r="AN96" s="77" t="str">
        <f t="shared" si="91"/>
        <v/>
      </c>
      <c r="AO96" s="77" t="str">
        <f t="shared" si="90"/>
        <v/>
      </c>
      <c r="AP96" s="77" t="str">
        <f t="shared" si="90"/>
        <v/>
      </c>
      <c r="AQ96" s="77" t="str">
        <f t="shared" si="90"/>
        <v/>
      </c>
      <c r="AR96" s="77" t="str">
        <f t="shared" si="105"/>
        <v/>
      </c>
      <c r="AS96" s="77" t="str">
        <f t="shared" ref="AS96:CJ99" si="126">IF(AR96="","",AR96+1)</f>
        <v/>
      </c>
      <c r="AT96" s="77" t="str">
        <f t="shared" si="126"/>
        <v/>
      </c>
      <c r="AU96" s="77" t="str">
        <f t="shared" si="126"/>
        <v/>
      </c>
      <c r="AV96" s="77" t="str">
        <f t="shared" si="126"/>
        <v/>
      </c>
      <c r="AW96" s="77" t="str">
        <f t="shared" si="126"/>
        <v/>
      </c>
      <c r="AX96" s="77" t="str">
        <f t="shared" si="126"/>
        <v/>
      </c>
      <c r="AY96" s="77" t="str">
        <f t="shared" si="126"/>
        <v/>
      </c>
      <c r="AZ96" s="77" t="str">
        <f t="shared" si="126"/>
        <v/>
      </c>
      <c r="BA96" s="77" t="str">
        <f t="shared" si="126"/>
        <v/>
      </c>
      <c r="BB96" s="77" t="str">
        <f t="shared" si="126"/>
        <v/>
      </c>
      <c r="BC96" s="77" t="str">
        <f t="shared" si="126"/>
        <v/>
      </c>
      <c r="BD96" s="77" t="str">
        <f t="shared" si="126"/>
        <v/>
      </c>
      <c r="BE96" s="77" t="str">
        <f t="shared" si="126"/>
        <v/>
      </c>
      <c r="BF96" s="77" t="str">
        <f t="shared" si="126"/>
        <v/>
      </c>
      <c r="BG96" s="77" t="str">
        <f t="shared" si="126"/>
        <v/>
      </c>
      <c r="BH96" s="77" t="str">
        <f t="shared" si="126"/>
        <v/>
      </c>
      <c r="BI96" s="77" t="str">
        <f t="shared" si="126"/>
        <v/>
      </c>
      <c r="BJ96" s="77" t="str">
        <f t="shared" si="126"/>
        <v/>
      </c>
      <c r="BK96" s="77" t="str">
        <f t="shared" si="126"/>
        <v/>
      </c>
      <c r="BL96" s="77" t="str">
        <f t="shared" si="126"/>
        <v/>
      </c>
      <c r="BM96" s="77" t="str">
        <f t="shared" si="126"/>
        <v/>
      </c>
      <c r="BN96" s="77" t="str">
        <f t="shared" si="126"/>
        <v/>
      </c>
      <c r="BO96" s="77" t="str">
        <f t="shared" si="126"/>
        <v/>
      </c>
      <c r="BP96" s="77" t="str">
        <f t="shared" si="126"/>
        <v/>
      </c>
      <c r="BQ96" s="77" t="str">
        <f t="shared" si="126"/>
        <v/>
      </c>
      <c r="BR96" s="77" t="str">
        <f t="shared" si="126"/>
        <v/>
      </c>
      <c r="BS96" s="77" t="str">
        <f t="shared" si="126"/>
        <v/>
      </c>
      <c r="BT96" s="77" t="str">
        <f t="shared" si="126"/>
        <v/>
      </c>
      <c r="BU96" s="77" t="str">
        <f t="shared" si="126"/>
        <v/>
      </c>
      <c r="BV96" s="77" t="str">
        <f t="shared" si="126"/>
        <v/>
      </c>
      <c r="BW96" s="77" t="str">
        <f t="shared" si="126"/>
        <v/>
      </c>
      <c r="BX96" s="77" t="str">
        <f t="shared" si="126"/>
        <v/>
      </c>
      <c r="BY96" s="77" t="str">
        <f t="shared" si="126"/>
        <v/>
      </c>
      <c r="BZ96" s="77" t="str">
        <f t="shared" si="126"/>
        <v/>
      </c>
      <c r="CA96" s="77" t="str">
        <f t="shared" si="126"/>
        <v/>
      </c>
      <c r="CB96" s="77" t="str">
        <f t="shared" si="126"/>
        <v/>
      </c>
      <c r="CC96" s="77" t="str">
        <f t="shared" si="126"/>
        <v/>
      </c>
      <c r="CD96" s="77" t="str">
        <f t="shared" si="126"/>
        <v/>
      </c>
      <c r="CE96" s="77" t="str">
        <f t="shared" si="126"/>
        <v/>
      </c>
      <c r="CF96" s="77" t="str">
        <f t="shared" si="126"/>
        <v/>
      </c>
      <c r="CG96" s="77" t="str">
        <f t="shared" si="126"/>
        <v/>
      </c>
      <c r="CH96" s="77" t="str">
        <f t="shared" si="126"/>
        <v/>
      </c>
      <c r="CI96" s="77" t="str">
        <f t="shared" si="126"/>
        <v/>
      </c>
      <c r="CJ96" s="77" t="str">
        <f t="shared" si="126"/>
        <v/>
      </c>
      <c r="CK96" s="77" t="str">
        <f t="shared" si="124"/>
        <v/>
      </c>
      <c r="CL96" s="77" t="str">
        <f t="shared" si="124"/>
        <v/>
      </c>
      <c r="CM96" s="77" t="str">
        <f t="shared" si="124"/>
        <v/>
      </c>
      <c r="CN96" s="77" t="str">
        <f t="shared" si="124"/>
        <v/>
      </c>
      <c r="CO96" s="77" t="str">
        <f t="shared" si="124"/>
        <v/>
      </c>
      <c r="CP96" s="77" t="str">
        <f t="shared" si="124"/>
        <v/>
      </c>
      <c r="CQ96" s="77" t="str">
        <f t="shared" si="124"/>
        <v/>
      </c>
      <c r="CR96" s="77" t="str">
        <f t="shared" si="124"/>
        <v/>
      </c>
      <c r="CS96" s="77" t="str">
        <f t="shared" si="124"/>
        <v/>
      </c>
      <c r="CT96" s="77" t="str">
        <f t="shared" si="124"/>
        <v/>
      </c>
      <c r="CU96" s="77" t="str">
        <f t="shared" si="124"/>
        <v/>
      </c>
      <c r="CV96" s="77" t="str">
        <f t="shared" si="124"/>
        <v/>
      </c>
      <c r="CW96" s="77" t="str">
        <f t="shared" si="124"/>
        <v/>
      </c>
      <c r="CX96" s="77" t="str">
        <f t="shared" si="124"/>
        <v/>
      </c>
      <c r="CY96" s="77" t="str">
        <f t="shared" si="124"/>
        <v/>
      </c>
      <c r="CZ96" s="77" t="str">
        <f t="shared" si="124"/>
        <v/>
      </c>
      <c r="DA96" s="77" t="str">
        <f t="shared" si="124"/>
        <v/>
      </c>
      <c r="DB96" s="77" t="str">
        <f t="shared" si="124"/>
        <v/>
      </c>
      <c r="DC96" s="77" t="str">
        <f t="shared" si="124"/>
        <v/>
      </c>
      <c r="DD96" s="77" t="str">
        <f t="shared" si="124"/>
        <v/>
      </c>
      <c r="DE96" s="77" t="str">
        <f t="shared" si="124"/>
        <v/>
      </c>
      <c r="DF96" s="77" t="str">
        <f t="shared" si="124"/>
        <v/>
      </c>
      <c r="DG96" s="77" t="str">
        <f t="shared" si="124"/>
        <v/>
      </c>
      <c r="DH96" s="77" t="str">
        <f t="shared" si="124"/>
        <v/>
      </c>
      <c r="DI96" s="77" t="str">
        <f t="shared" si="124"/>
        <v/>
      </c>
      <c r="DJ96" s="77" t="str">
        <f t="shared" si="124"/>
        <v/>
      </c>
      <c r="DK96" s="77" t="str">
        <f t="shared" si="124"/>
        <v/>
      </c>
      <c r="DL96" s="77" t="str">
        <f t="shared" si="124"/>
        <v/>
      </c>
      <c r="DM96" s="77" t="str">
        <f t="shared" si="124"/>
        <v/>
      </c>
      <c r="DN96" s="77" t="str">
        <f t="shared" si="124"/>
        <v/>
      </c>
      <c r="DO96" s="77" t="str">
        <f t="shared" si="124"/>
        <v/>
      </c>
      <c r="DP96" s="77" t="str">
        <f t="shared" si="124"/>
        <v/>
      </c>
      <c r="DQ96" s="77" t="str">
        <f t="shared" si="124"/>
        <v/>
      </c>
      <c r="DR96" s="77" t="str">
        <f t="shared" si="124"/>
        <v/>
      </c>
      <c r="DS96" s="77" t="str">
        <f t="shared" si="124"/>
        <v/>
      </c>
      <c r="DT96" s="77" t="str">
        <f t="shared" si="124"/>
        <v/>
      </c>
      <c r="DU96" s="77" t="str">
        <f t="shared" si="124"/>
        <v/>
      </c>
      <c r="DV96" s="77" t="str">
        <f t="shared" si="124"/>
        <v/>
      </c>
      <c r="DW96" s="77" t="str">
        <f t="shared" si="124"/>
        <v/>
      </c>
      <c r="DX96" s="77" t="str">
        <f t="shared" si="124"/>
        <v/>
      </c>
      <c r="DY96" s="77" t="str">
        <f t="shared" si="124"/>
        <v/>
      </c>
      <c r="DZ96" s="77" t="str">
        <f t="shared" si="124"/>
        <v/>
      </c>
      <c r="EA96" s="77" t="str">
        <f t="shared" si="124"/>
        <v/>
      </c>
      <c r="EB96" s="77" t="str">
        <f t="shared" si="124"/>
        <v/>
      </c>
      <c r="EC96" s="77" t="str">
        <f t="shared" si="124"/>
        <v/>
      </c>
      <c r="ED96" s="77" t="str">
        <f t="shared" si="124"/>
        <v/>
      </c>
      <c r="EE96" s="77" t="str">
        <f t="shared" si="124"/>
        <v/>
      </c>
      <c r="EF96" s="77" t="str">
        <f t="shared" si="124"/>
        <v/>
      </c>
      <c r="EG96" s="77" t="str">
        <f t="shared" si="124"/>
        <v/>
      </c>
      <c r="EH96" s="77" t="str">
        <f t="shared" si="124"/>
        <v/>
      </c>
      <c r="EI96" s="77" t="str">
        <f t="shared" si="124"/>
        <v/>
      </c>
      <c r="EJ96" s="77" t="str">
        <f t="shared" si="124"/>
        <v/>
      </c>
      <c r="EK96" s="77" t="str">
        <f t="shared" si="124"/>
        <v/>
      </c>
      <c r="EL96" s="77" t="str">
        <f t="shared" si="124"/>
        <v/>
      </c>
      <c r="EM96" s="77" t="str">
        <f t="shared" si="124"/>
        <v/>
      </c>
      <c r="EN96" s="77" t="str">
        <f t="shared" si="124"/>
        <v/>
      </c>
      <c r="EO96" s="77" t="str">
        <f t="shared" si="124"/>
        <v/>
      </c>
      <c r="EP96" s="77" t="str">
        <f t="shared" si="124"/>
        <v/>
      </c>
      <c r="EQ96" s="77" t="str">
        <f t="shared" si="124"/>
        <v/>
      </c>
      <c r="ER96" s="77" t="str">
        <f t="shared" si="124"/>
        <v/>
      </c>
      <c r="ES96" s="77" t="str">
        <f t="shared" si="124"/>
        <v/>
      </c>
      <c r="ET96" s="77" t="str">
        <f t="shared" si="124"/>
        <v/>
      </c>
      <c r="EU96" s="77" t="str">
        <f t="shared" si="124"/>
        <v/>
      </c>
      <c r="EV96" s="77" t="str">
        <f t="shared" si="122"/>
        <v/>
      </c>
      <c r="EW96" s="77" t="str">
        <f t="shared" si="122"/>
        <v/>
      </c>
      <c r="EX96" s="77" t="str">
        <f t="shared" si="122"/>
        <v/>
      </c>
      <c r="EY96" s="77" t="str">
        <f t="shared" si="122"/>
        <v/>
      </c>
      <c r="EZ96" s="77" t="str">
        <f t="shared" si="122"/>
        <v/>
      </c>
      <c r="FA96" s="77" t="str">
        <f t="shared" si="122"/>
        <v/>
      </c>
      <c r="FB96" s="77" t="str">
        <f t="shared" si="122"/>
        <v/>
      </c>
      <c r="FC96" s="77" t="str">
        <f t="shared" si="122"/>
        <v/>
      </c>
      <c r="FD96" s="77" t="str">
        <f t="shared" si="122"/>
        <v/>
      </c>
      <c r="FE96" s="77" t="str">
        <f t="shared" si="122"/>
        <v/>
      </c>
      <c r="FF96" s="77" t="str">
        <f t="shared" si="122"/>
        <v/>
      </c>
      <c r="FG96" s="77" t="str">
        <f t="shared" si="122"/>
        <v/>
      </c>
      <c r="FH96" s="77" t="str">
        <f t="shared" si="122"/>
        <v/>
      </c>
      <c r="FI96" s="77" t="str">
        <f t="shared" si="122"/>
        <v/>
      </c>
      <c r="FJ96" s="77" t="str">
        <f t="shared" si="122"/>
        <v/>
      </c>
      <c r="FK96" s="77" t="str">
        <f t="shared" si="122"/>
        <v/>
      </c>
      <c r="FL96" s="77" t="str">
        <f t="shared" si="122"/>
        <v/>
      </c>
      <c r="FM96" s="77" t="str">
        <f t="shared" si="122"/>
        <v/>
      </c>
      <c r="FN96" s="77" t="str">
        <f t="shared" si="122"/>
        <v/>
      </c>
      <c r="FO96" s="77" t="str">
        <f t="shared" si="122"/>
        <v/>
      </c>
      <c r="FP96" s="77" t="str">
        <f t="shared" si="122"/>
        <v/>
      </c>
      <c r="FQ96" s="77" t="str">
        <f t="shared" si="122"/>
        <v/>
      </c>
      <c r="FR96" s="77" t="str">
        <f t="shared" si="122"/>
        <v/>
      </c>
      <c r="FS96" s="77" t="str">
        <f t="shared" si="122"/>
        <v/>
      </c>
      <c r="FT96" s="77" t="str">
        <f t="shared" si="122"/>
        <v/>
      </c>
      <c r="FU96" s="77" t="str">
        <f t="shared" si="122"/>
        <v/>
      </c>
      <c r="FV96" s="77" t="str">
        <f t="shared" si="122"/>
        <v/>
      </c>
      <c r="FW96" s="77" t="str">
        <f t="shared" si="122"/>
        <v/>
      </c>
      <c r="FX96" s="77" t="str">
        <f t="shared" si="122"/>
        <v/>
      </c>
      <c r="FY96" s="77" t="str">
        <f t="shared" si="122"/>
        <v/>
      </c>
      <c r="FZ96" s="77" t="str">
        <f t="shared" si="122"/>
        <v/>
      </c>
      <c r="GA96" s="77" t="str">
        <f t="shared" si="122"/>
        <v/>
      </c>
      <c r="GB96" s="77" t="str">
        <f t="shared" si="122"/>
        <v/>
      </c>
      <c r="GC96" s="77" t="str">
        <f t="shared" si="122"/>
        <v/>
      </c>
      <c r="GD96" s="77" t="str">
        <f t="shared" si="122"/>
        <v/>
      </c>
      <c r="GE96" s="77" t="str">
        <f t="shared" si="122"/>
        <v/>
      </c>
      <c r="GF96" s="77" t="str">
        <f t="shared" si="122"/>
        <v/>
      </c>
      <c r="GG96" s="77" t="str">
        <f t="shared" si="122"/>
        <v/>
      </c>
      <c r="GH96" s="77" t="str">
        <f t="shared" si="122"/>
        <v/>
      </c>
      <c r="GI96" s="77" t="str">
        <f t="shared" si="122"/>
        <v/>
      </c>
      <c r="GJ96" s="77" t="str">
        <f t="shared" si="122"/>
        <v/>
      </c>
      <c r="GK96" s="77" t="str">
        <f t="shared" si="122"/>
        <v/>
      </c>
      <c r="GL96" s="77" t="str">
        <f t="shared" si="122"/>
        <v/>
      </c>
      <c r="GM96" s="77" t="str">
        <f t="shared" si="122"/>
        <v/>
      </c>
      <c r="GN96" s="77" t="str">
        <f t="shared" si="122"/>
        <v/>
      </c>
      <c r="GO96" s="77" t="str">
        <f t="shared" si="122"/>
        <v/>
      </c>
      <c r="GP96" s="77" t="str">
        <f t="shared" si="122"/>
        <v/>
      </c>
      <c r="GQ96" s="77" t="str">
        <f t="shared" si="122"/>
        <v/>
      </c>
      <c r="GR96" s="77" t="str">
        <f t="shared" si="122"/>
        <v/>
      </c>
      <c r="GS96" s="77" t="str">
        <f t="shared" si="122"/>
        <v/>
      </c>
      <c r="GT96" s="77" t="str">
        <f t="shared" si="122"/>
        <v/>
      </c>
      <c r="GU96" s="77" t="str">
        <f t="shared" si="122"/>
        <v/>
      </c>
      <c r="GV96" s="77" t="str">
        <f t="shared" si="122"/>
        <v/>
      </c>
      <c r="GW96" s="77" t="str">
        <f t="shared" si="122"/>
        <v/>
      </c>
      <c r="GX96" s="77" t="str">
        <f t="shared" si="122"/>
        <v/>
      </c>
    </row>
    <row r="97" spans="1:206" ht="15" customHeight="1" x14ac:dyDescent="0.2">
      <c r="A97" s="22" t="s">
        <v>162</v>
      </c>
      <c r="B97" s="22">
        <v>5</v>
      </c>
      <c r="C97" s="22" t="s">
        <v>162</v>
      </c>
      <c r="D97" s="22">
        <v>2</v>
      </c>
      <c r="E97" s="22" t="s">
        <v>219</v>
      </c>
      <c r="F97" s="22" t="s">
        <v>71</v>
      </c>
      <c r="G97" s="22" t="s">
        <v>72</v>
      </c>
      <c r="H97" s="22">
        <v>2024</v>
      </c>
      <c r="I97" s="22">
        <v>2</v>
      </c>
      <c r="J97" s="22">
        <v>18.09</v>
      </c>
      <c r="K97" s="22">
        <v>0</v>
      </c>
      <c r="L97" s="22">
        <v>2587</v>
      </c>
      <c r="M97" s="22">
        <v>2587</v>
      </c>
      <c r="N97" s="22" t="s">
        <v>196</v>
      </c>
      <c r="O97" s="22" t="s">
        <v>74</v>
      </c>
      <c r="P97" s="22" t="s">
        <v>216</v>
      </c>
      <c r="Q97" s="24"/>
      <c r="R97" s="22" t="str">
        <f>IF($E97="","",IFERROR(INDEX($W97:$GX97,MATCH('Dashboard Ciclos'!$B$2,$W$1:$GX$1,0)),""))</f>
        <v/>
      </c>
      <c r="S97" s="22" t="str">
        <f t="shared" si="83"/>
        <v>Sin dato</v>
      </c>
      <c r="T97" s="22" t="str">
        <f t="shared" si="84"/>
        <v>Sin dato</v>
      </c>
      <c r="U97" s="22" t="str">
        <f t="shared" si="85"/>
        <v/>
      </c>
      <c r="V97" s="23" t="str">
        <f t="shared" si="86"/>
        <v/>
      </c>
      <c r="W97" s="77" t="str">
        <f t="shared" si="125"/>
        <v/>
      </c>
      <c r="X97" s="77" t="str">
        <f t="shared" si="89"/>
        <v/>
      </c>
      <c r="Y97" s="77" t="str">
        <f t="shared" si="89"/>
        <v/>
      </c>
      <c r="Z97" s="77" t="str">
        <f t="shared" si="89"/>
        <v/>
      </c>
      <c r="AA97" s="77" t="s">
        <v>218</v>
      </c>
      <c r="AB97" s="77" t="str">
        <f t="shared" si="89"/>
        <v/>
      </c>
      <c r="AC97" s="77" t="str">
        <f t="shared" si="89"/>
        <v/>
      </c>
      <c r="AD97" s="77" t="str">
        <f t="shared" si="89"/>
        <v/>
      </c>
      <c r="AE97" s="77" t="str">
        <f t="shared" si="89"/>
        <v/>
      </c>
      <c r="AF97" s="77" t="str">
        <f t="shared" si="89"/>
        <v/>
      </c>
      <c r="AG97" s="77" t="str">
        <f t="shared" si="89"/>
        <v/>
      </c>
      <c r="AH97" s="77" t="str">
        <f t="shared" si="89"/>
        <v/>
      </c>
      <c r="AI97" s="77" t="str">
        <f t="shared" si="89"/>
        <v/>
      </c>
      <c r="AJ97" s="77" t="str">
        <f t="shared" si="89"/>
        <v/>
      </c>
      <c r="AK97" s="77" t="str">
        <f t="shared" si="90"/>
        <v/>
      </c>
      <c r="AL97" s="77" t="str">
        <f t="shared" si="90"/>
        <v/>
      </c>
      <c r="AM97" s="77" t="str">
        <f t="shared" si="90"/>
        <v/>
      </c>
      <c r="AN97" s="77" t="str">
        <f t="shared" si="91"/>
        <v/>
      </c>
      <c r="AO97" s="77" t="str">
        <f t="shared" si="90"/>
        <v/>
      </c>
      <c r="AP97" s="77" t="str">
        <f t="shared" si="90"/>
        <v/>
      </c>
      <c r="AQ97" s="77" t="str">
        <f t="shared" si="90"/>
        <v/>
      </c>
      <c r="AR97" s="77" t="str">
        <f t="shared" si="105"/>
        <v/>
      </c>
      <c r="AS97" s="77" t="str">
        <f t="shared" si="126"/>
        <v/>
      </c>
      <c r="AT97" s="77" t="str">
        <f t="shared" si="126"/>
        <v/>
      </c>
      <c r="AU97" s="77" t="str">
        <f t="shared" si="126"/>
        <v/>
      </c>
      <c r="AV97" s="77" t="str">
        <f t="shared" si="126"/>
        <v/>
      </c>
      <c r="AW97" s="77" t="str">
        <f t="shared" si="126"/>
        <v/>
      </c>
      <c r="AX97" s="77" t="str">
        <f t="shared" si="126"/>
        <v/>
      </c>
      <c r="AY97" s="77" t="str">
        <f t="shared" si="126"/>
        <v/>
      </c>
      <c r="AZ97" s="77" t="str">
        <f t="shared" si="126"/>
        <v/>
      </c>
      <c r="BA97" s="77" t="str">
        <f t="shared" si="126"/>
        <v/>
      </c>
      <c r="BB97" s="77" t="str">
        <f t="shared" si="126"/>
        <v/>
      </c>
      <c r="BC97" s="77" t="str">
        <f t="shared" si="126"/>
        <v/>
      </c>
      <c r="BD97" s="77" t="str">
        <f t="shared" si="126"/>
        <v/>
      </c>
      <c r="BE97" s="77" t="str">
        <f t="shared" si="126"/>
        <v/>
      </c>
      <c r="BF97" s="77" t="str">
        <f t="shared" si="126"/>
        <v/>
      </c>
      <c r="BG97" s="77" t="str">
        <f t="shared" si="126"/>
        <v/>
      </c>
      <c r="BH97" s="77" t="str">
        <f t="shared" si="126"/>
        <v/>
      </c>
      <c r="BI97" s="77" t="str">
        <f t="shared" si="126"/>
        <v/>
      </c>
      <c r="BJ97" s="77" t="str">
        <f t="shared" si="126"/>
        <v/>
      </c>
      <c r="BK97" s="77" t="str">
        <f t="shared" si="126"/>
        <v/>
      </c>
      <c r="BL97" s="77" t="str">
        <f t="shared" si="126"/>
        <v/>
      </c>
      <c r="BM97" s="77" t="str">
        <f t="shared" si="126"/>
        <v/>
      </c>
      <c r="BN97" s="77" t="str">
        <f t="shared" si="126"/>
        <v/>
      </c>
      <c r="BO97" s="77" t="str">
        <f t="shared" si="126"/>
        <v/>
      </c>
      <c r="BP97" s="77" t="str">
        <f t="shared" si="126"/>
        <v/>
      </c>
      <c r="BQ97" s="77" t="str">
        <f t="shared" si="126"/>
        <v/>
      </c>
      <c r="BR97" s="77" t="str">
        <f t="shared" si="126"/>
        <v/>
      </c>
      <c r="BS97" s="77" t="str">
        <f t="shared" si="126"/>
        <v/>
      </c>
      <c r="BT97" s="77" t="str">
        <f t="shared" si="126"/>
        <v/>
      </c>
      <c r="BU97" s="77" t="str">
        <f t="shared" si="126"/>
        <v/>
      </c>
      <c r="BV97" s="77" t="str">
        <f t="shared" si="126"/>
        <v/>
      </c>
      <c r="BW97" s="77" t="str">
        <f t="shared" si="126"/>
        <v/>
      </c>
      <c r="BX97" s="77" t="str">
        <f t="shared" si="126"/>
        <v/>
      </c>
      <c r="BY97" s="77" t="str">
        <f t="shared" si="126"/>
        <v/>
      </c>
      <c r="BZ97" s="77" t="str">
        <f t="shared" si="126"/>
        <v/>
      </c>
      <c r="CA97" s="77" t="str">
        <f t="shared" si="126"/>
        <v/>
      </c>
      <c r="CB97" s="77" t="str">
        <f t="shared" si="126"/>
        <v/>
      </c>
      <c r="CC97" s="77" t="str">
        <f t="shared" si="126"/>
        <v/>
      </c>
      <c r="CD97" s="77" t="str">
        <f t="shared" si="126"/>
        <v/>
      </c>
      <c r="CE97" s="77" t="str">
        <f t="shared" si="126"/>
        <v/>
      </c>
      <c r="CF97" s="77" t="str">
        <f t="shared" si="126"/>
        <v/>
      </c>
      <c r="CG97" s="77" t="str">
        <f t="shared" si="126"/>
        <v/>
      </c>
      <c r="CH97" s="77" t="str">
        <f t="shared" si="126"/>
        <v/>
      </c>
      <c r="CI97" s="77" t="str">
        <f t="shared" si="126"/>
        <v/>
      </c>
      <c r="CJ97" s="77" t="str">
        <f t="shared" si="126"/>
        <v/>
      </c>
      <c r="CK97" s="77" t="str">
        <f t="shared" si="124"/>
        <v/>
      </c>
      <c r="CL97" s="77" t="str">
        <f t="shared" si="124"/>
        <v/>
      </c>
      <c r="CM97" s="77" t="str">
        <f t="shared" si="124"/>
        <v/>
      </c>
      <c r="CN97" s="77" t="str">
        <f t="shared" si="124"/>
        <v/>
      </c>
      <c r="CO97" s="77" t="str">
        <f t="shared" si="124"/>
        <v/>
      </c>
      <c r="CP97" s="77" t="str">
        <f t="shared" si="124"/>
        <v/>
      </c>
      <c r="CQ97" s="77" t="str">
        <f t="shared" si="124"/>
        <v/>
      </c>
      <c r="CR97" s="77" t="str">
        <f t="shared" si="124"/>
        <v/>
      </c>
      <c r="CS97" s="77" t="str">
        <f t="shared" si="124"/>
        <v/>
      </c>
      <c r="CT97" s="77" t="str">
        <f t="shared" si="124"/>
        <v/>
      </c>
      <c r="CU97" s="77" t="str">
        <f t="shared" si="124"/>
        <v/>
      </c>
      <c r="CV97" s="77" t="str">
        <f t="shared" si="124"/>
        <v/>
      </c>
      <c r="CW97" s="77" t="str">
        <f t="shared" si="124"/>
        <v/>
      </c>
      <c r="CX97" s="77" t="str">
        <f t="shared" si="124"/>
        <v/>
      </c>
      <c r="CY97" s="77" t="str">
        <f t="shared" si="124"/>
        <v/>
      </c>
      <c r="CZ97" s="77" t="str">
        <f t="shared" si="124"/>
        <v/>
      </c>
      <c r="DA97" s="77" t="str">
        <f t="shared" si="124"/>
        <v/>
      </c>
      <c r="DB97" s="77" t="str">
        <f t="shared" si="124"/>
        <v/>
      </c>
      <c r="DC97" s="77" t="str">
        <f t="shared" si="124"/>
        <v/>
      </c>
      <c r="DD97" s="77" t="str">
        <f t="shared" si="124"/>
        <v/>
      </c>
      <c r="DE97" s="77" t="str">
        <f t="shared" si="124"/>
        <v/>
      </c>
      <c r="DF97" s="77" t="str">
        <f t="shared" si="124"/>
        <v/>
      </c>
      <c r="DG97" s="77" t="str">
        <f t="shared" si="124"/>
        <v/>
      </c>
      <c r="DH97" s="77" t="str">
        <f t="shared" si="124"/>
        <v/>
      </c>
      <c r="DI97" s="77" t="str">
        <f t="shared" si="124"/>
        <v/>
      </c>
      <c r="DJ97" s="77" t="str">
        <f t="shared" si="124"/>
        <v/>
      </c>
      <c r="DK97" s="77" t="str">
        <f t="shared" si="124"/>
        <v/>
      </c>
      <c r="DL97" s="77" t="str">
        <f t="shared" si="124"/>
        <v/>
      </c>
      <c r="DM97" s="77" t="str">
        <f t="shared" si="124"/>
        <v/>
      </c>
      <c r="DN97" s="77" t="str">
        <f t="shared" si="124"/>
        <v/>
      </c>
      <c r="DO97" s="77" t="str">
        <f t="shared" si="124"/>
        <v/>
      </c>
      <c r="DP97" s="77" t="str">
        <f t="shared" si="124"/>
        <v/>
      </c>
      <c r="DQ97" s="77" t="str">
        <f t="shared" si="124"/>
        <v/>
      </c>
      <c r="DR97" s="77" t="str">
        <f t="shared" si="124"/>
        <v/>
      </c>
      <c r="DS97" s="77" t="str">
        <f t="shared" si="124"/>
        <v/>
      </c>
      <c r="DT97" s="77" t="str">
        <f t="shared" si="124"/>
        <v/>
      </c>
      <c r="DU97" s="77" t="str">
        <f t="shared" si="124"/>
        <v/>
      </c>
      <c r="DV97" s="77" t="str">
        <f t="shared" si="124"/>
        <v/>
      </c>
      <c r="DW97" s="77" t="str">
        <f t="shared" si="124"/>
        <v/>
      </c>
      <c r="DX97" s="77" t="str">
        <f t="shared" si="124"/>
        <v/>
      </c>
      <c r="DY97" s="77" t="str">
        <f t="shared" si="124"/>
        <v/>
      </c>
      <c r="DZ97" s="77" t="str">
        <f t="shared" si="124"/>
        <v/>
      </c>
      <c r="EA97" s="77" t="str">
        <f t="shared" si="124"/>
        <v/>
      </c>
      <c r="EB97" s="77" t="str">
        <f t="shared" si="124"/>
        <v/>
      </c>
      <c r="EC97" s="77" t="str">
        <f t="shared" si="124"/>
        <v/>
      </c>
      <c r="ED97" s="77" t="str">
        <f t="shared" si="124"/>
        <v/>
      </c>
      <c r="EE97" s="77" t="str">
        <f t="shared" si="124"/>
        <v/>
      </c>
      <c r="EF97" s="77" t="str">
        <f t="shared" si="124"/>
        <v/>
      </c>
      <c r="EG97" s="77" t="str">
        <f t="shared" si="124"/>
        <v/>
      </c>
      <c r="EH97" s="77" t="str">
        <f t="shared" si="124"/>
        <v/>
      </c>
      <c r="EI97" s="77" t="str">
        <f t="shared" si="124"/>
        <v/>
      </c>
      <c r="EJ97" s="77" t="str">
        <f t="shared" si="124"/>
        <v/>
      </c>
      <c r="EK97" s="77" t="str">
        <f t="shared" si="124"/>
        <v/>
      </c>
      <c r="EL97" s="77" t="str">
        <f t="shared" si="124"/>
        <v/>
      </c>
      <c r="EM97" s="77" t="str">
        <f t="shared" si="124"/>
        <v/>
      </c>
      <c r="EN97" s="77" t="str">
        <f t="shared" si="124"/>
        <v/>
      </c>
      <c r="EO97" s="77" t="str">
        <f t="shared" si="124"/>
        <v/>
      </c>
      <c r="EP97" s="77" t="str">
        <f t="shared" si="124"/>
        <v/>
      </c>
      <c r="EQ97" s="77" t="str">
        <f t="shared" si="124"/>
        <v/>
      </c>
      <c r="ER97" s="77" t="str">
        <f t="shared" si="124"/>
        <v/>
      </c>
      <c r="ES97" s="77" t="str">
        <f t="shared" si="124"/>
        <v/>
      </c>
      <c r="ET97" s="77" t="str">
        <f t="shared" si="124"/>
        <v/>
      </c>
      <c r="EU97" s="77" t="str">
        <f t="shared" si="124"/>
        <v/>
      </c>
      <c r="EV97" s="77" t="str">
        <f t="shared" si="122"/>
        <v/>
      </c>
      <c r="EW97" s="77" t="str">
        <f t="shared" si="122"/>
        <v/>
      </c>
      <c r="EX97" s="77" t="str">
        <f t="shared" si="122"/>
        <v/>
      </c>
      <c r="EY97" s="77" t="str">
        <f t="shared" si="122"/>
        <v/>
      </c>
      <c r="EZ97" s="77" t="str">
        <f t="shared" si="122"/>
        <v/>
      </c>
      <c r="FA97" s="77" t="str">
        <f t="shared" si="122"/>
        <v/>
      </c>
      <c r="FB97" s="77" t="str">
        <f t="shared" si="122"/>
        <v/>
      </c>
      <c r="FC97" s="77" t="str">
        <f t="shared" si="122"/>
        <v/>
      </c>
      <c r="FD97" s="77" t="str">
        <f t="shared" si="122"/>
        <v/>
      </c>
      <c r="FE97" s="77" t="str">
        <f t="shared" si="122"/>
        <v/>
      </c>
      <c r="FF97" s="77" t="str">
        <f t="shared" si="122"/>
        <v/>
      </c>
      <c r="FG97" s="77" t="str">
        <f t="shared" si="122"/>
        <v/>
      </c>
      <c r="FH97" s="77" t="str">
        <f t="shared" si="122"/>
        <v/>
      </c>
      <c r="FI97" s="77" t="str">
        <f t="shared" si="122"/>
        <v/>
      </c>
      <c r="FJ97" s="77" t="str">
        <f t="shared" si="122"/>
        <v/>
      </c>
      <c r="FK97" s="77" t="str">
        <f t="shared" si="122"/>
        <v/>
      </c>
      <c r="FL97" s="77" t="str">
        <f t="shared" si="122"/>
        <v/>
      </c>
      <c r="FM97" s="77" t="str">
        <f t="shared" si="122"/>
        <v/>
      </c>
      <c r="FN97" s="77" t="str">
        <f t="shared" si="122"/>
        <v/>
      </c>
      <c r="FO97" s="77" t="str">
        <f t="shared" si="122"/>
        <v/>
      </c>
      <c r="FP97" s="77" t="str">
        <f t="shared" si="122"/>
        <v/>
      </c>
      <c r="FQ97" s="77" t="str">
        <f t="shared" si="122"/>
        <v/>
      </c>
      <c r="FR97" s="77" t="str">
        <f t="shared" si="122"/>
        <v/>
      </c>
      <c r="FS97" s="77" t="str">
        <f t="shared" si="122"/>
        <v/>
      </c>
      <c r="FT97" s="77" t="str">
        <f t="shared" si="122"/>
        <v/>
      </c>
      <c r="FU97" s="77" t="str">
        <f t="shared" si="122"/>
        <v/>
      </c>
      <c r="FV97" s="77" t="str">
        <f t="shared" si="122"/>
        <v/>
      </c>
      <c r="FW97" s="77" t="str">
        <f t="shared" si="122"/>
        <v/>
      </c>
      <c r="FX97" s="77" t="str">
        <f t="shared" si="122"/>
        <v/>
      </c>
      <c r="FY97" s="77" t="str">
        <f t="shared" si="122"/>
        <v/>
      </c>
      <c r="FZ97" s="77" t="str">
        <f t="shared" si="122"/>
        <v/>
      </c>
      <c r="GA97" s="77" t="str">
        <f t="shared" si="122"/>
        <v/>
      </c>
      <c r="GB97" s="77" t="str">
        <f t="shared" si="122"/>
        <v/>
      </c>
      <c r="GC97" s="77" t="str">
        <f t="shared" si="122"/>
        <v/>
      </c>
      <c r="GD97" s="77" t="str">
        <f t="shared" si="122"/>
        <v/>
      </c>
      <c r="GE97" s="77" t="str">
        <f t="shared" si="122"/>
        <v/>
      </c>
      <c r="GF97" s="77" t="str">
        <f t="shared" si="122"/>
        <v/>
      </c>
      <c r="GG97" s="77" t="str">
        <f t="shared" si="122"/>
        <v/>
      </c>
      <c r="GH97" s="77" t="str">
        <f t="shared" si="122"/>
        <v/>
      </c>
      <c r="GI97" s="77" t="str">
        <f t="shared" si="122"/>
        <v/>
      </c>
      <c r="GJ97" s="77" t="str">
        <f t="shared" si="122"/>
        <v/>
      </c>
      <c r="GK97" s="77" t="str">
        <f t="shared" si="122"/>
        <v/>
      </c>
      <c r="GL97" s="77" t="str">
        <f t="shared" si="122"/>
        <v/>
      </c>
      <c r="GM97" s="77" t="str">
        <f t="shared" si="122"/>
        <v/>
      </c>
      <c r="GN97" s="77" t="str">
        <f t="shared" si="122"/>
        <v/>
      </c>
      <c r="GO97" s="77" t="str">
        <f t="shared" si="122"/>
        <v/>
      </c>
      <c r="GP97" s="77" t="str">
        <f t="shared" si="122"/>
        <v/>
      </c>
      <c r="GQ97" s="77" t="str">
        <f t="shared" si="122"/>
        <v/>
      </c>
      <c r="GR97" s="77" t="str">
        <f t="shared" si="122"/>
        <v/>
      </c>
      <c r="GS97" s="77" t="str">
        <f t="shared" si="122"/>
        <v/>
      </c>
      <c r="GT97" s="77" t="str">
        <f t="shared" si="122"/>
        <v/>
      </c>
      <c r="GU97" s="77" t="str">
        <f t="shared" si="122"/>
        <v/>
      </c>
      <c r="GV97" s="77" t="str">
        <f t="shared" si="122"/>
        <v/>
      </c>
      <c r="GW97" s="77" t="str">
        <f t="shared" si="122"/>
        <v/>
      </c>
      <c r="GX97" s="77" t="str">
        <f t="shared" si="122"/>
        <v/>
      </c>
    </row>
    <row r="98" spans="1:206" ht="15" customHeight="1" x14ac:dyDescent="0.2">
      <c r="A98" s="22" t="s">
        <v>162</v>
      </c>
      <c r="B98" s="22">
        <v>5</v>
      </c>
      <c r="C98" s="22" t="s">
        <v>162</v>
      </c>
      <c r="D98" s="22">
        <v>3</v>
      </c>
      <c r="E98" s="22" t="s">
        <v>220</v>
      </c>
      <c r="F98" s="22" t="s">
        <v>71</v>
      </c>
      <c r="G98" s="22" t="s">
        <v>72</v>
      </c>
      <c r="H98" s="22">
        <v>2024</v>
      </c>
      <c r="I98" s="22">
        <v>2</v>
      </c>
      <c r="J98" s="22">
        <v>18.23</v>
      </c>
      <c r="K98" s="22">
        <v>0</v>
      </c>
      <c r="L98" s="22">
        <v>2589</v>
      </c>
      <c r="M98" s="22">
        <v>2589</v>
      </c>
      <c r="N98" s="22" t="s">
        <v>196</v>
      </c>
      <c r="O98" s="22" t="s">
        <v>74</v>
      </c>
      <c r="P98" s="22" t="s">
        <v>216</v>
      </c>
      <c r="Q98" s="24"/>
      <c r="R98" s="22" t="str">
        <f>IF($E98="","",IFERROR(INDEX($W98:$GX98,MATCH('Dashboard Ciclos'!$B$2,$W$1:$GX$1,0)),""))</f>
        <v/>
      </c>
      <c r="S98" s="22" t="str">
        <f t="shared" si="83"/>
        <v>Sin dato</v>
      </c>
      <c r="T98" s="22" t="str">
        <f t="shared" si="84"/>
        <v>Sin dato</v>
      </c>
      <c r="U98" s="22" t="str">
        <f t="shared" si="85"/>
        <v/>
      </c>
      <c r="V98" s="23" t="str">
        <f t="shared" si="86"/>
        <v/>
      </c>
      <c r="W98" s="77" t="str">
        <f t="shared" si="125"/>
        <v/>
      </c>
      <c r="X98" s="77" t="str">
        <f t="shared" si="89"/>
        <v/>
      </c>
      <c r="Y98" s="77" t="str">
        <f t="shared" si="89"/>
        <v/>
      </c>
      <c r="Z98" s="77" t="str">
        <f t="shared" si="89"/>
        <v/>
      </c>
      <c r="AA98" s="77" t="s">
        <v>218</v>
      </c>
      <c r="AB98" s="77" t="str">
        <f t="shared" si="89"/>
        <v/>
      </c>
      <c r="AC98" s="77" t="str">
        <f t="shared" si="89"/>
        <v/>
      </c>
      <c r="AD98" s="77" t="str">
        <f t="shared" si="89"/>
        <v/>
      </c>
      <c r="AE98" s="77" t="str">
        <f t="shared" si="89"/>
        <v/>
      </c>
      <c r="AF98" s="77" t="str">
        <f t="shared" si="89"/>
        <v/>
      </c>
      <c r="AG98" s="77" t="str">
        <f t="shared" si="89"/>
        <v/>
      </c>
      <c r="AH98" s="77" t="str">
        <f t="shared" si="89"/>
        <v/>
      </c>
      <c r="AI98" s="77" t="str">
        <f t="shared" si="89"/>
        <v/>
      </c>
      <c r="AJ98" s="77" t="str">
        <f t="shared" si="89"/>
        <v/>
      </c>
      <c r="AK98" s="77" t="str">
        <f t="shared" si="90"/>
        <v/>
      </c>
      <c r="AL98" s="77" t="str">
        <f t="shared" si="90"/>
        <v/>
      </c>
      <c r="AM98" s="77" t="str">
        <f t="shared" si="90"/>
        <v/>
      </c>
      <c r="AN98" s="77" t="str">
        <f t="shared" si="91"/>
        <v/>
      </c>
      <c r="AO98" s="77" t="str">
        <f t="shared" si="90"/>
        <v/>
      </c>
      <c r="AP98" s="77" t="str">
        <f t="shared" si="90"/>
        <v/>
      </c>
      <c r="AQ98" s="77" t="str">
        <f t="shared" si="90"/>
        <v/>
      </c>
      <c r="AR98" s="77" t="str">
        <f t="shared" si="105"/>
        <v/>
      </c>
      <c r="AS98" s="77" t="str">
        <f t="shared" si="126"/>
        <v/>
      </c>
      <c r="AT98" s="77" t="str">
        <f t="shared" si="126"/>
        <v/>
      </c>
      <c r="AU98" s="77" t="str">
        <f t="shared" si="126"/>
        <v/>
      </c>
      <c r="AV98" s="77" t="str">
        <f t="shared" si="126"/>
        <v/>
      </c>
      <c r="AW98" s="77" t="str">
        <f t="shared" si="126"/>
        <v/>
      </c>
      <c r="AX98" s="77" t="str">
        <f t="shared" si="126"/>
        <v/>
      </c>
      <c r="AY98" s="77" t="str">
        <f t="shared" si="126"/>
        <v/>
      </c>
      <c r="AZ98" s="77" t="str">
        <f t="shared" si="126"/>
        <v/>
      </c>
      <c r="BA98" s="77" t="str">
        <f t="shared" si="126"/>
        <v/>
      </c>
      <c r="BB98" s="77" t="str">
        <f t="shared" si="126"/>
        <v/>
      </c>
      <c r="BC98" s="77" t="str">
        <f t="shared" si="126"/>
        <v/>
      </c>
      <c r="BD98" s="77" t="str">
        <f t="shared" si="126"/>
        <v/>
      </c>
      <c r="BE98" s="77" t="str">
        <f t="shared" si="126"/>
        <v/>
      </c>
      <c r="BF98" s="77" t="str">
        <f t="shared" si="126"/>
        <v/>
      </c>
      <c r="BG98" s="77" t="str">
        <f t="shared" si="126"/>
        <v/>
      </c>
      <c r="BH98" s="77" t="str">
        <f t="shared" si="126"/>
        <v/>
      </c>
      <c r="BI98" s="77" t="str">
        <f t="shared" si="126"/>
        <v/>
      </c>
      <c r="BJ98" s="77" t="str">
        <f t="shared" si="126"/>
        <v/>
      </c>
      <c r="BK98" s="77" t="str">
        <f t="shared" si="126"/>
        <v/>
      </c>
      <c r="BL98" s="77" t="str">
        <f t="shared" si="126"/>
        <v/>
      </c>
      <c r="BM98" s="77" t="str">
        <f t="shared" si="126"/>
        <v/>
      </c>
      <c r="BN98" s="77" t="str">
        <f t="shared" si="126"/>
        <v/>
      </c>
      <c r="BO98" s="77" t="str">
        <f t="shared" si="126"/>
        <v/>
      </c>
      <c r="BP98" s="77" t="str">
        <f t="shared" si="126"/>
        <v/>
      </c>
      <c r="BQ98" s="77" t="str">
        <f t="shared" si="126"/>
        <v/>
      </c>
      <c r="BR98" s="77" t="str">
        <f t="shared" si="126"/>
        <v/>
      </c>
      <c r="BS98" s="77" t="str">
        <f t="shared" si="126"/>
        <v/>
      </c>
      <c r="BT98" s="77" t="str">
        <f t="shared" si="126"/>
        <v/>
      </c>
      <c r="BU98" s="77" t="str">
        <f t="shared" si="126"/>
        <v/>
      </c>
      <c r="BV98" s="77" t="str">
        <f t="shared" si="126"/>
        <v/>
      </c>
      <c r="BW98" s="77" t="str">
        <f t="shared" si="126"/>
        <v/>
      </c>
      <c r="BX98" s="77" t="str">
        <f t="shared" si="126"/>
        <v/>
      </c>
      <c r="BY98" s="77" t="str">
        <f t="shared" si="126"/>
        <v/>
      </c>
      <c r="BZ98" s="77" t="str">
        <f t="shared" si="126"/>
        <v/>
      </c>
      <c r="CA98" s="77" t="str">
        <f t="shared" si="126"/>
        <v/>
      </c>
      <c r="CB98" s="77" t="str">
        <f t="shared" si="126"/>
        <v/>
      </c>
      <c r="CC98" s="77" t="str">
        <f t="shared" si="126"/>
        <v/>
      </c>
      <c r="CD98" s="77" t="str">
        <f t="shared" si="126"/>
        <v/>
      </c>
      <c r="CE98" s="77" t="str">
        <f t="shared" si="126"/>
        <v/>
      </c>
      <c r="CF98" s="77" t="str">
        <f t="shared" si="126"/>
        <v/>
      </c>
      <c r="CG98" s="77" t="str">
        <f t="shared" si="126"/>
        <v/>
      </c>
      <c r="CH98" s="77" t="str">
        <f t="shared" si="126"/>
        <v/>
      </c>
      <c r="CI98" s="77" t="str">
        <f t="shared" si="126"/>
        <v/>
      </c>
      <c r="CJ98" s="77" t="str">
        <f t="shared" si="126"/>
        <v/>
      </c>
      <c r="CK98" s="77" t="str">
        <f t="shared" si="124"/>
        <v/>
      </c>
      <c r="CL98" s="77" t="str">
        <f t="shared" si="124"/>
        <v/>
      </c>
      <c r="CM98" s="77" t="str">
        <f t="shared" si="124"/>
        <v/>
      </c>
      <c r="CN98" s="77" t="str">
        <f t="shared" si="124"/>
        <v/>
      </c>
      <c r="CO98" s="77" t="str">
        <f t="shared" si="124"/>
        <v/>
      </c>
      <c r="CP98" s="77" t="str">
        <f t="shared" si="124"/>
        <v/>
      </c>
      <c r="CQ98" s="77" t="str">
        <f t="shared" si="124"/>
        <v/>
      </c>
      <c r="CR98" s="77" t="str">
        <f t="shared" si="124"/>
        <v/>
      </c>
      <c r="CS98" s="77" t="str">
        <f t="shared" si="124"/>
        <v/>
      </c>
      <c r="CT98" s="77" t="str">
        <f t="shared" si="124"/>
        <v/>
      </c>
      <c r="CU98" s="77" t="str">
        <f t="shared" si="124"/>
        <v/>
      </c>
      <c r="CV98" s="77" t="str">
        <f t="shared" si="124"/>
        <v/>
      </c>
      <c r="CW98" s="77" t="str">
        <f t="shared" si="124"/>
        <v/>
      </c>
      <c r="CX98" s="77" t="str">
        <f t="shared" si="124"/>
        <v/>
      </c>
      <c r="CY98" s="77" t="str">
        <f t="shared" si="124"/>
        <v/>
      </c>
      <c r="CZ98" s="77" t="str">
        <f t="shared" si="124"/>
        <v/>
      </c>
      <c r="DA98" s="77" t="str">
        <f t="shared" si="124"/>
        <v/>
      </c>
      <c r="DB98" s="77" t="str">
        <f t="shared" si="124"/>
        <v/>
      </c>
      <c r="DC98" s="77" t="str">
        <f t="shared" si="124"/>
        <v/>
      </c>
      <c r="DD98" s="77" t="str">
        <f t="shared" si="124"/>
        <v/>
      </c>
      <c r="DE98" s="77" t="str">
        <f t="shared" si="124"/>
        <v/>
      </c>
      <c r="DF98" s="77" t="str">
        <f t="shared" si="124"/>
        <v/>
      </c>
      <c r="DG98" s="77" t="str">
        <f t="shared" si="124"/>
        <v/>
      </c>
      <c r="DH98" s="77" t="str">
        <f t="shared" si="124"/>
        <v/>
      </c>
      <c r="DI98" s="77" t="str">
        <f t="shared" si="124"/>
        <v/>
      </c>
      <c r="DJ98" s="77" t="str">
        <f t="shared" si="124"/>
        <v/>
      </c>
      <c r="DK98" s="77" t="str">
        <f t="shared" si="124"/>
        <v/>
      </c>
      <c r="DL98" s="77" t="str">
        <f t="shared" si="124"/>
        <v/>
      </c>
      <c r="DM98" s="77" t="str">
        <f t="shared" si="124"/>
        <v/>
      </c>
      <c r="DN98" s="77" t="str">
        <f t="shared" si="124"/>
        <v/>
      </c>
      <c r="DO98" s="77" t="str">
        <f t="shared" si="124"/>
        <v/>
      </c>
      <c r="DP98" s="77" t="str">
        <f t="shared" si="124"/>
        <v/>
      </c>
      <c r="DQ98" s="77" t="str">
        <f t="shared" si="124"/>
        <v/>
      </c>
      <c r="DR98" s="77" t="str">
        <f t="shared" si="124"/>
        <v/>
      </c>
      <c r="DS98" s="77" t="str">
        <f t="shared" si="124"/>
        <v/>
      </c>
      <c r="DT98" s="77" t="str">
        <f t="shared" si="124"/>
        <v/>
      </c>
      <c r="DU98" s="77" t="str">
        <f t="shared" si="124"/>
        <v/>
      </c>
      <c r="DV98" s="77" t="str">
        <f t="shared" si="124"/>
        <v/>
      </c>
      <c r="DW98" s="77" t="str">
        <f t="shared" si="124"/>
        <v/>
      </c>
      <c r="DX98" s="77" t="str">
        <f t="shared" si="124"/>
        <v/>
      </c>
      <c r="DY98" s="77" t="str">
        <f t="shared" si="124"/>
        <v/>
      </c>
      <c r="DZ98" s="77" t="str">
        <f t="shared" si="124"/>
        <v/>
      </c>
      <c r="EA98" s="77" t="str">
        <f t="shared" si="124"/>
        <v/>
      </c>
      <c r="EB98" s="77" t="str">
        <f t="shared" si="124"/>
        <v/>
      </c>
      <c r="EC98" s="77" t="str">
        <f t="shared" si="124"/>
        <v/>
      </c>
      <c r="ED98" s="77" t="str">
        <f t="shared" si="124"/>
        <v/>
      </c>
      <c r="EE98" s="77" t="str">
        <f t="shared" si="124"/>
        <v/>
      </c>
      <c r="EF98" s="77" t="str">
        <f t="shared" si="124"/>
        <v/>
      </c>
      <c r="EG98" s="77" t="str">
        <f t="shared" si="124"/>
        <v/>
      </c>
      <c r="EH98" s="77" t="str">
        <f t="shared" si="124"/>
        <v/>
      </c>
      <c r="EI98" s="77" t="str">
        <f t="shared" si="124"/>
        <v/>
      </c>
      <c r="EJ98" s="77" t="str">
        <f t="shared" si="124"/>
        <v/>
      </c>
      <c r="EK98" s="77" t="str">
        <f t="shared" si="124"/>
        <v/>
      </c>
      <c r="EL98" s="77" t="str">
        <f t="shared" si="124"/>
        <v/>
      </c>
      <c r="EM98" s="77" t="str">
        <f t="shared" si="124"/>
        <v/>
      </c>
      <c r="EN98" s="77" t="str">
        <f t="shared" si="124"/>
        <v/>
      </c>
      <c r="EO98" s="77" t="str">
        <f t="shared" si="124"/>
        <v/>
      </c>
      <c r="EP98" s="77" t="str">
        <f t="shared" si="124"/>
        <v/>
      </c>
      <c r="EQ98" s="77" t="str">
        <f t="shared" si="124"/>
        <v/>
      </c>
      <c r="ER98" s="77" t="str">
        <f t="shared" si="124"/>
        <v/>
      </c>
      <c r="ES98" s="77" t="str">
        <f t="shared" si="124"/>
        <v/>
      </c>
      <c r="ET98" s="77" t="str">
        <f t="shared" si="124"/>
        <v/>
      </c>
      <c r="EU98" s="77" t="str">
        <f t="shared" si="124"/>
        <v/>
      </c>
      <c r="EV98" s="77" t="str">
        <f t="shared" si="122"/>
        <v/>
      </c>
      <c r="EW98" s="77" t="str">
        <f t="shared" si="122"/>
        <v/>
      </c>
      <c r="EX98" s="77" t="str">
        <f t="shared" si="122"/>
        <v/>
      </c>
      <c r="EY98" s="77" t="str">
        <f t="shared" si="122"/>
        <v/>
      </c>
      <c r="EZ98" s="77" t="str">
        <f t="shared" si="122"/>
        <v/>
      </c>
      <c r="FA98" s="77" t="str">
        <f t="shared" si="122"/>
        <v/>
      </c>
      <c r="FB98" s="77" t="str">
        <f t="shared" si="122"/>
        <v/>
      </c>
      <c r="FC98" s="77" t="str">
        <f t="shared" si="122"/>
        <v/>
      </c>
      <c r="FD98" s="77" t="str">
        <f t="shared" si="122"/>
        <v/>
      </c>
      <c r="FE98" s="77" t="str">
        <f t="shared" si="122"/>
        <v/>
      </c>
      <c r="FF98" s="77" t="str">
        <f t="shared" si="122"/>
        <v/>
      </c>
      <c r="FG98" s="77" t="str">
        <f t="shared" si="122"/>
        <v/>
      </c>
      <c r="FH98" s="77" t="str">
        <f t="shared" si="122"/>
        <v/>
      </c>
      <c r="FI98" s="77" t="str">
        <f t="shared" si="122"/>
        <v/>
      </c>
      <c r="FJ98" s="77" t="str">
        <f t="shared" si="122"/>
        <v/>
      </c>
      <c r="FK98" s="77" t="str">
        <f t="shared" si="122"/>
        <v/>
      </c>
      <c r="FL98" s="77" t="str">
        <f t="shared" si="122"/>
        <v/>
      </c>
      <c r="FM98" s="77" t="str">
        <f t="shared" si="122"/>
        <v/>
      </c>
      <c r="FN98" s="77" t="str">
        <f t="shared" si="122"/>
        <v/>
      </c>
      <c r="FO98" s="77" t="str">
        <f t="shared" si="122"/>
        <v/>
      </c>
      <c r="FP98" s="77" t="str">
        <f t="shared" si="122"/>
        <v/>
      </c>
      <c r="FQ98" s="77" t="str">
        <f t="shared" si="122"/>
        <v/>
      </c>
      <c r="FR98" s="77" t="str">
        <f t="shared" si="122"/>
        <v/>
      </c>
      <c r="FS98" s="77" t="str">
        <f t="shared" si="122"/>
        <v/>
      </c>
      <c r="FT98" s="77" t="str">
        <f t="shared" si="122"/>
        <v/>
      </c>
      <c r="FU98" s="77" t="str">
        <f t="shared" si="122"/>
        <v/>
      </c>
      <c r="FV98" s="77" t="str">
        <f t="shared" si="122"/>
        <v/>
      </c>
      <c r="FW98" s="77" t="str">
        <f t="shared" si="122"/>
        <v/>
      </c>
      <c r="FX98" s="77" t="str">
        <f t="shared" si="122"/>
        <v/>
      </c>
      <c r="FY98" s="77" t="str">
        <f t="shared" si="122"/>
        <v/>
      </c>
      <c r="FZ98" s="77" t="str">
        <f t="shared" si="122"/>
        <v/>
      </c>
      <c r="GA98" s="77" t="str">
        <f t="shared" si="122"/>
        <v/>
      </c>
      <c r="GB98" s="77" t="str">
        <f t="shared" si="122"/>
        <v/>
      </c>
      <c r="GC98" s="77" t="str">
        <f t="shared" si="122"/>
        <v/>
      </c>
      <c r="GD98" s="77" t="str">
        <f t="shared" si="122"/>
        <v/>
      </c>
      <c r="GE98" s="77" t="str">
        <f t="shared" ref="GE98:GX98" si="127">IF(GD98="","",GD98+1)</f>
        <v/>
      </c>
      <c r="GF98" s="77" t="str">
        <f t="shared" si="127"/>
        <v/>
      </c>
      <c r="GG98" s="77" t="str">
        <f t="shared" si="127"/>
        <v/>
      </c>
      <c r="GH98" s="77" t="str">
        <f t="shared" si="127"/>
        <v/>
      </c>
      <c r="GI98" s="77" t="str">
        <f t="shared" si="127"/>
        <v/>
      </c>
      <c r="GJ98" s="77" t="str">
        <f t="shared" si="127"/>
        <v/>
      </c>
      <c r="GK98" s="77" t="str">
        <f t="shared" si="127"/>
        <v/>
      </c>
      <c r="GL98" s="77" t="str">
        <f t="shared" si="127"/>
        <v/>
      </c>
      <c r="GM98" s="77" t="str">
        <f t="shared" si="127"/>
        <v/>
      </c>
      <c r="GN98" s="77" t="str">
        <f t="shared" si="127"/>
        <v/>
      </c>
      <c r="GO98" s="77" t="str">
        <f t="shared" si="127"/>
        <v/>
      </c>
      <c r="GP98" s="77" t="str">
        <f t="shared" si="127"/>
        <v/>
      </c>
      <c r="GQ98" s="77" t="str">
        <f t="shared" si="127"/>
        <v/>
      </c>
      <c r="GR98" s="77" t="str">
        <f t="shared" si="127"/>
        <v/>
      </c>
      <c r="GS98" s="77" t="str">
        <f t="shared" si="127"/>
        <v/>
      </c>
      <c r="GT98" s="77" t="str">
        <f t="shared" si="127"/>
        <v/>
      </c>
      <c r="GU98" s="77" t="str">
        <f t="shared" si="127"/>
        <v/>
      </c>
      <c r="GV98" s="77" t="str">
        <f t="shared" si="127"/>
        <v/>
      </c>
      <c r="GW98" s="77" t="str">
        <f t="shared" si="127"/>
        <v/>
      </c>
      <c r="GX98" s="77" t="str">
        <f t="shared" si="127"/>
        <v/>
      </c>
    </row>
    <row r="99" spans="1:206" ht="15" customHeight="1" x14ac:dyDescent="0.2">
      <c r="A99" s="22" t="s">
        <v>162</v>
      </c>
      <c r="B99" s="22">
        <v>5</v>
      </c>
      <c r="C99" s="22" t="s">
        <v>162</v>
      </c>
      <c r="D99" s="22">
        <v>4</v>
      </c>
      <c r="E99" s="22" t="s">
        <v>221</v>
      </c>
      <c r="F99" s="22" t="s">
        <v>71</v>
      </c>
      <c r="G99" s="22" t="s">
        <v>72</v>
      </c>
      <c r="H99" s="22">
        <v>2024</v>
      </c>
      <c r="I99" s="22">
        <v>2</v>
      </c>
      <c r="J99" s="22">
        <v>19.09</v>
      </c>
      <c r="K99" s="22">
        <v>0</v>
      </c>
      <c r="L99" s="22">
        <v>2709</v>
      </c>
      <c r="M99" s="22">
        <v>2709</v>
      </c>
      <c r="N99" s="22" t="s">
        <v>196</v>
      </c>
      <c r="O99" s="22" t="s">
        <v>74</v>
      </c>
      <c r="P99" s="22" t="s">
        <v>216</v>
      </c>
      <c r="Q99" s="24"/>
      <c r="R99" s="22" t="str">
        <f>IF($E99="","",IFERROR(INDEX($W99:$GX99,MATCH('Dashboard Ciclos'!$B$2,$W$1:$GX$1,0)),""))</f>
        <v/>
      </c>
      <c r="S99" s="22" t="str">
        <f t="shared" ref="S99:S126" si="128">IF($Q99="","Sin dato",IF($R99&lt;=CicloObjetivo,"En ciclo",IF($R99-CicloObjetivo&lt;=5,"Vencido 1-5 d",IF($R99-CicloObjetivo&lt;=10,"Vencido 6-10 d",IF($R99-CicloObjetivo&lt;=15,"Vencido 11-15 d","Vencido +15 d")))))</f>
        <v>Sin dato</v>
      </c>
      <c r="T99" s="22" t="str">
        <f t="shared" ref="T99:T126" si="129">IF($Q99="","Sin dato",IF($R99&lt;VentanaCosecha,"Recién cortado",IF($R99&lt;=CicloObjetivo,"En ciclo","Fuera de ciclo")))</f>
        <v>Sin dato</v>
      </c>
      <c r="U99" s="22" t="str">
        <f t="shared" ref="U99:U126" si="130">IF($Q99="","",CicloObjetivo-$R99)</f>
        <v/>
      </c>
      <c r="V99" s="23" t="str">
        <f t="shared" ref="V99:V126" si="131">IF($Q99="","",$Q99+CicloObjetivo)</f>
        <v/>
      </c>
      <c r="W99" s="77" t="str">
        <f t="shared" si="125"/>
        <v/>
      </c>
      <c r="X99" s="77" t="str">
        <f t="shared" si="89"/>
        <v/>
      </c>
      <c r="Y99" s="77" t="str">
        <f t="shared" si="89"/>
        <v/>
      </c>
      <c r="Z99" s="77" t="str">
        <f t="shared" si="89"/>
        <v/>
      </c>
      <c r="AA99" s="77" t="s">
        <v>218</v>
      </c>
      <c r="AB99" s="77" t="str">
        <f t="shared" si="89"/>
        <v/>
      </c>
      <c r="AC99" s="77" t="str">
        <f t="shared" si="89"/>
        <v/>
      </c>
      <c r="AD99" s="77" t="str">
        <f t="shared" si="89"/>
        <v/>
      </c>
      <c r="AE99" s="77" t="str">
        <f t="shared" si="89"/>
        <v/>
      </c>
      <c r="AF99" s="77" t="str">
        <f t="shared" si="89"/>
        <v/>
      </c>
      <c r="AG99" s="77" t="str">
        <f t="shared" si="89"/>
        <v/>
      </c>
      <c r="AH99" s="77" t="str">
        <f t="shared" si="89"/>
        <v/>
      </c>
      <c r="AI99" s="77" t="str">
        <f t="shared" si="89"/>
        <v/>
      </c>
      <c r="AJ99" s="77" t="str">
        <f t="shared" si="89"/>
        <v/>
      </c>
      <c r="AK99" s="77" t="str">
        <f t="shared" si="90"/>
        <v/>
      </c>
      <c r="AL99" s="77" t="str">
        <f t="shared" si="90"/>
        <v/>
      </c>
      <c r="AM99" s="77" t="str">
        <f t="shared" si="90"/>
        <v/>
      </c>
      <c r="AN99" s="77" t="str">
        <f t="shared" si="91"/>
        <v/>
      </c>
      <c r="AO99" s="77" t="str">
        <f t="shared" si="90"/>
        <v/>
      </c>
      <c r="AP99" s="77" t="str">
        <f t="shared" si="90"/>
        <v/>
      </c>
      <c r="AQ99" s="77" t="str">
        <f t="shared" si="90"/>
        <v/>
      </c>
      <c r="AR99" s="77" t="str">
        <f t="shared" si="105"/>
        <v/>
      </c>
      <c r="AS99" s="77" t="str">
        <f t="shared" si="126"/>
        <v/>
      </c>
      <c r="AT99" s="77" t="str">
        <f t="shared" si="126"/>
        <v/>
      </c>
      <c r="AU99" s="77" t="str">
        <f t="shared" si="126"/>
        <v/>
      </c>
      <c r="AV99" s="77" t="str">
        <f t="shared" si="126"/>
        <v/>
      </c>
      <c r="AW99" s="77" t="str">
        <f t="shared" si="126"/>
        <v/>
      </c>
      <c r="AX99" s="77" t="str">
        <f t="shared" si="126"/>
        <v/>
      </c>
      <c r="AY99" s="77" t="str">
        <f t="shared" si="126"/>
        <v/>
      </c>
      <c r="AZ99" s="77" t="str">
        <f t="shared" si="126"/>
        <v/>
      </c>
      <c r="BA99" s="77" t="str">
        <f t="shared" si="126"/>
        <v/>
      </c>
      <c r="BB99" s="77" t="str">
        <f t="shared" si="126"/>
        <v/>
      </c>
      <c r="BC99" s="77" t="str">
        <f t="shared" si="126"/>
        <v/>
      </c>
      <c r="BD99" s="77" t="str">
        <f t="shared" si="126"/>
        <v/>
      </c>
      <c r="BE99" s="77" t="str">
        <f t="shared" si="126"/>
        <v/>
      </c>
      <c r="BF99" s="77" t="str">
        <f t="shared" si="126"/>
        <v/>
      </c>
      <c r="BG99" s="77" t="str">
        <f t="shared" si="126"/>
        <v/>
      </c>
      <c r="BH99" s="77" t="str">
        <f t="shared" si="126"/>
        <v/>
      </c>
      <c r="BI99" s="77" t="str">
        <f t="shared" si="126"/>
        <v/>
      </c>
      <c r="BJ99" s="77" t="str">
        <f t="shared" si="126"/>
        <v/>
      </c>
      <c r="BK99" s="77" t="str">
        <f t="shared" si="126"/>
        <v/>
      </c>
      <c r="BL99" s="77" t="str">
        <f t="shared" si="126"/>
        <v/>
      </c>
      <c r="BM99" s="77" t="str">
        <f t="shared" si="126"/>
        <v/>
      </c>
      <c r="BN99" s="77" t="str">
        <f t="shared" si="126"/>
        <v/>
      </c>
      <c r="BO99" s="77" t="str">
        <f t="shared" si="126"/>
        <v/>
      </c>
      <c r="BP99" s="77" t="str">
        <f t="shared" si="126"/>
        <v/>
      </c>
      <c r="BQ99" s="77" t="str">
        <f t="shared" si="126"/>
        <v/>
      </c>
      <c r="BR99" s="77" t="str">
        <f t="shared" si="126"/>
        <v/>
      </c>
      <c r="BS99" s="77" t="str">
        <f t="shared" si="126"/>
        <v/>
      </c>
      <c r="BT99" s="77" t="str">
        <f t="shared" si="126"/>
        <v/>
      </c>
      <c r="BU99" s="77" t="str">
        <f t="shared" si="126"/>
        <v/>
      </c>
      <c r="BV99" s="77" t="str">
        <f t="shared" si="126"/>
        <v/>
      </c>
      <c r="BW99" s="77" t="str">
        <f t="shared" si="126"/>
        <v/>
      </c>
      <c r="BX99" s="77" t="str">
        <f t="shared" si="126"/>
        <v/>
      </c>
      <c r="BY99" s="77" t="str">
        <f t="shared" si="126"/>
        <v/>
      </c>
      <c r="BZ99" s="77" t="str">
        <f t="shared" si="126"/>
        <v/>
      </c>
      <c r="CA99" s="77" t="str">
        <f t="shared" si="126"/>
        <v/>
      </c>
      <c r="CB99" s="77" t="str">
        <f t="shared" si="126"/>
        <v/>
      </c>
      <c r="CC99" s="77" t="str">
        <f t="shared" si="126"/>
        <v/>
      </c>
      <c r="CD99" s="77" t="str">
        <f t="shared" si="126"/>
        <v/>
      </c>
      <c r="CE99" s="77" t="str">
        <f t="shared" si="126"/>
        <v/>
      </c>
      <c r="CF99" s="77" t="str">
        <f t="shared" si="126"/>
        <v/>
      </c>
      <c r="CG99" s="77" t="str">
        <f t="shared" si="126"/>
        <v/>
      </c>
      <c r="CH99" s="77" t="str">
        <f t="shared" si="126"/>
        <v/>
      </c>
      <c r="CI99" s="77" t="str">
        <f t="shared" si="126"/>
        <v/>
      </c>
      <c r="CJ99" s="77" t="str">
        <f t="shared" ref="CJ99:EU102" si="132">IF(CI99="","",CI99+1)</f>
        <v/>
      </c>
      <c r="CK99" s="77" t="str">
        <f t="shared" si="132"/>
        <v/>
      </c>
      <c r="CL99" s="77" t="str">
        <f t="shared" si="132"/>
        <v/>
      </c>
      <c r="CM99" s="77" t="str">
        <f t="shared" si="132"/>
        <v/>
      </c>
      <c r="CN99" s="77" t="str">
        <f t="shared" si="132"/>
        <v/>
      </c>
      <c r="CO99" s="77" t="str">
        <f t="shared" si="132"/>
        <v/>
      </c>
      <c r="CP99" s="77" t="str">
        <f t="shared" si="132"/>
        <v/>
      </c>
      <c r="CQ99" s="77" t="str">
        <f t="shared" si="132"/>
        <v/>
      </c>
      <c r="CR99" s="77" t="str">
        <f t="shared" si="132"/>
        <v/>
      </c>
      <c r="CS99" s="77" t="str">
        <f t="shared" si="132"/>
        <v/>
      </c>
      <c r="CT99" s="77" t="str">
        <f t="shared" si="132"/>
        <v/>
      </c>
      <c r="CU99" s="77" t="str">
        <f t="shared" si="132"/>
        <v/>
      </c>
      <c r="CV99" s="77" t="str">
        <f t="shared" si="132"/>
        <v/>
      </c>
      <c r="CW99" s="77" t="str">
        <f t="shared" si="132"/>
        <v/>
      </c>
      <c r="CX99" s="77" t="str">
        <f t="shared" si="132"/>
        <v/>
      </c>
      <c r="CY99" s="77" t="str">
        <f t="shared" si="132"/>
        <v/>
      </c>
      <c r="CZ99" s="77" t="str">
        <f t="shared" si="132"/>
        <v/>
      </c>
      <c r="DA99" s="77" t="str">
        <f t="shared" si="132"/>
        <v/>
      </c>
      <c r="DB99" s="77" t="str">
        <f t="shared" si="132"/>
        <v/>
      </c>
      <c r="DC99" s="77" t="str">
        <f t="shared" si="132"/>
        <v/>
      </c>
      <c r="DD99" s="77" t="str">
        <f t="shared" si="132"/>
        <v/>
      </c>
      <c r="DE99" s="77" t="str">
        <f t="shared" si="132"/>
        <v/>
      </c>
      <c r="DF99" s="77" t="str">
        <f t="shared" si="132"/>
        <v/>
      </c>
      <c r="DG99" s="77" t="str">
        <f t="shared" si="132"/>
        <v/>
      </c>
      <c r="DH99" s="77" t="str">
        <f t="shared" si="132"/>
        <v/>
      </c>
      <c r="DI99" s="77" t="str">
        <f t="shared" si="132"/>
        <v/>
      </c>
      <c r="DJ99" s="77" t="str">
        <f t="shared" si="132"/>
        <v/>
      </c>
      <c r="DK99" s="77" t="str">
        <f t="shared" si="132"/>
        <v/>
      </c>
      <c r="DL99" s="77" t="str">
        <f t="shared" si="132"/>
        <v/>
      </c>
      <c r="DM99" s="77" t="str">
        <f t="shared" si="132"/>
        <v/>
      </c>
      <c r="DN99" s="77" t="str">
        <f t="shared" si="132"/>
        <v/>
      </c>
      <c r="DO99" s="77" t="str">
        <f t="shared" si="132"/>
        <v/>
      </c>
      <c r="DP99" s="77" t="str">
        <f t="shared" si="132"/>
        <v/>
      </c>
      <c r="DQ99" s="77" t="str">
        <f t="shared" si="132"/>
        <v/>
      </c>
      <c r="DR99" s="77" t="str">
        <f t="shared" si="132"/>
        <v/>
      </c>
      <c r="DS99" s="77" t="str">
        <f t="shared" si="132"/>
        <v/>
      </c>
      <c r="DT99" s="77" t="str">
        <f t="shared" si="132"/>
        <v/>
      </c>
      <c r="DU99" s="77" t="str">
        <f t="shared" si="132"/>
        <v/>
      </c>
      <c r="DV99" s="77" t="str">
        <f t="shared" si="132"/>
        <v/>
      </c>
      <c r="DW99" s="77" t="str">
        <f t="shared" si="132"/>
        <v/>
      </c>
      <c r="DX99" s="77" t="str">
        <f t="shared" si="132"/>
        <v/>
      </c>
      <c r="DY99" s="77" t="str">
        <f t="shared" si="132"/>
        <v/>
      </c>
      <c r="DZ99" s="77" t="str">
        <f t="shared" si="132"/>
        <v/>
      </c>
      <c r="EA99" s="77" t="str">
        <f t="shared" si="132"/>
        <v/>
      </c>
      <c r="EB99" s="77" t="str">
        <f t="shared" si="132"/>
        <v/>
      </c>
      <c r="EC99" s="77" t="str">
        <f t="shared" si="132"/>
        <v/>
      </c>
      <c r="ED99" s="77" t="str">
        <f t="shared" si="132"/>
        <v/>
      </c>
      <c r="EE99" s="77" t="str">
        <f t="shared" si="132"/>
        <v/>
      </c>
      <c r="EF99" s="77" t="str">
        <f t="shared" si="132"/>
        <v/>
      </c>
      <c r="EG99" s="77" t="str">
        <f t="shared" si="132"/>
        <v/>
      </c>
      <c r="EH99" s="77" t="str">
        <f t="shared" si="132"/>
        <v/>
      </c>
      <c r="EI99" s="77" t="str">
        <f t="shared" si="132"/>
        <v/>
      </c>
      <c r="EJ99" s="77" t="str">
        <f t="shared" si="132"/>
        <v/>
      </c>
      <c r="EK99" s="77" t="str">
        <f t="shared" si="132"/>
        <v/>
      </c>
      <c r="EL99" s="77" t="str">
        <f t="shared" si="132"/>
        <v/>
      </c>
      <c r="EM99" s="77" t="str">
        <f t="shared" si="132"/>
        <v/>
      </c>
      <c r="EN99" s="77" t="str">
        <f t="shared" si="132"/>
        <v/>
      </c>
      <c r="EO99" s="77" t="str">
        <f t="shared" si="132"/>
        <v/>
      </c>
      <c r="EP99" s="77" t="str">
        <f t="shared" si="132"/>
        <v/>
      </c>
      <c r="EQ99" s="77" t="str">
        <f t="shared" si="132"/>
        <v/>
      </c>
      <c r="ER99" s="77" t="str">
        <f t="shared" si="132"/>
        <v/>
      </c>
      <c r="ES99" s="77" t="str">
        <f t="shared" si="132"/>
        <v/>
      </c>
      <c r="ET99" s="77" t="str">
        <f t="shared" si="132"/>
        <v/>
      </c>
      <c r="EU99" s="77" t="str">
        <f t="shared" si="132"/>
        <v/>
      </c>
      <c r="EV99" s="77" t="str">
        <f t="shared" ref="EV99:GX103" si="133">IF(EU99="","",EU99+1)</f>
        <v/>
      </c>
      <c r="EW99" s="77" t="str">
        <f t="shared" si="133"/>
        <v/>
      </c>
      <c r="EX99" s="77" t="str">
        <f t="shared" si="133"/>
        <v/>
      </c>
      <c r="EY99" s="77" t="str">
        <f t="shared" si="133"/>
        <v/>
      </c>
      <c r="EZ99" s="77" t="str">
        <f t="shared" si="133"/>
        <v/>
      </c>
      <c r="FA99" s="77" t="str">
        <f t="shared" si="133"/>
        <v/>
      </c>
      <c r="FB99" s="77" t="str">
        <f t="shared" si="133"/>
        <v/>
      </c>
      <c r="FC99" s="77" t="str">
        <f t="shared" si="133"/>
        <v/>
      </c>
      <c r="FD99" s="77" t="str">
        <f t="shared" si="133"/>
        <v/>
      </c>
      <c r="FE99" s="77" t="str">
        <f t="shared" si="133"/>
        <v/>
      </c>
      <c r="FF99" s="77" t="str">
        <f t="shared" si="133"/>
        <v/>
      </c>
      <c r="FG99" s="77" t="str">
        <f t="shared" si="133"/>
        <v/>
      </c>
      <c r="FH99" s="77" t="str">
        <f t="shared" si="133"/>
        <v/>
      </c>
      <c r="FI99" s="77" t="str">
        <f t="shared" si="133"/>
        <v/>
      </c>
      <c r="FJ99" s="77" t="str">
        <f t="shared" si="133"/>
        <v/>
      </c>
      <c r="FK99" s="77" t="str">
        <f t="shared" si="133"/>
        <v/>
      </c>
      <c r="FL99" s="77" t="str">
        <f t="shared" si="133"/>
        <v/>
      </c>
      <c r="FM99" s="77" t="str">
        <f t="shared" si="133"/>
        <v/>
      </c>
      <c r="FN99" s="77" t="str">
        <f t="shared" si="133"/>
        <v/>
      </c>
      <c r="FO99" s="77" t="str">
        <f t="shared" si="133"/>
        <v/>
      </c>
      <c r="FP99" s="77" t="str">
        <f t="shared" si="133"/>
        <v/>
      </c>
      <c r="FQ99" s="77" t="str">
        <f t="shared" si="133"/>
        <v/>
      </c>
      <c r="FR99" s="77" t="str">
        <f t="shared" si="133"/>
        <v/>
      </c>
      <c r="FS99" s="77" t="str">
        <f t="shared" si="133"/>
        <v/>
      </c>
      <c r="FT99" s="77" t="str">
        <f t="shared" si="133"/>
        <v/>
      </c>
      <c r="FU99" s="77" t="str">
        <f t="shared" si="133"/>
        <v/>
      </c>
      <c r="FV99" s="77" t="str">
        <f t="shared" si="133"/>
        <v/>
      </c>
      <c r="FW99" s="77" t="str">
        <f t="shared" si="133"/>
        <v/>
      </c>
      <c r="FX99" s="77" t="str">
        <f t="shared" si="133"/>
        <v/>
      </c>
      <c r="FY99" s="77" t="str">
        <f t="shared" si="133"/>
        <v/>
      </c>
      <c r="FZ99" s="77" t="str">
        <f t="shared" si="133"/>
        <v/>
      </c>
      <c r="GA99" s="77" t="str">
        <f t="shared" si="133"/>
        <v/>
      </c>
      <c r="GB99" s="77" t="str">
        <f t="shared" si="133"/>
        <v/>
      </c>
      <c r="GC99" s="77" t="str">
        <f t="shared" si="133"/>
        <v/>
      </c>
      <c r="GD99" s="77" t="str">
        <f t="shared" si="133"/>
        <v/>
      </c>
      <c r="GE99" s="77" t="str">
        <f t="shared" si="133"/>
        <v/>
      </c>
      <c r="GF99" s="77" t="str">
        <f t="shared" si="133"/>
        <v/>
      </c>
      <c r="GG99" s="77" t="str">
        <f t="shared" si="133"/>
        <v/>
      </c>
      <c r="GH99" s="77" t="str">
        <f t="shared" si="133"/>
        <v/>
      </c>
      <c r="GI99" s="77" t="str">
        <f t="shared" si="133"/>
        <v/>
      </c>
      <c r="GJ99" s="77" t="str">
        <f t="shared" si="133"/>
        <v/>
      </c>
      <c r="GK99" s="77" t="str">
        <f t="shared" si="133"/>
        <v/>
      </c>
      <c r="GL99" s="77" t="str">
        <f t="shared" si="133"/>
        <v/>
      </c>
      <c r="GM99" s="77" t="str">
        <f t="shared" si="133"/>
        <v/>
      </c>
      <c r="GN99" s="77" t="str">
        <f t="shared" si="133"/>
        <v/>
      </c>
      <c r="GO99" s="77" t="str">
        <f t="shared" si="133"/>
        <v/>
      </c>
      <c r="GP99" s="77" t="str">
        <f t="shared" si="133"/>
        <v/>
      </c>
      <c r="GQ99" s="77" t="str">
        <f t="shared" si="133"/>
        <v/>
      </c>
      <c r="GR99" s="77" t="str">
        <f t="shared" si="133"/>
        <v/>
      </c>
      <c r="GS99" s="77" t="str">
        <f t="shared" si="133"/>
        <v/>
      </c>
      <c r="GT99" s="77" t="str">
        <f t="shared" si="133"/>
        <v/>
      </c>
      <c r="GU99" s="77" t="str">
        <f t="shared" si="133"/>
        <v/>
      </c>
      <c r="GV99" s="77" t="str">
        <f t="shared" si="133"/>
        <v/>
      </c>
      <c r="GW99" s="77" t="str">
        <f t="shared" si="133"/>
        <v/>
      </c>
      <c r="GX99" s="77" t="str">
        <f t="shared" si="133"/>
        <v/>
      </c>
    </row>
    <row r="100" spans="1:206" ht="15" customHeight="1" x14ac:dyDescent="0.2">
      <c r="A100" s="22" t="s">
        <v>162</v>
      </c>
      <c r="B100" s="22">
        <v>5</v>
      </c>
      <c r="C100" s="22" t="s">
        <v>162</v>
      </c>
      <c r="D100" s="22">
        <v>5</v>
      </c>
      <c r="E100" s="22" t="s">
        <v>222</v>
      </c>
      <c r="F100" s="22" t="s">
        <v>71</v>
      </c>
      <c r="G100" s="22" t="s">
        <v>72</v>
      </c>
      <c r="H100" s="22">
        <v>2024</v>
      </c>
      <c r="I100" s="22">
        <v>2</v>
      </c>
      <c r="J100" s="22">
        <v>18.010000000000002</v>
      </c>
      <c r="K100" s="22">
        <v>0</v>
      </c>
      <c r="L100" s="22">
        <v>2570</v>
      </c>
      <c r="M100" s="22">
        <v>2570</v>
      </c>
      <c r="N100" s="22" t="s">
        <v>196</v>
      </c>
      <c r="O100" s="22" t="s">
        <v>74</v>
      </c>
      <c r="P100" s="22" t="s">
        <v>216</v>
      </c>
      <c r="Q100" s="24"/>
      <c r="R100" s="22" t="str">
        <f>IF($E100="","",IFERROR(INDEX($W100:$GX100,MATCH('Dashboard Ciclos'!$B$2,$W$1:$GX$1,0)),""))</f>
        <v/>
      </c>
      <c r="S100" s="22" t="str">
        <f t="shared" si="128"/>
        <v>Sin dato</v>
      </c>
      <c r="T100" s="22" t="str">
        <f t="shared" si="129"/>
        <v>Sin dato</v>
      </c>
      <c r="U100" s="22" t="str">
        <f t="shared" si="130"/>
        <v/>
      </c>
      <c r="V100" s="23" t="str">
        <f t="shared" si="131"/>
        <v/>
      </c>
      <c r="W100" s="77" t="str">
        <f t="shared" si="125"/>
        <v/>
      </c>
      <c r="X100" s="77" t="str">
        <f t="shared" si="89"/>
        <v/>
      </c>
      <c r="Y100" s="77" t="str">
        <f t="shared" si="89"/>
        <v/>
      </c>
      <c r="Z100" s="77" t="str">
        <f t="shared" si="89"/>
        <v/>
      </c>
      <c r="AA100" s="77" t="s">
        <v>218</v>
      </c>
      <c r="AB100" s="77" t="str">
        <f t="shared" si="89"/>
        <v/>
      </c>
      <c r="AC100" s="77" t="str">
        <f t="shared" si="89"/>
        <v/>
      </c>
      <c r="AD100" s="77" t="str">
        <f t="shared" ref="Y100:AJ115" si="134">IF(AC100="","",AC100+1)</f>
        <v/>
      </c>
      <c r="AE100" s="77" t="str">
        <f t="shared" si="134"/>
        <v/>
      </c>
      <c r="AF100" s="77" t="str">
        <f t="shared" si="134"/>
        <v/>
      </c>
      <c r="AG100" s="77" t="str">
        <f t="shared" si="134"/>
        <v/>
      </c>
      <c r="AH100" s="77" t="str">
        <f t="shared" si="134"/>
        <v/>
      </c>
      <c r="AI100" s="77" t="str">
        <f t="shared" si="134"/>
        <v/>
      </c>
      <c r="AJ100" s="77" t="str">
        <f t="shared" si="134"/>
        <v/>
      </c>
      <c r="AK100" s="77" t="str">
        <f t="shared" si="90"/>
        <v/>
      </c>
      <c r="AL100" s="77" t="str">
        <f t="shared" si="90"/>
        <v/>
      </c>
      <c r="AM100" s="77" t="str">
        <f t="shared" si="90"/>
        <v/>
      </c>
      <c r="AN100" s="77" t="str">
        <f t="shared" si="91"/>
        <v/>
      </c>
      <c r="AO100" s="77" t="str">
        <f t="shared" si="90"/>
        <v/>
      </c>
      <c r="AP100" s="77" t="str">
        <f t="shared" si="90"/>
        <v/>
      </c>
      <c r="AQ100" s="77" t="str">
        <f t="shared" si="90"/>
        <v/>
      </c>
      <c r="AR100" s="77" t="str">
        <f t="shared" si="105"/>
        <v/>
      </c>
      <c r="AS100" s="77" t="str">
        <f t="shared" ref="AS100:CJ103" si="135">IF(AR100="","",AR100+1)</f>
        <v/>
      </c>
      <c r="AT100" s="77" t="str">
        <f t="shared" si="135"/>
        <v/>
      </c>
      <c r="AU100" s="77" t="str">
        <f t="shared" si="135"/>
        <v/>
      </c>
      <c r="AV100" s="77" t="str">
        <f t="shared" si="135"/>
        <v/>
      </c>
      <c r="AW100" s="77" t="str">
        <f t="shared" si="135"/>
        <v/>
      </c>
      <c r="AX100" s="77" t="str">
        <f t="shared" si="135"/>
        <v/>
      </c>
      <c r="AY100" s="77" t="str">
        <f t="shared" si="135"/>
        <v/>
      </c>
      <c r="AZ100" s="77" t="str">
        <f t="shared" si="135"/>
        <v/>
      </c>
      <c r="BA100" s="77" t="str">
        <f t="shared" si="135"/>
        <v/>
      </c>
      <c r="BB100" s="77" t="str">
        <f t="shared" si="135"/>
        <v/>
      </c>
      <c r="BC100" s="77" t="str">
        <f t="shared" si="135"/>
        <v/>
      </c>
      <c r="BD100" s="77" t="str">
        <f t="shared" si="135"/>
        <v/>
      </c>
      <c r="BE100" s="77" t="str">
        <f t="shared" si="135"/>
        <v/>
      </c>
      <c r="BF100" s="77" t="str">
        <f t="shared" si="135"/>
        <v/>
      </c>
      <c r="BG100" s="77" t="str">
        <f t="shared" si="135"/>
        <v/>
      </c>
      <c r="BH100" s="77" t="str">
        <f t="shared" si="135"/>
        <v/>
      </c>
      <c r="BI100" s="77" t="str">
        <f t="shared" si="135"/>
        <v/>
      </c>
      <c r="BJ100" s="77" t="str">
        <f t="shared" si="135"/>
        <v/>
      </c>
      <c r="BK100" s="77" t="str">
        <f t="shared" si="135"/>
        <v/>
      </c>
      <c r="BL100" s="77" t="str">
        <f t="shared" si="135"/>
        <v/>
      </c>
      <c r="BM100" s="77" t="str">
        <f t="shared" si="135"/>
        <v/>
      </c>
      <c r="BN100" s="77" t="str">
        <f t="shared" si="135"/>
        <v/>
      </c>
      <c r="BO100" s="77" t="str">
        <f t="shared" si="135"/>
        <v/>
      </c>
      <c r="BP100" s="77" t="str">
        <f t="shared" si="135"/>
        <v/>
      </c>
      <c r="BQ100" s="77" t="str">
        <f t="shared" si="135"/>
        <v/>
      </c>
      <c r="BR100" s="77" t="str">
        <f t="shared" si="135"/>
        <v/>
      </c>
      <c r="BS100" s="77" t="str">
        <f t="shared" si="135"/>
        <v/>
      </c>
      <c r="BT100" s="77" t="str">
        <f t="shared" si="135"/>
        <v/>
      </c>
      <c r="BU100" s="77" t="str">
        <f t="shared" si="135"/>
        <v/>
      </c>
      <c r="BV100" s="77" t="str">
        <f t="shared" si="135"/>
        <v/>
      </c>
      <c r="BW100" s="77" t="str">
        <f t="shared" si="135"/>
        <v/>
      </c>
      <c r="BX100" s="77" t="str">
        <f t="shared" si="135"/>
        <v/>
      </c>
      <c r="BY100" s="77" t="str">
        <f t="shared" si="135"/>
        <v/>
      </c>
      <c r="BZ100" s="77" t="str">
        <f t="shared" si="135"/>
        <v/>
      </c>
      <c r="CA100" s="77" t="str">
        <f t="shared" si="135"/>
        <v/>
      </c>
      <c r="CB100" s="77" t="str">
        <f t="shared" si="135"/>
        <v/>
      </c>
      <c r="CC100" s="77" t="str">
        <f t="shared" si="135"/>
        <v/>
      </c>
      <c r="CD100" s="77" t="str">
        <f t="shared" si="135"/>
        <v/>
      </c>
      <c r="CE100" s="77" t="str">
        <f t="shared" si="135"/>
        <v/>
      </c>
      <c r="CF100" s="77" t="str">
        <f t="shared" si="135"/>
        <v/>
      </c>
      <c r="CG100" s="77" t="str">
        <f t="shared" si="135"/>
        <v/>
      </c>
      <c r="CH100" s="77" t="str">
        <f t="shared" si="135"/>
        <v/>
      </c>
      <c r="CI100" s="77" t="str">
        <f t="shared" si="135"/>
        <v/>
      </c>
      <c r="CJ100" s="77" t="str">
        <f t="shared" si="135"/>
        <v/>
      </c>
      <c r="CK100" s="77" t="str">
        <f t="shared" si="132"/>
        <v/>
      </c>
      <c r="CL100" s="77" t="str">
        <f t="shared" si="132"/>
        <v/>
      </c>
      <c r="CM100" s="77" t="str">
        <f t="shared" si="132"/>
        <v/>
      </c>
      <c r="CN100" s="77" t="str">
        <f t="shared" si="132"/>
        <v/>
      </c>
      <c r="CO100" s="77" t="str">
        <f t="shared" si="132"/>
        <v/>
      </c>
      <c r="CP100" s="77" t="str">
        <f t="shared" si="132"/>
        <v/>
      </c>
      <c r="CQ100" s="77" t="str">
        <f t="shared" si="132"/>
        <v/>
      </c>
      <c r="CR100" s="77" t="str">
        <f t="shared" si="132"/>
        <v/>
      </c>
      <c r="CS100" s="77" t="str">
        <f t="shared" si="132"/>
        <v/>
      </c>
      <c r="CT100" s="77" t="str">
        <f t="shared" si="132"/>
        <v/>
      </c>
      <c r="CU100" s="77" t="str">
        <f t="shared" si="132"/>
        <v/>
      </c>
      <c r="CV100" s="77" t="str">
        <f t="shared" si="132"/>
        <v/>
      </c>
      <c r="CW100" s="77" t="str">
        <f t="shared" si="132"/>
        <v/>
      </c>
      <c r="CX100" s="77" t="str">
        <f t="shared" si="132"/>
        <v/>
      </c>
      <c r="CY100" s="77" t="str">
        <f t="shared" si="132"/>
        <v/>
      </c>
      <c r="CZ100" s="77" t="str">
        <f t="shared" si="132"/>
        <v/>
      </c>
      <c r="DA100" s="77" t="str">
        <f t="shared" si="132"/>
        <v/>
      </c>
      <c r="DB100" s="77" t="str">
        <f t="shared" si="132"/>
        <v/>
      </c>
      <c r="DC100" s="77" t="str">
        <f t="shared" si="132"/>
        <v/>
      </c>
      <c r="DD100" s="77" t="str">
        <f t="shared" si="132"/>
        <v/>
      </c>
      <c r="DE100" s="77" t="str">
        <f t="shared" si="132"/>
        <v/>
      </c>
      <c r="DF100" s="77" t="str">
        <f t="shared" si="132"/>
        <v/>
      </c>
      <c r="DG100" s="77" t="str">
        <f t="shared" si="132"/>
        <v/>
      </c>
      <c r="DH100" s="77" t="str">
        <f t="shared" si="132"/>
        <v/>
      </c>
      <c r="DI100" s="77" t="str">
        <f t="shared" si="132"/>
        <v/>
      </c>
      <c r="DJ100" s="77" t="str">
        <f t="shared" si="132"/>
        <v/>
      </c>
      <c r="DK100" s="77" t="str">
        <f t="shared" si="132"/>
        <v/>
      </c>
      <c r="DL100" s="77" t="str">
        <f t="shared" si="132"/>
        <v/>
      </c>
      <c r="DM100" s="77" t="str">
        <f t="shared" si="132"/>
        <v/>
      </c>
      <c r="DN100" s="77" t="str">
        <f t="shared" si="132"/>
        <v/>
      </c>
      <c r="DO100" s="77" t="str">
        <f t="shared" si="132"/>
        <v/>
      </c>
      <c r="DP100" s="77" t="str">
        <f t="shared" si="132"/>
        <v/>
      </c>
      <c r="DQ100" s="77" t="str">
        <f t="shared" si="132"/>
        <v/>
      </c>
      <c r="DR100" s="77" t="str">
        <f t="shared" si="132"/>
        <v/>
      </c>
      <c r="DS100" s="77" t="str">
        <f t="shared" si="132"/>
        <v/>
      </c>
      <c r="DT100" s="77" t="str">
        <f t="shared" si="132"/>
        <v/>
      </c>
      <c r="DU100" s="77" t="str">
        <f t="shared" si="132"/>
        <v/>
      </c>
      <c r="DV100" s="77" t="str">
        <f t="shared" si="132"/>
        <v/>
      </c>
      <c r="DW100" s="77" t="str">
        <f t="shared" si="132"/>
        <v/>
      </c>
      <c r="DX100" s="77" t="str">
        <f t="shared" si="132"/>
        <v/>
      </c>
      <c r="DY100" s="77" t="str">
        <f t="shared" si="132"/>
        <v/>
      </c>
      <c r="DZ100" s="77" t="str">
        <f t="shared" si="132"/>
        <v/>
      </c>
      <c r="EA100" s="77" t="str">
        <f t="shared" si="132"/>
        <v/>
      </c>
      <c r="EB100" s="77" t="str">
        <f t="shared" si="132"/>
        <v/>
      </c>
      <c r="EC100" s="77" t="str">
        <f t="shared" si="132"/>
        <v/>
      </c>
      <c r="ED100" s="77" t="str">
        <f t="shared" si="132"/>
        <v/>
      </c>
      <c r="EE100" s="77" t="str">
        <f t="shared" si="132"/>
        <v/>
      </c>
      <c r="EF100" s="77" t="str">
        <f t="shared" si="132"/>
        <v/>
      </c>
      <c r="EG100" s="77" t="str">
        <f t="shared" si="132"/>
        <v/>
      </c>
      <c r="EH100" s="77" t="str">
        <f t="shared" si="132"/>
        <v/>
      </c>
      <c r="EI100" s="77" t="str">
        <f t="shared" si="132"/>
        <v/>
      </c>
      <c r="EJ100" s="77" t="str">
        <f t="shared" si="132"/>
        <v/>
      </c>
      <c r="EK100" s="77" t="str">
        <f t="shared" si="132"/>
        <v/>
      </c>
      <c r="EL100" s="77" t="str">
        <f t="shared" si="132"/>
        <v/>
      </c>
      <c r="EM100" s="77" t="str">
        <f t="shared" si="132"/>
        <v/>
      </c>
      <c r="EN100" s="77" t="str">
        <f t="shared" si="132"/>
        <v/>
      </c>
      <c r="EO100" s="77" t="str">
        <f t="shared" si="132"/>
        <v/>
      </c>
      <c r="EP100" s="77" t="str">
        <f t="shared" si="132"/>
        <v/>
      </c>
      <c r="EQ100" s="77" t="str">
        <f t="shared" si="132"/>
        <v/>
      </c>
      <c r="ER100" s="77" t="str">
        <f t="shared" si="132"/>
        <v/>
      </c>
      <c r="ES100" s="77" t="str">
        <f t="shared" si="132"/>
        <v/>
      </c>
      <c r="ET100" s="77" t="str">
        <f t="shared" si="132"/>
        <v/>
      </c>
      <c r="EU100" s="77" t="str">
        <f t="shared" si="132"/>
        <v/>
      </c>
      <c r="EV100" s="77" t="str">
        <f t="shared" si="133"/>
        <v/>
      </c>
      <c r="EW100" s="77" t="str">
        <f t="shared" si="133"/>
        <v/>
      </c>
      <c r="EX100" s="77" t="str">
        <f t="shared" si="133"/>
        <v/>
      </c>
      <c r="EY100" s="77" t="str">
        <f t="shared" si="133"/>
        <v/>
      </c>
      <c r="EZ100" s="77" t="str">
        <f t="shared" si="133"/>
        <v/>
      </c>
      <c r="FA100" s="77" t="str">
        <f t="shared" si="133"/>
        <v/>
      </c>
      <c r="FB100" s="77" t="str">
        <f t="shared" si="133"/>
        <v/>
      </c>
      <c r="FC100" s="77" t="str">
        <f t="shared" si="133"/>
        <v/>
      </c>
      <c r="FD100" s="77" t="str">
        <f t="shared" si="133"/>
        <v/>
      </c>
      <c r="FE100" s="77" t="str">
        <f t="shared" si="133"/>
        <v/>
      </c>
      <c r="FF100" s="77" t="str">
        <f t="shared" si="133"/>
        <v/>
      </c>
      <c r="FG100" s="77" t="str">
        <f t="shared" si="133"/>
        <v/>
      </c>
      <c r="FH100" s="77" t="str">
        <f t="shared" si="133"/>
        <v/>
      </c>
      <c r="FI100" s="77" t="str">
        <f t="shared" si="133"/>
        <v/>
      </c>
      <c r="FJ100" s="77" t="str">
        <f t="shared" si="133"/>
        <v/>
      </c>
      <c r="FK100" s="77" t="str">
        <f t="shared" si="133"/>
        <v/>
      </c>
      <c r="FL100" s="77" t="str">
        <f t="shared" si="133"/>
        <v/>
      </c>
      <c r="FM100" s="77" t="str">
        <f t="shared" si="133"/>
        <v/>
      </c>
      <c r="FN100" s="77" t="str">
        <f t="shared" si="133"/>
        <v/>
      </c>
      <c r="FO100" s="77" t="str">
        <f t="shared" si="133"/>
        <v/>
      </c>
      <c r="FP100" s="77" t="str">
        <f t="shared" si="133"/>
        <v/>
      </c>
      <c r="FQ100" s="77" t="str">
        <f t="shared" si="133"/>
        <v/>
      </c>
      <c r="FR100" s="77" t="str">
        <f t="shared" si="133"/>
        <v/>
      </c>
      <c r="FS100" s="77" t="str">
        <f t="shared" si="133"/>
        <v/>
      </c>
      <c r="FT100" s="77" t="str">
        <f t="shared" si="133"/>
        <v/>
      </c>
      <c r="FU100" s="77" t="str">
        <f t="shared" si="133"/>
        <v/>
      </c>
      <c r="FV100" s="77" t="str">
        <f t="shared" si="133"/>
        <v/>
      </c>
      <c r="FW100" s="77" t="str">
        <f t="shared" si="133"/>
        <v/>
      </c>
      <c r="FX100" s="77" t="str">
        <f t="shared" si="133"/>
        <v/>
      </c>
      <c r="FY100" s="77" t="str">
        <f t="shared" si="133"/>
        <v/>
      </c>
      <c r="FZ100" s="77" t="str">
        <f t="shared" si="133"/>
        <v/>
      </c>
      <c r="GA100" s="77" t="str">
        <f t="shared" si="133"/>
        <v/>
      </c>
      <c r="GB100" s="77" t="str">
        <f t="shared" si="133"/>
        <v/>
      </c>
      <c r="GC100" s="77" t="str">
        <f t="shared" si="133"/>
        <v/>
      </c>
      <c r="GD100" s="77" t="str">
        <f t="shared" si="133"/>
        <v/>
      </c>
      <c r="GE100" s="77" t="str">
        <f t="shared" si="133"/>
        <v/>
      </c>
      <c r="GF100" s="77" t="str">
        <f t="shared" si="133"/>
        <v/>
      </c>
      <c r="GG100" s="77" t="str">
        <f t="shared" si="133"/>
        <v/>
      </c>
      <c r="GH100" s="77" t="str">
        <f t="shared" si="133"/>
        <v/>
      </c>
      <c r="GI100" s="77" t="str">
        <f t="shared" si="133"/>
        <v/>
      </c>
      <c r="GJ100" s="77" t="str">
        <f t="shared" si="133"/>
        <v/>
      </c>
      <c r="GK100" s="77" t="str">
        <f t="shared" si="133"/>
        <v/>
      </c>
      <c r="GL100" s="77" t="str">
        <f t="shared" si="133"/>
        <v/>
      </c>
      <c r="GM100" s="77" t="str">
        <f t="shared" si="133"/>
        <v/>
      </c>
      <c r="GN100" s="77" t="str">
        <f t="shared" si="133"/>
        <v/>
      </c>
      <c r="GO100" s="77" t="str">
        <f t="shared" si="133"/>
        <v/>
      </c>
      <c r="GP100" s="77" t="str">
        <f t="shared" si="133"/>
        <v/>
      </c>
      <c r="GQ100" s="77" t="str">
        <f t="shared" si="133"/>
        <v/>
      </c>
      <c r="GR100" s="77" t="str">
        <f t="shared" si="133"/>
        <v/>
      </c>
      <c r="GS100" s="77" t="str">
        <f t="shared" si="133"/>
        <v/>
      </c>
      <c r="GT100" s="77" t="str">
        <f t="shared" si="133"/>
        <v/>
      </c>
      <c r="GU100" s="77" t="str">
        <f t="shared" si="133"/>
        <v/>
      </c>
      <c r="GV100" s="77" t="str">
        <f t="shared" si="133"/>
        <v/>
      </c>
      <c r="GW100" s="77" t="str">
        <f t="shared" si="133"/>
        <v/>
      </c>
      <c r="GX100" s="77" t="str">
        <f t="shared" si="133"/>
        <v/>
      </c>
    </row>
    <row r="101" spans="1:206" ht="15" customHeight="1" x14ac:dyDescent="0.2">
      <c r="A101" s="22" t="s">
        <v>162</v>
      </c>
      <c r="B101" s="22">
        <v>5</v>
      </c>
      <c r="C101" s="22" t="s">
        <v>162</v>
      </c>
      <c r="D101" s="22">
        <v>6</v>
      </c>
      <c r="E101" s="22" t="s">
        <v>223</v>
      </c>
      <c r="F101" s="22" t="s">
        <v>71</v>
      </c>
      <c r="G101" s="22" t="s">
        <v>72</v>
      </c>
      <c r="H101" s="22">
        <v>2024</v>
      </c>
      <c r="I101" s="22">
        <v>2</v>
      </c>
      <c r="J101" s="22">
        <v>18.739999999999998</v>
      </c>
      <c r="K101" s="22">
        <v>0</v>
      </c>
      <c r="L101" s="22">
        <v>2556</v>
      </c>
      <c r="M101" s="22">
        <v>2556</v>
      </c>
      <c r="N101" s="22" t="s">
        <v>196</v>
      </c>
      <c r="O101" s="22" t="s">
        <v>74</v>
      </c>
      <c r="P101" s="22" t="s">
        <v>216</v>
      </c>
      <c r="Q101" s="24"/>
      <c r="R101" s="22" t="str">
        <f>IF($E101="","",IFERROR(INDEX($W101:$GX101,MATCH('Dashboard Ciclos'!$B$2,$W$1:$GX$1,0)),""))</f>
        <v/>
      </c>
      <c r="S101" s="22" t="str">
        <f t="shared" si="128"/>
        <v>Sin dato</v>
      </c>
      <c r="T101" s="22" t="str">
        <f t="shared" si="129"/>
        <v>Sin dato</v>
      </c>
      <c r="U101" s="22" t="str">
        <f t="shared" si="130"/>
        <v/>
      </c>
      <c r="V101" s="23" t="str">
        <f t="shared" si="131"/>
        <v/>
      </c>
      <c r="W101" s="77" t="str">
        <f t="shared" si="125"/>
        <v/>
      </c>
      <c r="X101" s="77" t="str">
        <f t="shared" ref="X101:AM126" si="136">IF(W101="","",W101+1)</f>
        <v/>
      </c>
      <c r="Y101" s="77" t="str">
        <f t="shared" si="134"/>
        <v/>
      </c>
      <c r="Z101" s="77" t="str">
        <f t="shared" si="134"/>
        <v/>
      </c>
      <c r="AA101" s="77" t="s">
        <v>218</v>
      </c>
      <c r="AB101" s="77" t="str">
        <f t="shared" si="134"/>
        <v/>
      </c>
      <c r="AC101" s="77" t="str">
        <f t="shared" si="134"/>
        <v/>
      </c>
      <c r="AD101" s="77" t="str">
        <f t="shared" si="134"/>
        <v/>
      </c>
      <c r="AE101" s="77" t="str">
        <f t="shared" si="134"/>
        <v/>
      </c>
      <c r="AF101" s="77" t="str">
        <f t="shared" si="134"/>
        <v/>
      </c>
      <c r="AG101" s="77" t="str">
        <f t="shared" si="134"/>
        <v/>
      </c>
      <c r="AH101" s="77" t="str">
        <f t="shared" si="134"/>
        <v/>
      </c>
      <c r="AI101" s="77" t="str">
        <f t="shared" si="134"/>
        <v/>
      </c>
      <c r="AJ101" s="77" t="str">
        <f t="shared" si="134"/>
        <v/>
      </c>
      <c r="AK101" s="77" t="str">
        <f t="shared" si="90"/>
        <v/>
      </c>
      <c r="AL101" s="77" t="str">
        <f t="shared" si="90"/>
        <v/>
      </c>
      <c r="AM101" s="77" t="str">
        <f t="shared" si="90"/>
        <v/>
      </c>
      <c r="AN101" s="77" t="str">
        <f t="shared" si="91"/>
        <v/>
      </c>
      <c r="AO101" s="77" t="str">
        <f t="shared" si="90"/>
        <v/>
      </c>
      <c r="AP101" s="77" t="str">
        <f t="shared" si="90"/>
        <v/>
      </c>
      <c r="AQ101" s="77" t="str">
        <f t="shared" si="90"/>
        <v/>
      </c>
      <c r="AR101" s="77" t="str">
        <f t="shared" si="105"/>
        <v/>
      </c>
      <c r="AS101" s="77" t="str">
        <f t="shared" si="135"/>
        <v/>
      </c>
      <c r="AT101" s="77" t="str">
        <f t="shared" si="135"/>
        <v/>
      </c>
      <c r="AU101" s="77" t="str">
        <f t="shared" si="135"/>
        <v/>
      </c>
      <c r="AV101" s="77" t="str">
        <f t="shared" si="135"/>
        <v/>
      </c>
      <c r="AW101" s="77" t="str">
        <f t="shared" si="135"/>
        <v/>
      </c>
      <c r="AX101" s="77" t="str">
        <f t="shared" si="135"/>
        <v/>
      </c>
      <c r="AY101" s="77" t="str">
        <f t="shared" si="135"/>
        <v/>
      </c>
      <c r="AZ101" s="77" t="str">
        <f t="shared" si="135"/>
        <v/>
      </c>
      <c r="BA101" s="77" t="str">
        <f t="shared" si="135"/>
        <v/>
      </c>
      <c r="BB101" s="77" t="str">
        <f t="shared" si="135"/>
        <v/>
      </c>
      <c r="BC101" s="77" t="str">
        <f t="shared" si="135"/>
        <v/>
      </c>
      <c r="BD101" s="77" t="str">
        <f t="shared" si="135"/>
        <v/>
      </c>
      <c r="BE101" s="77" t="str">
        <f t="shared" si="135"/>
        <v/>
      </c>
      <c r="BF101" s="77" t="str">
        <f t="shared" si="135"/>
        <v/>
      </c>
      <c r="BG101" s="77" t="str">
        <f t="shared" si="135"/>
        <v/>
      </c>
      <c r="BH101" s="77" t="str">
        <f t="shared" si="135"/>
        <v/>
      </c>
      <c r="BI101" s="77" t="str">
        <f t="shared" si="135"/>
        <v/>
      </c>
      <c r="BJ101" s="77" t="str">
        <f t="shared" si="135"/>
        <v/>
      </c>
      <c r="BK101" s="77" t="str">
        <f t="shared" si="135"/>
        <v/>
      </c>
      <c r="BL101" s="77" t="str">
        <f t="shared" si="135"/>
        <v/>
      </c>
      <c r="BM101" s="77" t="str">
        <f t="shared" si="135"/>
        <v/>
      </c>
      <c r="BN101" s="77" t="str">
        <f t="shared" si="135"/>
        <v/>
      </c>
      <c r="BO101" s="77" t="str">
        <f t="shared" si="135"/>
        <v/>
      </c>
      <c r="BP101" s="77" t="str">
        <f t="shared" si="135"/>
        <v/>
      </c>
      <c r="BQ101" s="77" t="str">
        <f t="shared" si="135"/>
        <v/>
      </c>
      <c r="BR101" s="77" t="str">
        <f t="shared" si="135"/>
        <v/>
      </c>
      <c r="BS101" s="77" t="str">
        <f t="shared" si="135"/>
        <v/>
      </c>
      <c r="BT101" s="77" t="str">
        <f t="shared" si="135"/>
        <v/>
      </c>
      <c r="BU101" s="77" t="str">
        <f t="shared" si="135"/>
        <v/>
      </c>
      <c r="BV101" s="77" t="str">
        <f t="shared" si="135"/>
        <v/>
      </c>
      <c r="BW101" s="77" t="str">
        <f t="shared" si="135"/>
        <v/>
      </c>
      <c r="BX101" s="77" t="str">
        <f t="shared" si="135"/>
        <v/>
      </c>
      <c r="BY101" s="77" t="str">
        <f t="shared" si="135"/>
        <v/>
      </c>
      <c r="BZ101" s="77" t="str">
        <f t="shared" si="135"/>
        <v/>
      </c>
      <c r="CA101" s="77" t="str">
        <f t="shared" si="135"/>
        <v/>
      </c>
      <c r="CB101" s="77" t="str">
        <f t="shared" si="135"/>
        <v/>
      </c>
      <c r="CC101" s="77" t="str">
        <f t="shared" si="135"/>
        <v/>
      </c>
      <c r="CD101" s="77" t="str">
        <f t="shared" si="135"/>
        <v/>
      </c>
      <c r="CE101" s="77" t="str">
        <f t="shared" si="135"/>
        <v/>
      </c>
      <c r="CF101" s="77" t="str">
        <f t="shared" si="135"/>
        <v/>
      </c>
      <c r="CG101" s="77" t="str">
        <f t="shared" si="135"/>
        <v/>
      </c>
      <c r="CH101" s="77" t="str">
        <f t="shared" si="135"/>
        <v/>
      </c>
      <c r="CI101" s="77" t="str">
        <f t="shared" si="135"/>
        <v/>
      </c>
      <c r="CJ101" s="77" t="str">
        <f t="shared" si="135"/>
        <v/>
      </c>
      <c r="CK101" s="77" t="str">
        <f t="shared" si="132"/>
        <v/>
      </c>
      <c r="CL101" s="77" t="str">
        <f t="shared" si="132"/>
        <v/>
      </c>
      <c r="CM101" s="77" t="str">
        <f t="shared" si="132"/>
        <v/>
      </c>
      <c r="CN101" s="77" t="str">
        <f t="shared" si="132"/>
        <v/>
      </c>
      <c r="CO101" s="77" t="str">
        <f t="shared" si="132"/>
        <v/>
      </c>
      <c r="CP101" s="77" t="str">
        <f t="shared" si="132"/>
        <v/>
      </c>
      <c r="CQ101" s="77" t="str">
        <f t="shared" si="132"/>
        <v/>
      </c>
      <c r="CR101" s="77" t="str">
        <f t="shared" si="132"/>
        <v/>
      </c>
      <c r="CS101" s="77" t="str">
        <f t="shared" si="132"/>
        <v/>
      </c>
      <c r="CT101" s="77" t="str">
        <f t="shared" si="132"/>
        <v/>
      </c>
      <c r="CU101" s="77" t="str">
        <f t="shared" si="132"/>
        <v/>
      </c>
      <c r="CV101" s="77" t="str">
        <f t="shared" si="132"/>
        <v/>
      </c>
      <c r="CW101" s="77" t="str">
        <f t="shared" si="132"/>
        <v/>
      </c>
      <c r="CX101" s="77" t="str">
        <f t="shared" si="132"/>
        <v/>
      </c>
      <c r="CY101" s="77" t="str">
        <f t="shared" si="132"/>
        <v/>
      </c>
      <c r="CZ101" s="77" t="str">
        <f t="shared" si="132"/>
        <v/>
      </c>
      <c r="DA101" s="77" t="str">
        <f t="shared" si="132"/>
        <v/>
      </c>
      <c r="DB101" s="77" t="str">
        <f t="shared" si="132"/>
        <v/>
      </c>
      <c r="DC101" s="77" t="str">
        <f t="shared" si="132"/>
        <v/>
      </c>
      <c r="DD101" s="77" t="str">
        <f t="shared" si="132"/>
        <v/>
      </c>
      <c r="DE101" s="77" t="str">
        <f t="shared" si="132"/>
        <v/>
      </c>
      <c r="DF101" s="77" t="str">
        <f t="shared" si="132"/>
        <v/>
      </c>
      <c r="DG101" s="77" t="str">
        <f t="shared" si="132"/>
        <v/>
      </c>
      <c r="DH101" s="77" t="str">
        <f t="shared" si="132"/>
        <v/>
      </c>
      <c r="DI101" s="77" t="str">
        <f t="shared" si="132"/>
        <v/>
      </c>
      <c r="DJ101" s="77" t="str">
        <f t="shared" si="132"/>
        <v/>
      </c>
      <c r="DK101" s="77" t="str">
        <f t="shared" si="132"/>
        <v/>
      </c>
      <c r="DL101" s="77" t="str">
        <f t="shared" si="132"/>
        <v/>
      </c>
      <c r="DM101" s="77" t="str">
        <f t="shared" si="132"/>
        <v/>
      </c>
      <c r="DN101" s="77" t="str">
        <f t="shared" si="132"/>
        <v/>
      </c>
      <c r="DO101" s="77" t="str">
        <f t="shared" si="132"/>
        <v/>
      </c>
      <c r="DP101" s="77" t="str">
        <f t="shared" si="132"/>
        <v/>
      </c>
      <c r="DQ101" s="77" t="str">
        <f t="shared" si="132"/>
        <v/>
      </c>
      <c r="DR101" s="77" t="str">
        <f t="shared" si="132"/>
        <v/>
      </c>
      <c r="DS101" s="77" t="str">
        <f t="shared" si="132"/>
        <v/>
      </c>
      <c r="DT101" s="77" t="str">
        <f t="shared" si="132"/>
        <v/>
      </c>
      <c r="DU101" s="77" t="str">
        <f t="shared" si="132"/>
        <v/>
      </c>
      <c r="DV101" s="77" t="str">
        <f t="shared" si="132"/>
        <v/>
      </c>
      <c r="DW101" s="77" t="str">
        <f t="shared" si="132"/>
        <v/>
      </c>
      <c r="DX101" s="77" t="str">
        <f t="shared" si="132"/>
        <v/>
      </c>
      <c r="DY101" s="77" t="str">
        <f t="shared" si="132"/>
        <v/>
      </c>
      <c r="DZ101" s="77" t="str">
        <f t="shared" si="132"/>
        <v/>
      </c>
      <c r="EA101" s="77" t="str">
        <f t="shared" si="132"/>
        <v/>
      </c>
      <c r="EB101" s="77" t="str">
        <f t="shared" si="132"/>
        <v/>
      </c>
      <c r="EC101" s="77" t="str">
        <f t="shared" si="132"/>
        <v/>
      </c>
      <c r="ED101" s="77" t="str">
        <f t="shared" si="132"/>
        <v/>
      </c>
      <c r="EE101" s="77" t="str">
        <f t="shared" si="132"/>
        <v/>
      </c>
      <c r="EF101" s="77" t="str">
        <f t="shared" si="132"/>
        <v/>
      </c>
      <c r="EG101" s="77" t="str">
        <f t="shared" si="132"/>
        <v/>
      </c>
      <c r="EH101" s="77" t="str">
        <f t="shared" si="132"/>
        <v/>
      </c>
      <c r="EI101" s="77" t="str">
        <f t="shared" si="132"/>
        <v/>
      </c>
      <c r="EJ101" s="77" t="str">
        <f t="shared" si="132"/>
        <v/>
      </c>
      <c r="EK101" s="77" t="str">
        <f t="shared" si="132"/>
        <v/>
      </c>
      <c r="EL101" s="77" t="str">
        <f t="shared" si="132"/>
        <v/>
      </c>
      <c r="EM101" s="77" t="str">
        <f t="shared" si="132"/>
        <v/>
      </c>
      <c r="EN101" s="77" t="str">
        <f t="shared" si="132"/>
        <v/>
      </c>
      <c r="EO101" s="77" t="str">
        <f t="shared" si="132"/>
        <v/>
      </c>
      <c r="EP101" s="77" t="str">
        <f t="shared" si="132"/>
        <v/>
      </c>
      <c r="EQ101" s="77" t="str">
        <f t="shared" si="132"/>
        <v/>
      </c>
      <c r="ER101" s="77" t="str">
        <f t="shared" si="132"/>
        <v/>
      </c>
      <c r="ES101" s="77" t="str">
        <f t="shared" si="132"/>
        <v/>
      </c>
      <c r="ET101" s="77" t="str">
        <f t="shared" si="132"/>
        <v/>
      </c>
      <c r="EU101" s="77" t="str">
        <f t="shared" si="132"/>
        <v/>
      </c>
      <c r="EV101" s="77" t="str">
        <f t="shared" si="133"/>
        <v/>
      </c>
      <c r="EW101" s="77" t="str">
        <f t="shared" si="133"/>
        <v/>
      </c>
      <c r="EX101" s="77" t="str">
        <f t="shared" si="133"/>
        <v/>
      </c>
      <c r="EY101" s="77" t="str">
        <f t="shared" si="133"/>
        <v/>
      </c>
      <c r="EZ101" s="77" t="str">
        <f t="shared" si="133"/>
        <v/>
      </c>
      <c r="FA101" s="77" t="str">
        <f t="shared" si="133"/>
        <v/>
      </c>
      <c r="FB101" s="77" t="str">
        <f t="shared" si="133"/>
        <v/>
      </c>
      <c r="FC101" s="77" t="str">
        <f t="shared" si="133"/>
        <v/>
      </c>
      <c r="FD101" s="77" t="str">
        <f t="shared" si="133"/>
        <v/>
      </c>
      <c r="FE101" s="77" t="str">
        <f t="shared" si="133"/>
        <v/>
      </c>
      <c r="FF101" s="77" t="str">
        <f t="shared" si="133"/>
        <v/>
      </c>
      <c r="FG101" s="77" t="str">
        <f t="shared" si="133"/>
        <v/>
      </c>
      <c r="FH101" s="77" t="str">
        <f t="shared" si="133"/>
        <v/>
      </c>
      <c r="FI101" s="77" t="str">
        <f t="shared" si="133"/>
        <v/>
      </c>
      <c r="FJ101" s="77" t="str">
        <f t="shared" si="133"/>
        <v/>
      </c>
      <c r="FK101" s="77" t="str">
        <f t="shared" si="133"/>
        <v/>
      </c>
      <c r="FL101" s="77" t="str">
        <f t="shared" si="133"/>
        <v/>
      </c>
      <c r="FM101" s="77" t="str">
        <f t="shared" si="133"/>
        <v/>
      </c>
      <c r="FN101" s="77" t="str">
        <f t="shared" si="133"/>
        <v/>
      </c>
      <c r="FO101" s="77" t="str">
        <f t="shared" si="133"/>
        <v/>
      </c>
      <c r="FP101" s="77" t="str">
        <f t="shared" si="133"/>
        <v/>
      </c>
      <c r="FQ101" s="77" t="str">
        <f t="shared" si="133"/>
        <v/>
      </c>
      <c r="FR101" s="77" t="str">
        <f t="shared" si="133"/>
        <v/>
      </c>
      <c r="FS101" s="77" t="str">
        <f t="shared" si="133"/>
        <v/>
      </c>
      <c r="FT101" s="77" t="str">
        <f t="shared" si="133"/>
        <v/>
      </c>
      <c r="FU101" s="77" t="str">
        <f t="shared" si="133"/>
        <v/>
      </c>
      <c r="FV101" s="77" t="str">
        <f t="shared" si="133"/>
        <v/>
      </c>
      <c r="FW101" s="77" t="str">
        <f t="shared" si="133"/>
        <v/>
      </c>
      <c r="FX101" s="77" t="str">
        <f t="shared" si="133"/>
        <v/>
      </c>
      <c r="FY101" s="77" t="str">
        <f t="shared" si="133"/>
        <v/>
      </c>
      <c r="FZ101" s="77" t="str">
        <f t="shared" si="133"/>
        <v/>
      </c>
      <c r="GA101" s="77" t="str">
        <f t="shared" si="133"/>
        <v/>
      </c>
      <c r="GB101" s="77" t="str">
        <f t="shared" si="133"/>
        <v/>
      </c>
      <c r="GC101" s="77" t="str">
        <f t="shared" si="133"/>
        <v/>
      </c>
      <c r="GD101" s="77" t="str">
        <f t="shared" si="133"/>
        <v/>
      </c>
      <c r="GE101" s="77" t="str">
        <f t="shared" si="133"/>
        <v/>
      </c>
      <c r="GF101" s="77" t="str">
        <f t="shared" si="133"/>
        <v/>
      </c>
      <c r="GG101" s="77" t="str">
        <f t="shared" si="133"/>
        <v/>
      </c>
      <c r="GH101" s="77" t="str">
        <f t="shared" si="133"/>
        <v/>
      </c>
      <c r="GI101" s="77" t="str">
        <f t="shared" si="133"/>
        <v/>
      </c>
      <c r="GJ101" s="77" t="str">
        <f t="shared" si="133"/>
        <v/>
      </c>
      <c r="GK101" s="77" t="str">
        <f t="shared" si="133"/>
        <v/>
      </c>
      <c r="GL101" s="77" t="str">
        <f t="shared" si="133"/>
        <v/>
      </c>
      <c r="GM101" s="77" t="str">
        <f t="shared" si="133"/>
        <v/>
      </c>
      <c r="GN101" s="77" t="str">
        <f t="shared" si="133"/>
        <v/>
      </c>
      <c r="GO101" s="77" t="str">
        <f t="shared" si="133"/>
        <v/>
      </c>
      <c r="GP101" s="77" t="str">
        <f t="shared" si="133"/>
        <v/>
      </c>
      <c r="GQ101" s="77" t="str">
        <f t="shared" si="133"/>
        <v/>
      </c>
      <c r="GR101" s="77" t="str">
        <f t="shared" si="133"/>
        <v/>
      </c>
      <c r="GS101" s="77" t="str">
        <f t="shared" si="133"/>
        <v/>
      </c>
      <c r="GT101" s="77" t="str">
        <f t="shared" si="133"/>
        <v/>
      </c>
      <c r="GU101" s="77" t="str">
        <f t="shared" si="133"/>
        <v/>
      </c>
      <c r="GV101" s="77" t="str">
        <f t="shared" si="133"/>
        <v/>
      </c>
      <c r="GW101" s="77" t="str">
        <f t="shared" si="133"/>
        <v/>
      </c>
      <c r="GX101" s="77" t="str">
        <f t="shared" si="133"/>
        <v/>
      </c>
    </row>
    <row r="102" spans="1:206" ht="15" customHeight="1" x14ac:dyDescent="0.2">
      <c r="A102" s="22" t="s">
        <v>162</v>
      </c>
      <c r="B102" s="22">
        <v>5</v>
      </c>
      <c r="C102" s="22" t="s">
        <v>162</v>
      </c>
      <c r="D102" s="22">
        <v>7</v>
      </c>
      <c r="E102" s="22" t="s">
        <v>224</v>
      </c>
      <c r="F102" s="22" t="s">
        <v>71</v>
      </c>
      <c r="G102" s="22" t="s">
        <v>72</v>
      </c>
      <c r="H102" s="22">
        <v>2024</v>
      </c>
      <c r="I102" s="22">
        <v>2</v>
      </c>
      <c r="J102" s="22">
        <v>8.0299999999999994</v>
      </c>
      <c r="K102" s="22">
        <v>0</v>
      </c>
      <c r="L102" s="22">
        <v>1074</v>
      </c>
      <c r="M102" s="22">
        <v>1074</v>
      </c>
      <c r="N102" s="22" t="s">
        <v>196</v>
      </c>
      <c r="O102" s="22" t="s">
        <v>74</v>
      </c>
      <c r="P102" s="22" t="s">
        <v>216</v>
      </c>
      <c r="Q102" s="24"/>
      <c r="R102" s="22" t="str">
        <f>IF($E102="","",IFERROR(INDEX($W102:$GX102,MATCH('Dashboard Ciclos'!$B$2,$W$1:$GX$1,0)),""))</f>
        <v/>
      </c>
      <c r="S102" s="22" t="str">
        <f t="shared" si="128"/>
        <v>Sin dato</v>
      </c>
      <c r="T102" s="22" t="str">
        <f t="shared" si="129"/>
        <v>Sin dato</v>
      </c>
      <c r="U102" s="22" t="str">
        <f t="shared" si="130"/>
        <v/>
      </c>
      <c r="V102" s="23" t="str">
        <f t="shared" si="131"/>
        <v/>
      </c>
      <c r="W102" s="77" t="str">
        <f t="shared" si="125"/>
        <v/>
      </c>
      <c r="X102" s="77" t="str">
        <f t="shared" si="136"/>
        <v/>
      </c>
      <c r="Y102" s="77" t="str">
        <f t="shared" si="134"/>
        <v/>
      </c>
      <c r="Z102" s="77" t="str">
        <f t="shared" si="134"/>
        <v/>
      </c>
      <c r="AA102" s="77" t="s">
        <v>218</v>
      </c>
      <c r="AB102" s="77" t="str">
        <f t="shared" si="134"/>
        <v/>
      </c>
      <c r="AC102" s="77" t="str">
        <f t="shared" si="134"/>
        <v/>
      </c>
      <c r="AD102" s="77" t="str">
        <f t="shared" si="134"/>
        <v/>
      </c>
      <c r="AE102" s="77" t="str">
        <f t="shared" si="134"/>
        <v/>
      </c>
      <c r="AF102" s="77" t="str">
        <f t="shared" si="134"/>
        <v/>
      </c>
      <c r="AG102" s="77" t="str">
        <f t="shared" si="134"/>
        <v/>
      </c>
      <c r="AH102" s="77" t="str">
        <f t="shared" si="134"/>
        <v/>
      </c>
      <c r="AI102" s="77" t="str">
        <f t="shared" si="134"/>
        <v/>
      </c>
      <c r="AJ102" s="77" t="str">
        <f t="shared" si="134"/>
        <v/>
      </c>
      <c r="AK102" s="77" t="str">
        <f t="shared" si="90"/>
        <v/>
      </c>
      <c r="AL102" s="77" t="str">
        <f t="shared" si="90"/>
        <v/>
      </c>
      <c r="AM102" s="77" t="str">
        <f t="shared" si="90"/>
        <v/>
      </c>
      <c r="AN102" s="77" t="str">
        <f t="shared" si="91"/>
        <v/>
      </c>
      <c r="AO102" s="77" t="str">
        <f t="shared" si="90"/>
        <v/>
      </c>
      <c r="AP102" s="77" t="str">
        <f t="shared" si="90"/>
        <v/>
      </c>
      <c r="AQ102" s="77" t="str">
        <f t="shared" si="90"/>
        <v/>
      </c>
      <c r="AR102" s="77" t="str">
        <f t="shared" si="105"/>
        <v/>
      </c>
      <c r="AS102" s="77" t="str">
        <f t="shared" si="135"/>
        <v/>
      </c>
      <c r="AT102" s="77" t="str">
        <f t="shared" si="135"/>
        <v/>
      </c>
      <c r="AU102" s="77" t="str">
        <f t="shared" si="135"/>
        <v/>
      </c>
      <c r="AV102" s="77" t="str">
        <f t="shared" si="135"/>
        <v/>
      </c>
      <c r="AW102" s="77" t="str">
        <f t="shared" si="135"/>
        <v/>
      </c>
      <c r="AX102" s="77" t="str">
        <f t="shared" si="135"/>
        <v/>
      </c>
      <c r="AY102" s="77" t="str">
        <f t="shared" si="135"/>
        <v/>
      </c>
      <c r="AZ102" s="77" t="str">
        <f t="shared" si="135"/>
        <v/>
      </c>
      <c r="BA102" s="77" t="str">
        <f t="shared" si="135"/>
        <v/>
      </c>
      <c r="BB102" s="77" t="str">
        <f t="shared" si="135"/>
        <v/>
      </c>
      <c r="BC102" s="77" t="str">
        <f t="shared" si="135"/>
        <v/>
      </c>
      <c r="BD102" s="77" t="str">
        <f t="shared" si="135"/>
        <v/>
      </c>
      <c r="BE102" s="77" t="str">
        <f t="shared" si="135"/>
        <v/>
      </c>
      <c r="BF102" s="77" t="str">
        <f t="shared" si="135"/>
        <v/>
      </c>
      <c r="BG102" s="77" t="str">
        <f t="shared" si="135"/>
        <v/>
      </c>
      <c r="BH102" s="77" t="str">
        <f t="shared" si="135"/>
        <v/>
      </c>
      <c r="BI102" s="77" t="str">
        <f t="shared" si="135"/>
        <v/>
      </c>
      <c r="BJ102" s="77" t="str">
        <f t="shared" si="135"/>
        <v/>
      </c>
      <c r="BK102" s="77" t="str">
        <f t="shared" si="135"/>
        <v/>
      </c>
      <c r="BL102" s="77" t="str">
        <f t="shared" si="135"/>
        <v/>
      </c>
      <c r="BM102" s="77" t="str">
        <f t="shared" si="135"/>
        <v/>
      </c>
      <c r="BN102" s="77" t="str">
        <f t="shared" si="135"/>
        <v/>
      </c>
      <c r="BO102" s="77" t="str">
        <f t="shared" si="135"/>
        <v/>
      </c>
      <c r="BP102" s="77" t="str">
        <f t="shared" si="135"/>
        <v/>
      </c>
      <c r="BQ102" s="77" t="str">
        <f t="shared" si="135"/>
        <v/>
      </c>
      <c r="BR102" s="77" t="str">
        <f t="shared" si="135"/>
        <v/>
      </c>
      <c r="BS102" s="77" t="str">
        <f t="shared" si="135"/>
        <v/>
      </c>
      <c r="BT102" s="77" t="str">
        <f t="shared" si="135"/>
        <v/>
      </c>
      <c r="BU102" s="77" t="str">
        <f t="shared" si="135"/>
        <v/>
      </c>
      <c r="BV102" s="77" t="str">
        <f t="shared" si="135"/>
        <v/>
      </c>
      <c r="BW102" s="77" t="str">
        <f t="shared" si="135"/>
        <v/>
      </c>
      <c r="BX102" s="77" t="str">
        <f t="shared" si="135"/>
        <v/>
      </c>
      <c r="BY102" s="77" t="str">
        <f t="shared" si="135"/>
        <v/>
      </c>
      <c r="BZ102" s="77" t="str">
        <f t="shared" si="135"/>
        <v/>
      </c>
      <c r="CA102" s="77" t="str">
        <f t="shared" si="135"/>
        <v/>
      </c>
      <c r="CB102" s="77" t="str">
        <f t="shared" si="135"/>
        <v/>
      </c>
      <c r="CC102" s="77" t="str">
        <f t="shared" si="135"/>
        <v/>
      </c>
      <c r="CD102" s="77" t="str">
        <f t="shared" si="135"/>
        <v/>
      </c>
      <c r="CE102" s="77" t="str">
        <f t="shared" si="135"/>
        <v/>
      </c>
      <c r="CF102" s="77" t="str">
        <f t="shared" si="135"/>
        <v/>
      </c>
      <c r="CG102" s="77" t="str">
        <f t="shared" si="135"/>
        <v/>
      </c>
      <c r="CH102" s="77" t="str">
        <f t="shared" si="135"/>
        <v/>
      </c>
      <c r="CI102" s="77" t="str">
        <f t="shared" si="135"/>
        <v/>
      </c>
      <c r="CJ102" s="77" t="str">
        <f t="shared" si="135"/>
        <v/>
      </c>
      <c r="CK102" s="77" t="str">
        <f t="shared" si="132"/>
        <v/>
      </c>
      <c r="CL102" s="77" t="str">
        <f t="shared" si="132"/>
        <v/>
      </c>
      <c r="CM102" s="77" t="str">
        <f t="shared" si="132"/>
        <v/>
      </c>
      <c r="CN102" s="77" t="str">
        <f t="shared" si="132"/>
        <v/>
      </c>
      <c r="CO102" s="77" t="str">
        <f t="shared" si="132"/>
        <v/>
      </c>
      <c r="CP102" s="77" t="str">
        <f t="shared" si="132"/>
        <v/>
      </c>
      <c r="CQ102" s="77" t="str">
        <f t="shared" si="132"/>
        <v/>
      </c>
      <c r="CR102" s="77" t="str">
        <f t="shared" si="132"/>
        <v/>
      </c>
      <c r="CS102" s="77" t="str">
        <f t="shared" si="132"/>
        <v/>
      </c>
      <c r="CT102" s="77" t="str">
        <f t="shared" si="132"/>
        <v/>
      </c>
      <c r="CU102" s="77" t="str">
        <f t="shared" si="132"/>
        <v/>
      </c>
      <c r="CV102" s="77" t="str">
        <f t="shared" si="132"/>
        <v/>
      </c>
      <c r="CW102" s="77" t="str">
        <f t="shared" si="132"/>
        <v/>
      </c>
      <c r="CX102" s="77" t="str">
        <f t="shared" si="132"/>
        <v/>
      </c>
      <c r="CY102" s="77" t="str">
        <f t="shared" si="132"/>
        <v/>
      </c>
      <c r="CZ102" s="77" t="str">
        <f t="shared" si="132"/>
        <v/>
      </c>
      <c r="DA102" s="77" t="str">
        <f t="shared" si="132"/>
        <v/>
      </c>
      <c r="DB102" s="77" t="str">
        <f t="shared" si="132"/>
        <v/>
      </c>
      <c r="DC102" s="77" t="str">
        <f t="shared" si="132"/>
        <v/>
      </c>
      <c r="DD102" s="77" t="str">
        <f t="shared" si="132"/>
        <v/>
      </c>
      <c r="DE102" s="77" t="str">
        <f t="shared" si="132"/>
        <v/>
      </c>
      <c r="DF102" s="77" t="str">
        <f t="shared" si="132"/>
        <v/>
      </c>
      <c r="DG102" s="77" t="str">
        <f t="shared" si="132"/>
        <v/>
      </c>
      <c r="DH102" s="77" t="str">
        <f t="shared" si="132"/>
        <v/>
      </c>
      <c r="DI102" s="77" t="str">
        <f t="shared" si="132"/>
        <v/>
      </c>
      <c r="DJ102" s="77" t="str">
        <f t="shared" si="132"/>
        <v/>
      </c>
      <c r="DK102" s="77" t="str">
        <f t="shared" si="132"/>
        <v/>
      </c>
      <c r="DL102" s="77" t="str">
        <f t="shared" si="132"/>
        <v/>
      </c>
      <c r="DM102" s="77" t="str">
        <f t="shared" si="132"/>
        <v/>
      </c>
      <c r="DN102" s="77" t="str">
        <f t="shared" si="132"/>
        <v/>
      </c>
      <c r="DO102" s="77" t="str">
        <f t="shared" si="132"/>
        <v/>
      </c>
      <c r="DP102" s="77" t="str">
        <f t="shared" si="132"/>
        <v/>
      </c>
      <c r="DQ102" s="77" t="str">
        <f t="shared" si="132"/>
        <v/>
      </c>
      <c r="DR102" s="77" t="str">
        <f t="shared" si="132"/>
        <v/>
      </c>
      <c r="DS102" s="77" t="str">
        <f t="shared" si="132"/>
        <v/>
      </c>
      <c r="DT102" s="77" t="str">
        <f t="shared" si="132"/>
        <v/>
      </c>
      <c r="DU102" s="77" t="str">
        <f t="shared" si="132"/>
        <v/>
      </c>
      <c r="DV102" s="77" t="str">
        <f t="shared" si="132"/>
        <v/>
      </c>
      <c r="DW102" s="77" t="str">
        <f t="shared" si="132"/>
        <v/>
      </c>
      <c r="DX102" s="77" t="str">
        <f t="shared" si="132"/>
        <v/>
      </c>
      <c r="DY102" s="77" t="str">
        <f t="shared" si="132"/>
        <v/>
      </c>
      <c r="DZ102" s="77" t="str">
        <f t="shared" si="132"/>
        <v/>
      </c>
      <c r="EA102" s="77" t="str">
        <f t="shared" si="132"/>
        <v/>
      </c>
      <c r="EB102" s="77" t="str">
        <f t="shared" si="132"/>
        <v/>
      </c>
      <c r="EC102" s="77" t="str">
        <f t="shared" si="132"/>
        <v/>
      </c>
      <c r="ED102" s="77" t="str">
        <f t="shared" si="132"/>
        <v/>
      </c>
      <c r="EE102" s="77" t="str">
        <f t="shared" si="132"/>
        <v/>
      </c>
      <c r="EF102" s="77" t="str">
        <f t="shared" si="132"/>
        <v/>
      </c>
      <c r="EG102" s="77" t="str">
        <f t="shared" si="132"/>
        <v/>
      </c>
      <c r="EH102" s="77" t="str">
        <f t="shared" si="132"/>
        <v/>
      </c>
      <c r="EI102" s="77" t="str">
        <f t="shared" si="132"/>
        <v/>
      </c>
      <c r="EJ102" s="77" t="str">
        <f t="shared" si="132"/>
        <v/>
      </c>
      <c r="EK102" s="77" t="str">
        <f t="shared" si="132"/>
        <v/>
      </c>
      <c r="EL102" s="77" t="str">
        <f t="shared" si="132"/>
        <v/>
      </c>
      <c r="EM102" s="77" t="str">
        <f t="shared" si="132"/>
        <v/>
      </c>
      <c r="EN102" s="77" t="str">
        <f t="shared" si="132"/>
        <v/>
      </c>
      <c r="EO102" s="77" t="str">
        <f t="shared" si="132"/>
        <v/>
      </c>
      <c r="EP102" s="77" t="str">
        <f t="shared" si="132"/>
        <v/>
      </c>
      <c r="EQ102" s="77" t="str">
        <f t="shared" si="132"/>
        <v/>
      </c>
      <c r="ER102" s="77" t="str">
        <f t="shared" si="132"/>
        <v/>
      </c>
      <c r="ES102" s="77" t="str">
        <f t="shared" si="132"/>
        <v/>
      </c>
      <c r="ET102" s="77" t="str">
        <f t="shared" si="132"/>
        <v/>
      </c>
      <c r="EU102" s="77" t="str">
        <f t="shared" si="132"/>
        <v/>
      </c>
      <c r="EV102" s="77" t="str">
        <f t="shared" si="133"/>
        <v/>
      </c>
      <c r="EW102" s="77" t="str">
        <f t="shared" si="133"/>
        <v/>
      </c>
      <c r="EX102" s="77" t="str">
        <f t="shared" si="133"/>
        <v/>
      </c>
      <c r="EY102" s="77" t="str">
        <f t="shared" si="133"/>
        <v/>
      </c>
      <c r="EZ102" s="77" t="str">
        <f t="shared" si="133"/>
        <v/>
      </c>
      <c r="FA102" s="77" t="str">
        <f t="shared" si="133"/>
        <v/>
      </c>
      <c r="FB102" s="77" t="str">
        <f t="shared" si="133"/>
        <v/>
      </c>
      <c r="FC102" s="77" t="str">
        <f t="shared" si="133"/>
        <v/>
      </c>
      <c r="FD102" s="77" t="str">
        <f t="shared" si="133"/>
        <v/>
      </c>
      <c r="FE102" s="77" t="str">
        <f t="shared" si="133"/>
        <v/>
      </c>
      <c r="FF102" s="77" t="str">
        <f t="shared" si="133"/>
        <v/>
      </c>
      <c r="FG102" s="77" t="str">
        <f t="shared" si="133"/>
        <v/>
      </c>
      <c r="FH102" s="77" t="str">
        <f t="shared" si="133"/>
        <v/>
      </c>
      <c r="FI102" s="77" t="str">
        <f t="shared" si="133"/>
        <v/>
      </c>
      <c r="FJ102" s="77" t="str">
        <f t="shared" si="133"/>
        <v/>
      </c>
      <c r="FK102" s="77" t="str">
        <f t="shared" si="133"/>
        <v/>
      </c>
      <c r="FL102" s="77" t="str">
        <f t="shared" si="133"/>
        <v/>
      </c>
      <c r="FM102" s="77" t="str">
        <f t="shared" si="133"/>
        <v/>
      </c>
      <c r="FN102" s="77" t="str">
        <f t="shared" si="133"/>
        <v/>
      </c>
      <c r="FO102" s="77" t="str">
        <f t="shared" si="133"/>
        <v/>
      </c>
      <c r="FP102" s="77" t="str">
        <f t="shared" si="133"/>
        <v/>
      </c>
      <c r="FQ102" s="77" t="str">
        <f t="shared" si="133"/>
        <v/>
      </c>
      <c r="FR102" s="77" t="str">
        <f t="shared" si="133"/>
        <v/>
      </c>
      <c r="FS102" s="77" t="str">
        <f t="shared" si="133"/>
        <v/>
      </c>
      <c r="FT102" s="77" t="str">
        <f t="shared" si="133"/>
        <v/>
      </c>
      <c r="FU102" s="77" t="str">
        <f t="shared" si="133"/>
        <v/>
      </c>
      <c r="FV102" s="77" t="str">
        <f t="shared" si="133"/>
        <v/>
      </c>
      <c r="FW102" s="77" t="str">
        <f t="shared" si="133"/>
        <v/>
      </c>
      <c r="FX102" s="77" t="str">
        <f t="shared" si="133"/>
        <v/>
      </c>
      <c r="FY102" s="77" t="str">
        <f t="shared" si="133"/>
        <v/>
      </c>
      <c r="FZ102" s="77" t="str">
        <f t="shared" si="133"/>
        <v/>
      </c>
      <c r="GA102" s="77" t="str">
        <f t="shared" si="133"/>
        <v/>
      </c>
      <c r="GB102" s="77" t="str">
        <f t="shared" si="133"/>
        <v/>
      </c>
      <c r="GC102" s="77" t="str">
        <f t="shared" si="133"/>
        <v/>
      </c>
      <c r="GD102" s="77" t="str">
        <f t="shared" si="133"/>
        <v/>
      </c>
      <c r="GE102" s="77" t="str">
        <f t="shared" si="133"/>
        <v/>
      </c>
      <c r="GF102" s="77" t="str">
        <f t="shared" si="133"/>
        <v/>
      </c>
      <c r="GG102" s="77" t="str">
        <f t="shared" si="133"/>
        <v/>
      </c>
      <c r="GH102" s="77" t="str">
        <f t="shared" si="133"/>
        <v/>
      </c>
      <c r="GI102" s="77" t="str">
        <f t="shared" si="133"/>
        <v/>
      </c>
      <c r="GJ102" s="77" t="str">
        <f t="shared" si="133"/>
        <v/>
      </c>
      <c r="GK102" s="77" t="str">
        <f t="shared" si="133"/>
        <v/>
      </c>
      <c r="GL102" s="77" t="str">
        <f t="shared" si="133"/>
        <v/>
      </c>
      <c r="GM102" s="77" t="str">
        <f t="shared" si="133"/>
        <v/>
      </c>
      <c r="GN102" s="77" t="str">
        <f t="shared" si="133"/>
        <v/>
      </c>
      <c r="GO102" s="77" t="str">
        <f t="shared" si="133"/>
        <v/>
      </c>
      <c r="GP102" s="77" t="str">
        <f t="shared" si="133"/>
        <v/>
      </c>
      <c r="GQ102" s="77" t="str">
        <f t="shared" si="133"/>
        <v/>
      </c>
      <c r="GR102" s="77" t="str">
        <f t="shared" si="133"/>
        <v/>
      </c>
      <c r="GS102" s="77" t="str">
        <f t="shared" si="133"/>
        <v/>
      </c>
      <c r="GT102" s="77" t="str">
        <f t="shared" si="133"/>
        <v/>
      </c>
      <c r="GU102" s="77" t="str">
        <f t="shared" si="133"/>
        <v/>
      </c>
      <c r="GV102" s="77" t="str">
        <f t="shared" si="133"/>
        <v/>
      </c>
      <c r="GW102" s="77" t="str">
        <f t="shared" si="133"/>
        <v/>
      </c>
      <c r="GX102" s="77" t="str">
        <f t="shared" si="133"/>
        <v/>
      </c>
    </row>
    <row r="103" spans="1:206" ht="15" customHeight="1" x14ac:dyDescent="0.2">
      <c r="A103" s="22" t="s">
        <v>162</v>
      </c>
      <c r="B103" s="22">
        <v>5</v>
      </c>
      <c r="C103" s="22" t="s">
        <v>162</v>
      </c>
      <c r="D103" s="22">
        <v>8</v>
      </c>
      <c r="E103" s="22" t="s">
        <v>225</v>
      </c>
      <c r="F103" s="22" t="s">
        <v>71</v>
      </c>
      <c r="G103" s="22" t="s">
        <v>72</v>
      </c>
      <c r="H103" s="22">
        <v>2024</v>
      </c>
      <c r="I103" s="22">
        <v>2</v>
      </c>
      <c r="J103" s="22">
        <v>13.23</v>
      </c>
      <c r="K103" s="22">
        <v>0</v>
      </c>
      <c r="L103" s="22">
        <v>1823</v>
      </c>
      <c r="M103" s="22">
        <v>1823</v>
      </c>
      <c r="N103" s="22" t="s">
        <v>196</v>
      </c>
      <c r="O103" s="22" t="s">
        <v>74</v>
      </c>
      <c r="P103" s="22" t="s">
        <v>216</v>
      </c>
      <c r="Q103" s="24"/>
      <c r="R103" s="22" t="str">
        <f>IF($E103="","",IFERROR(INDEX($W103:$GX103,MATCH('Dashboard Ciclos'!$B$2,$W$1:$GX$1,0)),""))</f>
        <v/>
      </c>
      <c r="S103" s="22" t="str">
        <f t="shared" si="128"/>
        <v>Sin dato</v>
      </c>
      <c r="T103" s="22" t="str">
        <f t="shared" si="129"/>
        <v>Sin dato</v>
      </c>
      <c r="U103" s="22" t="str">
        <f t="shared" si="130"/>
        <v/>
      </c>
      <c r="V103" s="23" t="str">
        <f t="shared" si="131"/>
        <v/>
      </c>
      <c r="W103" s="77" t="str">
        <f t="shared" si="125"/>
        <v/>
      </c>
      <c r="X103" s="77" t="str">
        <f t="shared" si="136"/>
        <v/>
      </c>
      <c r="Y103" s="77" t="str">
        <f t="shared" si="134"/>
        <v/>
      </c>
      <c r="Z103" s="77" t="str">
        <f t="shared" si="134"/>
        <v/>
      </c>
      <c r="AA103" s="77" t="s">
        <v>218</v>
      </c>
      <c r="AB103" s="77" t="str">
        <f t="shared" si="134"/>
        <v/>
      </c>
      <c r="AC103" s="77" t="str">
        <f t="shared" si="134"/>
        <v/>
      </c>
      <c r="AD103" s="77" t="str">
        <f t="shared" si="134"/>
        <v/>
      </c>
      <c r="AE103" s="77" t="str">
        <f t="shared" si="134"/>
        <v/>
      </c>
      <c r="AF103" s="77" t="str">
        <f t="shared" si="134"/>
        <v/>
      </c>
      <c r="AG103" s="77" t="str">
        <f t="shared" si="134"/>
        <v/>
      </c>
      <c r="AH103" s="77" t="str">
        <f t="shared" si="134"/>
        <v/>
      </c>
      <c r="AI103" s="77" t="str">
        <f t="shared" si="134"/>
        <v/>
      </c>
      <c r="AJ103" s="77" t="str">
        <f t="shared" si="134"/>
        <v/>
      </c>
      <c r="AK103" s="77" t="str">
        <f t="shared" si="90"/>
        <v/>
      </c>
      <c r="AL103" s="77" t="str">
        <f t="shared" si="90"/>
        <v/>
      </c>
      <c r="AM103" s="77" t="str">
        <f t="shared" si="90"/>
        <v/>
      </c>
      <c r="AN103" s="77" t="str">
        <f t="shared" si="91"/>
        <v/>
      </c>
      <c r="AO103" s="77" t="str">
        <f t="shared" si="90"/>
        <v/>
      </c>
      <c r="AP103" s="77" t="str">
        <f t="shared" si="90"/>
        <v/>
      </c>
      <c r="AQ103" s="77" t="str">
        <f t="shared" si="90"/>
        <v/>
      </c>
      <c r="AR103" s="77" t="str">
        <f t="shared" si="105"/>
        <v/>
      </c>
      <c r="AS103" s="77" t="str">
        <f t="shared" si="135"/>
        <v/>
      </c>
      <c r="AT103" s="77" t="str">
        <f t="shared" si="135"/>
        <v/>
      </c>
      <c r="AU103" s="77" t="str">
        <f t="shared" si="135"/>
        <v/>
      </c>
      <c r="AV103" s="77" t="str">
        <f t="shared" si="135"/>
        <v/>
      </c>
      <c r="AW103" s="77" t="str">
        <f t="shared" si="135"/>
        <v/>
      </c>
      <c r="AX103" s="77" t="str">
        <f t="shared" si="135"/>
        <v/>
      </c>
      <c r="AY103" s="77" t="str">
        <f t="shared" si="135"/>
        <v/>
      </c>
      <c r="AZ103" s="77" t="str">
        <f t="shared" si="135"/>
        <v/>
      </c>
      <c r="BA103" s="77" t="str">
        <f t="shared" si="135"/>
        <v/>
      </c>
      <c r="BB103" s="77" t="str">
        <f t="shared" si="135"/>
        <v/>
      </c>
      <c r="BC103" s="77" t="str">
        <f t="shared" si="135"/>
        <v/>
      </c>
      <c r="BD103" s="77" t="str">
        <f t="shared" si="135"/>
        <v/>
      </c>
      <c r="BE103" s="77" t="str">
        <f t="shared" si="135"/>
        <v/>
      </c>
      <c r="BF103" s="77" t="str">
        <f t="shared" si="135"/>
        <v/>
      </c>
      <c r="BG103" s="77" t="str">
        <f t="shared" si="135"/>
        <v/>
      </c>
      <c r="BH103" s="77" t="str">
        <f t="shared" si="135"/>
        <v/>
      </c>
      <c r="BI103" s="77" t="str">
        <f t="shared" si="135"/>
        <v/>
      </c>
      <c r="BJ103" s="77" t="str">
        <f t="shared" si="135"/>
        <v/>
      </c>
      <c r="BK103" s="77" t="str">
        <f t="shared" si="135"/>
        <v/>
      </c>
      <c r="BL103" s="77" t="str">
        <f t="shared" si="135"/>
        <v/>
      </c>
      <c r="BM103" s="77" t="str">
        <f t="shared" si="135"/>
        <v/>
      </c>
      <c r="BN103" s="77" t="str">
        <f t="shared" si="135"/>
        <v/>
      </c>
      <c r="BO103" s="77" t="str">
        <f t="shared" si="135"/>
        <v/>
      </c>
      <c r="BP103" s="77" t="str">
        <f t="shared" si="135"/>
        <v/>
      </c>
      <c r="BQ103" s="77" t="str">
        <f t="shared" si="135"/>
        <v/>
      </c>
      <c r="BR103" s="77" t="str">
        <f t="shared" si="135"/>
        <v/>
      </c>
      <c r="BS103" s="77" t="str">
        <f t="shared" si="135"/>
        <v/>
      </c>
      <c r="BT103" s="77" t="str">
        <f t="shared" si="135"/>
        <v/>
      </c>
      <c r="BU103" s="77" t="str">
        <f t="shared" si="135"/>
        <v/>
      </c>
      <c r="BV103" s="77" t="str">
        <f t="shared" si="135"/>
        <v/>
      </c>
      <c r="BW103" s="77" t="str">
        <f t="shared" si="135"/>
        <v/>
      </c>
      <c r="BX103" s="77" t="str">
        <f t="shared" si="135"/>
        <v/>
      </c>
      <c r="BY103" s="77" t="str">
        <f t="shared" si="135"/>
        <v/>
      </c>
      <c r="BZ103" s="77" t="str">
        <f t="shared" si="135"/>
        <v/>
      </c>
      <c r="CA103" s="77" t="str">
        <f t="shared" si="135"/>
        <v/>
      </c>
      <c r="CB103" s="77" t="str">
        <f t="shared" si="135"/>
        <v/>
      </c>
      <c r="CC103" s="77" t="str">
        <f t="shared" si="135"/>
        <v/>
      </c>
      <c r="CD103" s="77" t="str">
        <f t="shared" si="135"/>
        <v/>
      </c>
      <c r="CE103" s="77" t="str">
        <f t="shared" si="135"/>
        <v/>
      </c>
      <c r="CF103" s="77" t="str">
        <f t="shared" si="135"/>
        <v/>
      </c>
      <c r="CG103" s="77" t="str">
        <f t="shared" si="135"/>
        <v/>
      </c>
      <c r="CH103" s="77" t="str">
        <f t="shared" si="135"/>
        <v/>
      </c>
      <c r="CI103" s="77" t="str">
        <f t="shared" si="135"/>
        <v/>
      </c>
      <c r="CJ103" s="77" t="str">
        <f t="shared" ref="CJ103:EU106" si="137">IF(CI103="","",CI103+1)</f>
        <v/>
      </c>
      <c r="CK103" s="77" t="str">
        <f t="shared" si="137"/>
        <v/>
      </c>
      <c r="CL103" s="77" t="str">
        <f t="shared" si="137"/>
        <v/>
      </c>
      <c r="CM103" s="77" t="str">
        <f t="shared" si="137"/>
        <v/>
      </c>
      <c r="CN103" s="77" t="str">
        <f t="shared" si="137"/>
        <v/>
      </c>
      <c r="CO103" s="77" t="str">
        <f t="shared" si="137"/>
        <v/>
      </c>
      <c r="CP103" s="77" t="str">
        <f t="shared" si="137"/>
        <v/>
      </c>
      <c r="CQ103" s="77" t="str">
        <f t="shared" si="137"/>
        <v/>
      </c>
      <c r="CR103" s="77" t="str">
        <f t="shared" si="137"/>
        <v/>
      </c>
      <c r="CS103" s="77" t="str">
        <f t="shared" si="137"/>
        <v/>
      </c>
      <c r="CT103" s="77" t="str">
        <f t="shared" si="137"/>
        <v/>
      </c>
      <c r="CU103" s="77" t="str">
        <f t="shared" si="137"/>
        <v/>
      </c>
      <c r="CV103" s="77" t="str">
        <f t="shared" si="137"/>
        <v/>
      </c>
      <c r="CW103" s="77" t="str">
        <f t="shared" si="137"/>
        <v/>
      </c>
      <c r="CX103" s="77" t="str">
        <f t="shared" si="137"/>
        <v/>
      </c>
      <c r="CY103" s="77" t="str">
        <f t="shared" si="137"/>
        <v/>
      </c>
      <c r="CZ103" s="77" t="str">
        <f t="shared" si="137"/>
        <v/>
      </c>
      <c r="DA103" s="77" t="str">
        <f t="shared" si="137"/>
        <v/>
      </c>
      <c r="DB103" s="77" t="str">
        <f t="shared" si="137"/>
        <v/>
      </c>
      <c r="DC103" s="77" t="str">
        <f t="shared" si="137"/>
        <v/>
      </c>
      <c r="DD103" s="77" t="str">
        <f t="shared" si="137"/>
        <v/>
      </c>
      <c r="DE103" s="77" t="str">
        <f t="shared" si="137"/>
        <v/>
      </c>
      <c r="DF103" s="77" t="str">
        <f t="shared" si="137"/>
        <v/>
      </c>
      <c r="DG103" s="77" t="str">
        <f t="shared" si="137"/>
        <v/>
      </c>
      <c r="DH103" s="77" t="str">
        <f t="shared" si="137"/>
        <v/>
      </c>
      <c r="DI103" s="77" t="str">
        <f t="shared" si="137"/>
        <v/>
      </c>
      <c r="DJ103" s="77" t="str">
        <f t="shared" si="137"/>
        <v/>
      </c>
      <c r="DK103" s="77" t="str">
        <f t="shared" si="137"/>
        <v/>
      </c>
      <c r="DL103" s="77" t="str">
        <f t="shared" si="137"/>
        <v/>
      </c>
      <c r="DM103" s="77" t="str">
        <f t="shared" si="137"/>
        <v/>
      </c>
      <c r="DN103" s="77" t="str">
        <f t="shared" si="137"/>
        <v/>
      </c>
      <c r="DO103" s="77" t="str">
        <f t="shared" si="137"/>
        <v/>
      </c>
      <c r="DP103" s="77" t="str">
        <f t="shared" si="137"/>
        <v/>
      </c>
      <c r="DQ103" s="77" t="str">
        <f t="shared" si="137"/>
        <v/>
      </c>
      <c r="DR103" s="77" t="str">
        <f t="shared" si="137"/>
        <v/>
      </c>
      <c r="DS103" s="77" t="str">
        <f t="shared" si="137"/>
        <v/>
      </c>
      <c r="DT103" s="77" t="str">
        <f t="shared" si="137"/>
        <v/>
      </c>
      <c r="DU103" s="77" t="str">
        <f t="shared" si="137"/>
        <v/>
      </c>
      <c r="DV103" s="77" t="str">
        <f t="shared" si="137"/>
        <v/>
      </c>
      <c r="DW103" s="77" t="str">
        <f t="shared" si="137"/>
        <v/>
      </c>
      <c r="DX103" s="77" t="str">
        <f t="shared" si="137"/>
        <v/>
      </c>
      <c r="DY103" s="77" t="str">
        <f t="shared" si="137"/>
        <v/>
      </c>
      <c r="DZ103" s="77" t="str">
        <f t="shared" si="137"/>
        <v/>
      </c>
      <c r="EA103" s="77" t="str">
        <f t="shared" si="137"/>
        <v/>
      </c>
      <c r="EB103" s="77" t="str">
        <f t="shared" si="137"/>
        <v/>
      </c>
      <c r="EC103" s="77" t="str">
        <f t="shared" si="137"/>
        <v/>
      </c>
      <c r="ED103" s="77" t="str">
        <f t="shared" si="137"/>
        <v/>
      </c>
      <c r="EE103" s="77" t="str">
        <f t="shared" si="137"/>
        <v/>
      </c>
      <c r="EF103" s="77" t="str">
        <f t="shared" si="137"/>
        <v/>
      </c>
      <c r="EG103" s="77" t="str">
        <f t="shared" si="137"/>
        <v/>
      </c>
      <c r="EH103" s="77" t="str">
        <f t="shared" si="137"/>
        <v/>
      </c>
      <c r="EI103" s="77" t="str">
        <f t="shared" si="137"/>
        <v/>
      </c>
      <c r="EJ103" s="77" t="str">
        <f t="shared" si="137"/>
        <v/>
      </c>
      <c r="EK103" s="77" t="str">
        <f t="shared" si="137"/>
        <v/>
      </c>
      <c r="EL103" s="77" t="str">
        <f t="shared" si="137"/>
        <v/>
      </c>
      <c r="EM103" s="77" t="str">
        <f t="shared" si="137"/>
        <v/>
      </c>
      <c r="EN103" s="77" t="str">
        <f t="shared" si="137"/>
        <v/>
      </c>
      <c r="EO103" s="77" t="str">
        <f t="shared" si="137"/>
        <v/>
      </c>
      <c r="EP103" s="77" t="str">
        <f t="shared" si="137"/>
        <v/>
      </c>
      <c r="EQ103" s="77" t="str">
        <f t="shared" si="137"/>
        <v/>
      </c>
      <c r="ER103" s="77" t="str">
        <f t="shared" si="137"/>
        <v/>
      </c>
      <c r="ES103" s="77" t="str">
        <f t="shared" si="137"/>
        <v/>
      </c>
      <c r="ET103" s="77" t="str">
        <f t="shared" si="137"/>
        <v/>
      </c>
      <c r="EU103" s="77" t="str">
        <f t="shared" si="137"/>
        <v/>
      </c>
      <c r="EV103" s="77" t="str">
        <f t="shared" si="133"/>
        <v/>
      </c>
      <c r="EW103" s="77" t="str">
        <f t="shared" si="133"/>
        <v/>
      </c>
      <c r="EX103" s="77" t="str">
        <f t="shared" si="133"/>
        <v/>
      </c>
      <c r="EY103" s="77" t="str">
        <f t="shared" si="133"/>
        <v/>
      </c>
      <c r="EZ103" s="77" t="str">
        <f t="shared" si="133"/>
        <v/>
      </c>
      <c r="FA103" s="77" t="str">
        <f t="shared" si="133"/>
        <v/>
      </c>
      <c r="FB103" s="77" t="str">
        <f t="shared" si="133"/>
        <v/>
      </c>
      <c r="FC103" s="77" t="str">
        <f t="shared" si="133"/>
        <v/>
      </c>
      <c r="FD103" s="77" t="str">
        <f t="shared" si="133"/>
        <v/>
      </c>
      <c r="FE103" s="77" t="str">
        <f t="shared" si="133"/>
        <v/>
      </c>
      <c r="FF103" s="77" t="str">
        <f t="shared" si="133"/>
        <v/>
      </c>
      <c r="FG103" s="77" t="str">
        <f t="shared" si="133"/>
        <v/>
      </c>
      <c r="FH103" s="77" t="str">
        <f t="shared" si="133"/>
        <v/>
      </c>
      <c r="FI103" s="77" t="str">
        <f t="shared" si="133"/>
        <v/>
      </c>
      <c r="FJ103" s="77" t="str">
        <f t="shared" si="133"/>
        <v/>
      </c>
      <c r="FK103" s="77" t="str">
        <f t="shared" si="133"/>
        <v/>
      </c>
      <c r="FL103" s="77" t="str">
        <f t="shared" si="133"/>
        <v/>
      </c>
      <c r="FM103" s="77" t="str">
        <f t="shared" si="133"/>
        <v/>
      </c>
      <c r="FN103" s="77" t="str">
        <f t="shared" si="133"/>
        <v/>
      </c>
      <c r="FO103" s="77" t="str">
        <f t="shared" si="133"/>
        <v/>
      </c>
      <c r="FP103" s="77" t="str">
        <f t="shared" si="133"/>
        <v/>
      </c>
      <c r="FQ103" s="77" t="str">
        <f t="shared" si="133"/>
        <v/>
      </c>
      <c r="FR103" s="77" t="str">
        <f t="shared" si="133"/>
        <v/>
      </c>
      <c r="FS103" s="77" t="str">
        <f t="shared" si="133"/>
        <v/>
      </c>
      <c r="FT103" s="77" t="str">
        <f t="shared" si="133"/>
        <v/>
      </c>
      <c r="FU103" s="77" t="str">
        <f t="shared" si="133"/>
        <v/>
      </c>
      <c r="FV103" s="77" t="str">
        <f t="shared" si="133"/>
        <v/>
      </c>
      <c r="FW103" s="77" t="str">
        <f t="shared" si="133"/>
        <v/>
      </c>
      <c r="FX103" s="77" t="str">
        <f t="shared" si="133"/>
        <v/>
      </c>
      <c r="FY103" s="77" t="str">
        <f t="shared" si="133"/>
        <v/>
      </c>
      <c r="FZ103" s="77" t="str">
        <f t="shared" si="133"/>
        <v/>
      </c>
      <c r="GA103" s="77" t="str">
        <f t="shared" si="133"/>
        <v/>
      </c>
      <c r="GB103" s="77" t="str">
        <f t="shared" si="133"/>
        <v/>
      </c>
      <c r="GC103" s="77" t="str">
        <f t="shared" si="133"/>
        <v/>
      </c>
      <c r="GD103" s="77" t="str">
        <f t="shared" si="133"/>
        <v/>
      </c>
      <c r="GE103" s="77" t="str">
        <f t="shared" ref="GE103:GX103" si="138">IF(GD103="","",GD103+1)</f>
        <v/>
      </c>
      <c r="GF103" s="77" t="str">
        <f t="shared" si="138"/>
        <v/>
      </c>
      <c r="GG103" s="77" t="str">
        <f t="shared" si="138"/>
        <v/>
      </c>
      <c r="GH103" s="77" t="str">
        <f t="shared" si="138"/>
        <v/>
      </c>
      <c r="GI103" s="77" t="str">
        <f t="shared" si="138"/>
        <v/>
      </c>
      <c r="GJ103" s="77" t="str">
        <f t="shared" si="138"/>
        <v/>
      </c>
      <c r="GK103" s="77" t="str">
        <f t="shared" si="138"/>
        <v/>
      </c>
      <c r="GL103" s="77" t="str">
        <f t="shared" si="138"/>
        <v/>
      </c>
      <c r="GM103" s="77" t="str">
        <f t="shared" si="138"/>
        <v/>
      </c>
      <c r="GN103" s="77" t="str">
        <f t="shared" si="138"/>
        <v/>
      </c>
      <c r="GO103" s="77" t="str">
        <f t="shared" si="138"/>
        <v/>
      </c>
      <c r="GP103" s="77" t="str">
        <f t="shared" si="138"/>
        <v/>
      </c>
      <c r="GQ103" s="77" t="str">
        <f t="shared" si="138"/>
        <v/>
      </c>
      <c r="GR103" s="77" t="str">
        <f t="shared" si="138"/>
        <v/>
      </c>
      <c r="GS103" s="77" t="str">
        <f t="shared" si="138"/>
        <v/>
      </c>
      <c r="GT103" s="77" t="str">
        <f t="shared" si="138"/>
        <v/>
      </c>
      <c r="GU103" s="77" t="str">
        <f t="shared" si="138"/>
        <v/>
      </c>
      <c r="GV103" s="77" t="str">
        <f t="shared" si="138"/>
        <v/>
      </c>
      <c r="GW103" s="77" t="str">
        <f t="shared" si="138"/>
        <v/>
      </c>
      <c r="GX103" s="77" t="str">
        <f t="shared" si="138"/>
        <v/>
      </c>
    </row>
    <row r="104" spans="1:206" ht="15" customHeight="1" x14ac:dyDescent="0.2">
      <c r="A104" s="22" t="s">
        <v>162</v>
      </c>
      <c r="B104" s="22">
        <v>5</v>
      </c>
      <c r="C104" s="22" t="s">
        <v>162</v>
      </c>
      <c r="D104" s="22">
        <v>9</v>
      </c>
      <c r="E104" s="22" t="s">
        <v>226</v>
      </c>
      <c r="F104" s="22" t="s">
        <v>71</v>
      </c>
      <c r="G104" s="22" t="s">
        <v>72</v>
      </c>
      <c r="H104" s="22">
        <v>2024</v>
      </c>
      <c r="I104" s="22">
        <v>2</v>
      </c>
      <c r="J104" s="22">
        <v>16.690000000000001</v>
      </c>
      <c r="K104" s="22">
        <v>0</v>
      </c>
      <c r="L104" s="22">
        <v>2412</v>
      </c>
      <c r="M104" s="22">
        <v>2412</v>
      </c>
      <c r="N104" s="22" t="s">
        <v>196</v>
      </c>
      <c r="O104" s="22" t="s">
        <v>74</v>
      </c>
      <c r="P104" s="22" t="s">
        <v>216</v>
      </c>
      <c r="Q104" s="24"/>
      <c r="R104" s="22" t="str">
        <f>IF($E104="","",IFERROR(INDEX($W104:$GX104,MATCH('Dashboard Ciclos'!$B$2,$W$1:$GX$1,0)),""))</f>
        <v/>
      </c>
      <c r="S104" s="22" t="str">
        <f t="shared" si="128"/>
        <v>Sin dato</v>
      </c>
      <c r="T104" s="22" t="str">
        <f t="shared" si="129"/>
        <v>Sin dato</v>
      </c>
      <c r="U104" s="22" t="str">
        <f t="shared" si="130"/>
        <v/>
      </c>
      <c r="V104" s="23" t="str">
        <f t="shared" si="131"/>
        <v/>
      </c>
      <c r="W104" s="77" t="str">
        <f t="shared" si="125"/>
        <v/>
      </c>
      <c r="X104" s="77" t="str">
        <f t="shared" si="136"/>
        <v/>
      </c>
      <c r="Y104" s="77" t="str">
        <f t="shared" si="134"/>
        <v/>
      </c>
      <c r="Z104" s="77" t="str">
        <f t="shared" si="134"/>
        <v/>
      </c>
      <c r="AA104" s="77" t="s">
        <v>218</v>
      </c>
      <c r="AB104" s="77" t="str">
        <f t="shared" si="134"/>
        <v/>
      </c>
      <c r="AC104" s="77" t="str">
        <f t="shared" si="134"/>
        <v/>
      </c>
      <c r="AD104" s="77" t="str">
        <f t="shared" si="134"/>
        <v/>
      </c>
      <c r="AE104" s="77" t="str">
        <f t="shared" si="134"/>
        <v/>
      </c>
      <c r="AF104" s="77" t="str">
        <f t="shared" si="134"/>
        <v/>
      </c>
      <c r="AG104" s="77" t="str">
        <f t="shared" si="134"/>
        <v/>
      </c>
      <c r="AH104" s="77" t="str">
        <f t="shared" si="134"/>
        <v/>
      </c>
      <c r="AI104" s="77" t="str">
        <f t="shared" si="134"/>
        <v/>
      </c>
      <c r="AJ104" s="77" t="str">
        <f t="shared" si="134"/>
        <v/>
      </c>
      <c r="AK104" s="77" t="str">
        <f t="shared" si="90"/>
        <v/>
      </c>
      <c r="AL104" s="77" t="str">
        <f t="shared" si="90"/>
        <v/>
      </c>
      <c r="AM104" s="77" t="str">
        <f t="shared" ref="AK104:AQ119" si="139">IF(AL104="","",AL104+1)</f>
        <v/>
      </c>
      <c r="AN104" s="77" t="str">
        <f t="shared" si="91"/>
        <v/>
      </c>
      <c r="AO104" s="77" t="str">
        <f t="shared" si="139"/>
        <v/>
      </c>
      <c r="AP104" s="77" t="str">
        <f t="shared" si="139"/>
        <v/>
      </c>
      <c r="AQ104" s="77" t="str">
        <f t="shared" si="139"/>
        <v/>
      </c>
      <c r="AR104" s="77" t="str">
        <f t="shared" si="105"/>
        <v/>
      </c>
      <c r="AS104" s="77" t="str">
        <f t="shared" ref="AS104:CJ107" si="140">IF(AR104="","",AR104+1)</f>
        <v/>
      </c>
      <c r="AT104" s="77" t="str">
        <f t="shared" si="140"/>
        <v/>
      </c>
      <c r="AU104" s="77" t="str">
        <f t="shared" si="140"/>
        <v/>
      </c>
      <c r="AV104" s="77" t="str">
        <f t="shared" si="140"/>
        <v/>
      </c>
      <c r="AW104" s="77" t="str">
        <f t="shared" si="140"/>
        <v/>
      </c>
      <c r="AX104" s="77" t="str">
        <f t="shared" si="140"/>
        <v/>
      </c>
      <c r="AY104" s="77" t="str">
        <f t="shared" si="140"/>
        <v/>
      </c>
      <c r="AZ104" s="77" t="str">
        <f t="shared" si="140"/>
        <v/>
      </c>
      <c r="BA104" s="77" t="str">
        <f t="shared" si="140"/>
        <v/>
      </c>
      <c r="BB104" s="77" t="str">
        <f t="shared" si="140"/>
        <v/>
      </c>
      <c r="BC104" s="77" t="str">
        <f t="shared" si="140"/>
        <v/>
      </c>
      <c r="BD104" s="77" t="str">
        <f t="shared" si="140"/>
        <v/>
      </c>
      <c r="BE104" s="77" t="str">
        <f t="shared" si="140"/>
        <v/>
      </c>
      <c r="BF104" s="77" t="str">
        <f t="shared" si="140"/>
        <v/>
      </c>
      <c r="BG104" s="77" t="str">
        <f t="shared" si="140"/>
        <v/>
      </c>
      <c r="BH104" s="77" t="str">
        <f t="shared" si="140"/>
        <v/>
      </c>
      <c r="BI104" s="77" t="str">
        <f t="shared" si="140"/>
        <v/>
      </c>
      <c r="BJ104" s="77" t="str">
        <f t="shared" si="140"/>
        <v/>
      </c>
      <c r="BK104" s="77" t="str">
        <f t="shared" si="140"/>
        <v/>
      </c>
      <c r="BL104" s="77" t="str">
        <f t="shared" si="140"/>
        <v/>
      </c>
      <c r="BM104" s="77" t="str">
        <f t="shared" si="140"/>
        <v/>
      </c>
      <c r="BN104" s="77" t="str">
        <f t="shared" si="140"/>
        <v/>
      </c>
      <c r="BO104" s="77" t="str">
        <f t="shared" si="140"/>
        <v/>
      </c>
      <c r="BP104" s="77" t="str">
        <f t="shared" si="140"/>
        <v/>
      </c>
      <c r="BQ104" s="77" t="str">
        <f t="shared" si="140"/>
        <v/>
      </c>
      <c r="BR104" s="77" t="str">
        <f t="shared" si="140"/>
        <v/>
      </c>
      <c r="BS104" s="77" t="str">
        <f t="shared" si="140"/>
        <v/>
      </c>
      <c r="BT104" s="77" t="str">
        <f t="shared" si="140"/>
        <v/>
      </c>
      <c r="BU104" s="77" t="str">
        <f t="shared" si="140"/>
        <v/>
      </c>
      <c r="BV104" s="77" t="str">
        <f t="shared" si="140"/>
        <v/>
      </c>
      <c r="BW104" s="77" t="str">
        <f t="shared" si="140"/>
        <v/>
      </c>
      <c r="BX104" s="77" t="str">
        <f t="shared" si="140"/>
        <v/>
      </c>
      <c r="BY104" s="77" t="str">
        <f t="shared" si="140"/>
        <v/>
      </c>
      <c r="BZ104" s="77" t="str">
        <f t="shared" si="140"/>
        <v/>
      </c>
      <c r="CA104" s="77" t="str">
        <f t="shared" si="140"/>
        <v/>
      </c>
      <c r="CB104" s="77" t="str">
        <f t="shared" si="140"/>
        <v/>
      </c>
      <c r="CC104" s="77" t="str">
        <f t="shared" si="140"/>
        <v/>
      </c>
      <c r="CD104" s="77" t="str">
        <f t="shared" si="140"/>
        <v/>
      </c>
      <c r="CE104" s="77" t="str">
        <f t="shared" si="140"/>
        <v/>
      </c>
      <c r="CF104" s="77" t="str">
        <f t="shared" si="140"/>
        <v/>
      </c>
      <c r="CG104" s="77" t="str">
        <f t="shared" si="140"/>
        <v/>
      </c>
      <c r="CH104" s="77" t="str">
        <f t="shared" si="140"/>
        <v/>
      </c>
      <c r="CI104" s="77" t="str">
        <f t="shared" si="140"/>
        <v/>
      </c>
      <c r="CJ104" s="77" t="str">
        <f t="shared" si="140"/>
        <v/>
      </c>
      <c r="CK104" s="77" t="str">
        <f t="shared" si="137"/>
        <v/>
      </c>
      <c r="CL104" s="77" t="str">
        <f t="shared" si="137"/>
        <v/>
      </c>
      <c r="CM104" s="77" t="str">
        <f t="shared" si="137"/>
        <v/>
      </c>
      <c r="CN104" s="77" t="str">
        <f t="shared" si="137"/>
        <v/>
      </c>
      <c r="CO104" s="77" t="str">
        <f t="shared" si="137"/>
        <v/>
      </c>
      <c r="CP104" s="77" t="str">
        <f t="shared" si="137"/>
        <v/>
      </c>
      <c r="CQ104" s="77" t="str">
        <f t="shared" si="137"/>
        <v/>
      </c>
      <c r="CR104" s="77" t="str">
        <f t="shared" si="137"/>
        <v/>
      </c>
      <c r="CS104" s="77" t="str">
        <f t="shared" si="137"/>
        <v/>
      </c>
      <c r="CT104" s="77" t="str">
        <f t="shared" si="137"/>
        <v/>
      </c>
      <c r="CU104" s="77" t="str">
        <f t="shared" si="137"/>
        <v/>
      </c>
      <c r="CV104" s="77" t="str">
        <f t="shared" si="137"/>
        <v/>
      </c>
      <c r="CW104" s="77" t="str">
        <f t="shared" si="137"/>
        <v/>
      </c>
      <c r="CX104" s="77" t="str">
        <f t="shared" si="137"/>
        <v/>
      </c>
      <c r="CY104" s="77" t="str">
        <f t="shared" si="137"/>
        <v/>
      </c>
      <c r="CZ104" s="77" t="str">
        <f t="shared" si="137"/>
        <v/>
      </c>
      <c r="DA104" s="77" t="str">
        <f t="shared" si="137"/>
        <v/>
      </c>
      <c r="DB104" s="77" t="str">
        <f t="shared" si="137"/>
        <v/>
      </c>
      <c r="DC104" s="77" t="str">
        <f t="shared" si="137"/>
        <v/>
      </c>
      <c r="DD104" s="77" t="str">
        <f t="shared" si="137"/>
        <v/>
      </c>
      <c r="DE104" s="77" t="str">
        <f t="shared" si="137"/>
        <v/>
      </c>
      <c r="DF104" s="77" t="str">
        <f t="shared" si="137"/>
        <v/>
      </c>
      <c r="DG104" s="77" t="str">
        <f t="shared" si="137"/>
        <v/>
      </c>
      <c r="DH104" s="77" t="str">
        <f t="shared" si="137"/>
        <v/>
      </c>
      <c r="DI104" s="77" t="str">
        <f t="shared" si="137"/>
        <v/>
      </c>
      <c r="DJ104" s="77" t="str">
        <f t="shared" si="137"/>
        <v/>
      </c>
      <c r="DK104" s="77" t="str">
        <f t="shared" si="137"/>
        <v/>
      </c>
      <c r="DL104" s="77" t="str">
        <f t="shared" si="137"/>
        <v/>
      </c>
      <c r="DM104" s="77" t="str">
        <f t="shared" si="137"/>
        <v/>
      </c>
      <c r="DN104" s="77" t="str">
        <f t="shared" si="137"/>
        <v/>
      </c>
      <c r="DO104" s="77" t="str">
        <f t="shared" si="137"/>
        <v/>
      </c>
      <c r="DP104" s="77" t="str">
        <f t="shared" si="137"/>
        <v/>
      </c>
      <c r="DQ104" s="77" t="str">
        <f t="shared" si="137"/>
        <v/>
      </c>
      <c r="DR104" s="77" t="str">
        <f t="shared" si="137"/>
        <v/>
      </c>
      <c r="DS104" s="77" t="str">
        <f t="shared" si="137"/>
        <v/>
      </c>
      <c r="DT104" s="77" t="str">
        <f t="shared" si="137"/>
        <v/>
      </c>
      <c r="DU104" s="77" t="str">
        <f t="shared" si="137"/>
        <v/>
      </c>
      <c r="DV104" s="77" t="str">
        <f t="shared" si="137"/>
        <v/>
      </c>
      <c r="DW104" s="77" t="str">
        <f t="shared" si="137"/>
        <v/>
      </c>
      <c r="DX104" s="77" t="str">
        <f t="shared" si="137"/>
        <v/>
      </c>
      <c r="DY104" s="77" t="str">
        <f t="shared" si="137"/>
        <v/>
      </c>
      <c r="DZ104" s="77" t="str">
        <f t="shared" si="137"/>
        <v/>
      </c>
      <c r="EA104" s="77" t="str">
        <f t="shared" si="137"/>
        <v/>
      </c>
      <c r="EB104" s="77" t="str">
        <f t="shared" si="137"/>
        <v/>
      </c>
      <c r="EC104" s="77" t="str">
        <f t="shared" si="137"/>
        <v/>
      </c>
      <c r="ED104" s="77" t="str">
        <f t="shared" si="137"/>
        <v/>
      </c>
      <c r="EE104" s="77" t="str">
        <f t="shared" si="137"/>
        <v/>
      </c>
      <c r="EF104" s="77" t="str">
        <f t="shared" si="137"/>
        <v/>
      </c>
      <c r="EG104" s="77" t="str">
        <f t="shared" si="137"/>
        <v/>
      </c>
      <c r="EH104" s="77" t="str">
        <f t="shared" si="137"/>
        <v/>
      </c>
      <c r="EI104" s="77" t="str">
        <f t="shared" si="137"/>
        <v/>
      </c>
      <c r="EJ104" s="77" t="str">
        <f t="shared" si="137"/>
        <v/>
      </c>
      <c r="EK104" s="77" t="str">
        <f t="shared" si="137"/>
        <v/>
      </c>
      <c r="EL104" s="77" t="str">
        <f t="shared" si="137"/>
        <v/>
      </c>
      <c r="EM104" s="77" t="str">
        <f t="shared" si="137"/>
        <v/>
      </c>
      <c r="EN104" s="77" t="str">
        <f t="shared" si="137"/>
        <v/>
      </c>
      <c r="EO104" s="77" t="str">
        <f t="shared" si="137"/>
        <v/>
      </c>
      <c r="EP104" s="77" t="str">
        <f t="shared" si="137"/>
        <v/>
      </c>
      <c r="EQ104" s="77" t="str">
        <f t="shared" si="137"/>
        <v/>
      </c>
      <c r="ER104" s="77" t="str">
        <f t="shared" si="137"/>
        <v/>
      </c>
      <c r="ES104" s="77" t="str">
        <f t="shared" si="137"/>
        <v/>
      </c>
      <c r="ET104" s="77" t="str">
        <f t="shared" si="137"/>
        <v/>
      </c>
      <c r="EU104" s="77" t="str">
        <f t="shared" si="137"/>
        <v/>
      </c>
      <c r="EV104" s="77" t="str">
        <f t="shared" ref="EV104:GX108" si="141">IF(EU104="","",EU104+1)</f>
        <v/>
      </c>
      <c r="EW104" s="77" t="str">
        <f t="shared" si="141"/>
        <v/>
      </c>
      <c r="EX104" s="77" t="str">
        <f t="shared" si="141"/>
        <v/>
      </c>
      <c r="EY104" s="77" t="str">
        <f t="shared" si="141"/>
        <v/>
      </c>
      <c r="EZ104" s="77" t="str">
        <f t="shared" si="141"/>
        <v/>
      </c>
      <c r="FA104" s="77" t="str">
        <f t="shared" si="141"/>
        <v/>
      </c>
      <c r="FB104" s="77" t="str">
        <f t="shared" si="141"/>
        <v/>
      </c>
      <c r="FC104" s="77" t="str">
        <f t="shared" si="141"/>
        <v/>
      </c>
      <c r="FD104" s="77" t="str">
        <f t="shared" si="141"/>
        <v/>
      </c>
      <c r="FE104" s="77" t="str">
        <f t="shared" si="141"/>
        <v/>
      </c>
      <c r="FF104" s="77" t="str">
        <f t="shared" si="141"/>
        <v/>
      </c>
      <c r="FG104" s="77" t="str">
        <f t="shared" si="141"/>
        <v/>
      </c>
      <c r="FH104" s="77" t="str">
        <f t="shared" si="141"/>
        <v/>
      </c>
      <c r="FI104" s="77" t="str">
        <f t="shared" si="141"/>
        <v/>
      </c>
      <c r="FJ104" s="77" t="str">
        <f t="shared" si="141"/>
        <v/>
      </c>
      <c r="FK104" s="77" t="str">
        <f t="shared" si="141"/>
        <v/>
      </c>
      <c r="FL104" s="77" t="str">
        <f t="shared" si="141"/>
        <v/>
      </c>
      <c r="FM104" s="77" t="str">
        <f t="shared" si="141"/>
        <v/>
      </c>
      <c r="FN104" s="77" t="str">
        <f t="shared" si="141"/>
        <v/>
      </c>
      <c r="FO104" s="77" t="str">
        <f t="shared" si="141"/>
        <v/>
      </c>
      <c r="FP104" s="77" t="str">
        <f t="shared" si="141"/>
        <v/>
      </c>
      <c r="FQ104" s="77" t="str">
        <f t="shared" si="141"/>
        <v/>
      </c>
      <c r="FR104" s="77" t="str">
        <f t="shared" si="141"/>
        <v/>
      </c>
      <c r="FS104" s="77" t="str">
        <f t="shared" si="141"/>
        <v/>
      </c>
      <c r="FT104" s="77" t="str">
        <f t="shared" si="141"/>
        <v/>
      </c>
      <c r="FU104" s="77" t="str">
        <f t="shared" si="141"/>
        <v/>
      </c>
      <c r="FV104" s="77" t="str">
        <f t="shared" si="141"/>
        <v/>
      </c>
      <c r="FW104" s="77" t="str">
        <f t="shared" si="141"/>
        <v/>
      </c>
      <c r="FX104" s="77" t="str">
        <f t="shared" si="141"/>
        <v/>
      </c>
      <c r="FY104" s="77" t="str">
        <f t="shared" si="141"/>
        <v/>
      </c>
      <c r="FZ104" s="77" t="str">
        <f t="shared" si="141"/>
        <v/>
      </c>
      <c r="GA104" s="77" t="str">
        <f t="shared" si="141"/>
        <v/>
      </c>
      <c r="GB104" s="77" t="str">
        <f t="shared" si="141"/>
        <v/>
      </c>
      <c r="GC104" s="77" t="str">
        <f t="shared" si="141"/>
        <v/>
      </c>
      <c r="GD104" s="77" t="str">
        <f t="shared" si="141"/>
        <v/>
      </c>
      <c r="GE104" s="77" t="str">
        <f t="shared" si="141"/>
        <v/>
      </c>
      <c r="GF104" s="77" t="str">
        <f t="shared" si="141"/>
        <v/>
      </c>
      <c r="GG104" s="77" t="str">
        <f t="shared" si="141"/>
        <v/>
      </c>
      <c r="GH104" s="77" t="str">
        <f t="shared" si="141"/>
        <v/>
      </c>
      <c r="GI104" s="77" t="str">
        <f t="shared" si="141"/>
        <v/>
      </c>
      <c r="GJ104" s="77" t="str">
        <f t="shared" si="141"/>
        <v/>
      </c>
      <c r="GK104" s="77" t="str">
        <f t="shared" si="141"/>
        <v/>
      </c>
      <c r="GL104" s="77" t="str">
        <f t="shared" si="141"/>
        <v/>
      </c>
      <c r="GM104" s="77" t="str">
        <f t="shared" si="141"/>
        <v/>
      </c>
      <c r="GN104" s="77" t="str">
        <f t="shared" si="141"/>
        <v/>
      </c>
      <c r="GO104" s="77" t="str">
        <f t="shared" si="141"/>
        <v/>
      </c>
      <c r="GP104" s="77" t="str">
        <f t="shared" si="141"/>
        <v/>
      </c>
      <c r="GQ104" s="77" t="str">
        <f t="shared" si="141"/>
        <v/>
      </c>
      <c r="GR104" s="77" t="str">
        <f t="shared" si="141"/>
        <v/>
      </c>
      <c r="GS104" s="77" t="str">
        <f t="shared" si="141"/>
        <v/>
      </c>
      <c r="GT104" s="77" t="str">
        <f t="shared" si="141"/>
        <v/>
      </c>
      <c r="GU104" s="77" t="str">
        <f t="shared" si="141"/>
        <v/>
      </c>
      <c r="GV104" s="77" t="str">
        <f t="shared" si="141"/>
        <v/>
      </c>
      <c r="GW104" s="77" t="str">
        <f t="shared" si="141"/>
        <v/>
      </c>
      <c r="GX104" s="77" t="str">
        <f t="shared" si="141"/>
        <v/>
      </c>
    </row>
    <row r="105" spans="1:206" ht="15" customHeight="1" x14ac:dyDescent="0.2">
      <c r="A105" s="22" t="s">
        <v>162</v>
      </c>
      <c r="B105" s="22">
        <v>5</v>
      </c>
      <c r="C105" s="22" t="s">
        <v>162</v>
      </c>
      <c r="D105" s="22">
        <v>10</v>
      </c>
      <c r="E105" s="22" t="s">
        <v>227</v>
      </c>
      <c r="F105" s="22" t="s">
        <v>71</v>
      </c>
      <c r="G105" s="22" t="s">
        <v>72</v>
      </c>
      <c r="H105" s="22">
        <v>2024</v>
      </c>
      <c r="I105" s="22">
        <v>2</v>
      </c>
      <c r="J105" s="22">
        <v>12.2</v>
      </c>
      <c r="K105" s="22">
        <v>0</v>
      </c>
      <c r="L105" s="22">
        <v>1744</v>
      </c>
      <c r="M105" s="22">
        <v>1744</v>
      </c>
      <c r="N105" s="22" t="s">
        <v>196</v>
      </c>
      <c r="O105" s="22" t="s">
        <v>74</v>
      </c>
      <c r="P105" s="22" t="s">
        <v>216</v>
      </c>
      <c r="Q105" s="24"/>
      <c r="R105" s="22" t="str">
        <f>IF($E105="","",IFERROR(INDEX($W105:$GX105,MATCH('Dashboard Ciclos'!$B$2,$W$1:$GX$1,0)),""))</f>
        <v/>
      </c>
      <c r="S105" s="22" t="str">
        <f t="shared" si="128"/>
        <v>Sin dato</v>
      </c>
      <c r="T105" s="22" t="str">
        <f t="shared" si="129"/>
        <v>Sin dato</v>
      </c>
      <c r="U105" s="22" t="str">
        <f t="shared" si="130"/>
        <v/>
      </c>
      <c r="V105" s="23" t="str">
        <f t="shared" si="131"/>
        <v/>
      </c>
      <c r="W105" s="77" t="str">
        <f t="shared" si="125"/>
        <v/>
      </c>
      <c r="X105" s="77" t="str">
        <f t="shared" si="136"/>
        <v/>
      </c>
      <c r="Y105" s="77" t="str">
        <f t="shared" si="134"/>
        <v/>
      </c>
      <c r="Z105" s="77" t="str">
        <f t="shared" si="134"/>
        <v/>
      </c>
      <c r="AA105" s="77" t="s">
        <v>218</v>
      </c>
      <c r="AB105" s="77" t="str">
        <f t="shared" si="134"/>
        <v/>
      </c>
      <c r="AC105" s="77" t="str">
        <f t="shared" si="134"/>
        <v/>
      </c>
      <c r="AD105" s="77" t="str">
        <f t="shared" si="134"/>
        <v/>
      </c>
      <c r="AE105" s="77" t="str">
        <f t="shared" si="134"/>
        <v/>
      </c>
      <c r="AF105" s="77" t="str">
        <f t="shared" si="134"/>
        <v/>
      </c>
      <c r="AG105" s="77" t="str">
        <f t="shared" si="134"/>
        <v/>
      </c>
      <c r="AH105" s="77" t="str">
        <f t="shared" si="134"/>
        <v/>
      </c>
      <c r="AI105" s="77" t="str">
        <f t="shared" si="134"/>
        <v/>
      </c>
      <c r="AJ105" s="77" t="str">
        <f t="shared" si="134"/>
        <v/>
      </c>
      <c r="AK105" s="77" t="str">
        <f t="shared" si="139"/>
        <v/>
      </c>
      <c r="AL105" s="77" t="str">
        <f t="shared" si="139"/>
        <v/>
      </c>
      <c r="AM105" s="77" t="str">
        <f t="shared" si="139"/>
        <v/>
      </c>
      <c r="AN105" s="77" t="str">
        <f t="shared" si="91"/>
        <v/>
      </c>
      <c r="AO105" s="77" t="str">
        <f t="shared" si="139"/>
        <v/>
      </c>
      <c r="AP105" s="77" t="str">
        <f t="shared" si="139"/>
        <v/>
      </c>
      <c r="AQ105" s="77" t="str">
        <f t="shared" si="139"/>
        <v/>
      </c>
      <c r="AR105" s="77" t="str">
        <f t="shared" si="105"/>
        <v/>
      </c>
      <c r="AS105" s="77" t="str">
        <f t="shared" si="140"/>
        <v/>
      </c>
      <c r="AT105" s="77" t="str">
        <f t="shared" si="140"/>
        <v/>
      </c>
      <c r="AU105" s="77" t="str">
        <f t="shared" si="140"/>
        <v/>
      </c>
      <c r="AV105" s="77" t="str">
        <f t="shared" si="140"/>
        <v/>
      </c>
      <c r="AW105" s="77" t="str">
        <f t="shared" si="140"/>
        <v/>
      </c>
      <c r="AX105" s="77" t="str">
        <f t="shared" si="140"/>
        <v/>
      </c>
      <c r="AY105" s="77" t="str">
        <f t="shared" si="140"/>
        <v/>
      </c>
      <c r="AZ105" s="77" t="str">
        <f t="shared" si="140"/>
        <v/>
      </c>
      <c r="BA105" s="77" t="str">
        <f t="shared" si="140"/>
        <v/>
      </c>
      <c r="BB105" s="77" t="str">
        <f t="shared" si="140"/>
        <v/>
      </c>
      <c r="BC105" s="77" t="str">
        <f t="shared" si="140"/>
        <v/>
      </c>
      <c r="BD105" s="77" t="str">
        <f t="shared" si="140"/>
        <v/>
      </c>
      <c r="BE105" s="77" t="str">
        <f t="shared" si="140"/>
        <v/>
      </c>
      <c r="BF105" s="77" t="str">
        <f t="shared" si="140"/>
        <v/>
      </c>
      <c r="BG105" s="77" t="str">
        <f t="shared" si="140"/>
        <v/>
      </c>
      <c r="BH105" s="77" t="str">
        <f t="shared" si="140"/>
        <v/>
      </c>
      <c r="BI105" s="77" t="str">
        <f t="shared" si="140"/>
        <v/>
      </c>
      <c r="BJ105" s="77" t="str">
        <f t="shared" si="140"/>
        <v/>
      </c>
      <c r="BK105" s="77" t="str">
        <f t="shared" si="140"/>
        <v/>
      </c>
      <c r="BL105" s="77" t="str">
        <f t="shared" si="140"/>
        <v/>
      </c>
      <c r="BM105" s="77" t="str">
        <f t="shared" si="140"/>
        <v/>
      </c>
      <c r="BN105" s="77" t="str">
        <f t="shared" si="140"/>
        <v/>
      </c>
      <c r="BO105" s="77" t="str">
        <f t="shared" si="140"/>
        <v/>
      </c>
      <c r="BP105" s="77" t="str">
        <f t="shared" si="140"/>
        <v/>
      </c>
      <c r="BQ105" s="77" t="str">
        <f t="shared" si="140"/>
        <v/>
      </c>
      <c r="BR105" s="77" t="str">
        <f t="shared" si="140"/>
        <v/>
      </c>
      <c r="BS105" s="77" t="str">
        <f t="shared" si="140"/>
        <v/>
      </c>
      <c r="BT105" s="77" t="str">
        <f t="shared" si="140"/>
        <v/>
      </c>
      <c r="BU105" s="77" t="str">
        <f t="shared" si="140"/>
        <v/>
      </c>
      <c r="BV105" s="77" t="str">
        <f t="shared" si="140"/>
        <v/>
      </c>
      <c r="BW105" s="77" t="str">
        <f t="shared" si="140"/>
        <v/>
      </c>
      <c r="BX105" s="77" t="str">
        <f t="shared" si="140"/>
        <v/>
      </c>
      <c r="BY105" s="77" t="str">
        <f t="shared" si="140"/>
        <v/>
      </c>
      <c r="BZ105" s="77" t="str">
        <f t="shared" si="140"/>
        <v/>
      </c>
      <c r="CA105" s="77" t="str">
        <f t="shared" si="140"/>
        <v/>
      </c>
      <c r="CB105" s="77" t="str">
        <f t="shared" si="140"/>
        <v/>
      </c>
      <c r="CC105" s="77" t="str">
        <f t="shared" si="140"/>
        <v/>
      </c>
      <c r="CD105" s="77" t="str">
        <f t="shared" si="140"/>
        <v/>
      </c>
      <c r="CE105" s="77" t="str">
        <f t="shared" si="140"/>
        <v/>
      </c>
      <c r="CF105" s="77" t="str">
        <f t="shared" si="140"/>
        <v/>
      </c>
      <c r="CG105" s="77" t="str">
        <f t="shared" si="140"/>
        <v/>
      </c>
      <c r="CH105" s="77" t="str">
        <f t="shared" si="140"/>
        <v/>
      </c>
      <c r="CI105" s="77" t="str">
        <f t="shared" si="140"/>
        <v/>
      </c>
      <c r="CJ105" s="77" t="str">
        <f t="shared" si="140"/>
        <v/>
      </c>
      <c r="CK105" s="77" t="str">
        <f t="shared" si="137"/>
        <v/>
      </c>
      <c r="CL105" s="77" t="str">
        <f t="shared" si="137"/>
        <v/>
      </c>
      <c r="CM105" s="77" t="str">
        <f t="shared" si="137"/>
        <v/>
      </c>
      <c r="CN105" s="77" t="str">
        <f t="shared" si="137"/>
        <v/>
      </c>
      <c r="CO105" s="77" t="str">
        <f t="shared" si="137"/>
        <v/>
      </c>
      <c r="CP105" s="77" t="str">
        <f t="shared" si="137"/>
        <v/>
      </c>
      <c r="CQ105" s="77" t="str">
        <f t="shared" si="137"/>
        <v/>
      </c>
      <c r="CR105" s="77" t="str">
        <f t="shared" si="137"/>
        <v/>
      </c>
      <c r="CS105" s="77" t="str">
        <f t="shared" si="137"/>
        <v/>
      </c>
      <c r="CT105" s="77" t="str">
        <f t="shared" si="137"/>
        <v/>
      </c>
      <c r="CU105" s="77" t="str">
        <f t="shared" si="137"/>
        <v/>
      </c>
      <c r="CV105" s="77" t="str">
        <f t="shared" si="137"/>
        <v/>
      </c>
      <c r="CW105" s="77" t="str">
        <f t="shared" si="137"/>
        <v/>
      </c>
      <c r="CX105" s="77" t="str">
        <f t="shared" si="137"/>
        <v/>
      </c>
      <c r="CY105" s="77" t="str">
        <f t="shared" si="137"/>
        <v/>
      </c>
      <c r="CZ105" s="77" t="str">
        <f t="shared" si="137"/>
        <v/>
      </c>
      <c r="DA105" s="77" t="str">
        <f t="shared" si="137"/>
        <v/>
      </c>
      <c r="DB105" s="77" t="str">
        <f t="shared" si="137"/>
        <v/>
      </c>
      <c r="DC105" s="77" t="str">
        <f t="shared" si="137"/>
        <v/>
      </c>
      <c r="DD105" s="77" t="str">
        <f t="shared" si="137"/>
        <v/>
      </c>
      <c r="DE105" s="77" t="str">
        <f t="shared" si="137"/>
        <v/>
      </c>
      <c r="DF105" s="77" t="str">
        <f t="shared" si="137"/>
        <v/>
      </c>
      <c r="DG105" s="77" t="str">
        <f t="shared" si="137"/>
        <v/>
      </c>
      <c r="DH105" s="77" t="str">
        <f t="shared" si="137"/>
        <v/>
      </c>
      <c r="DI105" s="77" t="str">
        <f t="shared" si="137"/>
        <v/>
      </c>
      <c r="DJ105" s="77" t="str">
        <f t="shared" si="137"/>
        <v/>
      </c>
      <c r="DK105" s="77" t="str">
        <f t="shared" si="137"/>
        <v/>
      </c>
      <c r="DL105" s="77" t="str">
        <f t="shared" si="137"/>
        <v/>
      </c>
      <c r="DM105" s="77" t="str">
        <f t="shared" si="137"/>
        <v/>
      </c>
      <c r="DN105" s="77" t="str">
        <f t="shared" si="137"/>
        <v/>
      </c>
      <c r="DO105" s="77" t="str">
        <f t="shared" si="137"/>
        <v/>
      </c>
      <c r="DP105" s="77" t="str">
        <f t="shared" si="137"/>
        <v/>
      </c>
      <c r="DQ105" s="77" t="str">
        <f t="shared" si="137"/>
        <v/>
      </c>
      <c r="DR105" s="77" t="str">
        <f t="shared" si="137"/>
        <v/>
      </c>
      <c r="DS105" s="77" t="str">
        <f t="shared" si="137"/>
        <v/>
      </c>
      <c r="DT105" s="77" t="str">
        <f t="shared" si="137"/>
        <v/>
      </c>
      <c r="DU105" s="77" t="str">
        <f t="shared" si="137"/>
        <v/>
      </c>
      <c r="DV105" s="77" t="str">
        <f t="shared" si="137"/>
        <v/>
      </c>
      <c r="DW105" s="77" t="str">
        <f t="shared" si="137"/>
        <v/>
      </c>
      <c r="DX105" s="77" t="str">
        <f t="shared" si="137"/>
        <v/>
      </c>
      <c r="DY105" s="77" t="str">
        <f t="shared" si="137"/>
        <v/>
      </c>
      <c r="DZ105" s="77" t="str">
        <f t="shared" si="137"/>
        <v/>
      </c>
      <c r="EA105" s="77" t="str">
        <f t="shared" si="137"/>
        <v/>
      </c>
      <c r="EB105" s="77" t="str">
        <f t="shared" si="137"/>
        <v/>
      </c>
      <c r="EC105" s="77" t="str">
        <f t="shared" si="137"/>
        <v/>
      </c>
      <c r="ED105" s="77" t="str">
        <f t="shared" si="137"/>
        <v/>
      </c>
      <c r="EE105" s="77" t="str">
        <f t="shared" si="137"/>
        <v/>
      </c>
      <c r="EF105" s="77" t="str">
        <f t="shared" si="137"/>
        <v/>
      </c>
      <c r="EG105" s="77" t="str">
        <f t="shared" si="137"/>
        <v/>
      </c>
      <c r="EH105" s="77" t="str">
        <f t="shared" si="137"/>
        <v/>
      </c>
      <c r="EI105" s="77" t="str">
        <f t="shared" si="137"/>
        <v/>
      </c>
      <c r="EJ105" s="77" t="str">
        <f t="shared" si="137"/>
        <v/>
      </c>
      <c r="EK105" s="77" t="str">
        <f t="shared" si="137"/>
        <v/>
      </c>
      <c r="EL105" s="77" t="str">
        <f t="shared" si="137"/>
        <v/>
      </c>
      <c r="EM105" s="77" t="str">
        <f t="shared" si="137"/>
        <v/>
      </c>
      <c r="EN105" s="77" t="str">
        <f t="shared" si="137"/>
        <v/>
      </c>
      <c r="EO105" s="77" t="str">
        <f t="shared" si="137"/>
        <v/>
      </c>
      <c r="EP105" s="77" t="str">
        <f t="shared" si="137"/>
        <v/>
      </c>
      <c r="EQ105" s="77" t="str">
        <f t="shared" si="137"/>
        <v/>
      </c>
      <c r="ER105" s="77" t="str">
        <f t="shared" si="137"/>
        <v/>
      </c>
      <c r="ES105" s="77" t="str">
        <f t="shared" si="137"/>
        <v/>
      </c>
      <c r="ET105" s="77" t="str">
        <f t="shared" si="137"/>
        <v/>
      </c>
      <c r="EU105" s="77" t="str">
        <f t="shared" si="137"/>
        <v/>
      </c>
      <c r="EV105" s="77" t="str">
        <f t="shared" si="141"/>
        <v/>
      </c>
      <c r="EW105" s="77" t="str">
        <f t="shared" si="141"/>
        <v/>
      </c>
      <c r="EX105" s="77" t="str">
        <f t="shared" si="141"/>
        <v/>
      </c>
      <c r="EY105" s="77" t="str">
        <f t="shared" si="141"/>
        <v/>
      </c>
      <c r="EZ105" s="77" t="str">
        <f t="shared" si="141"/>
        <v/>
      </c>
      <c r="FA105" s="77" t="str">
        <f t="shared" si="141"/>
        <v/>
      </c>
      <c r="FB105" s="77" t="str">
        <f t="shared" si="141"/>
        <v/>
      </c>
      <c r="FC105" s="77" t="str">
        <f t="shared" si="141"/>
        <v/>
      </c>
      <c r="FD105" s="77" t="str">
        <f t="shared" si="141"/>
        <v/>
      </c>
      <c r="FE105" s="77" t="str">
        <f t="shared" si="141"/>
        <v/>
      </c>
      <c r="FF105" s="77" t="str">
        <f t="shared" si="141"/>
        <v/>
      </c>
      <c r="FG105" s="77" t="str">
        <f t="shared" si="141"/>
        <v/>
      </c>
      <c r="FH105" s="77" t="str">
        <f t="shared" si="141"/>
        <v/>
      </c>
      <c r="FI105" s="77" t="str">
        <f t="shared" si="141"/>
        <v/>
      </c>
      <c r="FJ105" s="77" t="str">
        <f t="shared" si="141"/>
        <v/>
      </c>
      <c r="FK105" s="77" t="str">
        <f t="shared" si="141"/>
        <v/>
      </c>
      <c r="FL105" s="77" t="str">
        <f t="shared" si="141"/>
        <v/>
      </c>
      <c r="FM105" s="77" t="str">
        <f t="shared" si="141"/>
        <v/>
      </c>
      <c r="FN105" s="77" t="str">
        <f t="shared" si="141"/>
        <v/>
      </c>
      <c r="FO105" s="77" t="str">
        <f t="shared" si="141"/>
        <v/>
      </c>
      <c r="FP105" s="77" t="str">
        <f t="shared" si="141"/>
        <v/>
      </c>
      <c r="FQ105" s="77" t="str">
        <f t="shared" si="141"/>
        <v/>
      </c>
      <c r="FR105" s="77" t="str">
        <f t="shared" si="141"/>
        <v/>
      </c>
      <c r="FS105" s="77" t="str">
        <f t="shared" si="141"/>
        <v/>
      </c>
      <c r="FT105" s="77" t="str">
        <f t="shared" si="141"/>
        <v/>
      </c>
      <c r="FU105" s="77" t="str">
        <f t="shared" si="141"/>
        <v/>
      </c>
      <c r="FV105" s="77" t="str">
        <f t="shared" si="141"/>
        <v/>
      </c>
      <c r="FW105" s="77" t="str">
        <f t="shared" si="141"/>
        <v/>
      </c>
      <c r="FX105" s="77" t="str">
        <f t="shared" si="141"/>
        <v/>
      </c>
      <c r="FY105" s="77" t="str">
        <f t="shared" si="141"/>
        <v/>
      </c>
      <c r="FZ105" s="77" t="str">
        <f t="shared" si="141"/>
        <v/>
      </c>
      <c r="GA105" s="77" t="str">
        <f t="shared" si="141"/>
        <v/>
      </c>
      <c r="GB105" s="77" t="str">
        <f t="shared" si="141"/>
        <v/>
      </c>
      <c r="GC105" s="77" t="str">
        <f t="shared" si="141"/>
        <v/>
      </c>
      <c r="GD105" s="77" t="str">
        <f t="shared" si="141"/>
        <v/>
      </c>
      <c r="GE105" s="77" t="str">
        <f t="shared" si="141"/>
        <v/>
      </c>
      <c r="GF105" s="77" t="str">
        <f t="shared" si="141"/>
        <v/>
      </c>
      <c r="GG105" s="77" t="str">
        <f t="shared" si="141"/>
        <v/>
      </c>
      <c r="GH105" s="77" t="str">
        <f t="shared" si="141"/>
        <v/>
      </c>
      <c r="GI105" s="77" t="str">
        <f t="shared" si="141"/>
        <v/>
      </c>
      <c r="GJ105" s="77" t="str">
        <f t="shared" si="141"/>
        <v/>
      </c>
      <c r="GK105" s="77" t="str">
        <f t="shared" si="141"/>
        <v/>
      </c>
      <c r="GL105" s="77" t="str">
        <f t="shared" si="141"/>
        <v/>
      </c>
      <c r="GM105" s="77" t="str">
        <f t="shared" si="141"/>
        <v/>
      </c>
      <c r="GN105" s="77" t="str">
        <f t="shared" si="141"/>
        <v/>
      </c>
      <c r="GO105" s="77" t="str">
        <f t="shared" si="141"/>
        <v/>
      </c>
      <c r="GP105" s="77" t="str">
        <f t="shared" si="141"/>
        <v/>
      </c>
      <c r="GQ105" s="77" t="str">
        <f t="shared" si="141"/>
        <v/>
      </c>
      <c r="GR105" s="77" t="str">
        <f t="shared" si="141"/>
        <v/>
      </c>
      <c r="GS105" s="77" t="str">
        <f t="shared" si="141"/>
        <v/>
      </c>
      <c r="GT105" s="77" t="str">
        <f t="shared" si="141"/>
        <v/>
      </c>
      <c r="GU105" s="77" t="str">
        <f t="shared" si="141"/>
        <v/>
      </c>
      <c r="GV105" s="77" t="str">
        <f t="shared" si="141"/>
        <v/>
      </c>
      <c r="GW105" s="77" t="str">
        <f t="shared" si="141"/>
        <v/>
      </c>
      <c r="GX105" s="77" t="str">
        <f t="shared" si="141"/>
        <v/>
      </c>
    </row>
    <row r="106" spans="1:206" ht="15" customHeight="1" x14ac:dyDescent="0.2">
      <c r="A106" s="22" t="s">
        <v>162</v>
      </c>
      <c r="B106" s="22">
        <v>5</v>
      </c>
      <c r="C106" s="22" t="s">
        <v>162</v>
      </c>
      <c r="D106" s="22">
        <v>10</v>
      </c>
      <c r="E106" s="22" t="s">
        <v>228</v>
      </c>
      <c r="F106" s="22" t="s">
        <v>71</v>
      </c>
      <c r="G106" s="22" t="s">
        <v>72</v>
      </c>
      <c r="H106" s="22">
        <v>2025</v>
      </c>
      <c r="I106" s="22">
        <v>1</v>
      </c>
      <c r="J106" s="22">
        <v>4.34</v>
      </c>
      <c r="K106" s="22">
        <v>0</v>
      </c>
      <c r="L106" s="22">
        <v>622</v>
      </c>
      <c r="M106" s="22">
        <v>622</v>
      </c>
      <c r="N106" s="22" t="s">
        <v>196</v>
      </c>
      <c r="O106" s="22" t="s">
        <v>74</v>
      </c>
      <c r="P106" s="22" t="s">
        <v>216</v>
      </c>
      <c r="Q106" s="24"/>
      <c r="R106" s="22" t="str">
        <f>IF($E106="","",IFERROR(INDEX($W106:$GX106,MATCH('Dashboard Ciclos'!$B$2,$W$1:$GX$1,0)),""))</f>
        <v/>
      </c>
      <c r="S106" s="22" t="str">
        <f t="shared" si="128"/>
        <v>Sin dato</v>
      </c>
      <c r="T106" s="22" t="str">
        <f t="shared" si="129"/>
        <v>Sin dato</v>
      </c>
      <c r="U106" s="22" t="str">
        <f t="shared" si="130"/>
        <v/>
      </c>
      <c r="V106" s="23" t="str">
        <f t="shared" si="131"/>
        <v/>
      </c>
      <c r="W106" s="77" t="str">
        <f t="shared" si="125"/>
        <v/>
      </c>
      <c r="X106" s="77" t="str">
        <f t="shared" si="136"/>
        <v/>
      </c>
      <c r="Y106" s="77" t="str">
        <f t="shared" si="134"/>
        <v/>
      </c>
      <c r="Z106" s="77" t="str">
        <f t="shared" si="134"/>
        <v/>
      </c>
      <c r="AA106" s="77" t="s">
        <v>218</v>
      </c>
      <c r="AB106" s="77" t="str">
        <f t="shared" si="134"/>
        <v/>
      </c>
      <c r="AC106" s="77" t="str">
        <f t="shared" si="134"/>
        <v/>
      </c>
      <c r="AD106" s="77" t="str">
        <f t="shared" si="134"/>
        <v/>
      </c>
      <c r="AE106" s="77" t="str">
        <f t="shared" si="134"/>
        <v/>
      </c>
      <c r="AF106" s="77" t="str">
        <f t="shared" si="134"/>
        <v/>
      </c>
      <c r="AG106" s="77" t="str">
        <f t="shared" si="134"/>
        <v/>
      </c>
      <c r="AH106" s="77" t="str">
        <f t="shared" si="134"/>
        <v/>
      </c>
      <c r="AI106" s="77" t="str">
        <f t="shared" si="134"/>
        <v/>
      </c>
      <c r="AJ106" s="77" t="str">
        <f t="shared" si="134"/>
        <v/>
      </c>
      <c r="AK106" s="77" t="str">
        <f t="shared" si="139"/>
        <v/>
      </c>
      <c r="AL106" s="77" t="str">
        <f t="shared" si="139"/>
        <v/>
      </c>
      <c r="AM106" s="77" t="str">
        <f t="shared" si="139"/>
        <v/>
      </c>
      <c r="AN106" s="77" t="str">
        <f t="shared" si="91"/>
        <v/>
      </c>
      <c r="AO106" s="77" t="str">
        <f t="shared" si="139"/>
        <v/>
      </c>
      <c r="AP106" s="77" t="str">
        <f t="shared" si="139"/>
        <v/>
      </c>
      <c r="AQ106" s="77" t="str">
        <f t="shared" si="139"/>
        <v/>
      </c>
      <c r="AR106" s="77" t="str">
        <f t="shared" si="105"/>
        <v/>
      </c>
      <c r="AS106" s="77" t="str">
        <f t="shared" si="140"/>
        <v/>
      </c>
      <c r="AT106" s="77" t="str">
        <f t="shared" si="140"/>
        <v/>
      </c>
      <c r="AU106" s="77" t="str">
        <f t="shared" si="140"/>
        <v/>
      </c>
      <c r="AV106" s="77" t="str">
        <f t="shared" si="140"/>
        <v/>
      </c>
      <c r="AW106" s="77" t="str">
        <f t="shared" si="140"/>
        <v/>
      </c>
      <c r="AX106" s="77" t="str">
        <f t="shared" si="140"/>
        <v/>
      </c>
      <c r="AY106" s="77" t="str">
        <f t="shared" si="140"/>
        <v/>
      </c>
      <c r="AZ106" s="77" t="str">
        <f t="shared" si="140"/>
        <v/>
      </c>
      <c r="BA106" s="77" t="str">
        <f t="shared" si="140"/>
        <v/>
      </c>
      <c r="BB106" s="77" t="str">
        <f t="shared" si="140"/>
        <v/>
      </c>
      <c r="BC106" s="77" t="str">
        <f t="shared" si="140"/>
        <v/>
      </c>
      <c r="BD106" s="77" t="str">
        <f t="shared" si="140"/>
        <v/>
      </c>
      <c r="BE106" s="77" t="str">
        <f t="shared" si="140"/>
        <v/>
      </c>
      <c r="BF106" s="77" t="str">
        <f t="shared" si="140"/>
        <v/>
      </c>
      <c r="BG106" s="77" t="str">
        <f t="shared" si="140"/>
        <v/>
      </c>
      <c r="BH106" s="77" t="str">
        <f t="shared" si="140"/>
        <v/>
      </c>
      <c r="BI106" s="77" t="str">
        <f t="shared" si="140"/>
        <v/>
      </c>
      <c r="BJ106" s="77" t="str">
        <f t="shared" si="140"/>
        <v/>
      </c>
      <c r="BK106" s="77" t="str">
        <f t="shared" si="140"/>
        <v/>
      </c>
      <c r="BL106" s="77" t="str">
        <f t="shared" si="140"/>
        <v/>
      </c>
      <c r="BM106" s="77" t="str">
        <f t="shared" si="140"/>
        <v/>
      </c>
      <c r="BN106" s="77" t="str">
        <f t="shared" si="140"/>
        <v/>
      </c>
      <c r="BO106" s="77" t="str">
        <f t="shared" si="140"/>
        <v/>
      </c>
      <c r="BP106" s="77" t="str">
        <f t="shared" si="140"/>
        <v/>
      </c>
      <c r="BQ106" s="77" t="str">
        <f t="shared" si="140"/>
        <v/>
      </c>
      <c r="BR106" s="77" t="str">
        <f t="shared" si="140"/>
        <v/>
      </c>
      <c r="BS106" s="77" t="str">
        <f t="shared" si="140"/>
        <v/>
      </c>
      <c r="BT106" s="77" t="str">
        <f t="shared" si="140"/>
        <v/>
      </c>
      <c r="BU106" s="77" t="str">
        <f t="shared" si="140"/>
        <v/>
      </c>
      <c r="BV106" s="77" t="str">
        <f t="shared" si="140"/>
        <v/>
      </c>
      <c r="BW106" s="77" t="str">
        <f t="shared" si="140"/>
        <v/>
      </c>
      <c r="BX106" s="77" t="str">
        <f t="shared" si="140"/>
        <v/>
      </c>
      <c r="BY106" s="77" t="str">
        <f t="shared" si="140"/>
        <v/>
      </c>
      <c r="BZ106" s="77" t="str">
        <f t="shared" si="140"/>
        <v/>
      </c>
      <c r="CA106" s="77" t="str">
        <f t="shared" si="140"/>
        <v/>
      </c>
      <c r="CB106" s="77" t="str">
        <f t="shared" si="140"/>
        <v/>
      </c>
      <c r="CC106" s="77" t="str">
        <f t="shared" si="140"/>
        <v/>
      </c>
      <c r="CD106" s="77" t="str">
        <f t="shared" si="140"/>
        <v/>
      </c>
      <c r="CE106" s="77" t="str">
        <f t="shared" si="140"/>
        <v/>
      </c>
      <c r="CF106" s="77" t="str">
        <f t="shared" si="140"/>
        <v/>
      </c>
      <c r="CG106" s="77" t="str">
        <f t="shared" si="140"/>
        <v/>
      </c>
      <c r="CH106" s="77" t="str">
        <f t="shared" si="140"/>
        <v/>
      </c>
      <c r="CI106" s="77" t="str">
        <f t="shared" si="140"/>
        <v/>
      </c>
      <c r="CJ106" s="77" t="str">
        <f t="shared" si="140"/>
        <v/>
      </c>
      <c r="CK106" s="77" t="str">
        <f t="shared" si="137"/>
        <v/>
      </c>
      <c r="CL106" s="77" t="str">
        <f t="shared" si="137"/>
        <v/>
      </c>
      <c r="CM106" s="77" t="str">
        <f t="shared" si="137"/>
        <v/>
      </c>
      <c r="CN106" s="77" t="str">
        <f t="shared" si="137"/>
        <v/>
      </c>
      <c r="CO106" s="77" t="str">
        <f t="shared" si="137"/>
        <v/>
      </c>
      <c r="CP106" s="77" t="str">
        <f t="shared" si="137"/>
        <v/>
      </c>
      <c r="CQ106" s="77" t="str">
        <f t="shared" si="137"/>
        <v/>
      </c>
      <c r="CR106" s="77" t="str">
        <f t="shared" si="137"/>
        <v/>
      </c>
      <c r="CS106" s="77" t="str">
        <f t="shared" si="137"/>
        <v/>
      </c>
      <c r="CT106" s="77" t="str">
        <f t="shared" si="137"/>
        <v/>
      </c>
      <c r="CU106" s="77" t="str">
        <f t="shared" si="137"/>
        <v/>
      </c>
      <c r="CV106" s="77" t="str">
        <f t="shared" si="137"/>
        <v/>
      </c>
      <c r="CW106" s="77" t="str">
        <f t="shared" si="137"/>
        <v/>
      </c>
      <c r="CX106" s="77" t="str">
        <f t="shared" si="137"/>
        <v/>
      </c>
      <c r="CY106" s="77" t="str">
        <f t="shared" si="137"/>
        <v/>
      </c>
      <c r="CZ106" s="77" t="str">
        <f t="shared" si="137"/>
        <v/>
      </c>
      <c r="DA106" s="77" t="str">
        <f t="shared" si="137"/>
        <v/>
      </c>
      <c r="DB106" s="77" t="str">
        <f t="shared" si="137"/>
        <v/>
      </c>
      <c r="DC106" s="77" t="str">
        <f t="shared" si="137"/>
        <v/>
      </c>
      <c r="DD106" s="77" t="str">
        <f t="shared" si="137"/>
        <v/>
      </c>
      <c r="DE106" s="77" t="str">
        <f t="shared" si="137"/>
        <v/>
      </c>
      <c r="DF106" s="77" t="str">
        <f t="shared" si="137"/>
        <v/>
      </c>
      <c r="DG106" s="77" t="str">
        <f t="shared" si="137"/>
        <v/>
      </c>
      <c r="DH106" s="77" t="str">
        <f t="shared" si="137"/>
        <v/>
      </c>
      <c r="DI106" s="77" t="str">
        <f t="shared" si="137"/>
        <v/>
      </c>
      <c r="DJ106" s="77" t="str">
        <f t="shared" si="137"/>
        <v/>
      </c>
      <c r="DK106" s="77" t="str">
        <f t="shared" si="137"/>
        <v/>
      </c>
      <c r="DL106" s="77" t="str">
        <f t="shared" si="137"/>
        <v/>
      </c>
      <c r="DM106" s="77" t="str">
        <f t="shared" si="137"/>
        <v/>
      </c>
      <c r="DN106" s="77" t="str">
        <f t="shared" si="137"/>
        <v/>
      </c>
      <c r="DO106" s="77" t="str">
        <f t="shared" si="137"/>
        <v/>
      </c>
      <c r="DP106" s="77" t="str">
        <f t="shared" si="137"/>
        <v/>
      </c>
      <c r="DQ106" s="77" t="str">
        <f t="shared" si="137"/>
        <v/>
      </c>
      <c r="DR106" s="77" t="str">
        <f t="shared" si="137"/>
        <v/>
      </c>
      <c r="DS106" s="77" t="str">
        <f t="shared" si="137"/>
        <v/>
      </c>
      <c r="DT106" s="77" t="str">
        <f t="shared" si="137"/>
        <v/>
      </c>
      <c r="DU106" s="77" t="str">
        <f t="shared" si="137"/>
        <v/>
      </c>
      <c r="DV106" s="77" t="str">
        <f t="shared" si="137"/>
        <v/>
      </c>
      <c r="DW106" s="77" t="str">
        <f t="shared" si="137"/>
        <v/>
      </c>
      <c r="DX106" s="77" t="str">
        <f t="shared" si="137"/>
        <v/>
      </c>
      <c r="DY106" s="77" t="str">
        <f t="shared" si="137"/>
        <v/>
      </c>
      <c r="DZ106" s="77" t="str">
        <f t="shared" si="137"/>
        <v/>
      </c>
      <c r="EA106" s="77" t="str">
        <f t="shared" si="137"/>
        <v/>
      </c>
      <c r="EB106" s="77" t="str">
        <f t="shared" si="137"/>
        <v/>
      </c>
      <c r="EC106" s="77" t="str">
        <f t="shared" si="137"/>
        <v/>
      </c>
      <c r="ED106" s="77" t="str">
        <f t="shared" si="137"/>
        <v/>
      </c>
      <c r="EE106" s="77" t="str">
        <f t="shared" si="137"/>
        <v/>
      </c>
      <c r="EF106" s="77" t="str">
        <f t="shared" si="137"/>
        <v/>
      </c>
      <c r="EG106" s="77" t="str">
        <f t="shared" si="137"/>
        <v/>
      </c>
      <c r="EH106" s="77" t="str">
        <f t="shared" si="137"/>
        <v/>
      </c>
      <c r="EI106" s="77" t="str">
        <f t="shared" si="137"/>
        <v/>
      </c>
      <c r="EJ106" s="77" t="str">
        <f t="shared" si="137"/>
        <v/>
      </c>
      <c r="EK106" s="77" t="str">
        <f t="shared" si="137"/>
        <v/>
      </c>
      <c r="EL106" s="77" t="str">
        <f t="shared" si="137"/>
        <v/>
      </c>
      <c r="EM106" s="77" t="str">
        <f t="shared" si="137"/>
        <v/>
      </c>
      <c r="EN106" s="77" t="str">
        <f t="shared" si="137"/>
        <v/>
      </c>
      <c r="EO106" s="77" t="str">
        <f t="shared" si="137"/>
        <v/>
      </c>
      <c r="EP106" s="77" t="str">
        <f t="shared" si="137"/>
        <v/>
      </c>
      <c r="EQ106" s="77" t="str">
        <f t="shared" si="137"/>
        <v/>
      </c>
      <c r="ER106" s="77" t="str">
        <f t="shared" si="137"/>
        <v/>
      </c>
      <c r="ES106" s="77" t="str">
        <f t="shared" si="137"/>
        <v/>
      </c>
      <c r="ET106" s="77" t="str">
        <f t="shared" si="137"/>
        <v/>
      </c>
      <c r="EU106" s="77" t="str">
        <f t="shared" si="137"/>
        <v/>
      </c>
      <c r="EV106" s="77" t="str">
        <f t="shared" si="141"/>
        <v/>
      </c>
      <c r="EW106" s="77" t="str">
        <f t="shared" si="141"/>
        <v/>
      </c>
      <c r="EX106" s="77" t="str">
        <f t="shared" si="141"/>
        <v/>
      </c>
      <c r="EY106" s="77" t="str">
        <f t="shared" si="141"/>
        <v/>
      </c>
      <c r="EZ106" s="77" t="str">
        <f t="shared" si="141"/>
        <v/>
      </c>
      <c r="FA106" s="77" t="str">
        <f t="shared" si="141"/>
        <v/>
      </c>
      <c r="FB106" s="77" t="str">
        <f t="shared" si="141"/>
        <v/>
      </c>
      <c r="FC106" s="77" t="str">
        <f t="shared" si="141"/>
        <v/>
      </c>
      <c r="FD106" s="77" t="str">
        <f t="shared" si="141"/>
        <v/>
      </c>
      <c r="FE106" s="77" t="str">
        <f t="shared" si="141"/>
        <v/>
      </c>
      <c r="FF106" s="77" t="str">
        <f t="shared" si="141"/>
        <v/>
      </c>
      <c r="FG106" s="77" t="str">
        <f t="shared" si="141"/>
        <v/>
      </c>
      <c r="FH106" s="77" t="str">
        <f t="shared" si="141"/>
        <v/>
      </c>
      <c r="FI106" s="77" t="str">
        <f t="shared" si="141"/>
        <v/>
      </c>
      <c r="FJ106" s="77" t="str">
        <f t="shared" si="141"/>
        <v/>
      </c>
      <c r="FK106" s="77" t="str">
        <f t="shared" si="141"/>
        <v/>
      </c>
      <c r="FL106" s="77" t="str">
        <f t="shared" si="141"/>
        <v/>
      </c>
      <c r="FM106" s="77" t="str">
        <f t="shared" si="141"/>
        <v/>
      </c>
      <c r="FN106" s="77" t="str">
        <f t="shared" si="141"/>
        <v/>
      </c>
      <c r="FO106" s="77" t="str">
        <f t="shared" si="141"/>
        <v/>
      </c>
      <c r="FP106" s="77" t="str">
        <f t="shared" si="141"/>
        <v/>
      </c>
      <c r="FQ106" s="77" t="str">
        <f t="shared" si="141"/>
        <v/>
      </c>
      <c r="FR106" s="77" t="str">
        <f t="shared" si="141"/>
        <v/>
      </c>
      <c r="FS106" s="77" t="str">
        <f t="shared" si="141"/>
        <v/>
      </c>
      <c r="FT106" s="77" t="str">
        <f t="shared" si="141"/>
        <v/>
      </c>
      <c r="FU106" s="77" t="str">
        <f t="shared" si="141"/>
        <v/>
      </c>
      <c r="FV106" s="77" t="str">
        <f t="shared" si="141"/>
        <v/>
      </c>
      <c r="FW106" s="77" t="str">
        <f t="shared" si="141"/>
        <v/>
      </c>
      <c r="FX106" s="77" t="str">
        <f t="shared" si="141"/>
        <v/>
      </c>
      <c r="FY106" s="77" t="str">
        <f t="shared" si="141"/>
        <v/>
      </c>
      <c r="FZ106" s="77" t="str">
        <f t="shared" si="141"/>
        <v/>
      </c>
      <c r="GA106" s="77" t="str">
        <f t="shared" si="141"/>
        <v/>
      </c>
      <c r="GB106" s="77" t="str">
        <f t="shared" si="141"/>
        <v/>
      </c>
      <c r="GC106" s="77" t="str">
        <f t="shared" si="141"/>
        <v/>
      </c>
      <c r="GD106" s="77" t="str">
        <f t="shared" si="141"/>
        <v/>
      </c>
      <c r="GE106" s="77" t="str">
        <f t="shared" si="141"/>
        <v/>
      </c>
      <c r="GF106" s="77" t="str">
        <f t="shared" si="141"/>
        <v/>
      </c>
      <c r="GG106" s="77" t="str">
        <f t="shared" si="141"/>
        <v/>
      </c>
      <c r="GH106" s="77" t="str">
        <f t="shared" si="141"/>
        <v/>
      </c>
      <c r="GI106" s="77" t="str">
        <f t="shared" si="141"/>
        <v/>
      </c>
      <c r="GJ106" s="77" t="str">
        <f t="shared" si="141"/>
        <v/>
      </c>
      <c r="GK106" s="77" t="str">
        <f t="shared" si="141"/>
        <v/>
      </c>
      <c r="GL106" s="77" t="str">
        <f t="shared" si="141"/>
        <v/>
      </c>
      <c r="GM106" s="77" t="str">
        <f t="shared" si="141"/>
        <v/>
      </c>
      <c r="GN106" s="77" t="str">
        <f t="shared" si="141"/>
        <v/>
      </c>
      <c r="GO106" s="77" t="str">
        <f t="shared" si="141"/>
        <v/>
      </c>
      <c r="GP106" s="77" t="str">
        <f t="shared" si="141"/>
        <v/>
      </c>
      <c r="GQ106" s="77" t="str">
        <f t="shared" si="141"/>
        <v/>
      </c>
      <c r="GR106" s="77" t="str">
        <f t="shared" si="141"/>
        <v/>
      </c>
      <c r="GS106" s="77" t="str">
        <f t="shared" si="141"/>
        <v/>
      </c>
      <c r="GT106" s="77" t="str">
        <f t="shared" si="141"/>
        <v/>
      </c>
      <c r="GU106" s="77" t="str">
        <f t="shared" si="141"/>
        <v/>
      </c>
      <c r="GV106" s="77" t="str">
        <f t="shared" si="141"/>
        <v/>
      </c>
      <c r="GW106" s="77" t="str">
        <f t="shared" si="141"/>
        <v/>
      </c>
      <c r="GX106" s="77" t="str">
        <f t="shared" si="141"/>
        <v/>
      </c>
    </row>
    <row r="107" spans="1:206" ht="15" customHeight="1" x14ac:dyDescent="0.2">
      <c r="A107" s="22" t="s">
        <v>162</v>
      </c>
      <c r="B107" s="22">
        <v>5</v>
      </c>
      <c r="C107" s="22" t="s">
        <v>162</v>
      </c>
      <c r="D107" s="22">
        <v>11</v>
      </c>
      <c r="E107" s="22" t="s">
        <v>229</v>
      </c>
      <c r="F107" s="22" t="s">
        <v>71</v>
      </c>
      <c r="G107" s="22" t="s">
        <v>72</v>
      </c>
      <c r="H107" s="22">
        <v>2025</v>
      </c>
      <c r="I107" s="22">
        <v>1</v>
      </c>
      <c r="J107" s="22">
        <v>14.14</v>
      </c>
      <c r="K107" s="22">
        <v>0</v>
      </c>
      <c r="L107" s="22">
        <v>2022</v>
      </c>
      <c r="M107" s="22">
        <v>2022</v>
      </c>
      <c r="N107" s="22" t="s">
        <v>196</v>
      </c>
      <c r="O107" s="22" t="s">
        <v>74</v>
      </c>
      <c r="P107" s="22" t="s">
        <v>216</v>
      </c>
      <c r="Q107" s="24"/>
      <c r="R107" s="22" t="str">
        <f>IF($E107="","",IFERROR(INDEX($W107:$GX107,MATCH('Dashboard Ciclos'!$B$2,$W$1:$GX$1,0)),""))</f>
        <v/>
      </c>
      <c r="S107" s="22" t="str">
        <f t="shared" si="128"/>
        <v>Sin dato</v>
      </c>
      <c r="T107" s="22" t="str">
        <f t="shared" si="129"/>
        <v>Sin dato</v>
      </c>
      <c r="U107" s="22" t="str">
        <f t="shared" si="130"/>
        <v/>
      </c>
      <c r="V107" s="23" t="str">
        <f t="shared" si="131"/>
        <v/>
      </c>
      <c r="W107" s="77" t="str">
        <f t="shared" si="125"/>
        <v/>
      </c>
      <c r="X107" s="77" t="str">
        <f t="shared" si="136"/>
        <v/>
      </c>
      <c r="Y107" s="77" t="str">
        <f t="shared" si="134"/>
        <v/>
      </c>
      <c r="Z107" s="77" t="str">
        <f t="shared" si="134"/>
        <v/>
      </c>
      <c r="AA107" s="77" t="s">
        <v>218</v>
      </c>
      <c r="AB107" s="77" t="str">
        <f t="shared" si="134"/>
        <v/>
      </c>
      <c r="AC107" s="77" t="str">
        <f t="shared" si="134"/>
        <v/>
      </c>
      <c r="AD107" s="77" t="str">
        <f t="shared" si="134"/>
        <v/>
      </c>
      <c r="AE107" s="77" t="str">
        <f t="shared" si="134"/>
        <v/>
      </c>
      <c r="AF107" s="77" t="str">
        <f t="shared" si="134"/>
        <v/>
      </c>
      <c r="AG107" s="77" t="str">
        <f t="shared" si="134"/>
        <v/>
      </c>
      <c r="AH107" s="77" t="str">
        <f t="shared" si="134"/>
        <v/>
      </c>
      <c r="AI107" s="77" t="str">
        <f t="shared" si="134"/>
        <v/>
      </c>
      <c r="AJ107" s="77" t="str">
        <f t="shared" si="134"/>
        <v/>
      </c>
      <c r="AK107" s="77" t="str">
        <f t="shared" si="139"/>
        <v/>
      </c>
      <c r="AL107" s="77" t="str">
        <f t="shared" si="139"/>
        <v/>
      </c>
      <c r="AM107" s="77" t="str">
        <f t="shared" si="139"/>
        <v/>
      </c>
      <c r="AN107" s="77" t="str">
        <f t="shared" si="91"/>
        <v/>
      </c>
      <c r="AO107" s="77" t="str">
        <f t="shared" si="139"/>
        <v/>
      </c>
      <c r="AP107" s="77" t="str">
        <f t="shared" si="139"/>
        <v/>
      </c>
      <c r="AQ107" s="77" t="str">
        <f t="shared" si="139"/>
        <v/>
      </c>
      <c r="AR107" s="77" t="str">
        <f t="shared" si="105"/>
        <v/>
      </c>
      <c r="AS107" s="77" t="str">
        <f t="shared" si="140"/>
        <v/>
      </c>
      <c r="AT107" s="77" t="str">
        <f t="shared" si="140"/>
        <v/>
      </c>
      <c r="AU107" s="77" t="str">
        <f t="shared" si="140"/>
        <v/>
      </c>
      <c r="AV107" s="77" t="str">
        <f t="shared" si="140"/>
        <v/>
      </c>
      <c r="AW107" s="77" t="str">
        <f t="shared" si="140"/>
        <v/>
      </c>
      <c r="AX107" s="77" t="str">
        <f t="shared" si="140"/>
        <v/>
      </c>
      <c r="AY107" s="77" t="str">
        <f t="shared" si="140"/>
        <v/>
      </c>
      <c r="AZ107" s="77" t="str">
        <f t="shared" si="140"/>
        <v/>
      </c>
      <c r="BA107" s="77" t="str">
        <f t="shared" si="140"/>
        <v/>
      </c>
      <c r="BB107" s="77" t="str">
        <f t="shared" si="140"/>
        <v/>
      </c>
      <c r="BC107" s="77" t="str">
        <f t="shared" si="140"/>
        <v/>
      </c>
      <c r="BD107" s="77" t="str">
        <f t="shared" si="140"/>
        <v/>
      </c>
      <c r="BE107" s="77" t="str">
        <f t="shared" si="140"/>
        <v/>
      </c>
      <c r="BF107" s="77" t="str">
        <f t="shared" si="140"/>
        <v/>
      </c>
      <c r="BG107" s="77" t="str">
        <f t="shared" si="140"/>
        <v/>
      </c>
      <c r="BH107" s="77" t="str">
        <f t="shared" si="140"/>
        <v/>
      </c>
      <c r="BI107" s="77" t="str">
        <f t="shared" si="140"/>
        <v/>
      </c>
      <c r="BJ107" s="77" t="str">
        <f t="shared" si="140"/>
        <v/>
      </c>
      <c r="BK107" s="77" t="str">
        <f t="shared" si="140"/>
        <v/>
      </c>
      <c r="BL107" s="77" t="str">
        <f t="shared" si="140"/>
        <v/>
      </c>
      <c r="BM107" s="77" t="str">
        <f t="shared" si="140"/>
        <v/>
      </c>
      <c r="BN107" s="77" t="str">
        <f t="shared" si="140"/>
        <v/>
      </c>
      <c r="BO107" s="77" t="str">
        <f t="shared" si="140"/>
        <v/>
      </c>
      <c r="BP107" s="77" t="str">
        <f t="shared" si="140"/>
        <v/>
      </c>
      <c r="BQ107" s="77" t="str">
        <f t="shared" si="140"/>
        <v/>
      </c>
      <c r="BR107" s="77" t="str">
        <f t="shared" si="140"/>
        <v/>
      </c>
      <c r="BS107" s="77" t="str">
        <f t="shared" si="140"/>
        <v/>
      </c>
      <c r="BT107" s="77" t="str">
        <f t="shared" si="140"/>
        <v/>
      </c>
      <c r="BU107" s="77" t="str">
        <f t="shared" si="140"/>
        <v/>
      </c>
      <c r="BV107" s="77" t="str">
        <f t="shared" si="140"/>
        <v/>
      </c>
      <c r="BW107" s="77" t="str">
        <f t="shared" si="140"/>
        <v/>
      </c>
      <c r="BX107" s="77" t="str">
        <f t="shared" si="140"/>
        <v/>
      </c>
      <c r="BY107" s="77" t="str">
        <f t="shared" si="140"/>
        <v/>
      </c>
      <c r="BZ107" s="77" t="str">
        <f t="shared" si="140"/>
        <v/>
      </c>
      <c r="CA107" s="77" t="str">
        <f t="shared" si="140"/>
        <v/>
      </c>
      <c r="CB107" s="77" t="str">
        <f t="shared" si="140"/>
        <v/>
      </c>
      <c r="CC107" s="77" t="str">
        <f t="shared" si="140"/>
        <v/>
      </c>
      <c r="CD107" s="77" t="str">
        <f t="shared" si="140"/>
        <v/>
      </c>
      <c r="CE107" s="77" t="str">
        <f t="shared" si="140"/>
        <v/>
      </c>
      <c r="CF107" s="77" t="str">
        <f t="shared" si="140"/>
        <v/>
      </c>
      <c r="CG107" s="77" t="str">
        <f t="shared" si="140"/>
        <v/>
      </c>
      <c r="CH107" s="77" t="str">
        <f t="shared" si="140"/>
        <v/>
      </c>
      <c r="CI107" s="77" t="str">
        <f t="shared" si="140"/>
        <v/>
      </c>
      <c r="CJ107" s="77" t="str">
        <f t="shared" ref="CJ107:EU110" si="142">IF(CI107="","",CI107+1)</f>
        <v/>
      </c>
      <c r="CK107" s="77" t="str">
        <f t="shared" si="142"/>
        <v/>
      </c>
      <c r="CL107" s="77" t="str">
        <f t="shared" si="142"/>
        <v/>
      </c>
      <c r="CM107" s="77" t="str">
        <f t="shared" si="142"/>
        <v/>
      </c>
      <c r="CN107" s="77" t="str">
        <f t="shared" si="142"/>
        <v/>
      </c>
      <c r="CO107" s="77" t="str">
        <f t="shared" si="142"/>
        <v/>
      </c>
      <c r="CP107" s="77" t="str">
        <f t="shared" si="142"/>
        <v/>
      </c>
      <c r="CQ107" s="77" t="str">
        <f t="shared" si="142"/>
        <v/>
      </c>
      <c r="CR107" s="77" t="str">
        <f t="shared" si="142"/>
        <v/>
      </c>
      <c r="CS107" s="77" t="str">
        <f t="shared" si="142"/>
        <v/>
      </c>
      <c r="CT107" s="77" t="str">
        <f t="shared" si="142"/>
        <v/>
      </c>
      <c r="CU107" s="77" t="str">
        <f t="shared" si="142"/>
        <v/>
      </c>
      <c r="CV107" s="77" t="str">
        <f t="shared" si="142"/>
        <v/>
      </c>
      <c r="CW107" s="77" t="str">
        <f t="shared" si="142"/>
        <v/>
      </c>
      <c r="CX107" s="77" t="str">
        <f t="shared" si="142"/>
        <v/>
      </c>
      <c r="CY107" s="77" t="str">
        <f t="shared" si="142"/>
        <v/>
      </c>
      <c r="CZ107" s="77" t="str">
        <f t="shared" si="142"/>
        <v/>
      </c>
      <c r="DA107" s="77" t="str">
        <f t="shared" si="142"/>
        <v/>
      </c>
      <c r="DB107" s="77" t="str">
        <f t="shared" si="142"/>
        <v/>
      </c>
      <c r="DC107" s="77" t="str">
        <f t="shared" si="142"/>
        <v/>
      </c>
      <c r="DD107" s="77" t="str">
        <f t="shared" si="142"/>
        <v/>
      </c>
      <c r="DE107" s="77" t="str">
        <f t="shared" si="142"/>
        <v/>
      </c>
      <c r="DF107" s="77" t="str">
        <f t="shared" si="142"/>
        <v/>
      </c>
      <c r="DG107" s="77" t="str">
        <f t="shared" si="142"/>
        <v/>
      </c>
      <c r="DH107" s="77" t="str">
        <f t="shared" si="142"/>
        <v/>
      </c>
      <c r="DI107" s="77" t="str">
        <f t="shared" si="142"/>
        <v/>
      </c>
      <c r="DJ107" s="77" t="str">
        <f t="shared" si="142"/>
        <v/>
      </c>
      <c r="DK107" s="77" t="str">
        <f t="shared" si="142"/>
        <v/>
      </c>
      <c r="DL107" s="77" t="str">
        <f t="shared" si="142"/>
        <v/>
      </c>
      <c r="DM107" s="77" t="str">
        <f t="shared" si="142"/>
        <v/>
      </c>
      <c r="DN107" s="77" t="str">
        <f t="shared" si="142"/>
        <v/>
      </c>
      <c r="DO107" s="77" t="str">
        <f t="shared" si="142"/>
        <v/>
      </c>
      <c r="DP107" s="77" t="str">
        <f t="shared" si="142"/>
        <v/>
      </c>
      <c r="DQ107" s="77" t="str">
        <f t="shared" si="142"/>
        <v/>
      </c>
      <c r="DR107" s="77" t="str">
        <f t="shared" si="142"/>
        <v/>
      </c>
      <c r="DS107" s="77" t="str">
        <f t="shared" si="142"/>
        <v/>
      </c>
      <c r="DT107" s="77" t="str">
        <f t="shared" si="142"/>
        <v/>
      </c>
      <c r="DU107" s="77" t="str">
        <f t="shared" si="142"/>
        <v/>
      </c>
      <c r="DV107" s="77" t="str">
        <f t="shared" si="142"/>
        <v/>
      </c>
      <c r="DW107" s="77" t="str">
        <f t="shared" si="142"/>
        <v/>
      </c>
      <c r="DX107" s="77" t="str">
        <f t="shared" si="142"/>
        <v/>
      </c>
      <c r="DY107" s="77" t="str">
        <f t="shared" si="142"/>
        <v/>
      </c>
      <c r="DZ107" s="77" t="str">
        <f t="shared" si="142"/>
        <v/>
      </c>
      <c r="EA107" s="77" t="str">
        <f t="shared" si="142"/>
        <v/>
      </c>
      <c r="EB107" s="77" t="str">
        <f t="shared" si="142"/>
        <v/>
      </c>
      <c r="EC107" s="77" t="str">
        <f t="shared" si="142"/>
        <v/>
      </c>
      <c r="ED107" s="77" t="str">
        <f t="shared" si="142"/>
        <v/>
      </c>
      <c r="EE107" s="77" t="str">
        <f t="shared" si="142"/>
        <v/>
      </c>
      <c r="EF107" s="77" t="str">
        <f t="shared" si="142"/>
        <v/>
      </c>
      <c r="EG107" s="77" t="str">
        <f t="shared" si="142"/>
        <v/>
      </c>
      <c r="EH107" s="77" t="str">
        <f t="shared" si="142"/>
        <v/>
      </c>
      <c r="EI107" s="77" t="str">
        <f t="shared" si="142"/>
        <v/>
      </c>
      <c r="EJ107" s="77" t="str">
        <f t="shared" si="142"/>
        <v/>
      </c>
      <c r="EK107" s="77" t="str">
        <f t="shared" si="142"/>
        <v/>
      </c>
      <c r="EL107" s="77" t="str">
        <f t="shared" si="142"/>
        <v/>
      </c>
      <c r="EM107" s="77" t="str">
        <f t="shared" si="142"/>
        <v/>
      </c>
      <c r="EN107" s="77" t="str">
        <f t="shared" si="142"/>
        <v/>
      </c>
      <c r="EO107" s="77" t="str">
        <f t="shared" si="142"/>
        <v/>
      </c>
      <c r="EP107" s="77" t="str">
        <f t="shared" si="142"/>
        <v/>
      </c>
      <c r="EQ107" s="77" t="str">
        <f t="shared" si="142"/>
        <v/>
      </c>
      <c r="ER107" s="77" t="str">
        <f t="shared" si="142"/>
        <v/>
      </c>
      <c r="ES107" s="77" t="str">
        <f t="shared" si="142"/>
        <v/>
      </c>
      <c r="ET107" s="77" t="str">
        <f t="shared" si="142"/>
        <v/>
      </c>
      <c r="EU107" s="77" t="str">
        <f t="shared" si="142"/>
        <v/>
      </c>
      <c r="EV107" s="77" t="str">
        <f t="shared" si="141"/>
        <v/>
      </c>
      <c r="EW107" s="77" t="str">
        <f t="shared" si="141"/>
        <v/>
      </c>
      <c r="EX107" s="77" t="str">
        <f t="shared" si="141"/>
        <v/>
      </c>
      <c r="EY107" s="77" t="str">
        <f t="shared" si="141"/>
        <v/>
      </c>
      <c r="EZ107" s="77" t="str">
        <f t="shared" si="141"/>
        <v/>
      </c>
      <c r="FA107" s="77" t="str">
        <f t="shared" si="141"/>
        <v/>
      </c>
      <c r="FB107" s="77" t="str">
        <f t="shared" si="141"/>
        <v/>
      </c>
      <c r="FC107" s="77" t="str">
        <f t="shared" si="141"/>
        <v/>
      </c>
      <c r="FD107" s="77" t="str">
        <f t="shared" si="141"/>
        <v/>
      </c>
      <c r="FE107" s="77" t="str">
        <f t="shared" si="141"/>
        <v/>
      </c>
      <c r="FF107" s="77" t="str">
        <f t="shared" si="141"/>
        <v/>
      </c>
      <c r="FG107" s="77" t="str">
        <f t="shared" si="141"/>
        <v/>
      </c>
      <c r="FH107" s="77" t="str">
        <f t="shared" si="141"/>
        <v/>
      </c>
      <c r="FI107" s="77" t="str">
        <f t="shared" si="141"/>
        <v/>
      </c>
      <c r="FJ107" s="77" t="str">
        <f t="shared" si="141"/>
        <v/>
      </c>
      <c r="FK107" s="77" t="str">
        <f t="shared" si="141"/>
        <v/>
      </c>
      <c r="FL107" s="77" t="str">
        <f t="shared" si="141"/>
        <v/>
      </c>
      <c r="FM107" s="77" t="str">
        <f t="shared" si="141"/>
        <v/>
      </c>
      <c r="FN107" s="77" t="str">
        <f t="shared" si="141"/>
        <v/>
      </c>
      <c r="FO107" s="77" t="str">
        <f t="shared" si="141"/>
        <v/>
      </c>
      <c r="FP107" s="77" t="str">
        <f t="shared" si="141"/>
        <v/>
      </c>
      <c r="FQ107" s="77" t="str">
        <f t="shared" si="141"/>
        <v/>
      </c>
      <c r="FR107" s="77" t="str">
        <f t="shared" si="141"/>
        <v/>
      </c>
      <c r="FS107" s="77" t="str">
        <f t="shared" si="141"/>
        <v/>
      </c>
      <c r="FT107" s="77" t="str">
        <f t="shared" si="141"/>
        <v/>
      </c>
      <c r="FU107" s="77" t="str">
        <f t="shared" si="141"/>
        <v/>
      </c>
      <c r="FV107" s="77" t="str">
        <f t="shared" si="141"/>
        <v/>
      </c>
      <c r="FW107" s="77" t="str">
        <f t="shared" si="141"/>
        <v/>
      </c>
      <c r="FX107" s="77" t="str">
        <f t="shared" si="141"/>
        <v/>
      </c>
      <c r="FY107" s="77" t="str">
        <f t="shared" si="141"/>
        <v/>
      </c>
      <c r="FZ107" s="77" t="str">
        <f t="shared" si="141"/>
        <v/>
      </c>
      <c r="GA107" s="77" t="str">
        <f t="shared" si="141"/>
        <v/>
      </c>
      <c r="GB107" s="77" t="str">
        <f t="shared" si="141"/>
        <v/>
      </c>
      <c r="GC107" s="77" t="str">
        <f t="shared" si="141"/>
        <v/>
      </c>
      <c r="GD107" s="77" t="str">
        <f t="shared" si="141"/>
        <v/>
      </c>
      <c r="GE107" s="77" t="str">
        <f t="shared" si="141"/>
        <v/>
      </c>
      <c r="GF107" s="77" t="str">
        <f t="shared" si="141"/>
        <v/>
      </c>
      <c r="GG107" s="77" t="str">
        <f t="shared" si="141"/>
        <v/>
      </c>
      <c r="GH107" s="77" t="str">
        <f t="shared" si="141"/>
        <v/>
      </c>
      <c r="GI107" s="77" t="str">
        <f t="shared" si="141"/>
        <v/>
      </c>
      <c r="GJ107" s="77" t="str">
        <f t="shared" si="141"/>
        <v/>
      </c>
      <c r="GK107" s="77" t="str">
        <f t="shared" si="141"/>
        <v/>
      </c>
      <c r="GL107" s="77" t="str">
        <f t="shared" si="141"/>
        <v/>
      </c>
      <c r="GM107" s="77" t="str">
        <f t="shared" si="141"/>
        <v/>
      </c>
      <c r="GN107" s="77" t="str">
        <f t="shared" si="141"/>
        <v/>
      </c>
      <c r="GO107" s="77" t="str">
        <f t="shared" si="141"/>
        <v/>
      </c>
      <c r="GP107" s="77" t="str">
        <f t="shared" si="141"/>
        <v/>
      </c>
      <c r="GQ107" s="77" t="str">
        <f t="shared" si="141"/>
        <v/>
      </c>
      <c r="GR107" s="77" t="str">
        <f t="shared" si="141"/>
        <v/>
      </c>
      <c r="GS107" s="77" t="str">
        <f t="shared" si="141"/>
        <v/>
      </c>
      <c r="GT107" s="77" t="str">
        <f t="shared" si="141"/>
        <v/>
      </c>
      <c r="GU107" s="77" t="str">
        <f t="shared" si="141"/>
        <v/>
      </c>
      <c r="GV107" s="77" t="str">
        <f t="shared" si="141"/>
        <v/>
      </c>
      <c r="GW107" s="77" t="str">
        <f t="shared" si="141"/>
        <v/>
      </c>
      <c r="GX107" s="77" t="str">
        <f t="shared" si="141"/>
        <v/>
      </c>
    </row>
    <row r="108" spans="1:206" ht="15" customHeight="1" x14ac:dyDescent="0.2">
      <c r="A108" s="22" t="s">
        <v>162</v>
      </c>
      <c r="B108" s="22">
        <v>5</v>
      </c>
      <c r="C108" s="22" t="s">
        <v>162</v>
      </c>
      <c r="D108" s="22">
        <v>12</v>
      </c>
      <c r="E108" s="22" t="s">
        <v>230</v>
      </c>
      <c r="F108" s="22" t="s">
        <v>71</v>
      </c>
      <c r="G108" s="22" t="s">
        <v>72</v>
      </c>
      <c r="H108" s="22">
        <v>2025</v>
      </c>
      <c r="I108" s="22">
        <v>1</v>
      </c>
      <c r="J108" s="22">
        <v>8.56</v>
      </c>
      <c r="K108" s="22">
        <v>0</v>
      </c>
      <c r="L108" s="22">
        <v>1225</v>
      </c>
      <c r="M108" s="22">
        <v>1225</v>
      </c>
      <c r="N108" s="22" t="s">
        <v>196</v>
      </c>
      <c r="O108" s="22" t="s">
        <v>74</v>
      </c>
      <c r="P108" s="22" t="s">
        <v>216</v>
      </c>
      <c r="Q108" s="24"/>
      <c r="R108" s="22" t="str">
        <f>IF($E108="","",IFERROR(INDEX($W108:$GX108,MATCH('Dashboard Ciclos'!$B$2,$W$1:$GX$1,0)),""))</f>
        <v/>
      </c>
      <c r="S108" s="22" t="str">
        <f t="shared" si="128"/>
        <v>Sin dato</v>
      </c>
      <c r="T108" s="22" t="str">
        <f t="shared" si="129"/>
        <v>Sin dato</v>
      </c>
      <c r="U108" s="22" t="str">
        <f t="shared" si="130"/>
        <v/>
      </c>
      <c r="V108" s="23" t="str">
        <f t="shared" si="131"/>
        <v/>
      </c>
      <c r="W108" s="77" t="str">
        <f t="shared" si="125"/>
        <v/>
      </c>
      <c r="X108" s="77" t="str">
        <f t="shared" si="136"/>
        <v/>
      </c>
      <c r="Y108" s="77" t="str">
        <f t="shared" si="134"/>
        <v/>
      </c>
      <c r="Z108" s="77" t="str">
        <f t="shared" si="134"/>
        <v/>
      </c>
      <c r="AA108" s="77" t="s">
        <v>218</v>
      </c>
      <c r="AB108" s="77" t="str">
        <f t="shared" si="134"/>
        <v/>
      </c>
      <c r="AC108" s="77" t="str">
        <f t="shared" si="134"/>
        <v/>
      </c>
      <c r="AD108" s="77" t="str">
        <f t="shared" si="134"/>
        <v/>
      </c>
      <c r="AE108" s="77" t="str">
        <f t="shared" si="134"/>
        <v/>
      </c>
      <c r="AF108" s="77" t="str">
        <f t="shared" si="134"/>
        <v/>
      </c>
      <c r="AG108" s="77" t="str">
        <f t="shared" si="134"/>
        <v/>
      </c>
      <c r="AH108" s="77" t="str">
        <f t="shared" si="134"/>
        <v/>
      </c>
      <c r="AI108" s="77" t="str">
        <f t="shared" si="134"/>
        <v/>
      </c>
      <c r="AJ108" s="77" t="str">
        <f t="shared" si="134"/>
        <v/>
      </c>
      <c r="AK108" s="77" t="str">
        <f t="shared" si="139"/>
        <v/>
      </c>
      <c r="AL108" s="77" t="str">
        <f t="shared" si="139"/>
        <v/>
      </c>
      <c r="AM108" s="77" t="str">
        <f t="shared" si="139"/>
        <v/>
      </c>
      <c r="AN108" s="77" t="str">
        <f t="shared" si="91"/>
        <v/>
      </c>
      <c r="AO108" s="77" t="str">
        <f t="shared" si="139"/>
        <v/>
      </c>
      <c r="AP108" s="77" t="str">
        <f t="shared" si="139"/>
        <v/>
      </c>
      <c r="AQ108" s="77" t="str">
        <f t="shared" si="139"/>
        <v/>
      </c>
      <c r="AR108" s="77" t="str">
        <f t="shared" si="105"/>
        <v/>
      </c>
      <c r="AS108" s="77" t="str">
        <f t="shared" ref="AS108:CJ111" si="143">IF(AR108="","",AR108+1)</f>
        <v/>
      </c>
      <c r="AT108" s="77" t="str">
        <f t="shared" si="143"/>
        <v/>
      </c>
      <c r="AU108" s="77" t="str">
        <f t="shared" si="143"/>
        <v/>
      </c>
      <c r="AV108" s="77" t="str">
        <f t="shared" si="143"/>
        <v/>
      </c>
      <c r="AW108" s="77" t="str">
        <f t="shared" si="143"/>
        <v/>
      </c>
      <c r="AX108" s="77" t="str">
        <f t="shared" si="143"/>
        <v/>
      </c>
      <c r="AY108" s="77" t="str">
        <f t="shared" si="143"/>
        <v/>
      </c>
      <c r="AZ108" s="77" t="str">
        <f t="shared" si="143"/>
        <v/>
      </c>
      <c r="BA108" s="77" t="str">
        <f t="shared" si="143"/>
        <v/>
      </c>
      <c r="BB108" s="77" t="str">
        <f t="shared" si="143"/>
        <v/>
      </c>
      <c r="BC108" s="77" t="str">
        <f t="shared" si="143"/>
        <v/>
      </c>
      <c r="BD108" s="77" t="str">
        <f t="shared" si="143"/>
        <v/>
      </c>
      <c r="BE108" s="77" t="str">
        <f t="shared" si="143"/>
        <v/>
      </c>
      <c r="BF108" s="77" t="str">
        <f t="shared" si="143"/>
        <v/>
      </c>
      <c r="BG108" s="77" t="str">
        <f t="shared" si="143"/>
        <v/>
      </c>
      <c r="BH108" s="77" t="str">
        <f t="shared" si="143"/>
        <v/>
      </c>
      <c r="BI108" s="77" t="str">
        <f t="shared" si="143"/>
        <v/>
      </c>
      <c r="BJ108" s="77" t="str">
        <f t="shared" si="143"/>
        <v/>
      </c>
      <c r="BK108" s="77" t="str">
        <f t="shared" si="143"/>
        <v/>
      </c>
      <c r="BL108" s="77" t="str">
        <f t="shared" si="143"/>
        <v/>
      </c>
      <c r="BM108" s="77" t="str">
        <f t="shared" si="143"/>
        <v/>
      </c>
      <c r="BN108" s="77" t="str">
        <f t="shared" si="143"/>
        <v/>
      </c>
      <c r="BO108" s="77" t="str">
        <f t="shared" si="143"/>
        <v/>
      </c>
      <c r="BP108" s="77" t="str">
        <f t="shared" si="143"/>
        <v/>
      </c>
      <c r="BQ108" s="77" t="str">
        <f t="shared" si="143"/>
        <v/>
      </c>
      <c r="BR108" s="77" t="str">
        <f t="shared" si="143"/>
        <v/>
      </c>
      <c r="BS108" s="77" t="str">
        <f t="shared" si="143"/>
        <v/>
      </c>
      <c r="BT108" s="77" t="str">
        <f t="shared" si="143"/>
        <v/>
      </c>
      <c r="BU108" s="77" t="str">
        <f t="shared" si="143"/>
        <v/>
      </c>
      <c r="BV108" s="77" t="str">
        <f t="shared" si="143"/>
        <v/>
      </c>
      <c r="BW108" s="77" t="str">
        <f t="shared" si="143"/>
        <v/>
      </c>
      <c r="BX108" s="77" t="str">
        <f t="shared" si="143"/>
        <v/>
      </c>
      <c r="BY108" s="77" t="str">
        <f t="shared" si="143"/>
        <v/>
      </c>
      <c r="BZ108" s="77" t="str">
        <f t="shared" si="143"/>
        <v/>
      </c>
      <c r="CA108" s="77" t="str">
        <f t="shared" si="143"/>
        <v/>
      </c>
      <c r="CB108" s="77" t="str">
        <f t="shared" si="143"/>
        <v/>
      </c>
      <c r="CC108" s="77" t="str">
        <f t="shared" si="143"/>
        <v/>
      </c>
      <c r="CD108" s="77" t="str">
        <f t="shared" si="143"/>
        <v/>
      </c>
      <c r="CE108" s="77" t="str">
        <f t="shared" si="143"/>
        <v/>
      </c>
      <c r="CF108" s="77" t="str">
        <f t="shared" si="143"/>
        <v/>
      </c>
      <c r="CG108" s="77" t="str">
        <f t="shared" si="143"/>
        <v/>
      </c>
      <c r="CH108" s="77" t="str">
        <f t="shared" si="143"/>
        <v/>
      </c>
      <c r="CI108" s="77" t="str">
        <f t="shared" si="143"/>
        <v/>
      </c>
      <c r="CJ108" s="77" t="str">
        <f t="shared" si="143"/>
        <v/>
      </c>
      <c r="CK108" s="77" t="str">
        <f t="shared" si="142"/>
        <v/>
      </c>
      <c r="CL108" s="77" t="str">
        <f t="shared" si="142"/>
        <v/>
      </c>
      <c r="CM108" s="77" t="str">
        <f t="shared" si="142"/>
        <v/>
      </c>
      <c r="CN108" s="77" t="str">
        <f t="shared" si="142"/>
        <v/>
      </c>
      <c r="CO108" s="77" t="str">
        <f t="shared" si="142"/>
        <v/>
      </c>
      <c r="CP108" s="77" t="str">
        <f t="shared" si="142"/>
        <v/>
      </c>
      <c r="CQ108" s="77" t="str">
        <f t="shared" si="142"/>
        <v/>
      </c>
      <c r="CR108" s="77" t="str">
        <f t="shared" si="142"/>
        <v/>
      </c>
      <c r="CS108" s="77" t="str">
        <f t="shared" si="142"/>
        <v/>
      </c>
      <c r="CT108" s="77" t="str">
        <f t="shared" si="142"/>
        <v/>
      </c>
      <c r="CU108" s="77" t="str">
        <f t="shared" si="142"/>
        <v/>
      </c>
      <c r="CV108" s="77" t="str">
        <f t="shared" si="142"/>
        <v/>
      </c>
      <c r="CW108" s="77" t="str">
        <f t="shared" si="142"/>
        <v/>
      </c>
      <c r="CX108" s="77" t="str">
        <f t="shared" si="142"/>
        <v/>
      </c>
      <c r="CY108" s="77" t="str">
        <f t="shared" si="142"/>
        <v/>
      </c>
      <c r="CZ108" s="77" t="str">
        <f t="shared" si="142"/>
        <v/>
      </c>
      <c r="DA108" s="77" t="str">
        <f t="shared" si="142"/>
        <v/>
      </c>
      <c r="DB108" s="77" t="str">
        <f t="shared" si="142"/>
        <v/>
      </c>
      <c r="DC108" s="77" t="str">
        <f t="shared" si="142"/>
        <v/>
      </c>
      <c r="DD108" s="77" t="str">
        <f t="shared" si="142"/>
        <v/>
      </c>
      <c r="DE108" s="77" t="str">
        <f t="shared" si="142"/>
        <v/>
      </c>
      <c r="DF108" s="77" t="str">
        <f t="shared" si="142"/>
        <v/>
      </c>
      <c r="DG108" s="77" t="str">
        <f t="shared" si="142"/>
        <v/>
      </c>
      <c r="DH108" s="77" t="str">
        <f t="shared" si="142"/>
        <v/>
      </c>
      <c r="DI108" s="77" t="str">
        <f t="shared" si="142"/>
        <v/>
      </c>
      <c r="DJ108" s="77" t="str">
        <f t="shared" si="142"/>
        <v/>
      </c>
      <c r="DK108" s="77" t="str">
        <f t="shared" si="142"/>
        <v/>
      </c>
      <c r="DL108" s="77" t="str">
        <f t="shared" si="142"/>
        <v/>
      </c>
      <c r="DM108" s="77" t="str">
        <f t="shared" si="142"/>
        <v/>
      </c>
      <c r="DN108" s="77" t="str">
        <f t="shared" si="142"/>
        <v/>
      </c>
      <c r="DO108" s="77" t="str">
        <f t="shared" si="142"/>
        <v/>
      </c>
      <c r="DP108" s="77" t="str">
        <f t="shared" si="142"/>
        <v/>
      </c>
      <c r="DQ108" s="77" t="str">
        <f t="shared" si="142"/>
        <v/>
      </c>
      <c r="DR108" s="77" t="str">
        <f t="shared" si="142"/>
        <v/>
      </c>
      <c r="DS108" s="77" t="str">
        <f t="shared" si="142"/>
        <v/>
      </c>
      <c r="DT108" s="77" t="str">
        <f t="shared" si="142"/>
        <v/>
      </c>
      <c r="DU108" s="77" t="str">
        <f t="shared" si="142"/>
        <v/>
      </c>
      <c r="DV108" s="77" t="str">
        <f t="shared" si="142"/>
        <v/>
      </c>
      <c r="DW108" s="77" t="str">
        <f t="shared" si="142"/>
        <v/>
      </c>
      <c r="DX108" s="77" t="str">
        <f t="shared" si="142"/>
        <v/>
      </c>
      <c r="DY108" s="77" t="str">
        <f t="shared" si="142"/>
        <v/>
      </c>
      <c r="DZ108" s="77" t="str">
        <f t="shared" si="142"/>
        <v/>
      </c>
      <c r="EA108" s="77" t="str">
        <f t="shared" si="142"/>
        <v/>
      </c>
      <c r="EB108" s="77" t="str">
        <f t="shared" si="142"/>
        <v/>
      </c>
      <c r="EC108" s="77" t="str">
        <f t="shared" si="142"/>
        <v/>
      </c>
      <c r="ED108" s="77" t="str">
        <f t="shared" si="142"/>
        <v/>
      </c>
      <c r="EE108" s="77" t="str">
        <f t="shared" si="142"/>
        <v/>
      </c>
      <c r="EF108" s="77" t="str">
        <f t="shared" si="142"/>
        <v/>
      </c>
      <c r="EG108" s="77" t="str">
        <f t="shared" si="142"/>
        <v/>
      </c>
      <c r="EH108" s="77" t="str">
        <f t="shared" si="142"/>
        <v/>
      </c>
      <c r="EI108" s="77" t="str">
        <f t="shared" si="142"/>
        <v/>
      </c>
      <c r="EJ108" s="77" t="str">
        <f t="shared" si="142"/>
        <v/>
      </c>
      <c r="EK108" s="77" t="str">
        <f t="shared" si="142"/>
        <v/>
      </c>
      <c r="EL108" s="77" t="str">
        <f t="shared" si="142"/>
        <v/>
      </c>
      <c r="EM108" s="77" t="str">
        <f t="shared" si="142"/>
        <v/>
      </c>
      <c r="EN108" s="77" t="str">
        <f t="shared" si="142"/>
        <v/>
      </c>
      <c r="EO108" s="77" t="str">
        <f t="shared" si="142"/>
        <v/>
      </c>
      <c r="EP108" s="77" t="str">
        <f t="shared" si="142"/>
        <v/>
      </c>
      <c r="EQ108" s="77" t="str">
        <f t="shared" si="142"/>
        <v/>
      </c>
      <c r="ER108" s="77" t="str">
        <f t="shared" si="142"/>
        <v/>
      </c>
      <c r="ES108" s="77" t="str">
        <f t="shared" si="142"/>
        <v/>
      </c>
      <c r="ET108" s="77" t="str">
        <f t="shared" si="142"/>
        <v/>
      </c>
      <c r="EU108" s="77" t="str">
        <f t="shared" si="142"/>
        <v/>
      </c>
      <c r="EV108" s="77" t="str">
        <f t="shared" si="141"/>
        <v/>
      </c>
      <c r="EW108" s="77" t="str">
        <f t="shared" si="141"/>
        <v/>
      </c>
      <c r="EX108" s="77" t="str">
        <f t="shared" si="141"/>
        <v/>
      </c>
      <c r="EY108" s="77" t="str">
        <f t="shared" si="141"/>
        <v/>
      </c>
      <c r="EZ108" s="77" t="str">
        <f t="shared" si="141"/>
        <v/>
      </c>
      <c r="FA108" s="77" t="str">
        <f t="shared" si="141"/>
        <v/>
      </c>
      <c r="FB108" s="77" t="str">
        <f t="shared" si="141"/>
        <v/>
      </c>
      <c r="FC108" s="77" t="str">
        <f t="shared" si="141"/>
        <v/>
      </c>
      <c r="FD108" s="77" t="str">
        <f t="shared" si="141"/>
        <v/>
      </c>
      <c r="FE108" s="77" t="str">
        <f t="shared" si="141"/>
        <v/>
      </c>
      <c r="FF108" s="77" t="str">
        <f t="shared" si="141"/>
        <v/>
      </c>
      <c r="FG108" s="77" t="str">
        <f t="shared" si="141"/>
        <v/>
      </c>
      <c r="FH108" s="77" t="str">
        <f t="shared" si="141"/>
        <v/>
      </c>
      <c r="FI108" s="77" t="str">
        <f t="shared" si="141"/>
        <v/>
      </c>
      <c r="FJ108" s="77" t="str">
        <f t="shared" si="141"/>
        <v/>
      </c>
      <c r="FK108" s="77" t="str">
        <f t="shared" si="141"/>
        <v/>
      </c>
      <c r="FL108" s="77" t="str">
        <f t="shared" si="141"/>
        <v/>
      </c>
      <c r="FM108" s="77" t="str">
        <f t="shared" si="141"/>
        <v/>
      </c>
      <c r="FN108" s="77" t="str">
        <f t="shared" si="141"/>
        <v/>
      </c>
      <c r="FO108" s="77" t="str">
        <f t="shared" si="141"/>
        <v/>
      </c>
      <c r="FP108" s="77" t="str">
        <f t="shared" si="141"/>
        <v/>
      </c>
      <c r="FQ108" s="77" t="str">
        <f t="shared" si="141"/>
        <v/>
      </c>
      <c r="FR108" s="77" t="str">
        <f t="shared" si="141"/>
        <v/>
      </c>
      <c r="FS108" s="77" t="str">
        <f t="shared" si="141"/>
        <v/>
      </c>
      <c r="FT108" s="77" t="str">
        <f t="shared" si="141"/>
        <v/>
      </c>
      <c r="FU108" s="77" t="str">
        <f t="shared" si="141"/>
        <v/>
      </c>
      <c r="FV108" s="77" t="str">
        <f t="shared" si="141"/>
        <v/>
      </c>
      <c r="FW108" s="77" t="str">
        <f t="shared" si="141"/>
        <v/>
      </c>
      <c r="FX108" s="77" t="str">
        <f t="shared" si="141"/>
        <v/>
      </c>
      <c r="FY108" s="77" t="str">
        <f t="shared" si="141"/>
        <v/>
      </c>
      <c r="FZ108" s="77" t="str">
        <f t="shared" si="141"/>
        <v/>
      </c>
      <c r="GA108" s="77" t="str">
        <f t="shared" si="141"/>
        <v/>
      </c>
      <c r="GB108" s="77" t="str">
        <f t="shared" si="141"/>
        <v/>
      </c>
      <c r="GC108" s="77" t="str">
        <f t="shared" si="141"/>
        <v/>
      </c>
      <c r="GD108" s="77" t="str">
        <f t="shared" si="141"/>
        <v/>
      </c>
      <c r="GE108" s="77" t="str">
        <f t="shared" ref="GE108:GX108" si="144">IF(GD108="","",GD108+1)</f>
        <v/>
      </c>
      <c r="GF108" s="77" t="str">
        <f t="shared" si="144"/>
        <v/>
      </c>
      <c r="GG108" s="77" t="str">
        <f t="shared" si="144"/>
        <v/>
      </c>
      <c r="GH108" s="77" t="str">
        <f t="shared" si="144"/>
        <v/>
      </c>
      <c r="GI108" s="77" t="str">
        <f t="shared" si="144"/>
        <v/>
      </c>
      <c r="GJ108" s="77" t="str">
        <f t="shared" si="144"/>
        <v/>
      </c>
      <c r="GK108" s="77" t="str">
        <f t="shared" si="144"/>
        <v/>
      </c>
      <c r="GL108" s="77" t="str">
        <f t="shared" si="144"/>
        <v/>
      </c>
      <c r="GM108" s="77" t="str">
        <f t="shared" si="144"/>
        <v/>
      </c>
      <c r="GN108" s="77" t="str">
        <f t="shared" si="144"/>
        <v/>
      </c>
      <c r="GO108" s="77" t="str">
        <f t="shared" si="144"/>
        <v/>
      </c>
      <c r="GP108" s="77" t="str">
        <f t="shared" si="144"/>
        <v/>
      </c>
      <c r="GQ108" s="77" t="str">
        <f t="shared" si="144"/>
        <v/>
      </c>
      <c r="GR108" s="77" t="str">
        <f t="shared" si="144"/>
        <v/>
      </c>
      <c r="GS108" s="77" t="str">
        <f t="shared" si="144"/>
        <v/>
      </c>
      <c r="GT108" s="77" t="str">
        <f t="shared" si="144"/>
        <v/>
      </c>
      <c r="GU108" s="77" t="str">
        <f t="shared" si="144"/>
        <v/>
      </c>
      <c r="GV108" s="77" t="str">
        <f t="shared" si="144"/>
        <v/>
      </c>
      <c r="GW108" s="77" t="str">
        <f t="shared" si="144"/>
        <v/>
      </c>
      <c r="GX108" s="77" t="str">
        <f t="shared" si="144"/>
        <v/>
      </c>
    </row>
    <row r="109" spans="1:206" ht="15" customHeight="1" x14ac:dyDescent="0.2">
      <c r="A109" s="22" t="s">
        <v>162</v>
      </c>
      <c r="B109" s="22">
        <v>5</v>
      </c>
      <c r="C109" s="22" t="s">
        <v>162</v>
      </c>
      <c r="D109" s="22">
        <v>13</v>
      </c>
      <c r="E109" s="22" t="s">
        <v>231</v>
      </c>
      <c r="F109" s="22" t="s">
        <v>71</v>
      </c>
      <c r="G109" s="22" t="s">
        <v>232</v>
      </c>
      <c r="H109" s="22">
        <v>2026</v>
      </c>
      <c r="I109" s="22">
        <v>0</v>
      </c>
      <c r="J109" s="22">
        <v>13.62</v>
      </c>
      <c r="K109" s="22">
        <v>0</v>
      </c>
      <c r="L109" s="22">
        <v>0</v>
      </c>
      <c r="M109" s="22">
        <v>0</v>
      </c>
      <c r="N109" s="22" t="s">
        <v>196</v>
      </c>
      <c r="O109" s="22" t="s">
        <v>74</v>
      </c>
      <c r="P109" s="22" t="s">
        <v>216</v>
      </c>
      <c r="Q109" s="24"/>
      <c r="R109" s="22" t="str">
        <f>IF($E109="","",IFERROR(INDEX($W109:$GX109,MATCH('Dashboard Ciclos'!$B$2,$W$1:$GX$1,0)),""))</f>
        <v/>
      </c>
      <c r="S109" s="22" t="str">
        <f t="shared" si="128"/>
        <v>Sin dato</v>
      </c>
      <c r="T109" s="22" t="str">
        <f t="shared" si="129"/>
        <v>Sin dato</v>
      </c>
      <c r="U109" s="22" t="str">
        <f t="shared" si="130"/>
        <v/>
      </c>
      <c r="V109" s="23" t="str">
        <f t="shared" si="131"/>
        <v/>
      </c>
      <c r="W109" s="77" t="str">
        <f t="shared" si="125"/>
        <v/>
      </c>
      <c r="X109" s="77" t="str">
        <f t="shared" si="136"/>
        <v/>
      </c>
      <c r="Y109" s="77" t="str">
        <f t="shared" si="134"/>
        <v/>
      </c>
      <c r="Z109" s="77" t="str">
        <f t="shared" si="134"/>
        <v/>
      </c>
      <c r="AA109" s="77" t="s">
        <v>218</v>
      </c>
      <c r="AB109" s="77" t="str">
        <f t="shared" si="134"/>
        <v/>
      </c>
      <c r="AC109" s="77" t="str">
        <f t="shared" si="134"/>
        <v/>
      </c>
      <c r="AD109" s="77" t="str">
        <f t="shared" si="134"/>
        <v/>
      </c>
      <c r="AE109" s="77" t="str">
        <f t="shared" si="134"/>
        <v/>
      </c>
      <c r="AF109" s="77" t="str">
        <f t="shared" si="134"/>
        <v/>
      </c>
      <c r="AG109" s="77" t="str">
        <f t="shared" si="134"/>
        <v/>
      </c>
      <c r="AH109" s="77" t="str">
        <f t="shared" si="134"/>
        <v/>
      </c>
      <c r="AI109" s="77" t="str">
        <f t="shared" si="134"/>
        <v/>
      </c>
      <c r="AJ109" s="77" t="str">
        <f t="shared" si="134"/>
        <v/>
      </c>
      <c r="AK109" s="77" t="str">
        <f t="shared" si="139"/>
        <v/>
      </c>
      <c r="AL109" s="77" t="str">
        <f t="shared" si="139"/>
        <v/>
      </c>
      <c r="AM109" s="77" t="str">
        <f t="shared" si="139"/>
        <v/>
      </c>
      <c r="AN109" s="77" t="str">
        <f t="shared" si="91"/>
        <v/>
      </c>
      <c r="AO109" s="77" t="str">
        <f t="shared" si="139"/>
        <v/>
      </c>
      <c r="AP109" s="77" t="str">
        <f t="shared" si="139"/>
        <v/>
      </c>
      <c r="AQ109" s="77" t="str">
        <f t="shared" si="139"/>
        <v/>
      </c>
      <c r="AR109" s="77" t="str">
        <f t="shared" si="105"/>
        <v/>
      </c>
      <c r="AS109" s="77" t="str">
        <f t="shared" si="143"/>
        <v/>
      </c>
      <c r="AT109" s="77" t="str">
        <f t="shared" si="143"/>
        <v/>
      </c>
      <c r="AU109" s="77" t="str">
        <f t="shared" si="143"/>
        <v/>
      </c>
      <c r="AV109" s="77" t="str">
        <f t="shared" si="143"/>
        <v/>
      </c>
      <c r="AW109" s="77" t="str">
        <f t="shared" si="143"/>
        <v/>
      </c>
      <c r="AX109" s="77" t="str">
        <f t="shared" si="143"/>
        <v/>
      </c>
      <c r="AY109" s="77" t="str">
        <f t="shared" si="143"/>
        <v/>
      </c>
      <c r="AZ109" s="77" t="str">
        <f t="shared" si="143"/>
        <v/>
      </c>
      <c r="BA109" s="77" t="str">
        <f t="shared" si="143"/>
        <v/>
      </c>
      <c r="BB109" s="77" t="str">
        <f t="shared" si="143"/>
        <v/>
      </c>
      <c r="BC109" s="77" t="str">
        <f t="shared" si="143"/>
        <v/>
      </c>
      <c r="BD109" s="77" t="str">
        <f t="shared" si="143"/>
        <v/>
      </c>
      <c r="BE109" s="77" t="str">
        <f t="shared" si="143"/>
        <v/>
      </c>
      <c r="BF109" s="77" t="str">
        <f t="shared" si="143"/>
        <v/>
      </c>
      <c r="BG109" s="77" t="str">
        <f t="shared" si="143"/>
        <v/>
      </c>
      <c r="BH109" s="77" t="str">
        <f t="shared" si="143"/>
        <v/>
      </c>
      <c r="BI109" s="77" t="str">
        <f t="shared" si="143"/>
        <v/>
      </c>
      <c r="BJ109" s="77" t="str">
        <f t="shared" si="143"/>
        <v/>
      </c>
      <c r="BK109" s="77" t="str">
        <f t="shared" si="143"/>
        <v/>
      </c>
      <c r="BL109" s="77" t="str">
        <f t="shared" si="143"/>
        <v/>
      </c>
      <c r="BM109" s="77" t="str">
        <f t="shared" si="143"/>
        <v/>
      </c>
      <c r="BN109" s="77" t="str">
        <f t="shared" si="143"/>
        <v/>
      </c>
      <c r="BO109" s="77" t="str">
        <f t="shared" si="143"/>
        <v/>
      </c>
      <c r="BP109" s="77" t="str">
        <f t="shared" si="143"/>
        <v/>
      </c>
      <c r="BQ109" s="77" t="str">
        <f t="shared" si="143"/>
        <v/>
      </c>
      <c r="BR109" s="77" t="str">
        <f t="shared" si="143"/>
        <v/>
      </c>
      <c r="BS109" s="77" t="str">
        <f t="shared" si="143"/>
        <v/>
      </c>
      <c r="BT109" s="77" t="str">
        <f t="shared" si="143"/>
        <v/>
      </c>
      <c r="BU109" s="77" t="str">
        <f t="shared" si="143"/>
        <v/>
      </c>
      <c r="BV109" s="77" t="str">
        <f t="shared" si="143"/>
        <v/>
      </c>
      <c r="BW109" s="77" t="str">
        <f t="shared" si="143"/>
        <v/>
      </c>
      <c r="BX109" s="77" t="str">
        <f t="shared" si="143"/>
        <v/>
      </c>
      <c r="BY109" s="77" t="str">
        <f t="shared" si="143"/>
        <v/>
      </c>
      <c r="BZ109" s="77" t="str">
        <f t="shared" si="143"/>
        <v/>
      </c>
      <c r="CA109" s="77" t="str">
        <f t="shared" si="143"/>
        <v/>
      </c>
      <c r="CB109" s="77" t="str">
        <f t="shared" si="143"/>
        <v/>
      </c>
      <c r="CC109" s="77" t="str">
        <f t="shared" si="143"/>
        <v/>
      </c>
      <c r="CD109" s="77" t="str">
        <f t="shared" si="143"/>
        <v/>
      </c>
      <c r="CE109" s="77" t="str">
        <f t="shared" si="143"/>
        <v/>
      </c>
      <c r="CF109" s="77" t="str">
        <f t="shared" si="143"/>
        <v/>
      </c>
      <c r="CG109" s="77" t="str">
        <f t="shared" si="143"/>
        <v/>
      </c>
      <c r="CH109" s="77" t="str">
        <f t="shared" si="143"/>
        <v/>
      </c>
      <c r="CI109" s="77" t="str">
        <f t="shared" si="143"/>
        <v/>
      </c>
      <c r="CJ109" s="77" t="str">
        <f t="shared" si="143"/>
        <v/>
      </c>
      <c r="CK109" s="77" t="str">
        <f t="shared" si="142"/>
        <v/>
      </c>
      <c r="CL109" s="77" t="str">
        <f t="shared" si="142"/>
        <v/>
      </c>
      <c r="CM109" s="77" t="str">
        <f t="shared" si="142"/>
        <v/>
      </c>
      <c r="CN109" s="77" t="str">
        <f t="shared" si="142"/>
        <v/>
      </c>
      <c r="CO109" s="77" t="str">
        <f t="shared" si="142"/>
        <v/>
      </c>
      <c r="CP109" s="77" t="str">
        <f t="shared" si="142"/>
        <v/>
      </c>
      <c r="CQ109" s="77" t="str">
        <f t="shared" si="142"/>
        <v/>
      </c>
      <c r="CR109" s="77" t="str">
        <f t="shared" si="142"/>
        <v/>
      </c>
      <c r="CS109" s="77" t="str">
        <f t="shared" si="142"/>
        <v/>
      </c>
      <c r="CT109" s="77" t="str">
        <f t="shared" si="142"/>
        <v/>
      </c>
      <c r="CU109" s="77" t="str">
        <f t="shared" si="142"/>
        <v/>
      </c>
      <c r="CV109" s="77" t="str">
        <f t="shared" si="142"/>
        <v/>
      </c>
      <c r="CW109" s="77" t="str">
        <f t="shared" si="142"/>
        <v/>
      </c>
      <c r="CX109" s="77" t="str">
        <f t="shared" si="142"/>
        <v/>
      </c>
      <c r="CY109" s="77" t="str">
        <f t="shared" si="142"/>
        <v/>
      </c>
      <c r="CZ109" s="77" t="str">
        <f t="shared" si="142"/>
        <v/>
      </c>
      <c r="DA109" s="77" t="str">
        <f t="shared" si="142"/>
        <v/>
      </c>
      <c r="DB109" s="77" t="str">
        <f t="shared" si="142"/>
        <v/>
      </c>
      <c r="DC109" s="77" t="str">
        <f t="shared" si="142"/>
        <v/>
      </c>
      <c r="DD109" s="77" t="str">
        <f t="shared" si="142"/>
        <v/>
      </c>
      <c r="DE109" s="77" t="str">
        <f t="shared" si="142"/>
        <v/>
      </c>
      <c r="DF109" s="77" t="str">
        <f t="shared" si="142"/>
        <v/>
      </c>
      <c r="DG109" s="77" t="str">
        <f t="shared" si="142"/>
        <v/>
      </c>
      <c r="DH109" s="77" t="str">
        <f t="shared" si="142"/>
        <v/>
      </c>
      <c r="DI109" s="77" t="str">
        <f t="shared" si="142"/>
        <v/>
      </c>
      <c r="DJ109" s="77" t="str">
        <f t="shared" si="142"/>
        <v/>
      </c>
      <c r="DK109" s="77" t="str">
        <f t="shared" si="142"/>
        <v/>
      </c>
      <c r="DL109" s="77" t="str">
        <f t="shared" si="142"/>
        <v/>
      </c>
      <c r="DM109" s="77" t="str">
        <f t="shared" si="142"/>
        <v/>
      </c>
      <c r="DN109" s="77" t="str">
        <f t="shared" si="142"/>
        <v/>
      </c>
      <c r="DO109" s="77" t="str">
        <f t="shared" si="142"/>
        <v/>
      </c>
      <c r="DP109" s="77" t="str">
        <f t="shared" si="142"/>
        <v/>
      </c>
      <c r="DQ109" s="77" t="str">
        <f t="shared" si="142"/>
        <v/>
      </c>
      <c r="DR109" s="77" t="str">
        <f t="shared" si="142"/>
        <v/>
      </c>
      <c r="DS109" s="77" t="str">
        <f t="shared" si="142"/>
        <v/>
      </c>
      <c r="DT109" s="77" t="str">
        <f t="shared" si="142"/>
        <v/>
      </c>
      <c r="DU109" s="77" t="str">
        <f t="shared" si="142"/>
        <v/>
      </c>
      <c r="DV109" s="77" t="str">
        <f t="shared" si="142"/>
        <v/>
      </c>
      <c r="DW109" s="77" t="str">
        <f t="shared" si="142"/>
        <v/>
      </c>
      <c r="DX109" s="77" t="str">
        <f t="shared" si="142"/>
        <v/>
      </c>
      <c r="DY109" s="77" t="str">
        <f t="shared" si="142"/>
        <v/>
      </c>
      <c r="DZ109" s="77" t="str">
        <f t="shared" si="142"/>
        <v/>
      </c>
      <c r="EA109" s="77" t="str">
        <f t="shared" si="142"/>
        <v/>
      </c>
      <c r="EB109" s="77" t="str">
        <f t="shared" si="142"/>
        <v/>
      </c>
      <c r="EC109" s="77" t="str">
        <f t="shared" si="142"/>
        <v/>
      </c>
      <c r="ED109" s="77" t="str">
        <f t="shared" si="142"/>
        <v/>
      </c>
      <c r="EE109" s="77" t="str">
        <f t="shared" si="142"/>
        <v/>
      </c>
      <c r="EF109" s="77" t="str">
        <f t="shared" si="142"/>
        <v/>
      </c>
      <c r="EG109" s="77" t="str">
        <f t="shared" si="142"/>
        <v/>
      </c>
      <c r="EH109" s="77" t="str">
        <f t="shared" si="142"/>
        <v/>
      </c>
      <c r="EI109" s="77" t="str">
        <f t="shared" si="142"/>
        <v/>
      </c>
      <c r="EJ109" s="77" t="str">
        <f t="shared" si="142"/>
        <v/>
      </c>
      <c r="EK109" s="77" t="str">
        <f t="shared" si="142"/>
        <v/>
      </c>
      <c r="EL109" s="77" t="str">
        <f t="shared" si="142"/>
        <v/>
      </c>
      <c r="EM109" s="77" t="str">
        <f t="shared" si="142"/>
        <v/>
      </c>
      <c r="EN109" s="77" t="str">
        <f t="shared" si="142"/>
        <v/>
      </c>
      <c r="EO109" s="77" t="str">
        <f t="shared" si="142"/>
        <v/>
      </c>
      <c r="EP109" s="77" t="str">
        <f t="shared" si="142"/>
        <v/>
      </c>
      <c r="EQ109" s="77" t="str">
        <f t="shared" si="142"/>
        <v/>
      </c>
      <c r="ER109" s="77" t="str">
        <f t="shared" si="142"/>
        <v/>
      </c>
      <c r="ES109" s="77" t="str">
        <f t="shared" si="142"/>
        <v/>
      </c>
      <c r="ET109" s="77" t="str">
        <f t="shared" si="142"/>
        <v/>
      </c>
      <c r="EU109" s="77" t="str">
        <f t="shared" si="142"/>
        <v/>
      </c>
      <c r="EV109" s="77" t="str">
        <f t="shared" ref="EV109:GX113" si="145">IF(EU109="","",EU109+1)</f>
        <v/>
      </c>
      <c r="EW109" s="77" t="str">
        <f t="shared" si="145"/>
        <v/>
      </c>
      <c r="EX109" s="77" t="str">
        <f t="shared" si="145"/>
        <v/>
      </c>
      <c r="EY109" s="77" t="str">
        <f t="shared" si="145"/>
        <v/>
      </c>
      <c r="EZ109" s="77" t="str">
        <f t="shared" si="145"/>
        <v/>
      </c>
      <c r="FA109" s="77" t="str">
        <f t="shared" si="145"/>
        <v/>
      </c>
      <c r="FB109" s="77" t="str">
        <f t="shared" si="145"/>
        <v/>
      </c>
      <c r="FC109" s="77" t="str">
        <f t="shared" si="145"/>
        <v/>
      </c>
      <c r="FD109" s="77" t="str">
        <f t="shared" si="145"/>
        <v/>
      </c>
      <c r="FE109" s="77" t="str">
        <f t="shared" si="145"/>
        <v/>
      </c>
      <c r="FF109" s="77" t="str">
        <f t="shared" si="145"/>
        <v/>
      </c>
      <c r="FG109" s="77" t="str">
        <f t="shared" si="145"/>
        <v/>
      </c>
      <c r="FH109" s="77" t="str">
        <f t="shared" si="145"/>
        <v/>
      </c>
      <c r="FI109" s="77" t="str">
        <f t="shared" si="145"/>
        <v/>
      </c>
      <c r="FJ109" s="77" t="str">
        <f t="shared" si="145"/>
        <v/>
      </c>
      <c r="FK109" s="77" t="str">
        <f t="shared" si="145"/>
        <v/>
      </c>
      <c r="FL109" s="77" t="str">
        <f t="shared" si="145"/>
        <v/>
      </c>
      <c r="FM109" s="77" t="str">
        <f t="shared" si="145"/>
        <v/>
      </c>
      <c r="FN109" s="77" t="str">
        <f t="shared" si="145"/>
        <v/>
      </c>
      <c r="FO109" s="77" t="str">
        <f t="shared" si="145"/>
        <v/>
      </c>
      <c r="FP109" s="77" t="str">
        <f t="shared" si="145"/>
        <v/>
      </c>
      <c r="FQ109" s="77" t="str">
        <f t="shared" si="145"/>
        <v/>
      </c>
      <c r="FR109" s="77" t="str">
        <f t="shared" si="145"/>
        <v/>
      </c>
      <c r="FS109" s="77" t="str">
        <f t="shared" si="145"/>
        <v/>
      </c>
      <c r="FT109" s="77" t="str">
        <f t="shared" si="145"/>
        <v/>
      </c>
      <c r="FU109" s="77" t="str">
        <f t="shared" si="145"/>
        <v/>
      </c>
      <c r="FV109" s="77" t="str">
        <f t="shared" si="145"/>
        <v/>
      </c>
      <c r="FW109" s="77" t="str">
        <f t="shared" si="145"/>
        <v/>
      </c>
      <c r="FX109" s="77" t="str">
        <f t="shared" si="145"/>
        <v/>
      </c>
      <c r="FY109" s="77" t="str">
        <f t="shared" si="145"/>
        <v/>
      </c>
      <c r="FZ109" s="77" t="str">
        <f t="shared" si="145"/>
        <v/>
      </c>
      <c r="GA109" s="77" t="str">
        <f t="shared" si="145"/>
        <v/>
      </c>
      <c r="GB109" s="77" t="str">
        <f t="shared" si="145"/>
        <v/>
      </c>
      <c r="GC109" s="77" t="str">
        <f t="shared" si="145"/>
        <v/>
      </c>
      <c r="GD109" s="77" t="str">
        <f t="shared" si="145"/>
        <v/>
      </c>
      <c r="GE109" s="77" t="str">
        <f t="shared" si="145"/>
        <v/>
      </c>
      <c r="GF109" s="77" t="str">
        <f t="shared" si="145"/>
        <v/>
      </c>
      <c r="GG109" s="77" t="str">
        <f t="shared" si="145"/>
        <v/>
      </c>
      <c r="GH109" s="77" t="str">
        <f t="shared" si="145"/>
        <v/>
      </c>
      <c r="GI109" s="77" t="str">
        <f t="shared" si="145"/>
        <v/>
      </c>
      <c r="GJ109" s="77" t="str">
        <f t="shared" si="145"/>
        <v/>
      </c>
      <c r="GK109" s="77" t="str">
        <f t="shared" si="145"/>
        <v/>
      </c>
      <c r="GL109" s="77" t="str">
        <f t="shared" si="145"/>
        <v/>
      </c>
      <c r="GM109" s="77" t="str">
        <f t="shared" si="145"/>
        <v/>
      </c>
      <c r="GN109" s="77" t="str">
        <f t="shared" si="145"/>
        <v/>
      </c>
      <c r="GO109" s="77" t="str">
        <f t="shared" si="145"/>
        <v/>
      </c>
      <c r="GP109" s="77" t="str">
        <f t="shared" si="145"/>
        <v/>
      </c>
      <c r="GQ109" s="77" t="str">
        <f t="shared" si="145"/>
        <v/>
      </c>
      <c r="GR109" s="77" t="str">
        <f t="shared" si="145"/>
        <v/>
      </c>
      <c r="GS109" s="77" t="str">
        <f t="shared" si="145"/>
        <v/>
      </c>
      <c r="GT109" s="77" t="str">
        <f t="shared" si="145"/>
        <v/>
      </c>
      <c r="GU109" s="77" t="str">
        <f t="shared" si="145"/>
        <v/>
      </c>
      <c r="GV109" s="77" t="str">
        <f t="shared" si="145"/>
        <v/>
      </c>
      <c r="GW109" s="77" t="str">
        <f t="shared" si="145"/>
        <v/>
      </c>
      <c r="GX109" s="77" t="str">
        <f t="shared" si="145"/>
        <v/>
      </c>
    </row>
    <row r="110" spans="1:206" ht="15" customHeight="1" x14ac:dyDescent="0.2">
      <c r="A110" s="22" t="s">
        <v>162</v>
      </c>
      <c r="B110" s="22">
        <v>5</v>
      </c>
      <c r="C110" s="22" t="s">
        <v>162</v>
      </c>
      <c r="D110" s="22">
        <v>14</v>
      </c>
      <c r="E110" s="22" t="s">
        <v>233</v>
      </c>
      <c r="F110" s="22" t="s">
        <v>71</v>
      </c>
      <c r="G110" s="22" t="s">
        <v>232</v>
      </c>
      <c r="H110" s="22">
        <v>2026</v>
      </c>
      <c r="I110" s="22">
        <v>0</v>
      </c>
      <c r="J110" s="22">
        <v>9.94</v>
      </c>
      <c r="K110" s="22">
        <v>0</v>
      </c>
      <c r="L110" s="22">
        <v>0</v>
      </c>
      <c r="M110" s="22">
        <v>0</v>
      </c>
      <c r="N110" s="22" t="s">
        <v>196</v>
      </c>
      <c r="O110" s="22" t="s">
        <v>74</v>
      </c>
      <c r="P110" s="22" t="s">
        <v>216</v>
      </c>
      <c r="Q110" s="24"/>
      <c r="R110" s="22" t="str">
        <f>IF($E110="","",IFERROR(INDEX($W110:$GX110,MATCH('Dashboard Ciclos'!$B$2,$W$1:$GX$1,0)),""))</f>
        <v/>
      </c>
      <c r="S110" s="22" t="str">
        <f t="shared" si="128"/>
        <v>Sin dato</v>
      </c>
      <c r="T110" s="22" t="str">
        <f t="shared" si="129"/>
        <v>Sin dato</v>
      </c>
      <c r="U110" s="22" t="str">
        <f t="shared" si="130"/>
        <v/>
      </c>
      <c r="V110" s="23" t="str">
        <f t="shared" si="131"/>
        <v/>
      </c>
      <c r="W110" s="77" t="str">
        <f t="shared" si="125"/>
        <v/>
      </c>
      <c r="X110" s="77" t="str">
        <f t="shared" si="136"/>
        <v/>
      </c>
      <c r="Y110" s="77" t="str">
        <f t="shared" si="134"/>
        <v/>
      </c>
      <c r="Z110" s="77" t="str">
        <f t="shared" si="134"/>
        <v/>
      </c>
      <c r="AA110" s="77" t="s">
        <v>218</v>
      </c>
      <c r="AB110" s="77" t="str">
        <f t="shared" si="134"/>
        <v/>
      </c>
      <c r="AC110" s="77" t="str">
        <f t="shared" si="134"/>
        <v/>
      </c>
      <c r="AD110" s="77" t="str">
        <f t="shared" si="134"/>
        <v/>
      </c>
      <c r="AE110" s="77" t="str">
        <f t="shared" si="134"/>
        <v/>
      </c>
      <c r="AF110" s="77" t="str">
        <f t="shared" si="134"/>
        <v/>
      </c>
      <c r="AG110" s="77" t="str">
        <f t="shared" si="134"/>
        <v/>
      </c>
      <c r="AH110" s="77" t="str">
        <f t="shared" si="134"/>
        <v/>
      </c>
      <c r="AI110" s="77" t="str">
        <f t="shared" si="134"/>
        <v/>
      </c>
      <c r="AJ110" s="77" t="str">
        <f t="shared" si="134"/>
        <v/>
      </c>
      <c r="AK110" s="77" t="str">
        <f t="shared" si="139"/>
        <v/>
      </c>
      <c r="AL110" s="77" t="str">
        <f t="shared" si="139"/>
        <v/>
      </c>
      <c r="AM110" s="77" t="str">
        <f t="shared" si="139"/>
        <v/>
      </c>
      <c r="AN110" s="77" t="str">
        <f t="shared" si="91"/>
        <v/>
      </c>
      <c r="AO110" s="77" t="str">
        <f t="shared" si="139"/>
        <v/>
      </c>
      <c r="AP110" s="77" t="str">
        <f t="shared" si="139"/>
        <v/>
      </c>
      <c r="AQ110" s="77" t="str">
        <f t="shared" si="139"/>
        <v/>
      </c>
      <c r="AR110" s="77" t="str">
        <f t="shared" si="105"/>
        <v/>
      </c>
      <c r="AS110" s="77" t="str">
        <f t="shared" si="143"/>
        <v/>
      </c>
      <c r="AT110" s="77" t="str">
        <f t="shared" si="143"/>
        <v/>
      </c>
      <c r="AU110" s="77" t="str">
        <f t="shared" si="143"/>
        <v/>
      </c>
      <c r="AV110" s="77" t="str">
        <f t="shared" si="143"/>
        <v/>
      </c>
      <c r="AW110" s="77" t="str">
        <f t="shared" si="143"/>
        <v/>
      </c>
      <c r="AX110" s="77" t="str">
        <f t="shared" si="143"/>
        <v/>
      </c>
      <c r="AY110" s="77" t="str">
        <f t="shared" si="143"/>
        <v/>
      </c>
      <c r="AZ110" s="77" t="str">
        <f t="shared" si="143"/>
        <v/>
      </c>
      <c r="BA110" s="77" t="str">
        <f t="shared" si="143"/>
        <v/>
      </c>
      <c r="BB110" s="77" t="str">
        <f t="shared" si="143"/>
        <v/>
      </c>
      <c r="BC110" s="77" t="str">
        <f t="shared" si="143"/>
        <v/>
      </c>
      <c r="BD110" s="77" t="str">
        <f t="shared" si="143"/>
        <v/>
      </c>
      <c r="BE110" s="77" t="str">
        <f t="shared" si="143"/>
        <v/>
      </c>
      <c r="BF110" s="77" t="str">
        <f t="shared" si="143"/>
        <v/>
      </c>
      <c r="BG110" s="77" t="str">
        <f t="shared" si="143"/>
        <v/>
      </c>
      <c r="BH110" s="77" t="str">
        <f t="shared" si="143"/>
        <v/>
      </c>
      <c r="BI110" s="77" t="str">
        <f t="shared" si="143"/>
        <v/>
      </c>
      <c r="BJ110" s="77" t="str">
        <f t="shared" si="143"/>
        <v/>
      </c>
      <c r="BK110" s="77" t="str">
        <f t="shared" si="143"/>
        <v/>
      </c>
      <c r="BL110" s="77" t="str">
        <f t="shared" si="143"/>
        <v/>
      </c>
      <c r="BM110" s="77" t="str">
        <f t="shared" si="143"/>
        <v/>
      </c>
      <c r="BN110" s="77" t="str">
        <f t="shared" si="143"/>
        <v/>
      </c>
      <c r="BO110" s="77" t="str">
        <f t="shared" si="143"/>
        <v/>
      </c>
      <c r="BP110" s="77" t="str">
        <f t="shared" si="143"/>
        <v/>
      </c>
      <c r="BQ110" s="77" t="str">
        <f t="shared" si="143"/>
        <v/>
      </c>
      <c r="BR110" s="77" t="str">
        <f t="shared" si="143"/>
        <v/>
      </c>
      <c r="BS110" s="77" t="str">
        <f t="shared" si="143"/>
        <v/>
      </c>
      <c r="BT110" s="77" t="str">
        <f t="shared" si="143"/>
        <v/>
      </c>
      <c r="BU110" s="77" t="str">
        <f t="shared" si="143"/>
        <v/>
      </c>
      <c r="BV110" s="77" t="str">
        <f t="shared" si="143"/>
        <v/>
      </c>
      <c r="BW110" s="77" t="str">
        <f t="shared" si="143"/>
        <v/>
      </c>
      <c r="BX110" s="77" t="str">
        <f t="shared" si="143"/>
        <v/>
      </c>
      <c r="BY110" s="77" t="str">
        <f t="shared" si="143"/>
        <v/>
      </c>
      <c r="BZ110" s="77" t="str">
        <f t="shared" si="143"/>
        <v/>
      </c>
      <c r="CA110" s="77" t="str">
        <f t="shared" si="143"/>
        <v/>
      </c>
      <c r="CB110" s="77" t="str">
        <f t="shared" si="143"/>
        <v/>
      </c>
      <c r="CC110" s="77" t="str">
        <f t="shared" si="143"/>
        <v/>
      </c>
      <c r="CD110" s="77" t="str">
        <f t="shared" si="143"/>
        <v/>
      </c>
      <c r="CE110" s="77" t="str">
        <f t="shared" si="143"/>
        <v/>
      </c>
      <c r="CF110" s="77" t="str">
        <f t="shared" si="143"/>
        <v/>
      </c>
      <c r="CG110" s="77" t="str">
        <f t="shared" si="143"/>
        <v/>
      </c>
      <c r="CH110" s="77" t="str">
        <f t="shared" si="143"/>
        <v/>
      </c>
      <c r="CI110" s="77" t="str">
        <f t="shared" si="143"/>
        <v/>
      </c>
      <c r="CJ110" s="77" t="str">
        <f t="shared" si="143"/>
        <v/>
      </c>
      <c r="CK110" s="77" t="str">
        <f t="shared" si="142"/>
        <v/>
      </c>
      <c r="CL110" s="77" t="str">
        <f t="shared" si="142"/>
        <v/>
      </c>
      <c r="CM110" s="77" t="str">
        <f t="shared" si="142"/>
        <v/>
      </c>
      <c r="CN110" s="77" t="str">
        <f t="shared" si="142"/>
        <v/>
      </c>
      <c r="CO110" s="77" t="str">
        <f t="shared" si="142"/>
        <v/>
      </c>
      <c r="CP110" s="77" t="str">
        <f t="shared" si="142"/>
        <v/>
      </c>
      <c r="CQ110" s="77" t="str">
        <f t="shared" si="142"/>
        <v/>
      </c>
      <c r="CR110" s="77" t="str">
        <f t="shared" si="142"/>
        <v/>
      </c>
      <c r="CS110" s="77" t="str">
        <f t="shared" si="142"/>
        <v/>
      </c>
      <c r="CT110" s="77" t="str">
        <f t="shared" si="142"/>
        <v/>
      </c>
      <c r="CU110" s="77" t="str">
        <f t="shared" si="142"/>
        <v/>
      </c>
      <c r="CV110" s="77" t="str">
        <f t="shared" si="142"/>
        <v/>
      </c>
      <c r="CW110" s="77" t="str">
        <f t="shared" si="142"/>
        <v/>
      </c>
      <c r="CX110" s="77" t="str">
        <f t="shared" si="142"/>
        <v/>
      </c>
      <c r="CY110" s="77" t="str">
        <f t="shared" si="142"/>
        <v/>
      </c>
      <c r="CZ110" s="77" t="str">
        <f t="shared" si="142"/>
        <v/>
      </c>
      <c r="DA110" s="77" t="str">
        <f t="shared" si="142"/>
        <v/>
      </c>
      <c r="DB110" s="77" t="str">
        <f t="shared" si="142"/>
        <v/>
      </c>
      <c r="DC110" s="77" t="str">
        <f t="shared" si="142"/>
        <v/>
      </c>
      <c r="DD110" s="77" t="str">
        <f t="shared" si="142"/>
        <v/>
      </c>
      <c r="DE110" s="77" t="str">
        <f t="shared" si="142"/>
        <v/>
      </c>
      <c r="DF110" s="77" t="str">
        <f t="shared" si="142"/>
        <v/>
      </c>
      <c r="DG110" s="77" t="str">
        <f t="shared" si="142"/>
        <v/>
      </c>
      <c r="DH110" s="77" t="str">
        <f t="shared" si="142"/>
        <v/>
      </c>
      <c r="DI110" s="77" t="str">
        <f t="shared" si="142"/>
        <v/>
      </c>
      <c r="DJ110" s="77" t="str">
        <f t="shared" si="142"/>
        <v/>
      </c>
      <c r="DK110" s="77" t="str">
        <f t="shared" si="142"/>
        <v/>
      </c>
      <c r="DL110" s="77" t="str">
        <f t="shared" si="142"/>
        <v/>
      </c>
      <c r="DM110" s="77" t="str">
        <f t="shared" si="142"/>
        <v/>
      </c>
      <c r="DN110" s="77" t="str">
        <f t="shared" si="142"/>
        <v/>
      </c>
      <c r="DO110" s="77" t="str">
        <f t="shared" si="142"/>
        <v/>
      </c>
      <c r="DP110" s="77" t="str">
        <f t="shared" si="142"/>
        <v/>
      </c>
      <c r="DQ110" s="77" t="str">
        <f t="shared" si="142"/>
        <v/>
      </c>
      <c r="DR110" s="77" t="str">
        <f t="shared" si="142"/>
        <v/>
      </c>
      <c r="DS110" s="77" t="str">
        <f t="shared" si="142"/>
        <v/>
      </c>
      <c r="DT110" s="77" t="str">
        <f t="shared" si="142"/>
        <v/>
      </c>
      <c r="DU110" s="77" t="str">
        <f t="shared" si="142"/>
        <v/>
      </c>
      <c r="DV110" s="77" t="str">
        <f t="shared" si="142"/>
        <v/>
      </c>
      <c r="DW110" s="77" t="str">
        <f t="shared" si="142"/>
        <v/>
      </c>
      <c r="DX110" s="77" t="str">
        <f t="shared" si="142"/>
        <v/>
      </c>
      <c r="DY110" s="77" t="str">
        <f t="shared" si="142"/>
        <v/>
      </c>
      <c r="DZ110" s="77" t="str">
        <f t="shared" si="142"/>
        <v/>
      </c>
      <c r="EA110" s="77" t="str">
        <f t="shared" si="142"/>
        <v/>
      </c>
      <c r="EB110" s="77" t="str">
        <f t="shared" si="142"/>
        <v/>
      </c>
      <c r="EC110" s="77" t="str">
        <f t="shared" si="142"/>
        <v/>
      </c>
      <c r="ED110" s="77" t="str">
        <f t="shared" si="142"/>
        <v/>
      </c>
      <c r="EE110" s="77" t="str">
        <f t="shared" si="142"/>
        <v/>
      </c>
      <c r="EF110" s="77" t="str">
        <f t="shared" si="142"/>
        <v/>
      </c>
      <c r="EG110" s="77" t="str">
        <f t="shared" si="142"/>
        <v/>
      </c>
      <c r="EH110" s="77" t="str">
        <f t="shared" si="142"/>
        <v/>
      </c>
      <c r="EI110" s="77" t="str">
        <f t="shared" si="142"/>
        <v/>
      </c>
      <c r="EJ110" s="77" t="str">
        <f t="shared" si="142"/>
        <v/>
      </c>
      <c r="EK110" s="77" t="str">
        <f t="shared" si="142"/>
        <v/>
      </c>
      <c r="EL110" s="77" t="str">
        <f t="shared" si="142"/>
        <v/>
      </c>
      <c r="EM110" s="77" t="str">
        <f t="shared" si="142"/>
        <v/>
      </c>
      <c r="EN110" s="77" t="str">
        <f t="shared" si="142"/>
        <v/>
      </c>
      <c r="EO110" s="77" t="str">
        <f t="shared" si="142"/>
        <v/>
      </c>
      <c r="EP110" s="77" t="str">
        <f t="shared" si="142"/>
        <v/>
      </c>
      <c r="EQ110" s="77" t="str">
        <f t="shared" si="142"/>
        <v/>
      </c>
      <c r="ER110" s="77" t="str">
        <f t="shared" si="142"/>
        <v/>
      </c>
      <c r="ES110" s="77" t="str">
        <f t="shared" si="142"/>
        <v/>
      </c>
      <c r="ET110" s="77" t="str">
        <f t="shared" si="142"/>
        <v/>
      </c>
      <c r="EU110" s="77" t="str">
        <f t="shared" si="142"/>
        <v/>
      </c>
      <c r="EV110" s="77" t="str">
        <f t="shared" si="145"/>
        <v/>
      </c>
      <c r="EW110" s="77" t="str">
        <f t="shared" si="145"/>
        <v/>
      </c>
      <c r="EX110" s="77" t="str">
        <f t="shared" si="145"/>
        <v/>
      </c>
      <c r="EY110" s="77" t="str">
        <f t="shared" si="145"/>
        <v/>
      </c>
      <c r="EZ110" s="77" t="str">
        <f t="shared" si="145"/>
        <v/>
      </c>
      <c r="FA110" s="77" t="str">
        <f t="shared" si="145"/>
        <v/>
      </c>
      <c r="FB110" s="77" t="str">
        <f t="shared" si="145"/>
        <v/>
      </c>
      <c r="FC110" s="77" t="str">
        <f t="shared" si="145"/>
        <v/>
      </c>
      <c r="FD110" s="77" t="str">
        <f t="shared" si="145"/>
        <v/>
      </c>
      <c r="FE110" s="77" t="str">
        <f t="shared" si="145"/>
        <v/>
      </c>
      <c r="FF110" s="77" t="str">
        <f t="shared" si="145"/>
        <v/>
      </c>
      <c r="FG110" s="77" t="str">
        <f t="shared" si="145"/>
        <v/>
      </c>
      <c r="FH110" s="77" t="str">
        <f t="shared" si="145"/>
        <v/>
      </c>
      <c r="FI110" s="77" t="str">
        <f t="shared" si="145"/>
        <v/>
      </c>
      <c r="FJ110" s="77" t="str">
        <f t="shared" si="145"/>
        <v/>
      </c>
      <c r="FK110" s="77" t="str">
        <f t="shared" si="145"/>
        <v/>
      </c>
      <c r="FL110" s="77" t="str">
        <f t="shared" si="145"/>
        <v/>
      </c>
      <c r="FM110" s="77" t="str">
        <f t="shared" si="145"/>
        <v/>
      </c>
      <c r="FN110" s="77" t="str">
        <f t="shared" si="145"/>
        <v/>
      </c>
      <c r="FO110" s="77" t="str">
        <f t="shared" si="145"/>
        <v/>
      </c>
      <c r="FP110" s="77" t="str">
        <f t="shared" si="145"/>
        <v/>
      </c>
      <c r="FQ110" s="77" t="str">
        <f t="shared" si="145"/>
        <v/>
      </c>
      <c r="FR110" s="77" t="str">
        <f t="shared" si="145"/>
        <v/>
      </c>
      <c r="FS110" s="77" t="str">
        <f t="shared" si="145"/>
        <v/>
      </c>
      <c r="FT110" s="77" t="str">
        <f t="shared" si="145"/>
        <v/>
      </c>
      <c r="FU110" s="77" t="str">
        <f t="shared" si="145"/>
        <v/>
      </c>
      <c r="FV110" s="77" t="str">
        <f t="shared" si="145"/>
        <v/>
      </c>
      <c r="FW110" s="77" t="str">
        <f t="shared" si="145"/>
        <v/>
      </c>
      <c r="FX110" s="77" t="str">
        <f t="shared" si="145"/>
        <v/>
      </c>
      <c r="FY110" s="77" t="str">
        <f t="shared" si="145"/>
        <v/>
      </c>
      <c r="FZ110" s="77" t="str">
        <f t="shared" si="145"/>
        <v/>
      </c>
      <c r="GA110" s="77" t="str">
        <f t="shared" si="145"/>
        <v/>
      </c>
      <c r="GB110" s="77" t="str">
        <f t="shared" si="145"/>
        <v/>
      </c>
      <c r="GC110" s="77" t="str">
        <f t="shared" si="145"/>
        <v/>
      </c>
      <c r="GD110" s="77" t="str">
        <f t="shared" si="145"/>
        <v/>
      </c>
      <c r="GE110" s="77" t="str">
        <f t="shared" si="145"/>
        <v/>
      </c>
      <c r="GF110" s="77" t="str">
        <f t="shared" si="145"/>
        <v/>
      </c>
      <c r="GG110" s="77" t="str">
        <f t="shared" si="145"/>
        <v/>
      </c>
      <c r="GH110" s="77" t="str">
        <f t="shared" si="145"/>
        <v/>
      </c>
      <c r="GI110" s="77" t="str">
        <f t="shared" si="145"/>
        <v/>
      </c>
      <c r="GJ110" s="77" t="str">
        <f t="shared" si="145"/>
        <v/>
      </c>
      <c r="GK110" s="77" t="str">
        <f t="shared" si="145"/>
        <v/>
      </c>
      <c r="GL110" s="77" t="str">
        <f t="shared" si="145"/>
        <v/>
      </c>
      <c r="GM110" s="77" t="str">
        <f t="shared" si="145"/>
        <v/>
      </c>
      <c r="GN110" s="77" t="str">
        <f t="shared" si="145"/>
        <v/>
      </c>
      <c r="GO110" s="77" t="str">
        <f t="shared" si="145"/>
        <v/>
      </c>
      <c r="GP110" s="77" t="str">
        <f t="shared" si="145"/>
        <v/>
      </c>
      <c r="GQ110" s="77" t="str">
        <f t="shared" si="145"/>
        <v/>
      </c>
      <c r="GR110" s="77" t="str">
        <f t="shared" si="145"/>
        <v/>
      </c>
      <c r="GS110" s="77" t="str">
        <f t="shared" si="145"/>
        <v/>
      </c>
      <c r="GT110" s="77" t="str">
        <f t="shared" si="145"/>
        <v/>
      </c>
      <c r="GU110" s="77" t="str">
        <f t="shared" si="145"/>
        <v/>
      </c>
      <c r="GV110" s="77" t="str">
        <f t="shared" si="145"/>
        <v/>
      </c>
      <c r="GW110" s="77" t="str">
        <f t="shared" si="145"/>
        <v/>
      </c>
      <c r="GX110" s="77" t="str">
        <f t="shared" si="145"/>
        <v/>
      </c>
    </row>
    <row r="111" spans="1:206" ht="15" customHeight="1" x14ac:dyDescent="0.2">
      <c r="A111" s="22" t="s">
        <v>162</v>
      </c>
      <c r="B111" s="22">
        <v>5</v>
      </c>
      <c r="C111" s="22" t="s">
        <v>162</v>
      </c>
      <c r="D111" s="22">
        <v>15</v>
      </c>
      <c r="E111" s="22" t="s">
        <v>234</v>
      </c>
      <c r="F111" s="22" t="s">
        <v>71</v>
      </c>
      <c r="G111" s="22" t="s">
        <v>232</v>
      </c>
      <c r="H111" s="22">
        <v>2026</v>
      </c>
      <c r="I111" s="22">
        <v>0</v>
      </c>
      <c r="J111" s="22">
        <v>10.5</v>
      </c>
      <c r="K111" s="22">
        <v>0</v>
      </c>
      <c r="L111" s="22">
        <v>0</v>
      </c>
      <c r="M111" s="22">
        <v>0</v>
      </c>
      <c r="N111" s="22" t="s">
        <v>196</v>
      </c>
      <c r="O111" s="22" t="s">
        <v>74</v>
      </c>
      <c r="P111" s="22" t="s">
        <v>216</v>
      </c>
      <c r="Q111" s="24"/>
      <c r="R111" s="22" t="str">
        <f>IF($E111="","",IFERROR(INDEX($W111:$GX111,MATCH('Dashboard Ciclos'!$B$2,$W$1:$GX$1,0)),""))</f>
        <v/>
      </c>
      <c r="S111" s="22" t="str">
        <f t="shared" si="128"/>
        <v>Sin dato</v>
      </c>
      <c r="T111" s="22" t="str">
        <f t="shared" si="129"/>
        <v>Sin dato</v>
      </c>
      <c r="U111" s="22" t="str">
        <f t="shared" si="130"/>
        <v/>
      </c>
      <c r="V111" s="23" t="str">
        <f t="shared" si="131"/>
        <v/>
      </c>
      <c r="W111" s="77" t="str">
        <f t="shared" si="125"/>
        <v/>
      </c>
      <c r="X111" s="77" t="str">
        <f t="shared" si="136"/>
        <v/>
      </c>
      <c r="Y111" s="77" t="str">
        <f t="shared" si="134"/>
        <v/>
      </c>
      <c r="Z111" s="77" t="str">
        <f t="shared" si="134"/>
        <v/>
      </c>
      <c r="AA111" s="77" t="s">
        <v>218</v>
      </c>
      <c r="AB111" s="77" t="str">
        <f t="shared" si="134"/>
        <v/>
      </c>
      <c r="AC111" s="77" t="str">
        <f t="shared" si="134"/>
        <v/>
      </c>
      <c r="AD111" s="77" t="str">
        <f t="shared" si="134"/>
        <v/>
      </c>
      <c r="AE111" s="77" t="str">
        <f t="shared" si="134"/>
        <v/>
      </c>
      <c r="AF111" s="77" t="str">
        <f t="shared" si="134"/>
        <v/>
      </c>
      <c r="AG111" s="77" t="str">
        <f t="shared" si="134"/>
        <v/>
      </c>
      <c r="AH111" s="77" t="str">
        <f t="shared" si="134"/>
        <v/>
      </c>
      <c r="AI111" s="77" t="str">
        <f t="shared" si="134"/>
        <v/>
      </c>
      <c r="AJ111" s="77" t="str">
        <f t="shared" si="134"/>
        <v/>
      </c>
      <c r="AK111" s="77" t="str">
        <f t="shared" si="139"/>
        <v/>
      </c>
      <c r="AL111" s="77" t="str">
        <f t="shared" si="139"/>
        <v/>
      </c>
      <c r="AM111" s="77" t="str">
        <f t="shared" si="139"/>
        <v/>
      </c>
      <c r="AN111" s="77" t="str">
        <f t="shared" si="91"/>
        <v/>
      </c>
      <c r="AO111" s="77" t="str">
        <f t="shared" si="139"/>
        <v/>
      </c>
      <c r="AP111" s="77" t="str">
        <f t="shared" si="139"/>
        <v/>
      </c>
      <c r="AQ111" s="77" t="str">
        <f t="shared" si="139"/>
        <v/>
      </c>
      <c r="AR111" s="77" t="str">
        <f t="shared" si="105"/>
        <v/>
      </c>
      <c r="AS111" s="77" t="str">
        <f t="shared" si="143"/>
        <v/>
      </c>
      <c r="AT111" s="77" t="str">
        <f t="shared" si="143"/>
        <v/>
      </c>
      <c r="AU111" s="77" t="str">
        <f t="shared" si="143"/>
        <v/>
      </c>
      <c r="AV111" s="77" t="str">
        <f t="shared" si="143"/>
        <v/>
      </c>
      <c r="AW111" s="77" t="str">
        <f t="shared" si="143"/>
        <v/>
      </c>
      <c r="AX111" s="77" t="str">
        <f t="shared" si="143"/>
        <v/>
      </c>
      <c r="AY111" s="77" t="str">
        <f t="shared" si="143"/>
        <v/>
      </c>
      <c r="AZ111" s="77" t="str">
        <f t="shared" si="143"/>
        <v/>
      </c>
      <c r="BA111" s="77" t="str">
        <f t="shared" si="143"/>
        <v/>
      </c>
      <c r="BB111" s="77" t="str">
        <f t="shared" si="143"/>
        <v/>
      </c>
      <c r="BC111" s="77" t="str">
        <f t="shared" si="143"/>
        <v/>
      </c>
      <c r="BD111" s="77" t="str">
        <f t="shared" si="143"/>
        <v/>
      </c>
      <c r="BE111" s="77" t="str">
        <f t="shared" si="143"/>
        <v/>
      </c>
      <c r="BF111" s="77" t="str">
        <f t="shared" si="143"/>
        <v/>
      </c>
      <c r="BG111" s="77" t="str">
        <f t="shared" si="143"/>
        <v/>
      </c>
      <c r="BH111" s="77" t="str">
        <f t="shared" si="143"/>
        <v/>
      </c>
      <c r="BI111" s="77" t="str">
        <f t="shared" si="143"/>
        <v/>
      </c>
      <c r="BJ111" s="77" t="str">
        <f t="shared" si="143"/>
        <v/>
      </c>
      <c r="BK111" s="77" t="str">
        <f t="shared" si="143"/>
        <v/>
      </c>
      <c r="BL111" s="77" t="str">
        <f t="shared" si="143"/>
        <v/>
      </c>
      <c r="BM111" s="77" t="str">
        <f t="shared" si="143"/>
        <v/>
      </c>
      <c r="BN111" s="77" t="str">
        <f t="shared" si="143"/>
        <v/>
      </c>
      <c r="BO111" s="77" t="str">
        <f t="shared" si="143"/>
        <v/>
      </c>
      <c r="BP111" s="77" t="str">
        <f t="shared" si="143"/>
        <v/>
      </c>
      <c r="BQ111" s="77" t="str">
        <f t="shared" si="143"/>
        <v/>
      </c>
      <c r="BR111" s="77" t="str">
        <f t="shared" si="143"/>
        <v/>
      </c>
      <c r="BS111" s="77" t="str">
        <f t="shared" si="143"/>
        <v/>
      </c>
      <c r="BT111" s="77" t="str">
        <f t="shared" si="143"/>
        <v/>
      </c>
      <c r="BU111" s="77" t="str">
        <f t="shared" si="143"/>
        <v/>
      </c>
      <c r="BV111" s="77" t="str">
        <f t="shared" si="143"/>
        <v/>
      </c>
      <c r="BW111" s="77" t="str">
        <f t="shared" si="143"/>
        <v/>
      </c>
      <c r="BX111" s="77" t="str">
        <f t="shared" si="143"/>
        <v/>
      </c>
      <c r="BY111" s="77" t="str">
        <f t="shared" si="143"/>
        <v/>
      </c>
      <c r="BZ111" s="77" t="str">
        <f t="shared" si="143"/>
        <v/>
      </c>
      <c r="CA111" s="77" t="str">
        <f t="shared" si="143"/>
        <v/>
      </c>
      <c r="CB111" s="77" t="str">
        <f t="shared" si="143"/>
        <v/>
      </c>
      <c r="CC111" s="77" t="str">
        <f t="shared" si="143"/>
        <v/>
      </c>
      <c r="CD111" s="77" t="str">
        <f t="shared" si="143"/>
        <v/>
      </c>
      <c r="CE111" s="77" t="str">
        <f t="shared" si="143"/>
        <v/>
      </c>
      <c r="CF111" s="77" t="str">
        <f t="shared" si="143"/>
        <v/>
      </c>
      <c r="CG111" s="77" t="str">
        <f t="shared" si="143"/>
        <v/>
      </c>
      <c r="CH111" s="77" t="str">
        <f t="shared" si="143"/>
        <v/>
      </c>
      <c r="CI111" s="77" t="str">
        <f t="shared" si="143"/>
        <v/>
      </c>
      <c r="CJ111" s="77" t="str">
        <f t="shared" ref="CJ111:EU114" si="146">IF(CI111="","",CI111+1)</f>
        <v/>
      </c>
      <c r="CK111" s="77" t="str">
        <f t="shared" si="146"/>
        <v/>
      </c>
      <c r="CL111" s="77" t="str">
        <f t="shared" si="146"/>
        <v/>
      </c>
      <c r="CM111" s="77" t="str">
        <f t="shared" si="146"/>
        <v/>
      </c>
      <c r="CN111" s="77" t="str">
        <f t="shared" si="146"/>
        <v/>
      </c>
      <c r="CO111" s="77" t="str">
        <f t="shared" si="146"/>
        <v/>
      </c>
      <c r="CP111" s="77" t="str">
        <f t="shared" si="146"/>
        <v/>
      </c>
      <c r="CQ111" s="77" t="str">
        <f t="shared" si="146"/>
        <v/>
      </c>
      <c r="CR111" s="77" t="str">
        <f t="shared" si="146"/>
        <v/>
      </c>
      <c r="CS111" s="77" t="str">
        <f t="shared" si="146"/>
        <v/>
      </c>
      <c r="CT111" s="77" t="str">
        <f t="shared" si="146"/>
        <v/>
      </c>
      <c r="CU111" s="77" t="str">
        <f t="shared" si="146"/>
        <v/>
      </c>
      <c r="CV111" s="77" t="str">
        <f t="shared" si="146"/>
        <v/>
      </c>
      <c r="CW111" s="77" t="str">
        <f t="shared" si="146"/>
        <v/>
      </c>
      <c r="CX111" s="77" t="str">
        <f t="shared" si="146"/>
        <v/>
      </c>
      <c r="CY111" s="77" t="str">
        <f t="shared" si="146"/>
        <v/>
      </c>
      <c r="CZ111" s="77" t="str">
        <f t="shared" si="146"/>
        <v/>
      </c>
      <c r="DA111" s="77" t="str">
        <f t="shared" si="146"/>
        <v/>
      </c>
      <c r="DB111" s="77" t="str">
        <f t="shared" si="146"/>
        <v/>
      </c>
      <c r="DC111" s="77" t="str">
        <f t="shared" si="146"/>
        <v/>
      </c>
      <c r="DD111" s="77" t="str">
        <f t="shared" si="146"/>
        <v/>
      </c>
      <c r="DE111" s="77" t="str">
        <f t="shared" si="146"/>
        <v/>
      </c>
      <c r="DF111" s="77" t="str">
        <f t="shared" si="146"/>
        <v/>
      </c>
      <c r="DG111" s="77" t="str">
        <f t="shared" si="146"/>
        <v/>
      </c>
      <c r="DH111" s="77" t="str">
        <f t="shared" si="146"/>
        <v/>
      </c>
      <c r="DI111" s="77" t="str">
        <f t="shared" si="146"/>
        <v/>
      </c>
      <c r="DJ111" s="77" t="str">
        <f t="shared" si="146"/>
        <v/>
      </c>
      <c r="DK111" s="77" t="str">
        <f t="shared" si="146"/>
        <v/>
      </c>
      <c r="DL111" s="77" t="str">
        <f t="shared" si="146"/>
        <v/>
      </c>
      <c r="DM111" s="77" t="str">
        <f t="shared" si="146"/>
        <v/>
      </c>
      <c r="DN111" s="77" t="str">
        <f t="shared" si="146"/>
        <v/>
      </c>
      <c r="DO111" s="77" t="str">
        <f t="shared" si="146"/>
        <v/>
      </c>
      <c r="DP111" s="77" t="str">
        <f t="shared" si="146"/>
        <v/>
      </c>
      <c r="DQ111" s="77" t="str">
        <f t="shared" si="146"/>
        <v/>
      </c>
      <c r="DR111" s="77" t="str">
        <f t="shared" si="146"/>
        <v/>
      </c>
      <c r="DS111" s="77" t="str">
        <f t="shared" si="146"/>
        <v/>
      </c>
      <c r="DT111" s="77" t="str">
        <f t="shared" si="146"/>
        <v/>
      </c>
      <c r="DU111" s="77" t="str">
        <f t="shared" si="146"/>
        <v/>
      </c>
      <c r="DV111" s="77" t="str">
        <f t="shared" si="146"/>
        <v/>
      </c>
      <c r="DW111" s="77" t="str">
        <f t="shared" si="146"/>
        <v/>
      </c>
      <c r="DX111" s="77" t="str">
        <f t="shared" si="146"/>
        <v/>
      </c>
      <c r="DY111" s="77" t="str">
        <f t="shared" si="146"/>
        <v/>
      </c>
      <c r="DZ111" s="77" t="str">
        <f t="shared" si="146"/>
        <v/>
      </c>
      <c r="EA111" s="77" t="str">
        <f t="shared" si="146"/>
        <v/>
      </c>
      <c r="EB111" s="77" t="str">
        <f t="shared" si="146"/>
        <v/>
      </c>
      <c r="EC111" s="77" t="str">
        <f t="shared" si="146"/>
        <v/>
      </c>
      <c r="ED111" s="77" t="str">
        <f t="shared" si="146"/>
        <v/>
      </c>
      <c r="EE111" s="77" t="str">
        <f t="shared" si="146"/>
        <v/>
      </c>
      <c r="EF111" s="77" t="str">
        <f t="shared" si="146"/>
        <v/>
      </c>
      <c r="EG111" s="77" t="str">
        <f t="shared" si="146"/>
        <v/>
      </c>
      <c r="EH111" s="77" t="str">
        <f t="shared" si="146"/>
        <v/>
      </c>
      <c r="EI111" s="77" t="str">
        <f t="shared" si="146"/>
        <v/>
      </c>
      <c r="EJ111" s="77" t="str">
        <f t="shared" si="146"/>
        <v/>
      </c>
      <c r="EK111" s="77" t="str">
        <f t="shared" si="146"/>
        <v/>
      </c>
      <c r="EL111" s="77" t="str">
        <f t="shared" si="146"/>
        <v/>
      </c>
      <c r="EM111" s="77" t="str">
        <f t="shared" si="146"/>
        <v/>
      </c>
      <c r="EN111" s="77" t="str">
        <f t="shared" si="146"/>
        <v/>
      </c>
      <c r="EO111" s="77" t="str">
        <f t="shared" si="146"/>
        <v/>
      </c>
      <c r="EP111" s="77" t="str">
        <f t="shared" si="146"/>
        <v/>
      </c>
      <c r="EQ111" s="77" t="str">
        <f t="shared" si="146"/>
        <v/>
      </c>
      <c r="ER111" s="77" t="str">
        <f t="shared" si="146"/>
        <v/>
      </c>
      <c r="ES111" s="77" t="str">
        <f t="shared" si="146"/>
        <v/>
      </c>
      <c r="ET111" s="77" t="str">
        <f t="shared" si="146"/>
        <v/>
      </c>
      <c r="EU111" s="77" t="str">
        <f t="shared" si="146"/>
        <v/>
      </c>
      <c r="EV111" s="77" t="str">
        <f t="shared" si="145"/>
        <v/>
      </c>
      <c r="EW111" s="77" t="str">
        <f t="shared" si="145"/>
        <v/>
      </c>
      <c r="EX111" s="77" t="str">
        <f t="shared" si="145"/>
        <v/>
      </c>
      <c r="EY111" s="77" t="str">
        <f t="shared" si="145"/>
        <v/>
      </c>
      <c r="EZ111" s="77" t="str">
        <f t="shared" si="145"/>
        <v/>
      </c>
      <c r="FA111" s="77" t="str">
        <f t="shared" si="145"/>
        <v/>
      </c>
      <c r="FB111" s="77" t="str">
        <f t="shared" si="145"/>
        <v/>
      </c>
      <c r="FC111" s="77" t="str">
        <f t="shared" si="145"/>
        <v/>
      </c>
      <c r="FD111" s="77" t="str">
        <f t="shared" si="145"/>
        <v/>
      </c>
      <c r="FE111" s="77" t="str">
        <f t="shared" si="145"/>
        <v/>
      </c>
      <c r="FF111" s="77" t="str">
        <f t="shared" si="145"/>
        <v/>
      </c>
      <c r="FG111" s="77" t="str">
        <f t="shared" si="145"/>
        <v/>
      </c>
      <c r="FH111" s="77" t="str">
        <f t="shared" si="145"/>
        <v/>
      </c>
      <c r="FI111" s="77" t="str">
        <f t="shared" si="145"/>
        <v/>
      </c>
      <c r="FJ111" s="77" t="str">
        <f t="shared" si="145"/>
        <v/>
      </c>
      <c r="FK111" s="77" t="str">
        <f t="shared" si="145"/>
        <v/>
      </c>
      <c r="FL111" s="77" t="str">
        <f t="shared" si="145"/>
        <v/>
      </c>
      <c r="FM111" s="77" t="str">
        <f t="shared" si="145"/>
        <v/>
      </c>
      <c r="FN111" s="77" t="str">
        <f t="shared" si="145"/>
        <v/>
      </c>
      <c r="FO111" s="77" t="str">
        <f t="shared" si="145"/>
        <v/>
      </c>
      <c r="FP111" s="77" t="str">
        <f t="shared" si="145"/>
        <v/>
      </c>
      <c r="FQ111" s="77" t="str">
        <f t="shared" si="145"/>
        <v/>
      </c>
      <c r="FR111" s="77" t="str">
        <f t="shared" si="145"/>
        <v/>
      </c>
      <c r="FS111" s="77" t="str">
        <f t="shared" si="145"/>
        <v/>
      </c>
      <c r="FT111" s="77" t="str">
        <f t="shared" si="145"/>
        <v/>
      </c>
      <c r="FU111" s="77" t="str">
        <f t="shared" si="145"/>
        <v/>
      </c>
      <c r="FV111" s="77" t="str">
        <f t="shared" si="145"/>
        <v/>
      </c>
      <c r="FW111" s="77" t="str">
        <f t="shared" si="145"/>
        <v/>
      </c>
      <c r="FX111" s="77" t="str">
        <f t="shared" si="145"/>
        <v/>
      </c>
      <c r="FY111" s="77" t="str">
        <f t="shared" si="145"/>
        <v/>
      </c>
      <c r="FZ111" s="77" t="str">
        <f t="shared" si="145"/>
        <v/>
      </c>
      <c r="GA111" s="77" t="str">
        <f t="shared" si="145"/>
        <v/>
      </c>
      <c r="GB111" s="77" t="str">
        <f t="shared" si="145"/>
        <v/>
      </c>
      <c r="GC111" s="77" t="str">
        <f t="shared" si="145"/>
        <v/>
      </c>
      <c r="GD111" s="77" t="str">
        <f t="shared" si="145"/>
        <v/>
      </c>
      <c r="GE111" s="77" t="str">
        <f t="shared" si="145"/>
        <v/>
      </c>
      <c r="GF111" s="77" t="str">
        <f t="shared" si="145"/>
        <v/>
      </c>
      <c r="GG111" s="77" t="str">
        <f t="shared" si="145"/>
        <v/>
      </c>
      <c r="GH111" s="77" t="str">
        <f t="shared" si="145"/>
        <v/>
      </c>
      <c r="GI111" s="77" t="str">
        <f t="shared" si="145"/>
        <v/>
      </c>
      <c r="GJ111" s="77" t="str">
        <f t="shared" si="145"/>
        <v/>
      </c>
      <c r="GK111" s="77" t="str">
        <f t="shared" si="145"/>
        <v/>
      </c>
      <c r="GL111" s="77" t="str">
        <f t="shared" si="145"/>
        <v/>
      </c>
      <c r="GM111" s="77" t="str">
        <f t="shared" si="145"/>
        <v/>
      </c>
      <c r="GN111" s="77" t="str">
        <f t="shared" si="145"/>
        <v/>
      </c>
      <c r="GO111" s="77" t="str">
        <f t="shared" si="145"/>
        <v/>
      </c>
      <c r="GP111" s="77" t="str">
        <f t="shared" si="145"/>
        <v/>
      </c>
      <c r="GQ111" s="77" t="str">
        <f t="shared" si="145"/>
        <v/>
      </c>
      <c r="GR111" s="77" t="str">
        <f t="shared" si="145"/>
        <v/>
      </c>
      <c r="GS111" s="77" t="str">
        <f t="shared" si="145"/>
        <v/>
      </c>
      <c r="GT111" s="77" t="str">
        <f t="shared" si="145"/>
        <v/>
      </c>
      <c r="GU111" s="77" t="str">
        <f t="shared" si="145"/>
        <v/>
      </c>
      <c r="GV111" s="77" t="str">
        <f t="shared" si="145"/>
        <v/>
      </c>
      <c r="GW111" s="77" t="str">
        <f t="shared" si="145"/>
        <v/>
      </c>
      <c r="GX111" s="77" t="str">
        <f t="shared" si="145"/>
        <v/>
      </c>
    </row>
    <row r="112" spans="1:206" ht="15" customHeight="1" x14ac:dyDescent="0.2">
      <c r="A112" s="22" t="s">
        <v>162</v>
      </c>
      <c r="B112" s="22">
        <v>5</v>
      </c>
      <c r="C112" s="22" t="s">
        <v>162</v>
      </c>
      <c r="D112" s="22">
        <v>16</v>
      </c>
      <c r="E112" s="22" t="s">
        <v>235</v>
      </c>
      <c r="F112" s="22" t="s">
        <v>71</v>
      </c>
      <c r="G112" s="22" t="s">
        <v>232</v>
      </c>
      <c r="H112" s="22">
        <v>2026</v>
      </c>
      <c r="I112" s="22">
        <v>0</v>
      </c>
      <c r="J112" s="22">
        <v>10.06</v>
      </c>
      <c r="K112" s="22">
        <v>0</v>
      </c>
      <c r="L112" s="22">
        <v>0</v>
      </c>
      <c r="M112" s="22">
        <v>0</v>
      </c>
      <c r="N112" s="22" t="s">
        <v>196</v>
      </c>
      <c r="O112" s="22" t="s">
        <v>74</v>
      </c>
      <c r="P112" s="22" t="s">
        <v>216</v>
      </c>
      <c r="Q112" s="24"/>
      <c r="R112" s="22" t="str">
        <f>IF($E112="","",IFERROR(INDEX($W112:$GX112,MATCH('Dashboard Ciclos'!$B$2,$W$1:$GX$1,0)),""))</f>
        <v/>
      </c>
      <c r="S112" s="22" t="str">
        <f t="shared" si="128"/>
        <v>Sin dato</v>
      </c>
      <c r="T112" s="22" t="str">
        <f t="shared" si="129"/>
        <v>Sin dato</v>
      </c>
      <c r="U112" s="22" t="str">
        <f t="shared" si="130"/>
        <v/>
      </c>
      <c r="V112" s="23" t="str">
        <f t="shared" si="131"/>
        <v/>
      </c>
      <c r="W112" s="77" t="str">
        <f t="shared" si="125"/>
        <v/>
      </c>
      <c r="X112" s="77" t="str">
        <f t="shared" si="136"/>
        <v/>
      </c>
      <c r="Y112" s="77" t="str">
        <f t="shared" si="134"/>
        <v/>
      </c>
      <c r="Z112" s="77" t="str">
        <f t="shared" si="134"/>
        <v/>
      </c>
      <c r="AA112" s="77" t="s">
        <v>218</v>
      </c>
      <c r="AB112" s="77" t="str">
        <f t="shared" si="134"/>
        <v/>
      </c>
      <c r="AC112" s="77" t="str">
        <f t="shared" si="134"/>
        <v/>
      </c>
      <c r="AD112" s="77" t="str">
        <f t="shared" si="134"/>
        <v/>
      </c>
      <c r="AE112" s="77" t="str">
        <f t="shared" si="134"/>
        <v/>
      </c>
      <c r="AF112" s="77" t="str">
        <f t="shared" si="134"/>
        <v/>
      </c>
      <c r="AG112" s="77" t="str">
        <f t="shared" si="134"/>
        <v/>
      </c>
      <c r="AH112" s="77" t="str">
        <f t="shared" si="134"/>
        <v/>
      </c>
      <c r="AI112" s="77" t="str">
        <f t="shared" si="134"/>
        <v/>
      </c>
      <c r="AJ112" s="77" t="str">
        <f t="shared" si="134"/>
        <v/>
      </c>
      <c r="AK112" s="77" t="str">
        <f t="shared" si="139"/>
        <v/>
      </c>
      <c r="AL112" s="77" t="str">
        <f t="shared" si="139"/>
        <v/>
      </c>
      <c r="AM112" s="77" t="str">
        <f t="shared" si="139"/>
        <v/>
      </c>
      <c r="AN112" s="77" t="str">
        <f t="shared" si="91"/>
        <v/>
      </c>
      <c r="AO112" s="77" t="str">
        <f t="shared" si="139"/>
        <v/>
      </c>
      <c r="AP112" s="77" t="str">
        <f t="shared" si="139"/>
        <v/>
      </c>
      <c r="AQ112" s="77" t="str">
        <f t="shared" si="139"/>
        <v/>
      </c>
      <c r="AR112" s="77" t="str">
        <f t="shared" si="105"/>
        <v/>
      </c>
      <c r="AS112" s="77" t="str">
        <f t="shared" ref="AS112:CJ115" si="147">IF(AR112="","",AR112+1)</f>
        <v/>
      </c>
      <c r="AT112" s="77" t="str">
        <f t="shared" si="147"/>
        <v/>
      </c>
      <c r="AU112" s="77" t="str">
        <f t="shared" si="147"/>
        <v/>
      </c>
      <c r="AV112" s="77" t="str">
        <f t="shared" si="147"/>
        <v/>
      </c>
      <c r="AW112" s="77" t="str">
        <f t="shared" si="147"/>
        <v/>
      </c>
      <c r="AX112" s="77" t="str">
        <f t="shared" si="147"/>
        <v/>
      </c>
      <c r="AY112" s="77" t="str">
        <f t="shared" si="147"/>
        <v/>
      </c>
      <c r="AZ112" s="77" t="str">
        <f t="shared" si="147"/>
        <v/>
      </c>
      <c r="BA112" s="77" t="str">
        <f t="shared" si="147"/>
        <v/>
      </c>
      <c r="BB112" s="77" t="str">
        <f t="shared" si="147"/>
        <v/>
      </c>
      <c r="BC112" s="77" t="str">
        <f t="shared" si="147"/>
        <v/>
      </c>
      <c r="BD112" s="77" t="str">
        <f t="shared" si="147"/>
        <v/>
      </c>
      <c r="BE112" s="77" t="str">
        <f t="shared" si="147"/>
        <v/>
      </c>
      <c r="BF112" s="77" t="str">
        <f t="shared" si="147"/>
        <v/>
      </c>
      <c r="BG112" s="77" t="str">
        <f t="shared" si="147"/>
        <v/>
      </c>
      <c r="BH112" s="77" t="str">
        <f t="shared" si="147"/>
        <v/>
      </c>
      <c r="BI112" s="77" t="str">
        <f t="shared" si="147"/>
        <v/>
      </c>
      <c r="BJ112" s="77" t="str">
        <f t="shared" si="147"/>
        <v/>
      </c>
      <c r="BK112" s="77" t="str">
        <f t="shared" si="147"/>
        <v/>
      </c>
      <c r="BL112" s="77" t="str">
        <f t="shared" si="147"/>
        <v/>
      </c>
      <c r="BM112" s="77" t="str">
        <f t="shared" si="147"/>
        <v/>
      </c>
      <c r="BN112" s="77" t="str">
        <f t="shared" si="147"/>
        <v/>
      </c>
      <c r="BO112" s="77" t="str">
        <f t="shared" si="147"/>
        <v/>
      </c>
      <c r="BP112" s="77" t="str">
        <f t="shared" si="147"/>
        <v/>
      </c>
      <c r="BQ112" s="77" t="str">
        <f t="shared" si="147"/>
        <v/>
      </c>
      <c r="BR112" s="77" t="str">
        <f t="shared" si="147"/>
        <v/>
      </c>
      <c r="BS112" s="77" t="str">
        <f t="shared" si="147"/>
        <v/>
      </c>
      <c r="BT112" s="77" t="str">
        <f t="shared" si="147"/>
        <v/>
      </c>
      <c r="BU112" s="77" t="str">
        <f t="shared" si="147"/>
        <v/>
      </c>
      <c r="BV112" s="77" t="str">
        <f t="shared" si="147"/>
        <v/>
      </c>
      <c r="BW112" s="77" t="str">
        <f t="shared" si="147"/>
        <v/>
      </c>
      <c r="BX112" s="77" t="str">
        <f t="shared" si="147"/>
        <v/>
      </c>
      <c r="BY112" s="77" t="str">
        <f t="shared" si="147"/>
        <v/>
      </c>
      <c r="BZ112" s="77" t="str">
        <f t="shared" si="147"/>
        <v/>
      </c>
      <c r="CA112" s="77" t="str">
        <f t="shared" si="147"/>
        <v/>
      </c>
      <c r="CB112" s="77" t="str">
        <f t="shared" si="147"/>
        <v/>
      </c>
      <c r="CC112" s="77" t="str">
        <f t="shared" si="147"/>
        <v/>
      </c>
      <c r="CD112" s="77" t="str">
        <f t="shared" si="147"/>
        <v/>
      </c>
      <c r="CE112" s="77" t="str">
        <f t="shared" si="147"/>
        <v/>
      </c>
      <c r="CF112" s="77" t="str">
        <f t="shared" si="147"/>
        <v/>
      </c>
      <c r="CG112" s="77" t="str">
        <f t="shared" si="147"/>
        <v/>
      </c>
      <c r="CH112" s="77" t="str">
        <f t="shared" si="147"/>
        <v/>
      </c>
      <c r="CI112" s="77" t="str">
        <f t="shared" si="147"/>
        <v/>
      </c>
      <c r="CJ112" s="77" t="str">
        <f t="shared" si="147"/>
        <v/>
      </c>
      <c r="CK112" s="77" t="str">
        <f t="shared" si="146"/>
        <v/>
      </c>
      <c r="CL112" s="77" t="str">
        <f t="shared" si="146"/>
        <v/>
      </c>
      <c r="CM112" s="77" t="str">
        <f t="shared" si="146"/>
        <v/>
      </c>
      <c r="CN112" s="77" t="str">
        <f t="shared" si="146"/>
        <v/>
      </c>
      <c r="CO112" s="77" t="str">
        <f t="shared" si="146"/>
        <v/>
      </c>
      <c r="CP112" s="77" t="str">
        <f t="shared" si="146"/>
        <v/>
      </c>
      <c r="CQ112" s="77" t="str">
        <f t="shared" si="146"/>
        <v/>
      </c>
      <c r="CR112" s="77" t="str">
        <f t="shared" si="146"/>
        <v/>
      </c>
      <c r="CS112" s="77" t="str">
        <f t="shared" si="146"/>
        <v/>
      </c>
      <c r="CT112" s="77" t="str">
        <f t="shared" si="146"/>
        <v/>
      </c>
      <c r="CU112" s="77" t="str">
        <f t="shared" si="146"/>
        <v/>
      </c>
      <c r="CV112" s="77" t="str">
        <f t="shared" si="146"/>
        <v/>
      </c>
      <c r="CW112" s="77" t="str">
        <f t="shared" si="146"/>
        <v/>
      </c>
      <c r="CX112" s="77" t="str">
        <f t="shared" si="146"/>
        <v/>
      </c>
      <c r="CY112" s="77" t="str">
        <f t="shared" si="146"/>
        <v/>
      </c>
      <c r="CZ112" s="77" t="str">
        <f t="shared" si="146"/>
        <v/>
      </c>
      <c r="DA112" s="77" t="str">
        <f t="shared" si="146"/>
        <v/>
      </c>
      <c r="DB112" s="77" t="str">
        <f t="shared" si="146"/>
        <v/>
      </c>
      <c r="DC112" s="77" t="str">
        <f t="shared" si="146"/>
        <v/>
      </c>
      <c r="DD112" s="77" t="str">
        <f t="shared" si="146"/>
        <v/>
      </c>
      <c r="DE112" s="77" t="str">
        <f t="shared" si="146"/>
        <v/>
      </c>
      <c r="DF112" s="77" t="str">
        <f t="shared" si="146"/>
        <v/>
      </c>
      <c r="DG112" s="77" t="str">
        <f t="shared" si="146"/>
        <v/>
      </c>
      <c r="DH112" s="77" t="str">
        <f t="shared" si="146"/>
        <v/>
      </c>
      <c r="DI112" s="77" t="str">
        <f t="shared" si="146"/>
        <v/>
      </c>
      <c r="DJ112" s="77" t="str">
        <f t="shared" si="146"/>
        <v/>
      </c>
      <c r="DK112" s="77" t="str">
        <f t="shared" si="146"/>
        <v/>
      </c>
      <c r="DL112" s="77" t="str">
        <f t="shared" si="146"/>
        <v/>
      </c>
      <c r="DM112" s="77" t="str">
        <f t="shared" si="146"/>
        <v/>
      </c>
      <c r="DN112" s="77" t="str">
        <f t="shared" si="146"/>
        <v/>
      </c>
      <c r="DO112" s="77" t="str">
        <f t="shared" si="146"/>
        <v/>
      </c>
      <c r="DP112" s="77" t="str">
        <f t="shared" si="146"/>
        <v/>
      </c>
      <c r="DQ112" s="77" t="str">
        <f t="shared" si="146"/>
        <v/>
      </c>
      <c r="DR112" s="77" t="str">
        <f t="shared" si="146"/>
        <v/>
      </c>
      <c r="DS112" s="77" t="str">
        <f t="shared" si="146"/>
        <v/>
      </c>
      <c r="DT112" s="77" t="str">
        <f t="shared" si="146"/>
        <v/>
      </c>
      <c r="DU112" s="77" t="str">
        <f t="shared" si="146"/>
        <v/>
      </c>
      <c r="DV112" s="77" t="str">
        <f t="shared" si="146"/>
        <v/>
      </c>
      <c r="DW112" s="77" t="str">
        <f t="shared" si="146"/>
        <v/>
      </c>
      <c r="DX112" s="77" t="str">
        <f t="shared" si="146"/>
        <v/>
      </c>
      <c r="DY112" s="77" t="str">
        <f t="shared" si="146"/>
        <v/>
      </c>
      <c r="DZ112" s="77" t="str">
        <f t="shared" si="146"/>
        <v/>
      </c>
      <c r="EA112" s="77" t="str">
        <f t="shared" si="146"/>
        <v/>
      </c>
      <c r="EB112" s="77" t="str">
        <f t="shared" si="146"/>
        <v/>
      </c>
      <c r="EC112" s="77" t="str">
        <f t="shared" si="146"/>
        <v/>
      </c>
      <c r="ED112" s="77" t="str">
        <f t="shared" si="146"/>
        <v/>
      </c>
      <c r="EE112" s="77" t="str">
        <f t="shared" si="146"/>
        <v/>
      </c>
      <c r="EF112" s="77" t="str">
        <f t="shared" si="146"/>
        <v/>
      </c>
      <c r="EG112" s="77" t="str">
        <f t="shared" si="146"/>
        <v/>
      </c>
      <c r="EH112" s="77" t="str">
        <f t="shared" si="146"/>
        <v/>
      </c>
      <c r="EI112" s="77" t="str">
        <f t="shared" si="146"/>
        <v/>
      </c>
      <c r="EJ112" s="77" t="str">
        <f t="shared" si="146"/>
        <v/>
      </c>
      <c r="EK112" s="77" t="str">
        <f t="shared" si="146"/>
        <v/>
      </c>
      <c r="EL112" s="77" t="str">
        <f t="shared" si="146"/>
        <v/>
      </c>
      <c r="EM112" s="77" t="str">
        <f t="shared" si="146"/>
        <v/>
      </c>
      <c r="EN112" s="77" t="str">
        <f t="shared" si="146"/>
        <v/>
      </c>
      <c r="EO112" s="77" t="str">
        <f t="shared" si="146"/>
        <v/>
      </c>
      <c r="EP112" s="77" t="str">
        <f t="shared" si="146"/>
        <v/>
      </c>
      <c r="EQ112" s="77" t="str">
        <f t="shared" si="146"/>
        <v/>
      </c>
      <c r="ER112" s="77" t="str">
        <f t="shared" si="146"/>
        <v/>
      </c>
      <c r="ES112" s="77" t="str">
        <f t="shared" si="146"/>
        <v/>
      </c>
      <c r="ET112" s="77" t="str">
        <f t="shared" si="146"/>
        <v/>
      </c>
      <c r="EU112" s="77" t="str">
        <f t="shared" si="146"/>
        <v/>
      </c>
      <c r="EV112" s="77" t="str">
        <f t="shared" si="145"/>
        <v/>
      </c>
      <c r="EW112" s="77" t="str">
        <f t="shared" si="145"/>
        <v/>
      </c>
      <c r="EX112" s="77" t="str">
        <f t="shared" si="145"/>
        <v/>
      </c>
      <c r="EY112" s="77" t="str">
        <f t="shared" si="145"/>
        <v/>
      </c>
      <c r="EZ112" s="77" t="str">
        <f t="shared" si="145"/>
        <v/>
      </c>
      <c r="FA112" s="77" t="str">
        <f t="shared" si="145"/>
        <v/>
      </c>
      <c r="FB112" s="77" t="str">
        <f t="shared" si="145"/>
        <v/>
      </c>
      <c r="FC112" s="77" t="str">
        <f t="shared" si="145"/>
        <v/>
      </c>
      <c r="FD112" s="77" t="str">
        <f t="shared" si="145"/>
        <v/>
      </c>
      <c r="FE112" s="77" t="str">
        <f t="shared" si="145"/>
        <v/>
      </c>
      <c r="FF112" s="77" t="str">
        <f t="shared" si="145"/>
        <v/>
      </c>
      <c r="FG112" s="77" t="str">
        <f t="shared" si="145"/>
        <v/>
      </c>
      <c r="FH112" s="77" t="str">
        <f t="shared" si="145"/>
        <v/>
      </c>
      <c r="FI112" s="77" t="str">
        <f t="shared" si="145"/>
        <v/>
      </c>
      <c r="FJ112" s="77" t="str">
        <f t="shared" si="145"/>
        <v/>
      </c>
      <c r="FK112" s="77" t="str">
        <f t="shared" si="145"/>
        <v/>
      </c>
      <c r="FL112" s="77" t="str">
        <f t="shared" si="145"/>
        <v/>
      </c>
      <c r="FM112" s="77" t="str">
        <f t="shared" si="145"/>
        <v/>
      </c>
      <c r="FN112" s="77" t="str">
        <f t="shared" si="145"/>
        <v/>
      </c>
      <c r="FO112" s="77" t="str">
        <f t="shared" si="145"/>
        <v/>
      </c>
      <c r="FP112" s="77" t="str">
        <f t="shared" si="145"/>
        <v/>
      </c>
      <c r="FQ112" s="77" t="str">
        <f t="shared" si="145"/>
        <v/>
      </c>
      <c r="FR112" s="77" t="str">
        <f t="shared" si="145"/>
        <v/>
      </c>
      <c r="FS112" s="77" t="str">
        <f t="shared" si="145"/>
        <v/>
      </c>
      <c r="FT112" s="77" t="str">
        <f t="shared" si="145"/>
        <v/>
      </c>
      <c r="FU112" s="77" t="str">
        <f t="shared" si="145"/>
        <v/>
      </c>
      <c r="FV112" s="77" t="str">
        <f t="shared" si="145"/>
        <v/>
      </c>
      <c r="FW112" s="77" t="str">
        <f t="shared" si="145"/>
        <v/>
      </c>
      <c r="FX112" s="77" t="str">
        <f t="shared" si="145"/>
        <v/>
      </c>
      <c r="FY112" s="77" t="str">
        <f t="shared" si="145"/>
        <v/>
      </c>
      <c r="FZ112" s="77" t="str">
        <f t="shared" si="145"/>
        <v/>
      </c>
      <c r="GA112" s="77" t="str">
        <f t="shared" si="145"/>
        <v/>
      </c>
      <c r="GB112" s="77" t="str">
        <f t="shared" si="145"/>
        <v/>
      </c>
      <c r="GC112" s="77" t="str">
        <f t="shared" si="145"/>
        <v/>
      </c>
      <c r="GD112" s="77" t="str">
        <f t="shared" si="145"/>
        <v/>
      </c>
      <c r="GE112" s="77" t="str">
        <f t="shared" si="145"/>
        <v/>
      </c>
      <c r="GF112" s="77" t="str">
        <f t="shared" si="145"/>
        <v/>
      </c>
      <c r="GG112" s="77" t="str">
        <f t="shared" si="145"/>
        <v/>
      </c>
      <c r="GH112" s="77" t="str">
        <f t="shared" si="145"/>
        <v/>
      </c>
      <c r="GI112" s="77" t="str">
        <f t="shared" si="145"/>
        <v/>
      </c>
      <c r="GJ112" s="77" t="str">
        <f t="shared" si="145"/>
        <v/>
      </c>
      <c r="GK112" s="77" t="str">
        <f t="shared" si="145"/>
        <v/>
      </c>
      <c r="GL112" s="77" t="str">
        <f t="shared" si="145"/>
        <v/>
      </c>
      <c r="GM112" s="77" t="str">
        <f t="shared" si="145"/>
        <v/>
      </c>
      <c r="GN112" s="77" t="str">
        <f t="shared" si="145"/>
        <v/>
      </c>
      <c r="GO112" s="77" t="str">
        <f t="shared" si="145"/>
        <v/>
      </c>
      <c r="GP112" s="77" t="str">
        <f t="shared" si="145"/>
        <v/>
      </c>
      <c r="GQ112" s="77" t="str">
        <f t="shared" si="145"/>
        <v/>
      </c>
      <c r="GR112" s="77" t="str">
        <f t="shared" si="145"/>
        <v/>
      </c>
      <c r="GS112" s="77" t="str">
        <f t="shared" si="145"/>
        <v/>
      </c>
      <c r="GT112" s="77" t="str">
        <f t="shared" si="145"/>
        <v/>
      </c>
      <c r="GU112" s="77" t="str">
        <f t="shared" si="145"/>
        <v/>
      </c>
      <c r="GV112" s="77" t="str">
        <f t="shared" si="145"/>
        <v/>
      </c>
      <c r="GW112" s="77" t="str">
        <f t="shared" si="145"/>
        <v/>
      </c>
      <c r="GX112" s="77" t="str">
        <f t="shared" si="145"/>
        <v/>
      </c>
    </row>
    <row r="113" spans="1:206" ht="15" customHeight="1" x14ac:dyDescent="0.2">
      <c r="A113" s="22" t="s">
        <v>162</v>
      </c>
      <c r="B113" s="22">
        <v>5</v>
      </c>
      <c r="C113" s="22" t="s">
        <v>162</v>
      </c>
      <c r="D113" s="22">
        <v>17</v>
      </c>
      <c r="E113" s="22" t="s">
        <v>236</v>
      </c>
      <c r="F113" s="22" t="s">
        <v>71</v>
      </c>
      <c r="G113" s="22" t="s">
        <v>232</v>
      </c>
      <c r="H113" s="22">
        <v>2026</v>
      </c>
      <c r="I113" s="22">
        <v>0</v>
      </c>
      <c r="J113" s="22">
        <v>10.210000000000001</v>
      </c>
      <c r="K113" s="22">
        <v>0</v>
      </c>
      <c r="L113" s="22">
        <v>0</v>
      </c>
      <c r="M113" s="22">
        <v>0</v>
      </c>
      <c r="N113" s="22" t="s">
        <v>196</v>
      </c>
      <c r="O113" s="22" t="s">
        <v>74</v>
      </c>
      <c r="P113" s="22" t="s">
        <v>216</v>
      </c>
      <c r="Q113" s="24"/>
      <c r="R113" s="22" t="str">
        <f>IF($E113="","",IFERROR(INDEX($W113:$GX113,MATCH('Dashboard Ciclos'!$B$2,$W$1:$GX$1,0)),""))</f>
        <v/>
      </c>
      <c r="S113" s="22" t="str">
        <f t="shared" si="128"/>
        <v>Sin dato</v>
      </c>
      <c r="T113" s="22" t="str">
        <f t="shared" si="129"/>
        <v>Sin dato</v>
      </c>
      <c r="U113" s="22" t="str">
        <f t="shared" si="130"/>
        <v/>
      </c>
      <c r="V113" s="23" t="str">
        <f t="shared" si="131"/>
        <v/>
      </c>
      <c r="W113" s="77" t="str">
        <f t="shared" si="125"/>
        <v/>
      </c>
      <c r="X113" s="77" t="str">
        <f t="shared" si="136"/>
        <v/>
      </c>
      <c r="Y113" s="77" t="str">
        <f t="shared" si="134"/>
        <v/>
      </c>
      <c r="Z113" s="77" t="str">
        <f t="shared" si="134"/>
        <v/>
      </c>
      <c r="AA113" s="77" t="s">
        <v>218</v>
      </c>
      <c r="AB113" s="77" t="str">
        <f t="shared" si="134"/>
        <v/>
      </c>
      <c r="AC113" s="77" t="str">
        <f t="shared" si="134"/>
        <v/>
      </c>
      <c r="AD113" s="77" t="str">
        <f t="shared" si="134"/>
        <v/>
      </c>
      <c r="AE113" s="77" t="str">
        <f t="shared" si="134"/>
        <v/>
      </c>
      <c r="AF113" s="77" t="str">
        <f t="shared" si="134"/>
        <v/>
      </c>
      <c r="AG113" s="77" t="str">
        <f t="shared" si="134"/>
        <v/>
      </c>
      <c r="AH113" s="77" t="str">
        <f t="shared" si="134"/>
        <v/>
      </c>
      <c r="AI113" s="77" t="str">
        <f t="shared" si="134"/>
        <v/>
      </c>
      <c r="AJ113" s="77" t="str">
        <f t="shared" si="134"/>
        <v/>
      </c>
      <c r="AK113" s="77" t="str">
        <f t="shared" si="139"/>
        <v/>
      </c>
      <c r="AL113" s="77" t="str">
        <f t="shared" si="139"/>
        <v/>
      </c>
      <c r="AM113" s="77" t="str">
        <f t="shared" si="139"/>
        <v/>
      </c>
      <c r="AN113" s="77" t="str">
        <f t="shared" si="91"/>
        <v/>
      </c>
      <c r="AO113" s="77" t="str">
        <f t="shared" si="139"/>
        <v/>
      </c>
      <c r="AP113" s="77" t="str">
        <f t="shared" si="139"/>
        <v/>
      </c>
      <c r="AQ113" s="77" t="str">
        <f t="shared" si="139"/>
        <v/>
      </c>
      <c r="AR113" s="77" t="str">
        <f t="shared" si="105"/>
        <v/>
      </c>
      <c r="AS113" s="77" t="str">
        <f t="shared" si="147"/>
        <v/>
      </c>
      <c r="AT113" s="77" t="str">
        <f t="shared" si="147"/>
        <v/>
      </c>
      <c r="AU113" s="77" t="str">
        <f t="shared" si="147"/>
        <v/>
      </c>
      <c r="AV113" s="77" t="str">
        <f t="shared" si="147"/>
        <v/>
      </c>
      <c r="AW113" s="77" t="str">
        <f t="shared" si="147"/>
        <v/>
      </c>
      <c r="AX113" s="77" t="str">
        <f t="shared" si="147"/>
        <v/>
      </c>
      <c r="AY113" s="77" t="str">
        <f t="shared" si="147"/>
        <v/>
      </c>
      <c r="AZ113" s="77" t="str">
        <f t="shared" si="147"/>
        <v/>
      </c>
      <c r="BA113" s="77" t="str">
        <f t="shared" si="147"/>
        <v/>
      </c>
      <c r="BB113" s="77" t="str">
        <f t="shared" si="147"/>
        <v/>
      </c>
      <c r="BC113" s="77" t="str">
        <f t="shared" si="147"/>
        <v/>
      </c>
      <c r="BD113" s="77" t="str">
        <f t="shared" si="147"/>
        <v/>
      </c>
      <c r="BE113" s="77" t="str">
        <f t="shared" si="147"/>
        <v/>
      </c>
      <c r="BF113" s="77" t="str">
        <f t="shared" si="147"/>
        <v/>
      </c>
      <c r="BG113" s="77" t="str">
        <f t="shared" si="147"/>
        <v/>
      </c>
      <c r="BH113" s="77" t="str">
        <f t="shared" si="147"/>
        <v/>
      </c>
      <c r="BI113" s="77" t="str">
        <f t="shared" si="147"/>
        <v/>
      </c>
      <c r="BJ113" s="77" t="str">
        <f t="shared" si="147"/>
        <v/>
      </c>
      <c r="BK113" s="77" t="str">
        <f t="shared" si="147"/>
        <v/>
      </c>
      <c r="BL113" s="77" t="str">
        <f t="shared" si="147"/>
        <v/>
      </c>
      <c r="BM113" s="77" t="str">
        <f t="shared" si="147"/>
        <v/>
      </c>
      <c r="BN113" s="77" t="str">
        <f t="shared" si="147"/>
        <v/>
      </c>
      <c r="BO113" s="77" t="str">
        <f t="shared" si="147"/>
        <v/>
      </c>
      <c r="BP113" s="77" t="str">
        <f t="shared" si="147"/>
        <v/>
      </c>
      <c r="BQ113" s="77" t="str">
        <f t="shared" si="147"/>
        <v/>
      </c>
      <c r="BR113" s="77" t="str">
        <f t="shared" si="147"/>
        <v/>
      </c>
      <c r="BS113" s="77" t="str">
        <f t="shared" si="147"/>
        <v/>
      </c>
      <c r="BT113" s="77" t="str">
        <f t="shared" si="147"/>
        <v/>
      </c>
      <c r="BU113" s="77" t="str">
        <f t="shared" si="147"/>
        <v/>
      </c>
      <c r="BV113" s="77" t="str">
        <f t="shared" si="147"/>
        <v/>
      </c>
      <c r="BW113" s="77" t="str">
        <f t="shared" si="147"/>
        <v/>
      </c>
      <c r="BX113" s="77" t="str">
        <f t="shared" si="147"/>
        <v/>
      </c>
      <c r="BY113" s="77" t="str">
        <f t="shared" si="147"/>
        <v/>
      </c>
      <c r="BZ113" s="77" t="str">
        <f t="shared" si="147"/>
        <v/>
      </c>
      <c r="CA113" s="77" t="str">
        <f t="shared" si="147"/>
        <v/>
      </c>
      <c r="CB113" s="77" t="str">
        <f t="shared" si="147"/>
        <v/>
      </c>
      <c r="CC113" s="77" t="str">
        <f t="shared" si="147"/>
        <v/>
      </c>
      <c r="CD113" s="77" t="str">
        <f t="shared" si="147"/>
        <v/>
      </c>
      <c r="CE113" s="77" t="str">
        <f t="shared" si="147"/>
        <v/>
      </c>
      <c r="CF113" s="77" t="str">
        <f t="shared" si="147"/>
        <v/>
      </c>
      <c r="CG113" s="77" t="str">
        <f t="shared" si="147"/>
        <v/>
      </c>
      <c r="CH113" s="77" t="str">
        <f t="shared" si="147"/>
        <v/>
      </c>
      <c r="CI113" s="77" t="str">
        <f t="shared" si="147"/>
        <v/>
      </c>
      <c r="CJ113" s="77" t="str">
        <f t="shared" si="147"/>
        <v/>
      </c>
      <c r="CK113" s="77" t="str">
        <f t="shared" si="146"/>
        <v/>
      </c>
      <c r="CL113" s="77" t="str">
        <f t="shared" si="146"/>
        <v/>
      </c>
      <c r="CM113" s="77" t="str">
        <f t="shared" si="146"/>
        <v/>
      </c>
      <c r="CN113" s="77" t="str">
        <f t="shared" si="146"/>
        <v/>
      </c>
      <c r="CO113" s="77" t="str">
        <f t="shared" si="146"/>
        <v/>
      </c>
      <c r="CP113" s="77" t="str">
        <f t="shared" si="146"/>
        <v/>
      </c>
      <c r="CQ113" s="77" t="str">
        <f t="shared" si="146"/>
        <v/>
      </c>
      <c r="CR113" s="77" t="str">
        <f t="shared" si="146"/>
        <v/>
      </c>
      <c r="CS113" s="77" t="str">
        <f t="shared" si="146"/>
        <v/>
      </c>
      <c r="CT113" s="77" t="str">
        <f t="shared" si="146"/>
        <v/>
      </c>
      <c r="CU113" s="77" t="str">
        <f t="shared" si="146"/>
        <v/>
      </c>
      <c r="CV113" s="77" t="str">
        <f t="shared" si="146"/>
        <v/>
      </c>
      <c r="CW113" s="77" t="str">
        <f t="shared" si="146"/>
        <v/>
      </c>
      <c r="CX113" s="77" t="str">
        <f t="shared" si="146"/>
        <v/>
      </c>
      <c r="CY113" s="77" t="str">
        <f t="shared" si="146"/>
        <v/>
      </c>
      <c r="CZ113" s="77" t="str">
        <f t="shared" si="146"/>
        <v/>
      </c>
      <c r="DA113" s="77" t="str">
        <f t="shared" si="146"/>
        <v/>
      </c>
      <c r="DB113" s="77" t="str">
        <f t="shared" si="146"/>
        <v/>
      </c>
      <c r="DC113" s="77" t="str">
        <f t="shared" si="146"/>
        <v/>
      </c>
      <c r="DD113" s="77" t="str">
        <f t="shared" si="146"/>
        <v/>
      </c>
      <c r="DE113" s="77" t="str">
        <f t="shared" si="146"/>
        <v/>
      </c>
      <c r="DF113" s="77" t="str">
        <f t="shared" si="146"/>
        <v/>
      </c>
      <c r="DG113" s="77" t="str">
        <f t="shared" si="146"/>
        <v/>
      </c>
      <c r="DH113" s="77" t="str">
        <f t="shared" si="146"/>
        <v/>
      </c>
      <c r="DI113" s="77" t="str">
        <f t="shared" si="146"/>
        <v/>
      </c>
      <c r="DJ113" s="77" t="str">
        <f t="shared" si="146"/>
        <v/>
      </c>
      <c r="DK113" s="77" t="str">
        <f t="shared" si="146"/>
        <v/>
      </c>
      <c r="DL113" s="77" t="str">
        <f t="shared" si="146"/>
        <v/>
      </c>
      <c r="DM113" s="77" t="str">
        <f t="shared" si="146"/>
        <v/>
      </c>
      <c r="DN113" s="77" t="str">
        <f t="shared" si="146"/>
        <v/>
      </c>
      <c r="DO113" s="77" t="str">
        <f t="shared" si="146"/>
        <v/>
      </c>
      <c r="DP113" s="77" t="str">
        <f t="shared" si="146"/>
        <v/>
      </c>
      <c r="DQ113" s="77" t="str">
        <f t="shared" si="146"/>
        <v/>
      </c>
      <c r="DR113" s="77" t="str">
        <f t="shared" si="146"/>
        <v/>
      </c>
      <c r="DS113" s="77" t="str">
        <f t="shared" si="146"/>
        <v/>
      </c>
      <c r="DT113" s="77" t="str">
        <f t="shared" si="146"/>
        <v/>
      </c>
      <c r="DU113" s="77" t="str">
        <f t="shared" si="146"/>
        <v/>
      </c>
      <c r="DV113" s="77" t="str">
        <f t="shared" si="146"/>
        <v/>
      </c>
      <c r="DW113" s="77" t="str">
        <f t="shared" si="146"/>
        <v/>
      </c>
      <c r="DX113" s="77" t="str">
        <f t="shared" si="146"/>
        <v/>
      </c>
      <c r="DY113" s="77" t="str">
        <f t="shared" si="146"/>
        <v/>
      </c>
      <c r="DZ113" s="77" t="str">
        <f t="shared" si="146"/>
        <v/>
      </c>
      <c r="EA113" s="77" t="str">
        <f t="shared" si="146"/>
        <v/>
      </c>
      <c r="EB113" s="77" t="str">
        <f t="shared" si="146"/>
        <v/>
      </c>
      <c r="EC113" s="77" t="str">
        <f t="shared" si="146"/>
        <v/>
      </c>
      <c r="ED113" s="77" t="str">
        <f t="shared" si="146"/>
        <v/>
      </c>
      <c r="EE113" s="77" t="str">
        <f t="shared" si="146"/>
        <v/>
      </c>
      <c r="EF113" s="77" t="str">
        <f t="shared" si="146"/>
        <v/>
      </c>
      <c r="EG113" s="77" t="str">
        <f t="shared" si="146"/>
        <v/>
      </c>
      <c r="EH113" s="77" t="str">
        <f t="shared" si="146"/>
        <v/>
      </c>
      <c r="EI113" s="77" t="str">
        <f t="shared" si="146"/>
        <v/>
      </c>
      <c r="EJ113" s="77" t="str">
        <f t="shared" si="146"/>
        <v/>
      </c>
      <c r="EK113" s="77" t="str">
        <f t="shared" si="146"/>
        <v/>
      </c>
      <c r="EL113" s="77" t="str">
        <f t="shared" si="146"/>
        <v/>
      </c>
      <c r="EM113" s="77" t="str">
        <f t="shared" si="146"/>
        <v/>
      </c>
      <c r="EN113" s="77" t="str">
        <f t="shared" si="146"/>
        <v/>
      </c>
      <c r="EO113" s="77" t="str">
        <f t="shared" si="146"/>
        <v/>
      </c>
      <c r="EP113" s="77" t="str">
        <f t="shared" si="146"/>
        <v/>
      </c>
      <c r="EQ113" s="77" t="str">
        <f t="shared" si="146"/>
        <v/>
      </c>
      <c r="ER113" s="77" t="str">
        <f t="shared" si="146"/>
        <v/>
      </c>
      <c r="ES113" s="77" t="str">
        <f t="shared" si="146"/>
        <v/>
      </c>
      <c r="ET113" s="77" t="str">
        <f t="shared" si="146"/>
        <v/>
      </c>
      <c r="EU113" s="77" t="str">
        <f t="shared" si="146"/>
        <v/>
      </c>
      <c r="EV113" s="77" t="str">
        <f t="shared" si="145"/>
        <v/>
      </c>
      <c r="EW113" s="77" t="str">
        <f t="shared" si="145"/>
        <v/>
      </c>
      <c r="EX113" s="77" t="str">
        <f t="shared" si="145"/>
        <v/>
      </c>
      <c r="EY113" s="77" t="str">
        <f t="shared" si="145"/>
        <v/>
      </c>
      <c r="EZ113" s="77" t="str">
        <f t="shared" si="145"/>
        <v/>
      </c>
      <c r="FA113" s="77" t="str">
        <f t="shared" si="145"/>
        <v/>
      </c>
      <c r="FB113" s="77" t="str">
        <f t="shared" si="145"/>
        <v/>
      </c>
      <c r="FC113" s="77" t="str">
        <f t="shared" si="145"/>
        <v/>
      </c>
      <c r="FD113" s="77" t="str">
        <f t="shared" si="145"/>
        <v/>
      </c>
      <c r="FE113" s="77" t="str">
        <f t="shared" si="145"/>
        <v/>
      </c>
      <c r="FF113" s="77" t="str">
        <f t="shared" si="145"/>
        <v/>
      </c>
      <c r="FG113" s="77" t="str">
        <f t="shared" si="145"/>
        <v/>
      </c>
      <c r="FH113" s="77" t="str">
        <f t="shared" si="145"/>
        <v/>
      </c>
      <c r="FI113" s="77" t="str">
        <f t="shared" si="145"/>
        <v/>
      </c>
      <c r="FJ113" s="77" t="str">
        <f t="shared" si="145"/>
        <v/>
      </c>
      <c r="FK113" s="77" t="str">
        <f t="shared" si="145"/>
        <v/>
      </c>
      <c r="FL113" s="77" t="str">
        <f t="shared" si="145"/>
        <v/>
      </c>
      <c r="FM113" s="77" t="str">
        <f t="shared" si="145"/>
        <v/>
      </c>
      <c r="FN113" s="77" t="str">
        <f t="shared" si="145"/>
        <v/>
      </c>
      <c r="FO113" s="77" t="str">
        <f t="shared" si="145"/>
        <v/>
      </c>
      <c r="FP113" s="77" t="str">
        <f t="shared" si="145"/>
        <v/>
      </c>
      <c r="FQ113" s="77" t="str">
        <f t="shared" si="145"/>
        <v/>
      </c>
      <c r="FR113" s="77" t="str">
        <f t="shared" si="145"/>
        <v/>
      </c>
      <c r="FS113" s="77" t="str">
        <f t="shared" si="145"/>
        <v/>
      </c>
      <c r="FT113" s="77" t="str">
        <f t="shared" si="145"/>
        <v/>
      </c>
      <c r="FU113" s="77" t="str">
        <f t="shared" si="145"/>
        <v/>
      </c>
      <c r="FV113" s="77" t="str">
        <f t="shared" si="145"/>
        <v/>
      </c>
      <c r="FW113" s="77" t="str">
        <f t="shared" si="145"/>
        <v/>
      </c>
      <c r="FX113" s="77" t="str">
        <f t="shared" si="145"/>
        <v/>
      </c>
      <c r="FY113" s="77" t="str">
        <f t="shared" si="145"/>
        <v/>
      </c>
      <c r="FZ113" s="77" t="str">
        <f t="shared" si="145"/>
        <v/>
      </c>
      <c r="GA113" s="77" t="str">
        <f t="shared" si="145"/>
        <v/>
      </c>
      <c r="GB113" s="77" t="str">
        <f t="shared" si="145"/>
        <v/>
      </c>
      <c r="GC113" s="77" t="str">
        <f t="shared" si="145"/>
        <v/>
      </c>
      <c r="GD113" s="77" t="str">
        <f t="shared" si="145"/>
        <v/>
      </c>
      <c r="GE113" s="77" t="str">
        <f t="shared" ref="GE113:GX113" si="148">IF(GD113="","",GD113+1)</f>
        <v/>
      </c>
      <c r="GF113" s="77" t="str">
        <f t="shared" si="148"/>
        <v/>
      </c>
      <c r="GG113" s="77" t="str">
        <f t="shared" si="148"/>
        <v/>
      </c>
      <c r="GH113" s="77" t="str">
        <f t="shared" si="148"/>
        <v/>
      </c>
      <c r="GI113" s="77" t="str">
        <f t="shared" si="148"/>
        <v/>
      </c>
      <c r="GJ113" s="77" t="str">
        <f t="shared" si="148"/>
        <v/>
      </c>
      <c r="GK113" s="77" t="str">
        <f t="shared" si="148"/>
        <v/>
      </c>
      <c r="GL113" s="77" t="str">
        <f t="shared" si="148"/>
        <v/>
      </c>
      <c r="GM113" s="77" t="str">
        <f t="shared" si="148"/>
        <v/>
      </c>
      <c r="GN113" s="77" t="str">
        <f t="shared" si="148"/>
        <v/>
      </c>
      <c r="GO113" s="77" t="str">
        <f t="shared" si="148"/>
        <v/>
      </c>
      <c r="GP113" s="77" t="str">
        <f t="shared" si="148"/>
        <v/>
      </c>
      <c r="GQ113" s="77" t="str">
        <f t="shared" si="148"/>
        <v/>
      </c>
      <c r="GR113" s="77" t="str">
        <f t="shared" si="148"/>
        <v/>
      </c>
      <c r="GS113" s="77" t="str">
        <f t="shared" si="148"/>
        <v/>
      </c>
      <c r="GT113" s="77" t="str">
        <f t="shared" si="148"/>
        <v/>
      </c>
      <c r="GU113" s="77" t="str">
        <f t="shared" si="148"/>
        <v/>
      </c>
      <c r="GV113" s="77" t="str">
        <f t="shared" si="148"/>
        <v/>
      </c>
      <c r="GW113" s="77" t="str">
        <f t="shared" si="148"/>
        <v/>
      </c>
      <c r="GX113" s="77" t="str">
        <f t="shared" si="148"/>
        <v/>
      </c>
    </row>
    <row r="114" spans="1:206" ht="15" customHeight="1" x14ac:dyDescent="0.2">
      <c r="A114" s="22" t="s">
        <v>162</v>
      </c>
      <c r="B114" s="22">
        <v>5</v>
      </c>
      <c r="C114" s="22" t="s">
        <v>162</v>
      </c>
      <c r="D114" s="22">
        <v>18</v>
      </c>
      <c r="E114" s="22" t="s">
        <v>237</v>
      </c>
      <c r="F114" s="22" t="s">
        <v>71</v>
      </c>
      <c r="G114" s="22" t="s">
        <v>232</v>
      </c>
      <c r="H114" s="22">
        <v>2026</v>
      </c>
      <c r="I114" s="22">
        <v>0</v>
      </c>
      <c r="J114" s="22">
        <v>6.33</v>
      </c>
      <c r="K114" s="22">
        <v>0</v>
      </c>
      <c r="L114" s="22">
        <v>0</v>
      </c>
      <c r="M114" s="22">
        <v>0</v>
      </c>
      <c r="N114" s="22" t="s">
        <v>196</v>
      </c>
      <c r="O114" s="22" t="s">
        <v>74</v>
      </c>
      <c r="P114" s="22" t="s">
        <v>216</v>
      </c>
      <c r="Q114" s="24"/>
      <c r="R114" s="22" t="str">
        <f>IF($E114="","",IFERROR(INDEX($W114:$GX114,MATCH('Dashboard Ciclos'!$B$2,$W$1:$GX$1,0)),""))</f>
        <v/>
      </c>
      <c r="S114" s="22" t="str">
        <f t="shared" si="128"/>
        <v>Sin dato</v>
      </c>
      <c r="T114" s="22" t="str">
        <f t="shared" si="129"/>
        <v>Sin dato</v>
      </c>
      <c r="U114" s="22" t="str">
        <f t="shared" si="130"/>
        <v/>
      </c>
      <c r="V114" s="23" t="str">
        <f t="shared" si="131"/>
        <v/>
      </c>
      <c r="W114" s="77" t="str">
        <f t="shared" si="125"/>
        <v/>
      </c>
      <c r="X114" s="77" t="str">
        <f t="shared" si="136"/>
        <v/>
      </c>
      <c r="Y114" s="77" t="str">
        <f t="shared" si="134"/>
        <v/>
      </c>
      <c r="Z114" s="77" t="str">
        <f t="shared" si="134"/>
        <v/>
      </c>
      <c r="AA114" s="77" t="s">
        <v>218</v>
      </c>
      <c r="AB114" s="77" t="str">
        <f t="shared" si="134"/>
        <v/>
      </c>
      <c r="AC114" s="77" t="str">
        <f t="shared" si="134"/>
        <v/>
      </c>
      <c r="AD114" s="77" t="str">
        <f t="shared" si="134"/>
        <v/>
      </c>
      <c r="AE114" s="77" t="str">
        <f t="shared" si="134"/>
        <v/>
      </c>
      <c r="AF114" s="77" t="str">
        <f t="shared" si="134"/>
        <v/>
      </c>
      <c r="AG114" s="77" t="str">
        <f t="shared" si="134"/>
        <v/>
      </c>
      <c r="AH114" s="77" t="str">
        <f t="shared" si="134"/>
        <v/>
      </c>
      <c r="AI114" s="77" t="str">
        <f t="shared" si="134"/>
        <v/>
      </c>
      <c r="AJ114" s="77" t="str">
        <f t="shared" si="134"/>
        <v/>
      </c>
      <c r="AK114" s="77" t="str">
        <f t="shared" si="139"/>
        <v/>
      </c>
      <c r="AL114" s="77" t="str">
        <f t="shared" si="139"/>
        <v/>
      </c>
      <c r="AM114" s="77" t="str">
        <f t="shared" si="139"/>
        <v/>
      </c>
      <c r="AN114" s="77" t="str">
        <f t="shared" si="91"/>
        <v/>
      </c>
      <c r="AO114" s="77" t="str">
        <f t="shared" si="139"/>
        <v/>
      </c>
      <c r="AP114" s="77" t="str">
        <f t="shared" si="139"/>
        <v/>
      </c>
      <c r="AQ114" s="77" t="str">
        <f t="shared" si="139"/>
        <v/>
      </c>
      <c r="AR114" s="77" t="str">
        <f t="shared" si="105"/>
        <v/>
      </c>
      <c r="AS114" s="77" t="str">
        <f t="shared" si="147"/>
        <v/>
      </c>
      <c r="AT114" s="77" t="str">
        <f t="shared" si="147"/>
        <v/>
      </c>
      <c r="AU114" s="77" t="str">
        <f t="shared" si="147"/>
        <v/>
      </c>
      <c r="AV114" s="77" t="str">
        <f t="shared" si="147"/>
        <v/>
      </c>
      <c r="AW114" s="77" t="str">
        <f t="shared" si="147"/>
        <v/>
      </c>
      <c r="AX114" s="77" t="str">
        <f t="shared" si="147"/>
        <v/>
      </c>
      <c r="AY114" s="77" t="str">
        <f t="shared" si="147"/>
        <v/>
      </c>
      <c r="AZ114" s="77" t="str">
        <f t="shared" si="147"/>
        <v/>
      </c>
      <c r="BA114" s="77" t="str">
        <f t="shared" si="147"/>
        <v/>
      </c>
      <c r="BB114" s="77" t="str">
        <f t="shared" si="147"/>
        <v/>
      </c>
      <c r="BC114" s="77" t="str">
        <f t="shared" si="147"/>
        <v/>
      </c>
      <c r="BD114" s="77" t="str">
        <f t="shared" si="147"/>
        <v/>
      </c>
      <c r="BE114" s="77" t="str">
        <f t="shared" si="147"/>
        <v/>
      </c>
      <c r="BF114" s="77" t="str">
        <f t="shared" si="147"/>
        <v/>
      </c>
      <c r="BG114" s="77" t="str">
        <f t="shared" si="147"/>
        <v/>
      </c>
      <c r="BH114" s="77" t="str">
        <f t="shared" si="147"/>
        <v/>
      </c>
      <c r="BI114" s="77" t="str">
        <f t="shared" si="147"/>
        <v/>
      </c>
      <c r="BJ114" s="77" t="str">
        <f t="shared" si="147"/>
        <v/>
      </c>
      <c r="BK114" s="77" t="str">
        <f t="shared" si="147"/>
        <v/>
      </c>
      <c r="BL114" s="77" t="str">
        <f t="shared" si="147"/>
        <v/>
      </c>
      <c r="BM114" s="77" t="str">
        <f t="shared" si="147"/>
        <v/>
      </c>
      <c r="BN114" s="77" t="str">
        <f t="shared" si="147"/>
        <v/>
      </c>
      <c r="BO114" s="77" t="str">
        <f t="shared" si="147"/>
        <v/>
      </c>
      <c r="BP114" s="77" t="str">
        <f t="shared" si="147"/>
        <v/>
      </c>
      <c r="BQ114" s="77" t="str">
        <f t="shared" si="147"/>
        <v/>
      </c>
      <c r="BR114" s="77" t="str">
        <f t="shared" si="147"/>
        <v/>
      </c>
      <c r="BS114" s="77" t="str">
        <f t="shared" si="147"/>
        <v/>
      </c>
      <c r="BT114" s="77" t="str">
        <f t="shared" si="147"/>
        <v/>
      </c>
      <c r="BU114" s="77" t="str">
        <f t="shared" si="147"/>
        <v/>
      </c>
      <c r="BV114" s="77" t="str">
        <f t="shared" si="147"/>
        <v/>
      </c>
      <c r="BW114" s="77" t="str">
        <f t="shared" si="147"/>
        <v/>
      </c>
      <c r="BX114" s="77" t="str">
        <f t="shared" si="147"/>
        <v/>
      </c>
      <c r="BY114" s="77" t="str">
        <f t="shared" si="147"/>
        <v/>
      </c>
      <c r="BZ114" s="77" t="str">
        <f t="shared" si="147"/>
        <v/>
      </c>
      <c r="CA114" s="77" t="str">
        <f t="shared" si="147"/>
        <v/>
      </c>
      <c r="CB114" s="77" t="str">
        <f t="shared" si="147"/>
        <v/>
      </c>
      <c r="CC114" s="77" t="str">
        <f t="shared" si="147"/>
        <v/>
      </c>
      <c r="CD114" s="77" t="str">
        <f t="shared" si="147"/>
        <v/>
      </c>
      <c r="CE114" s="77" t="str">
        <f t="shared" si="147"/>
        <v/>
      </c>
      <c r="CF114" s="77" t="str">
        <f t="shared" si="147"/>
        <v/>
      </c>
      <c r="CG114" s="77" t="str">
        <f t="shared" si="147"/>
        <v/>
      </c>
      <c r="CH114" s="77" t="str">
        <f t="shared" si="147"/>
        <v/>
      </c>
      <c r="CI114" s="77" t="str">
        <f t="shared" si="147"/>
        <v/>
      </c>
      <c r="CJ114" s="77" t="str">
        <f t="shared" si="147"/>
        <v/>
      </c>
      <c r="CK114" s="77" t="str">
        <f t="shared" si="146"/>
        <v/>
      </c>
      <c r="CL114" s="77" t="str">
        <f t="shared" si="146"/>
        <v/>
      </c>
      <c r="CM114" s="77" t="str">
        <f t="shared" si="146"/>
        <v/>
      </c>
      <c r="CN114" s="77" t="str">
        <f t="shared" si="146"/>
        <v/>
      </c>
      <c r="CO114" s="77" t="str">
        <f t="shared" si="146"/>
        <v/>
      </c>
      <c r="CP114" s="77" t="str">
        <f t="shared" si="146"/>
        <v/>
      </c>
      <c r="CQ114" s="77" t="str">
        <f t="shared" si="146"/>
        <v/>
      </c>
      <c r="CR114" s="77" t="str">
        <f t="shared" si="146"/>
        <v/>
      </c>
      <c r="CS114" s="77" t="str">
        <f t="shared" si="146"/>
        <v/>
      </c>
      <c r="CT114" s="77" t="str">
        <f t="shared" si="146"/>
        <v/>
      </c>
      <c r="CU114" s="77" t="str">
        <f t="shared" si="146"/>
        <v/>
      </c>
      <c r="CV114" s="77" t="str">
        <f t="shared" si="146"/>
        <v/>
      </c>
      <c r="CW114" s="77" t="str">
        <f t="shared" si="146"/>
        <v/>
      </c>
      <c r="CX114" s="77" t="str">
        <f t="shared" si="146"/>
        <v/>
      </c>
      <c r="CY114" s="77" t="str">
        <f t="shared" si="146"/>
        <v/>
      </c>
      <c r="CZ114" s="77" t="str">
        <f t="shared" si="146"/>
        <v/>
      </c>
      <c r="DA114" s="77" t="str">
        <f t="shared" si="146"/>
        <v/>
      </c>
      <c r="DB114" s="77" t="str">
        <f t="shared" si="146"/>
        <v/>
      </c>
      <c r="DC114" s="77" t="str">
        <f t="shared" si="146"/>
        <v/>
      </c>
      <c r="DD114" s="77" t="str">
        <f t="shared" si="146"/>
        <v/>
      </c>
      <c r="DE114" s="77" t="str">
        <f t="shared" si="146"/>
        <v/>
      </c>
      <c r="DF114" s="77" t="str">
        <f t="shared" si="146"/>
        <v/>
      </c>
      <c r="DG114" s="77" t="str">
        <f t="shared" si="146"/>
        <v/>
      </c>
      <c r="DH114" s="77" t="str">
        <f t="shared" si="146"/>
        <v/>
      </c>
      <c r="DI114" s="77" t="str">
        <f t="shared" si="146"/>
        <v/>
      </c>
      <c r="DJ114" s="77" t="str">
        <f t="shared" si="146"/>
        <v/>
      </c>
      <c r="DK114" s="77" t="str">
        <f t="shared" si="146"/>
        <v/>
      </c>
      <c r="DL114" s="77" t="str">
        <f t="shared" si="146"/>
        <v/>
      </c>
      <c r="DM114" s="77" t="str">
        <f t="shared" si="146"/>
        <v/>
      </c>
      <c r="DN114" s="77" t="str">
        <f t="shared" si="146"/>
        <v/>
      </c>
      <c r="DO114" s="77" t="str">
        <f t="shared" si="146"/>
        <v/>
      </c>
      <c r="DP114" s="77" t="str">
        <f t="shared" si="146"/>
        <v/>
      </c>
      <c r="DQ114" s="77" t="str">
        <f t="shared" si="146"/>
        <v/>
      </c>
      <c r="DR114" s="77" t="str">
        <f t="shared" si="146"/>
        <v/>
      </c>
      <c r="DS114" s="77" t="str">
        <f t="shared" si="146"/>
        <v/>
      </c>
      <c r="DT114" s="77" t="str">
        <f t="shared" si="146"/>
        <v/>
      </c>
      <c r="DU114" s="77" t="str">
        <f t="shared" si="146"/>
        <v/>
      </c>
      <c r="DV114" s="77" t="str">
        <f t="shared" si="146"/>
        <v/>
      </c>
      <c r="DW114" s="77" t="str">
        <f t="shared" si="146"/>
        <v/>
      </c>
      <c r="DX114" s="77" t="str">
        <f t="shared" si="146"/>
        <v/>
      </c>
      <c r="DY114" s="77" t="str">
        <f t="shared" si="146"/>
        <v/>
      </c>
      <c r="DZ114" s="77" t="str">
        <f t="shared" si="146"/>
        <v/>
      </c>
      <c r="EA114" s="77" t="str">
        <f t="shared" si="146"/>
        <v/>
      </c>
      <c r="EB114" s="77" t="str">
        <f t="shared" si="146"/>
        <v/>
      </c>
      <c r="EC114" s="77" t="str">
        <f t="shared" si="146"/>
        <v/>
      </c>
      <c r="ED114" s="77" t="str">
        <f t="shared" si="146"/>
        <v/>
      </c>
      <c r="EE114" s="77" t="str">
        <f t="shared" si="146"/>
        <v/>
      </c>
      <c r="EF114" s="77" t="str">
        <f t="shared" si="146"/>
        <v/>
      </c>
      <c r="EG114" s="77" t="str">
        <f t="shared" si="146"/>
        <v/>
      </c>
      <c r="EH114" s="77" t="str">
        <f t="shared" si="146"/>
        <v/>
      </c>
      <c r="EI114" s="77" t="str">
        <f t="shared" si="146"/>
        <v/>
      </c>
      <c r="EJ114" s="77" t="str">
        <f t="shared" si="146"/>
        <v/>
      </c>
      <c r="EK114" s="77" t="str">
        <f t="shared" si="146"/>
        <v/>
      </c>
      <c r="EL114" s="77" t="str">
        <f t="shared" si="146"/>
        <v/>
      </c>
      <c r="EM114" s="77" t="str">
        <f t="shared" si="146"/>
        <v/>
      </c>
      <c r="EN114" s="77" t="str">
        <f t="shared" si="146"/>
        <v/>
      </c>
      <c r="EO114" s="77" t="str">
        <f t="shared" si="146"/>
        <v/>
      </c>
      <c r="EP114" s="77" t="str">
        <f t="shared" si="146"/>
        <v/>
      </c>
      <c r="EQ114" s="77" t="str">
        <f t="shared" si="146"/>
        <v/>
      </c>
      <c r="ER114" s="77" t="str">
        <f t="shared" si="146"/>
        <v/>
      </c>
      <c r="ES114" s="77" t="str">
        <f t="shared" si="146"/>
        <v/>
      </c>
      <c r="ET114" s="77" t="str">
        <f t="shared" si="146"/>
        <v/>
      </c>
      <c r="EU114" s="77" t="str">
        <f t="shared" si="146"/>
        <v/>
      </c>
      <c r="EV114" s="77" t="str">
        <f t="shared" ref="EV114:GX118" si="149">IF(EU114="","",EU114+1)</f>
        <v/>
      </c>
      <c r="EW114" s="77" t="str">
        <f t="shared" si="149"/>
        <v/>
      </c>
      <c r="EX114" s="77" t="str">
        <f t="shared" si="149"/>
        <v/>
      </c>
      <c r="EY114" s="77" t="str">
        <f t="shared" si="149"/>
        <v/>
      </c>
      <c r="EZ114" s="77" t="str">
        <f t="shared" si="149"/>
        <v/>
      </c>
      <c r="FA114" s="77" t="str">
        <f t="shared" si="149"/>
        <v/>
      </c>
      <c r="FB114" s="77" t="str">
        <f t="shared" si="149"/>
        <v/>
      </c>
      <c r="FC114" s="77" t="str">
        <f t="shared" si="149"/>
        <v/>
      </c>
      <c r="FD114" s="77" t="str">
        <f t="shared" si="149"/>
        <v/>
      </c>
      <c r="FE114" s="77" t="str">
        <f t="shared" si="149"/>
        <v/>
      </c>
      <c r="FF114" s="77" t="str">
        <f t="shared" si="149"/>
        <v/>
      </c>
      <c r="FG114" s="77" t="str">
        <f t="shared" si="149"/>
        <v/>
      </c>
      <c r="FH114" s="77" t="str">
        <f t="shared" si="149"/>
        <v/>
      </c>
      <c r="FI114" s="77" t="str">
        <f t="shared" si="149"/>
        <v/>
      </c>
      <c r="FJ114" s="77" t="str">
        <f t="shared" si="149"/>
        <v/>
      </c>
      <c r="FK114" s="77" t="str">
        <f t="shared" si="149"/>
        <v/>
      </c>
      <c r="FL114" s="77" t="str">
        <f t="shared" si="149"/>
        <v/>
      </c>
      <c r="FM114" s="77" t="str">
        <f t="shared" si="149"/>
        <v/>
      </c>
      <c r="FN114" s="77" t="str">
        <f t="shared" si="149"/>
        <v/>
      </c>
      <c r="FO114" s="77" t="str">
        <f t="shared" si="149"/>
        <v/>
      </c>
      <c r="FP114" s="77" t="str">
        <f t="shared" si="149"/>
        <v/>
      </c>
      <c r="FQ114" s="77" t="str">
        <f t="shared" si="149"/>
        <v/>
      </c>
      <c r="FR114" s="77" t="str">
        <f t="shared" si="149"/>
        <v/>
      </c>
      <c r="FS114" s="77" t="str">
        <f t="shared" si="149"/>
        <v/>
      </c>
      <c r="FT114" s="77" t="str">
        <f t="shared" si="149"/>
        <v/>
      </c>
      <c r="FU114" s="77" t="str">
        <f t="shared" si="149"/>
        <v/>
      </c>
      <c r="FV114" s="77" t="str">
        <f t="shared" si="149"/>
        <v/>
      </c>
      <c r="FW114" s="77" t="str">
        <f t="shared" si="149"/>
        <v/>
      </c>
      <c r="FX114" s="77" t="str">
        <f t="shared" si="149"/>
        <v/>
      </c>
      <c r="FY114" s="77" t="str">
        <f t="shared" si="149"/>
        <v/>
      </c>
      <c r="FZ114" s="77" t="str">
        <f t="shared" si="149"/>
        <v/>
      </c>
      <c r="GA114" s="77" t="str">
        <f t="shared" si="149"/>
        <v/>
      </c>
      <c r="GB114" s="77" t="str">
        <f t="shared" si="149"/>
        <v/>
      </c>
      <c r="GC114" s="77" t="str">
        <f t="shared" si="149"/>
        <v/>
      </c>
      <c r="GD114" s="77" t="str">
        <f t="shared" si="149"/>
        <v/>
      </c>
      <c r="GE114" s="77" t="str">
        <f t="shared" si="149"/>
        <v/>
      </c>
      <c r="GF114" s="77" t="str">
        <f t="shared" si="149"/>
        <v/>
      </c>
      <c r="GG114" s="77" t="str">
        <f t="shared" si="149"/>
        <v/>
      </c>
      <c r="GH114" s="77" t="str">
        <f t="shared" si="149"/>
        <v/>
      </c>
      <c r="GI114" s="77" t="str">
        <f t="shared" si="149"/>
        <v/>
      </c>
      <c r="GJ114" s="77" t="str">
        <f t="shared" si="149"/>
        <v/>
      </c>
      <c r="GK114" s="77" t="str">
        <f t="shared" si="149"/>
        <v/>
      </c>
      <c r="GL114" s="77" t="str">
        <f t="shared" si="149"/>
        <v/>
      </c>
      <c r="GM114" s="77" t="str">
        <f t="shared" si="149"/>
        <v/>
      </c>
      <c r="GN114" s="77" t="str">
        <f t="shared" si="149"/>
        <v/>
      </c>
      <c r="GO114" s="77" t="str">
        <f t="shared" si="149"/>
        <v/>
      </c>
      <c r="GP114" s="77" t="str">
        <f t="shared" si="149"/>
        <v/>
      </c>
      <c r="GQ114" s="77" t="str">
        <f t="shared" si="149"/>
        <v/>
      </c>
      <c r="GR114" s="77" t="str">
        <f t="shared" si="149"/>
        <v/>
      </c>
      <c r="GS114" s="77" t="str">
        <f t="shared" si="149"/>
        <v/>
      </c>
      <c r="GT114" s="77" t="str">
        <f t="shared" si="149"/>
        <v/>
      </c>
      <c r="GU114" s="77" t="str">
        <f t="shared" si="149"/>
        <v/>
      </c>
      <c r="GV114" s="77" t="str">
        <f t="shared" si="149"/>
        <v/>
      </c>
      <c r="GW114" s="77" t="str">
        <f t="shared" si="149"/>
        <v/>
      </c>
      <c r="GX114" s="77" t="str">
        <f t="shared" si="149"/>
        <v/>
      </c>
    </row>
    <row r="115" spans="1:206" ht="15" customHeight="1" x14ac:dyDescent="0.2">
      <c r="A115" s="22" t="s">
        <v>162</v>
      </c>
      <c r="B115" s="22">
        <v>5</v>
      </c>
      <c r="C115" s="22" t="s">
        <v>162</v>
      </c>
      <c r="D115" s="22">
        <v>19</v>
      </c>
      <c r="E115" s="22" t="s">
        <v>238</v>
      </c>
      <c r="F115" s="22" t="s">
        <v>71</v>
      </c>
      <c r="G115" s="22" t="s">
        <v>232</v>
      </c>
      <c r="H115" s="22">
        <v>2026</v>
      </c>
      <c r="I115" s="22">
        <v>0</v>
      </c>
      <c r="J115" s="22">
        <v>7.05</v>
      </c>
      <c r="K115" s="22">
        <v>0</v>
      </c>
      <c r="L115" s="22">
        <v>0</v>
      </c>
      <c r="M115" s="22">
        <v>0</v>
      </c>
      <c r="N115" s="22" t="s">
        <v>196</v>
      </c>
      <c r="O115" s="22" t="s">
        <v>74</v>
      </c>
      <c r="P115" s="22" t="s">
        <v>216</v>
      </c>
      <c r="Q115" s="24"/>
      <c r="R115" s="22" t="str">
        <f>IF($E115="","",IFERROR(INDEX($W115:$GX115,MATCH('Dashboard Ciclos'!$B$2,$W$1:$GX$1,0)),""))</f>
        <v/>
      </c>
      <c r="S115" s="22" t="str">
        <f t="shared" si="128"/>
        <v>Sin dato</v>
      </c>
      <c r="T115" s="22" t="str">
        <f t="shared" si="129"/>
        <v>Sin dato</v>
      </c>
      <c r="U115" s="22" t="str">
        <f t="shared" si="130"/>
        <v/>
      </c>
      <c r="V115" s="23" t="str">
        <f t="shared" si="131"/>
        <v/>
      </c>
      <c r="W115" s="77" t="str">
        <f t="shared" si="125"/>
        <v/>
      </c>
      <c r="X115" s="77" t="str">
        <f t="shared" si="136"/>
        <v/>
      </c>
      <c r="Y115" s="77" t="str">
        <f t="shared" si="134"/>
        <v/>
      </c>
      <c r="Z115" s="77" t="str">
        <f t="shared" si="134"/>
        <v/>
      </c>
      <c r="AA115" s="77" t="s">
        <v>218</v>
      </c>
      <c r="AB115" s="77" t="str">
        <f t="shared" si="134"/>
        <v/>
      </c>
      <c r="AC115" s="77" t="str">
        <f t="shared" si="134"/>
        <v/>
      </c>
      <c r="AD115" s="77" t="str">
        <f t="shared" si="134"/>
        <v/>
      </c>
      <c r="AE115" s="77" t="str">
        <f t="shared" si="134"/>
        <v/>
      </c>
      <c r="AF115" s="77" t="str">
        <f t="shared" si="134"/>
        <v/>
      </c>
      <c r="AG115" s="77" t="str">
        <f t="shared" si="134"/>
        <v/>
      </c>
      <c r="AH115" s="77" t="str">
        <f t="shared" si="134"/>
        <v/>
      </c>
      <c r="AI115" s="77" t="str">
        <f t="shared" si="134"/>
        <v/>
      </c>
      <c r="AJ115" s="77" t="str">
        <f t="shared" si="134"/>
        <v/>
      </c>
      <c r="AK115" s="77" t="str">
        <f t="shared" si="139"/>
        <v/>
      </c>
      <c r="AL115" s="77" t="str">
        <f t="shared" si="139"/>
        <v/>
      </c>
      <c r="AM115" s="77" t="str">
        <f t="shared" si="139"/>
        <v/>
      </c>
      <c r="AN115" s="77" t="str">
        <f t="shared" si="91"/>
        <v/>
      </c>
      <c r="AO115" s="77" t="str">
        <f t="shared" si="139"/>
        <v/>
      </c>
      <c r="AP115" s="77" t="str">
        <f t="shared" si="139"/>
        <v/>
      </c>
      <c r="AQ115" s="77" t="str">
        <f t="shared" si="139"/>
        <v/>
      </c>
      <c r="AR115" s="77" t="str">
        <f t="shared" si="105"/>
        <v/>
      </c>
      <c r="AS115" s="77" t="str">
        <f t="shared" si="147"/>
        <v/>
      </c>
      <c r="AT115" s="77" t="str">
        <f t="shared" si="147"/>
        <v/>
      </c>
      <c r="AU115" s="77" t="str">
        <f t="shared" si="147"/>
        <v/>
      </c>
      <c r="AV115" s="77" t="str">
        <f t="shared" si="147"/>
        <v/>
      </c>
      <c r="AW115" s="77" t="str">
        <f t="shared" si="147"/>
        <v/>
      </c>
      <c r="AX115" s="77" t="str">
        <f t="shared" si="147"/>
        <v/>
      </c>
      <c r="AY115" s="77" t="str">
        <f t="shared" si="147"/>
        <v/>
      </c>
      <c r="AZ115" s="77" t="str">
        <f t="shared" si="147"/>
        <v/>
      </c>
      <c r="BA115" s="77" t="str">
        <f t="shared" si="147"/>
        <v/>
      </c>
      <c r="BB115" s="77" t="str">
        <f t="shared" si="147"/>
        <v/>
      </c>
      <c r="BC115" s="77" t="str">
        <f t="shared" si="147"/>
        <v/>
      </c>
      <c r="BD115" s="77" t="str">
        <f t="shared" si="147"/>
        <v/>
      </c>
      <c r="BE115" s="77" t="str">
        <f t="shared" si="147"/>
        <v/>
      </c>
      <c r="BF115" s="77" t="str">
        <f t="shared" si="147"/>
        <v/>
      </c>
      <c r="BG115" s="77" t="str">
        <f t="shared" si="147"/>
        <v/>
      </c>
      <c r="BH115" s="77" t="str">
        <f t="shared" si="147"/>
        <v/>
      </c>
      <c r="BI115" s="77" t="str">
        <f t="shared" si="147"/>
        <v/>
      </c>
      <c r="BJ115" s="77" t="str">
        <f t="shared" si="147"/>
        <v/>
      </c>
      <c r="BK115" s="77" t="str">
        <f t="shared" si="147"/>
        <v/>
      </c>
      <c r="BL115" s="77" t="str">
        <f t="shared" si="147"/>
        <v/>
      </c>
      <c r="BM115" s="77" t="str">
        <f t="shared" si="147"/>
        <v/>
      </c>
      <c r="BN115" s="77" t="str">
        <f t="shared" si="147"/>
        <v/>
      </c>
      <c r="BO115" s="77" t="str">
        <f t="shared" si="147"/>
        <v/>
      </c>
      <c r="BP115" s="77" t="str">
        <f t="shared" si="147"/>
        <v/>
      </c>
      <c r="BQ115" s="77" t="str">
        <f t="shared" si="147"/>
        <v/>
      </c>
      <c r="BR115" s="77" t="str">
        <f t="shared" si="147"/>
        <v/>
      </c>
      <c r="BS115" s="77" t="str">
        <f t="shared" si="147"/>
        <v/>
      </c>
      <c r="BT115" s="77" t="str">
        <f t="shared" si="147"/>
        <v/>
      </c>
      <c r="BU115" s="77" t="str">
        <f t="shared" si="147"/>
        <v/>
      </c>
      <c r="BV115" s="77" t="str">
        <f t="shared" si="147"/>
        <v/>
      </c>
      <c r="BW115" s="77" t="str">
        <f t="shared" si="147"/>
        <v/>
      </c>
      <c r="BX115" s="77" t="str">
        <f t="shared" si="147"/>
        <v/>
      </c>
      <c r="BY115" s="77" t="str">
        <f t="shared" si="147"/>
        <v/>
      </c>
      <c r="BZ115" s="77" t="str">
        <f t="shared" si="147"/>
        <v/>
      </c>
      <c r="CA115" s="77" t="str">
        <f t="shared" si="147"/>
        <v/>
      </c>
      <c r="CB115" s="77" t="str">
        <f t="shared" si="147"/>
        <v/>
      </c>
      <c r="CC115" s="77" t="str">
        <f t="shared" si="147"/>
        <v/>
      </c>
      <c r="CD115" s="77" t="str">
        <f t="shared" si="147"/>
        <v/>
      </c>
      <c r="CE115" s="77" t="str">
        <f t="shared" si="147"/>
        <v/>
      </c>
      <c r="CF115" s="77" t="str">
        <f t="shared" si="147"/>
        <v/>
      </c>
      <c r="CG115" s="77" t="str">
        <f t="shared" si="147"/>
        <v/>
      </c>
      <c r="CH115" s="77" t="str">
        <f t="shared" si="147"/>
        <v/>
      </c>
      <c r="CI115" s="77" t="str">
        <f t="shared" si="147"/>
        <v/>
      </c>
      <c r="CJ115" s="77" t="str">
        <f t="shared" ref="CJ115:EU118" si="150">IF(CI115="","",CI115+1)</f>
        <v/>
      </c>
      <c r="CK115" s="77" t="str">
        <f t="shared" si="150"/>
        <v/>
      </c>
      <c r="CL115" s="77" t="str">
        <f t="shared" si="150"/>
        <v/>
      </c>
      <c r="CM115" s="77" t="str">
        <f t="shared" si="150"/>
        <v/>
      </c>
      <c r="CN115" s="77" t="str">
        <f t="shared" si="150"/>
        <v/>
      </c>
      <c r="CO115" s="77" t="str">
        <f t="shared" si="150"/>
        <v/>
      </c>
      <c r="CP115" s="77" t="str">
        <f t="shared" si="150"/>
        <v/>
      </c>
      <c r="CQ115" s="77" t="str">
        <f t="shared" si="150"/>
        <v/>
      </c>
      <c r="CR115" s="77" t="str">
        <f t="shared" si="150"/>
        <v/>
      </c>
      <c r="CS115" s="77" t="str">
        <f t="shared" si="150"/>
        <v/>
      </c>
      <c r="CT115" s="77" t="str">
        <f t="shared" si="150"/>
        <v/>
      </c>
      <c r="CU115" s="77" t="str">
        <f t="shared" si="150"/>
        <v/>
      </c>
      <c r="CV115" s="77" t="str">
        <f t="shared" si="150"/>
        <v/>
      </c>
      <c r="CW115" s="77" t="str">
        <f t="shared" si="150"/>
        <v/>
      </c>
      <c r="CX115" s="77" t="str">
        <f t="shared" si="150"/>
        <v/>
      </c>
      <c r="CY115" s="77" t="str">
        <f t="shared" si="150"/>
        <v/>
      </c>
      <c r="CZ115" s="77" t="str">
        <f t="shared" si="150"/>
        <v/>
      </c>
      <c r="DA115" s="77" t="str">
        <f t="shared" si="150"/>
        <v/>
      </c>
      <c r="DB115" s="77" t="str">
        <f t="shared" si="150"/>
        <v/>
      </c>
      <c r="DC115" s="77" t="str">
        <f t="shared" si="150"/>
        <v/>
      </c>
      <c r="DD115" s="77" t="str">
        <f t="shared" si="150"/>
        <v/>
      </c>
      <c r="DE115" s="77" t="str">
        <f t="shared" si="150"/>
        <v/>
      </c>
      <c r="DF115" s="77" t="str">
        <f t="shared" si="150"/>
        <v/>
      </c>
      <c r="DG115" s="77" t="str">
        <f t="shared" si="150"/>
        <v/>
      </c>
      <c r="DH115" s="77" t="str">
        <f t="shared" si="150"/>
        <v/>
      </c>
      <c r="DI115" s="77" t="str">
        <f t="shared" si="150"/>
        <v/>
      </c>
      <c r="DJ115" s="77" t="str">
        <f t="shared" si="150"/>
        <v/>
      </c>
      <c r="DK115" s="77" t="str">
        <f t="shared" si="150"/>
        <v/>
      </c>
      <c r="DL115" s="77" t="str">
        <f t="shared" si="150"/>
        <v/>
      </c>
      <c r="DM115" s="77" t="str">
        <f t="shared" si="150"/>
        <v/>
      </c>
      <c r="DN115" s="77" t="str">
        <f t="shared" si="150"/>
        <v/>
      </c>
      <c r="DO115" s="77" t="str">
        <f t="shared" si="150"/>
        <v/>
      </c>
      <c r="DP115" s="77" t="str">
        <f t="shared" si="150"/>
        <v/>
      </c>
      <c r="DQ115" s="77" t="str">
        <f t="shared" si="150"/>
        <v/>
      </c>
      <c r="DR115" s="77" t="str">
        <f t="shared" si="150"/>
        <v/>
      </c>
      <c r="DS115" s="77" t="str">
        <f t="shared" si="150"/>
        <v/>
      </c>
      <c r="DT115" s="77" t="str">
        <f t="shared" si="150"/>
        <v/>
      </c>
      <c r="DU115" s="77" t="str">
        <f t="shared" si="150"/>
        <v/>
      </c>
      <c r="DV115" s="77" t="str">
        <f t="shared" si="150"/>
        <v/>
      </c>
      <c r="DW115" s="77" t="str">
        <f t="shared" si="150"/>
        <v/>
      </c>
      <c r="DX115" s="77" t="str">
        <f t="shared" si="150"/>
        <v/>
      </c>
      <c r="DY115" s="77" t="str">
        <f t="shared" si="150"/>
        <v/>
      </c>
      <c r="DZ115" s="77" t="str">
        <f t="shared" si="150"/>
        <v/>
      </c>
      <c r="EA115" s="77" t="str">
        <f t="shared" si="150"/>
        <v/>
      </c>
      <c r="EB115" s="77" t="str">
        <f t="shared" si="150"/>
        <v/>
      </c>
      <c r="EC115" s="77" t="str">
        <f t="shared" si="150"/>
        <v/>
      </c>
      <c r="ED115" s="77" t="str">
        <f t="shared" si="150"/>
        <v/>
      </c>
      <c r="EE115" s="77" t="str">
        <f t="shared" si="150"/>
        <v/>
      </c>
      <c r="EF115" s="77" t="str">
        <f t="shared" si="150"/>
        <v/>
      </c>
      <c r="EG115" s="77" t="str">
        <f t="shared" si="150"/>
        <v/>
      </c>
      <c r="EH115" s="77" t="str">
        <f t="shared" si="150"/>
        <v/>
      </c>
      <c r="EI115" s="77" t="str">
        <f t="shared" si="150"/>
        <v/>
      </c>
      <c r="EJ115" s="77" t="str">
        <f t="shared" si="150"/>
        <v/>
      </c>
      <c r="EK115" s="77" t="str">
        <f t="shared" si="150"/>
        <v/>
      </c>
      <c r="EL115" s="77" t="str">
        <f t="shared" si="150"/>
        <v/>
      </c>
      <c r="EM115" s="77" t="str">
        <f t="shared" si="150"/>
        <v/>
      </c>
      <c r="EN115" s="77" t="str">
        <f t="shared" si="150"/>
        <v/>
      </c>
      <c r="EO115" s="77" t="str">
        <f t="shared" si="150"/>
        <v/>
      </c>
      <c r="EP115" s="77" t="str">
        <f t="shared" si="150"/>
        <v/>
      </c>
      <c r="EQ115" s="77" t="str">
        <f t="shared" si="150"/>
        <v/>
      </c>
      <c r="ER115" s="77" t="str">
        <f t="shared" si="150"/>
        <v/>
      </c>
      <c r="ES115" s="77" t="str">
        <f t="shared" si="150"/>
        <v/>
      </c>
      <c r="ET115" s="77" t="str">
        <f t="shared" si="150"/>
        <v/>
      </c>
      <c r="EU115" s="77" t="str">
        <f t="shared" si="150"/>
        <v/>
      </c>
      <c r="EV115" s="77" t="str">
        <f t="shared" si="149"/>
        <v/>
      </c>
      <c r="EW115" s="77" t="str">
        <f t="shared" si="149"/>
        <v/>
      </c>
      <c r="EX115" s="77" t="str">
        <f t="shared" si="149"/>
        <v/>
      </c>
      <c r="EY115" s="77" t="str">
        <f t="shared" si="149"/>
        <v/>
      </c>
      <c r="EZ115" s="77" t="str">
        <f t="shared" si="149"/>
        <v/>
      </c>
      <c r="FA115" s="77" t="str">
        <f t="shared" si="149"/>
        <v/>
      </c>
      <c r="FB115" s="77" t="str">
        <f t="shared" si="149"/>
        <v/>
      </c>
      <c r="FC115" s="77" t="str">
        <f t="shared" si="149"/>
        <v/>
      </c>
      <c r="FD115" s="77" t="str">
        <f t="shared" si="149"/>
        <v/>
      </c>
      <c r="FE115" s="77" t="str">
        <f t="shared" si="149"/>
        <v/>
      </c>
      <c r="FF115" s="77" t="str">
        <f t="shared" si="149"/>
        <v/>
      </c>
      <c r="FG115" s="77" t="str">
        <f t="shared" si="149"/>
        <v/>
      </c>
      <c r="FH115" s="77" t="str">
        <f t="shared" si="149"/>
        <v/>
      </c>
      <c r="FI115" s="77" t="str">
        <f t="shared" si="149"/>
        <v/>
      </c>
      <c r="FJ115" s="77" t="str">
        <f t="shared" si="149"/>
        <v/>
      </c>
      <c r="FK115" s="77" t="str">
        <f t="shared" si="149"/>
        <v/>
      </c>
      <c r="FL115" s="77" t="str">
        <f t="shared" si="149"/>
        <v/>
      </c>
      <c r="FM115" s="77" t="str">
        <f t="shared" si="149"/>
        <v/>
      </c>
      <c r="FN115" s="77" t="str">
        <f t="shared" si="149"/>
        <v/>
      </c>
      <c r="FO115" s="77" t="str">
        <f t="shared" si="149"/>
        <v/>
      </c>
      <c r="FP115" s="77" t="str">
        <f t="shared" si="149"/>
        <v/>
      </c>
      <c r="FQ115" s="77" t="str">
        <f t="shared" si="149"/>
        <v/>
      </c>
      <c r="FR115" s="77" t="str">
        <f t="shared" si="149"/>
        <v/>
      </c>
      <c r="FS115" s="77" t="str">
        <f t="shared" si="149"/>
        <v/>
      </c>
      <c r="FT115" s="77" t="str">
        <f t="shared" si="149"/>
        <v/>
      </c>
      <c r="FU115" s="77" t="str">
        <f t="shared" si="149"/>
        <v/>
      </c>
      <c r="FV115" s="77" t="str">
        <f t="shared" si="149"/>
        <v/>
      </c>
      <c r="FW115" s="77" t="str">
        <f t="shared" si="149"/>
        <v/>
      </c>
      <c r="FX115" s="77" t="str">
        <f t="shared" si="149"/>
        <v/>
      </c>
      <c r="FY115" s="77" t="str">
        <f t="shared" si="149"/>
        <v/>
      </c>
      <c r="FZ115" s="77" t="str">
        <f t="shared" si="149"/>
        <v/>
      </c>
      <c r="GA115" s="77" t="str">
        <f t="shared" si="149"/>
        <v/>
      </c>
      <c r="GB115" s="77" t="str">
        <f t="shared" si="149"/>
        <v/>
      </c>
      <c r="GC115" s="77" t="str">
        <f t="shared" si="149"/>
        <v/>
      </c>
      <c r="GD115" s="77" t="str">
        <f t="shared" si="149"/>
        <v/>
      </c>
      <c r="GE115" s="77" t="str">
        <f t="shared" si="149"/>
        <v/>
      </c>
      <c r="GF115" s="77" t="str">
        <f t="shared" si="149"/>
        <v/>
      </c>
      <c r="GG115" s="77" t="str">
        <f t="shared" si="149"/>
        <v/>
      </c>
      <c r="GH115" s="77" t="str">
        <f t="shared" si="149"/>
        <v/>
      </c>
      <c r="GI115" s="77" t="str">
        <f t="shared" si="149"/>
        <v/>
      </c>
      <c r="GJ115" s="77" t="str">
        <f t="shared" si="149"/>
        <v/>
      </c>
      <c r="GK115" s="77" t="str">
        <f t="shared" si="149"/>
        <v/>
      </c>
      <c r="GL115" s="77" t="str">
        <f t="shared" si="149"/>
        <v/>
      </c>
      <c r="GM115" s="77" t="str">
        <f t="shared" si="149"/>
        <v/>
      </c>
      <c r="GN115" s="77" t="str">
        <f t="shared" si="149"/>
        <v/>
      </c>
      <c r="GO115" s="77" t="str">
        <f t="shared" si="149"/>
        <v/>
      </c>
      <c r="GP115" s="77" t="str">
        <f t="shared" si="149"/>
        <v/>
      </c>
      <c r="GQ115" s="77" t="str">
        <f t="shared" si="149"/>
        <v/>
      </c>
      <c r="GR115" s="77" t="str">
        <f t="shared" si="149"/>
        <v/>
      </c>
      <c r="GS115" s="77" t="str">
        <f t="shared" si="149"/>
        <v/>
      </c>
      <c r="GT115" s="77" t="str">
        <f t="shared" si="149"/>
        <v/>
      </c>
      <c r="GU115" s="77" t="str">
        <f t="shared" si="149"/>
        <v/>
      </c>
      <c r="GV115" s="77" t="str">
        <f t="shared" si="149"/>
        <v/>
      </c>
      <c r="GW115" s="77" t="str">
        <f t="shared" si="149"/>
        <v/>
      </c>
      <c r="GX115" s="77" t="str">
        <f t="shared" si="149"/>
        <v/>
      </c>
    </row>
    <row r="116" spans="1:206" ht="15" customHeight="1" x14ac:dyDescent="0.2">
      <c r="A116" s="22" t="s">
        <v>162</v>
      </c>
      <c r="B116" s="22">
        <v>5</v>
      </c>
      <c r="C116" s="22" t="s">
        <v>162</v>
      </c>
      <c r="D116" s="22">
        <v>20</v>
      </c>
      <c r="E116" s="22" t="s">
        <v>239</v>
      </c>
      <c r="F116" s="22" t="s">
        <v>71</v>
      </c>
      <c r="G116" s="22" t="s">
        <v>232</v>
      </c>
      <c r="H116" s="22">
        <v>2026</v>
      </c>
      <c r="I116" s="22">
        <v>0</v>
      </c>
      <c r="J116" s="22">
        <v>6.48</v>
      </c>
      <c r="K116" s="22">
        <v>0</v>
      </c>
      <c r="L116" s="22">
        <v>0</v>
      </c>
      <c r="M116" s="22">
        <v>0</v>
      </c>
      <c r="N116" s="22" t="s">
        <v>196</v>
      </c>
      <c r="O116" s="22" t="s">
        <v>74</v>
      </c>
      <c r="P116" s="22" t="s">
        <v>216</v>
      </c>
      <c r="Q116" s="24"/>
      <c r="R116" s="22" t="str">
        <f>IF($E116="","",IFERROR(INDEX($W116:$GX116,MATCH('Dashboard Ciclos'!$B$2,$W$1:$GX$1,0)),""))</f>
        <v/>
      </c>
      <c r="S116" s="22" t="str">
        <f t="shared" si="128"/>
        <v>Sin dato</v>
      </c>
      <c r="T116" s="22" t="str">
        <f t="shared" si="129"/>
        <v>Sin dato</v>
      </c>
      <c r="U116" s="22" t="str">
        <f t="shared" si="130"/>
        <v/>
      </c>
      <c r="V116" s="23" t="str">
        <f t="shared" si="131"/>
        <v/>
      </c>
      <c r="W116" s="77" t="str">
        <f t="shared" si="125"/>
        <v/>
      </c>
      <c r="X116" s="77" t="str">
        <f t="shared" si="136"/>
        <v/>
      </c>
      <c r="Y116" s="77" t="str">
        <f t="shared" si="136"/>
        <v/>
      </c>
      <c r="Z116" s="77" t="str">
        <f t="shared" si="136"/>
        <v/>
      </c>
      <c r="AA116" s="77" t="s">
        <v>218</v>
      </c>
      <c r="AB116" s="77" t="str">
        <f t="shared" si="136"/>
        <v/>
      </c>
      <c r="AC116" s="77" t="str">
        <f t="shared" si="136"/>
        <v/>
      </c>
      <c r="AD116" s="77" t="str">
        <f t="shared" si="136"/>
        <v/>
      </c>
      <c r="AE116" s="77" t="str">
        <f t="shared" si="136"/>
        <v/>
      </c>
      <c r="AF116" s="77" t="str">
        <f t="shared" si="136"/>
        <v/>
      </c>
      <c r="AG116" s="77" t="str">
        <f t="shared" si="136"/>
        <v/>
      </c>
      <c r="AH116" s="77" t="str">
        <f t="shared" si="136"/>
        <v/>
      </c>
      <c r="AI116" s="77" t="str">
        <f t="shared" si="136"/>
        <v/>
      </c>
      <c r="AJ116" s="77" t="str">
        <f t="shared" si="136"/>
        <v/>
      </c>
      <c r="AK116" s="77" t="str">
        <f t="shared" si="139"/>
        <v/>
      </c>
      <c r="AL116" s="77" t="str">
        <f t="shared" si="139"/>
        <v/>
      </c>
      <c r="AM116" s="77" t="str">
        <f t="shared" si="139"/>
        <v/>
      </c>
      <c r="AN116" s="77" t="str">
        <f t="shared" si="91"/>
        <v/>
      </c>
      <c r="AO116" s="77" t="str">
        <f t="shared" si="139"/>
        <v/>
      </c>
      <c r="AP116" s="77" t="str">
        <f t="shared" si="139"/>
        <v/>
      </c>
      <c r="AQ116" s="77" t="str">
        <f t="shared" si="139"/>
        <v/>
      </c>
      <c r="AR116" s="77" t="str">
        <f t="shared" si="105"/>
        <v/>
      </c>
      <c r="AS116" s="77" t="str">
        <f t="shared" ref="AS116:CJ119" si="151">IF(AR116="","",AR116+1)</f>
        <v/>
      </c>
      <c r="AT116" s="77" t="str">
        <f t="shared" si="151"/>
        <v/>
      </c>
      <c r="AU116" s="77" t="str">
        <f t="shared" si="151"/>
        <v/>
      </c>
      <c r="AV116" s="77" t="str">
        <f t="shared" si="151"/>
        <v/>
      </c>
      <c r="AW116" s="77" t="str">
        <f t="shared" si="151"/>
        <v/>
      </c>
      <c r="AX116" s="77" t="str">
        <f t="shared" si="151"/>
        <v/>
      </c>
      <c r="AY116" s="77" t="str">
        <f t="shared" si="151"/>
        <v/>
      </c>
      <c r="AZ116" s="77" t="str">
        <f t="shared" si="151"/>
        <v/>
      </c>
      <c r="BA116" s="77" t="str">
        <f t="shared" si="151"/>
        <v/>
      </c>
      <c r="BB116" s="77" t="str">
        <f t="shared" si="151"/>
        <v/>
      </c>
      <c r="BC116" s="77" t="str">
        <f t="shared" si="151"/>
        <v/>
      </c>
      <c r="BD116" s="77" t="str">
        <f t="shared" si="151"/>
        <v/>
      </c>
      <c r="BE116" s="77" t="str">
        <f t="shared" si="151"/>
        <v/>
      </c>
      <c r="BF116" s="77" t="str">
        <f t="shared" si="151"/>
        <v/>
      </c>
      <c r="BG116" s="77" t="str">
        <f t="shared" si="151"/>
        <v/>
      </c>
      <c r="BH116" s="77" t="str">
        <f t="shared" si="151"/>
        <v/>
      </c>
      <c r="BI116" s="77" t="str">
        <f t="shared" si="151"/>
        <v/>
      </c>
      <c r="BJ116" s="77" t="str">
        <f t="shared" si="151"/>
        <v/>
      </c>
      <c r="BK116" s="77" t="str">
        <f t="shared" si="151"/>
        <v/>
      </c>
      <c r="BL116" s="77" t="str">
        <f t="shared" si="151"/>
        <v/>
      </c>
      <c r="BM116" s="77" t="str">
        <f t="shared" si="151"/>
        <v/>
      </c>
      <c r="BN116" s="77" t="str">
        <f t="shared" si="151"/>
        <v/>
      </c>
      <c r="BO116" s="77" t="str">
        <f t="shared" si="151"/>
        <v/>
      </c>
      <c r="BP116" s="77" t="str">
        <f t="shared" si="151"/>
        <v/>
      </c>
      <c r="BQ116" s="77" t="str">
        <f t="shared" si="151"/>
        <v/>
      </c>
      <c r="BR116" s="77" t="str">
        <f t="shared" si="151"/>
        <v/>
      </c>
      <c r="BS116" s="77" t="str">
        <f t="shared" si="151"/>
        <v/>
      </c>
      <c r="BT116" s="77" t="str">
        <f t="shared" si="151"/>
        <v/>
      </c>
      <c r="BU116" s="77" t="str">
        <f t="shared" si="151"/>
        <v/>
      </c>
      <c r="BV116" s="77" t="str">
        <f t="shared" si="151"/>
        <v/>
      </c>
      <c r="BW116" s="77" t="str">
        <f t="shared" si="151"/>
        <v/>
      </c>
      <c r="BX116" s="77" t="str">
        <f t="shared" si="151"/>
        <v/>
      </c>
      <c r="BY116" s="77" t="str">
        <f t="shared" si="151"/>
        <v/>
      </c>
      <c r="BZ116" s="77" t="str">
        <f t="shared" si="151"/>
        <v/>
      </c>
      <c r="CA116" s="77" t="str">
        <f t="shared" si="151"/>
        <v/>
      </c>
      <c r="CB116" s="77" t="str">
        <f t="shared" si="151"/>
        <v/>
      </c>
      <c r="CC116" s="77" t="str">
        <f t="shared" si="151"/>
        <v/>
      </c>
      <c r="CD116" s="77" t="str">
        <f t="shared" si="151"/>
        <v/>
      </c>
      <c r="CE116" s="77" t="str">
        <f t="shared" si="151"/>
        <v/>
      </c>
      <c r="CF116" s="77" t="str">
        <f t="shared" si="151"/>
        <v/>
      </c>
      <c r="CG116" s="77" t="str">
        <f t="shared" si="151"/>
        <v/>
      </c>
      <c r="CH116" s="77" t="str">
        <f t="shared" si="151"/>
        <v/>
      </c>
      <c r="CI116" s="77" t="str">
        <f t="shared" si="151"/>
        <v/>
      </c>
      <c r="CJ116" s="77" t="str">
        <f t="shared" si="151"/>
        <v/>
      </c>
      <c r="CK116" s="77" t="str">
        <f t="shared" si="150"/>
        <v/>
      </c>
      <c r="CL116" s="77" t="str">
        <f t="shared" si="150"/>
        <v/>
      </c>
      <c r="CM116" s="77" t="str">
        <f t="shared" si="150"/>
        <v/>
      </c>
      <c r="CN116" s="77" t="str">
        <f t="shared" si="150"/>
        <v/>
      </c>
      <c r="CO116" s="77" t="str">
        <f t="shared" si="150"/>
        <v/>
      </c>
      <c r="CP116" s="77" t="str">
        <f t="shared" si="150"/>
        <v/>
      </c>
      <c r="CQ116" s="77" t="str">
        <f t="shared" si="150"/>
        <v/>
      </c>
      <c r="CR116" s="77" t="str">
        <f t="shared" si="150"/>
        <v/>
      </c>
      <c r="CS116" s="77" t="str">
        <f t="shared" si="150"/>
        <v/>
      </c>
      <c r="CT116" s="77" t="str">
        <f t="shared" si="150"/>
        <v/>
      </c>
      <c r="CU116" s="77" t="str">
        <f t="shared" si="150"/>
        <v/>
      </c>
      <c r="CV116" s="77" t="str">
        <f t="shared" si="150"/>
        <v/>
      </c>
      <c r="CW116" s="77" t="str">
        <f t="shared" si="150"/>
        <v/>
      </c>
      <c r="CX116" s="77" t="str">
        <f t="shared" si="150"/>
        <v/>
      </c>
      <c r="CY116" s="77" t="str">
        <f t="shared" si="150"/>
        <v/>
      </c>
      <c r="CZ116" s="77" t="str">
        <f t="shared" si="150"/>
        <v/>
      </c>
      <c r="DA116" s="77" t="str">
        <f t="shared" si="150"/>
        <v/>
      </c>
      <c r="DB116" s="77" t="str">
        <f t="shared" si="150"/>
        <v/>
      </c>
      <c r="DC116" s="77" t="str">
        <f t="shared" si="150"/>
        <v/>
      </c>
      <c r="DD116" s="77" t="str">
        <f t="shared" si="150"/>
        <v/>
      </c>
      <c r="DE116" s="77" t="str">
        <f t="shared" si="150"/>
        <v/>
      </c>
      <c r="DF116" s="77" t="str">
        <f t="shared" si="150"/>
        <v/>
      </c>
      <c r="DG116" s="77" t="str">
        <f t="shared" si="150"/>
        <v/>
      </c>
      <c r="DH116" s="77" t="str">
        <f t="shared" si="150"/>
        <v/>
      </c>
      <c r="DI116" s="77" t="str">
        <f t="shared" si="150"/>
        <v/>
      </c>
      <c r="DJ116" s="77" t="str">
        <f t="shared" si="150"/>
        <v/>
      </c>
      <c r="DK116" s="77" t="str">
        <f t="shared" si="150"/>
        <v/>
      </c>
      <c r="DL116" s="77" t="str">
        <f t="shared" si="150"/>
        <v/>
      </c>
      <c r="DM116" s="77" t="str">
        <f t="shared" si="150"/>
        <v/>
      </c>
      <c r="DN116" s="77" t="str">
        <f t="shared" si="150"/>
        <v/>
      </c>
      <c r="DO116" s="77" t="str">
        <f t="shared" si="150"/>
        <v/>
      </c>
      <c r="DP116" s="77" t="str">
        <f t="shared" si="150"/>
        <v/>
      </c>
      <c r="DQ116" s="77" t="str">
        <f t="shared" si="150"/>
        <v/>
      </c>
      <c r="DR116" s="77" t="str">
        <f t="shared" si="150"/>
        <v/>
      </c>
      <c r="DS116" s="77" t="str">
        <f t="shared" si="150"/>
        <v/>
      </c>
      <c r="DT116" s="77" t="str">
        <f t="shared" si="150"/>
        <v/>
      </c>
      <c r="DU116" s="77" t="str">
        <f t="shared" si="150"/>
        <v/>
      </c>
      <c r="DV116" s="77" t="str">
        <f t="shared" si="150"/>
        <v/>
      </c>
      <c r="DW116" s="77" t="str">
        <f t="shared" si="150"/>
        <v/>
      </c>
      <c r="DX116" s="77" t="str">
        <f t="shared" si="150"/>
        <v/>
      </c>
      <c r="DY116" s="77" t="str">
        <f t="shared" si="150"/>
        <v/>
      </c>
      <c r="DZ116" s="77" t="str">
        <f t="shared" si="150"/>
        <v/>
      </c>
      <c r="EA116" s="77" t="str">
        <f t="shared" si="150"/>
        <v/>
      </c>
      <c r="EB116" s="77" t="str">
        <f t="shared" si="150"/>
        <v/>
      </c>
      <c r="EC116" s="77" t="str">
        <f t="shared" si="150"/>
        <v/>
      </c>
      <c r="ED116" s="77" t="str">
        <f t="shared" si="150"/>
        <v/>
      </c>
      <c r="EE116" s="77" t="str">
        <f t="shared" si="150"/>
        <v/>
      </c>
      <c r="EF116" s="77" t="str">
        <f t="shared" si="150"/>
        <v/>
      </c>
      <c r="EG116" s="77" t="str">
        <f t="shared" si="150"/>
        <v/>
      </c>
      <c r="EH116" s="77" t="str">
        <f t="shared" si="150"/>
        <v/>
      </c>
      <c r="EI116" s="77" t="str">
        <f t="shared" si="150"/>
        <v/>
      </c>
      <c r="EJ116" s="77" t="str">
        <f t="shared" si="150"/>
        <v/>
      </c>
      <c r="EK116" s="77" t="str">
        <f t="shared" si="150"/>
        <v/>
      </c>
      <c r="EL116" s="77" t="str">
        <f t="shared" si="150"/>
        <v/>
      </c>
      <c r="EM116" s="77" t="str">
        <f t="shared" si="150"/>
        <v/>
      </c>
      <c r="EN116" s="77" t="str">
        <f t="shared" si="150"/>
        <v/>
      </c>
      <c r="EO116" s="77" t="str">
        <f t="shared" si="150"/>
        <v/>
      </c>
      <c r="EP116" s="77" t="str">
        <f t="shared" si="150"/>
        <v/>
      </c>
      <c r="EQ116" s="77" t="str">
        <f t="shared" si="150"/>
        <v/>
      </c>
      <c r="ER116" s="77" t="str">
        <f t="shared" si="150"/>
        <v/>
      </c>
      <c r="ES116" s="77" t="str">
        <f t="shared" si="150"/>
        <v/>
      </c>
      <c r="ET116" s="77" t="str">
        <f t="shared" si="150"/>
        <v/>
      </c>
      <c r="EU116" s="77" t="str">
        <f t="shared" si="150"/>
        <v/>
      </c>
      <c r="EV116" s="77" t="str">
        <f t="shared" si="149"/>
        <v/>
      </c>
      <c r="EW116" s="77" t="str">
        <f t="shared" si="149"/>
        <v/>
      </c>
      <c r="EX116" s="77" t="str">
        <f t="shared" si="149"/>
        <v/>
      </c>
      <c r="EY116" s="77" t="str">
        <f t="shared" si="149"/>
        <v/>
      </c>
      <c r="EZ116" s="77" t="str">
        <f t="shared" si="149"/>
        <v/>
      </c>
      <c r="FA116" s="77" t="str">
        <f t="shared" si="149"/>
        <v/>
      </c>
      <c r="FB116" s="77" t="str">
        <f t="shared" si="149"/>
        <v/>
      </c>
      <c r="FC116" s="77" t="str">
        <f t="shared" si="149"/>
        <v/>
      </c>
      <c r="FD116" s="77" t="str">
        <f t="shared" si="149"/>
        <v/>
      </c>
      <c r="FE116" s="77" t="str">
        <f t="shared" si="149"/>
        <v/>
      </c>
      <c r="FF116" s="77" t="str">
        <f t="shared" si="149"/>
        <v/>
      </c>
      <c r="FG116" s="77" t="str">
        <f t="shared" si="149"/>
        <v/>
      </c>
      <c r="FH116" s="77" t="str">
        <f t="shared" si="149"/>
        <v/>
      </c>
      <c r="FI116" s="77" t="str">
        <f t="shared" si="149"/>
        <v/>
      </c>
      <c r="FJ116" s="77" t="str">
        <f t="shared" si="149"/>
        <v/>
      </c>
      <c r="FK116" s="77" t="str">
        <f t="shared" si="149"/>
        <v/>
      </c>
      <c r="FL116" s="77" t="str">
        <f t="shared" si="149"/>
        <v/>
      </c>
      <c r="FM116" s="77" t="str">
        <f t="shared" si="149"/>
        <v/>
      </c>
      <c r="FN116" s="77" t="str">
        <f t="shared" si="149"/>
        <v/>
      </c>
      <c r="FO116" s="77" t="str">
        <f t="shared" si="149"/>
        <v/>
      </c>
      <c r="FP116" s="77" t="str">
        <f t="shared" si="149"/>
        <v/>
      </c>
      <c r="FQ116" s="77" t="str">
        <f t="shared" si="149"/>
        <v/>
      </c>
      <c r="FR116" s="77" t="str">
        <f t="shared" si="149"/>
        <v/>
      </c>
      <c r="FS116" s="77" t="str">
        <f t="shared" si="149"/>
        <v/>
      </c>
      <c r="FT116" s="77" t="str">
        <f t="shared" si="149"/>
        <v/>
      </c>
      <c r="FU116" s="77" t="str">
        <f t="shared" si="149"/>
        <v/>
      </c>
      <c r="FV116" s="77" t="str">
        <f t="shared" si="149"/>
        <v/>
      </c>
      <c r="FW116" s="77" t="str">
        <f t="shared" si="149"/>
        <v/>
      </c>
      <c r="FX116" s="77" t="str">
        <f t="shared" si="149"/>
        <v/>
      </c>
      <c r="FY116" s="77" t="str">
        <f t="shared" si="149"/>
        <v/>
      </c>
      <c r="FZ116" s="77" t="str">
        <f t="shared" si="149"/>
        <v/>
      </c>
      <c r="GA116" s="77" t="str">
        <f t="shared" si="149"/>
        <v/>
      </c>
      <c r="GB116" s="77" t="str">
        <f t="shared" si="149"/>
        <v/>
      </c>
      <c r="GC116" s="77" t="str">
        <f t="shared" si="149"/>
        <v/>
      </c>
      <c r="GD116" s="77" t="str">
        <f t="shared" si="149"/>
        <v/>
      </c>
      <c r="GE116" s="77" t="str">
        <f t="shared" si="149"/>
        <v/>
      </c>
      <c r="GF116" s="77" t="str">
        <f t="shared" si="149"/>
        <v/>
      </c>
      <c r="GG116" s="77" t="str">
        <f t="shared" si="149"/>
        <v/>
      </c>
      <c r="GH116" s="77" t="str">
        <f t="shared" si="149"/>
        <v/>
      </c>
      <c r="GI116" s="77" t="str">
        <f t="shared" si="149"/>
        <v/>
      </c>
      <c r="GJ116" s="77" t="str">
        <f t="shared" si="149"/>
        <v/>
      </c>
      <c r="GK116" s="77" t="str">
        <f t="shared" si="149"/>
        <v/>
      </c>
      <c r="GL116" s="77" t="str">
        <f t="shared" si="149"/>
        <v/>
      </c>
      <c r="GM116" s="77" t="str">
        <f t="shared" si="149"/>
        <v/>
      </c>
      <c r="GN116" s="77" t="str">
        <f t="shared" si="149"/>
        <v/>
      </c>
      <c r="GO116" s="77" t="str">
        <f t="shared" si="149"/>
        <v/>
      </c>
      <c r="GP116" s="77" t="str">
        <f t="shared" si="149"/>
        <v/>
      </c>
      <c r="GQ116" s="77" t="str">
        <f t="shared" si="149"/>
        <v/>
      </c>
      <c r="GR116" s="77" t="str">
        <f t="shared" si="149"/>
        <v/>
      </c>
      <c r="GS116" s="77" t="str">
        <f t="shared" si="149"/>
        <v/>
      </c>
      <c r="GT116" s="77" t="str">
        <f t="shared" si="149"/>
        <v/>
      </c>
      <c r="GU116" s="77" t="str">
        <f t="shared" si="149"/>
        <v/>
      </c>
      <c r="GV116" s="77" t="str">
        <f t="shared" si="149"/>
        <v/>
      </c>
      <c r="GW116" s="77" t="str">
        <f t="shared" si="149"/>
        <v/>
      </c>
      <c r="GX116" s="77" t="str">
        <f t="shared" si="149"/>
        <v/>
      </c>
    </row>
    <row r="117" spans="1:206" ht="15" customHeight="1" x14ac:dyDescent="0.2">
      <c r="A117" s="22" t="s">
        <v>162</v>
      </c>
      <c r="B117" s="22">
        <v>5</v>
      </c>
      <c r="C117" s="22" t="s">
        <v>162</v>
      </c>
      <c r="D117" s="22">
        <v>21</v>
      </c>
      <c r="E117" s="22" t="s">
        <v>240</v>
      </c>
      <c r="F117" s="22" t="s">
        <v>71</v>
      </c>
      <c r="G117" s="22" t="s">
        <v>232</v>
      </c>
      <c r="H117" s="22">
        <v>2026</v>
      </c>
      <c r="I117" s="22">
        <v>0</v>
      </c>
      <c r="J117" s="22">
        <v>7.11</v>
      </c>
      <c r="K117" s="22">
        <v>0</v>
      </c>
      <c r="L117" s="22">
        <v>0</v>
      </c>
      <c r="M117" s="22">
        <v>0</v>
      </c>
      <c r="N117" s="22" t="s">
        <v>196</v>
      </c>
      <c r="O117" s="22" t="s">
        <v>74</v>
      </c>
      <c r="P117" s="22" t="s">
        <v>216</v>
      </c>
      <c r="Q117" s="24"/>
      <c r="R117" s="22" t="str">
        <f>IF($E117="","",IFERROR(INDEX($W117:$GX117,MATCH('Dashboard Ciclos'!$B$2,$W$1:$GX$1,0)),""))</f>
        <v/>
      </c>
      <c r="S117" s="22" t="str">
        <f t="shared" si="128"/>
        <v>Sin dato</v>
      </c>
      <c r="T117" s="22" t="str">
        <f t="shared" si="129"/>
        <v>Sin dato</v>
      </c>
      <c r="U117" s="22" t="str">
        <f t="shared" si="130"/>
        <v/>
      </c>
      <c r="V117" s="23" t="str">
        <f t="shared" si="131"/>
        <v/>
      </c>
      <c r="W117" s="77" t="str">
        <f t="shared" si="125"/>
        <v/>
      </c>
      <c r="X117" s="77" t="str">
        <f t="shared" si="136"/>
        <v/>
      </c>
      <c r="Y117" s="77" t="str">
        <f t="shared" si="136"/>
        <v/>
      </c>
      <c r="Z117" s="77" t="str">
        <f t="shared" si="136"/>
        <v/>
      </c>
      <c r="AA117" s="77" t="s">
        <v>218</v>
      </c>
      <c r="AB117" s="77" t="str">
        <f t="shared" si="136"/>
        <v/>
      </c>
      <c r="AC117" s="77" t="str">
        <f t="shared" si="136"/>
        <v/>
      </c>
      <c r="AD117" s="77" t="str">
        <f t="shared" si="136"/>
        <v/>
      </c>
      <c r="AE117" s="77" t="str">
        <f t="shared" si="136"/>
        <v/>
      </c>
      <c r="AF117" s="77" t="str">
        <f t="shared" si="136"/>
        <v/>
      </c>
      <c r="AG117" s="77" t="str">
        <f t="shared" si="136"/>
        <v/>
      </c>
      <c r="AH117" s="77" t="str">
        <f t="shared" si="136"/>
        <v/>
      </c>
      <c r="AI117" s="77" t="str">
        <f t="shared" si="136"/>
        <v/>
      </c>
      <c r="AJ117" s="77" t="str">
        <f t="shared" si="136"/>
        <v/>
      </c>
      <c r="AK117" s="77" t="str">
        <f t="shared" si="139"/>
        <v/>
      </c>
      <c r="AL117" s="77" t="str">
        <f t="shared" si="139"/>
        <v/>
      </c>
      <c r="AM117" s="77" t="str">
        <f t="shared" si="139"/>
        <v/>
      </c>
      <c r="AN117" s="77" t="str">
        <f t="shared" si="91"/>
        <v/>
      </c>
      <c r="AO117" s="77" t="str">
        <f t="shared" si="139"/>
        <v/>
      </c>
      <c r="AP117" s="77" t="str">
        <f t="shared" si="139"/>
        <v/>
      </c>
      <c r="AQ117" s="77" t="str">
        <f t="shared" si="139"/>
        <v/>
      </c>
      <c r="AR117" s="77" t="str">
        <f t="shared" si="105"/>
        <v/>
      </c>
      <c r="AS117" s="77" t="str">
        <f t="shared" si="151"/>
        <v/>
      </c>
      <c r="AT117" s="77" t="str">
        <f t="shared" si="151"/>
        <v/>
      </c>
      <c r="AU117" s="77" t="str">
        <f t="shared" si="151"/>
        <v/>
      </c>
      <c r="AV117" s="77" t="str">
        <f t="shared" si="151"/>
        <v/>
      </c>
      <c r="AW117" s="77" t="str">
        <f t="shared" si="151"/>
        <v/>
      </c>
      <c r="AX117" s="77" t="str">
        <f t="shared" si="151"/>
        <v/>
      </c>
      <c r="AY117" s="77" t="str">
        <f t="shared" si="151"/>
        <v/>
      </c>
      <c r="AZ117" s="77" t="str">
        <f t="shared" si="151"/>
        <v/>
      </c>
      <c r="BA117" s="77" t="str">
        <f t="shared" si="151"/>
        <v/>
      </c>
      <c r="BB117" s="77" t="str">
        <f t="shared" si="151"/>
        <v/>
      </c>
      <c r="BC117" s="77" t="str">
        <f t="shared" si="151"/>
        <v/>
      </c>
      <c r="BD117" s="77" t="str">
        <f t="shared" si="151"/>
        <v/>
      </c>
      <c r="BE117" s="77" t="str">
        <f t="shared" si="151"/>
        <v/>
      </c>
      <c r="BF117" s="77" t="str">
        <f t="shared" si="151"/>
        <v/>
      </c>
      <c r="BG117" s="77" t="str">
        <f t="shared" si="151"/>
        <v/>
      </c>
      <c r="BH117" s="77" t="str">
        <f t="shared" si="151"/>
        <v/>
      </c>
      <c r="BI117" s="77" t="str">
        <f t="shared" si="151"/>
        <v/>
      </c>
      <c r="BJ117" s="77" t="str">
        <f t="shared" si="151"/>
        <v/>
      </c>
      <c r="BK117" s="77" t="str">
        <f t="shared" si="151"/>
        <v/>
      </c>
      <c r="BL117" s="77" t="str">
        <f t="shared" si="151"/>
        <v/>
      </c>
      <c r="BM117" s="77" t="str">
        <f t="shared" si="151"/>
        <v/>
      </c>
      <c r="BN117" s="77" t="str">
        <f t="shared" si="151"/>
        <v/>
      </c>
      <c r="BO117" s="77" t="str">
        <f t="shared" si="151"/>
        <v/>
      </c>
      <c r="BP117" s="77" t="str">
        <f t="shared" si="151"/>
        <v/>
      </c>
      <c r="BQ117" s="77" t="str">
        <f t="shared" si="151"/>
        <v/>
      </c>
      <c r="BR117" s="77" t="str">
        <f t="shared" si="151"/>
        <v/>
      </c>
      <c r="BS117" s="77" t="str">
        <f t="shared" si="151"/>
        <v/>
      </c>
      <c r="BT117" s="77" t="str">
        <f t="shared" si="151"/>
        <v/>
      </c>
      <c r="BU117" s="77" t="str">
        <f t="shared" si="151"/>
        <v/>
      </c>
      <c r="BV117" s="77" t="str">
        <f t="shared" si="151"/>
        <v/>
      </c>
      <c r="BW117" s="77" t="str">
        <f t="shared" si="151"/>
        <v/>
      </c>
      <c r="BX117" s="77" t="str">
        <f t="shared" si="151"/>
        <v/>
      </c>
      <c r="BY117" s="77" t="str">
        <f t="shared" si="151"/>
        <v/>
      </c>
      <c r="BZ117" s="77" t="str">
        <f t="shared" si="151"/>
        <v/>
      </c>
      <c r="CA117" s="77" t="str">
        <f t="shared" si="151"/>
        <v/>
      </c>
      <c r="CB117" s="77" t="str">
        <f t="shared" si="151"/>
        <v/>
      </c>
      <c r="CC117" s="77" t="str">
        <f t="shared" si="151"/>
        <v/>
      </c>
      <c r="CD117" s="77" t="str">
        <f t="shared" si="151"/>
        <v/>
      </c>
      <c r="CE117" s="77" t="str">
        <f t="shared" si="151"/>
        <v/>
      </c>
      <c r="CF117" s="77" t="str">
        <f t="shared" si="151"/>
        <v/>
      </c>
      <c r="CG117" s="77" t="str">
        <f t="shared" si="151"/>
        <v/>
      </c>
      <c r="CH117" s="77" t="str">
        <f t="shared" si="151"/>
        <v/>
      </c>
      <c r="CI117" s="77" t="str">
        <f t="shared" si="151"/>
        <v/>
      </c>
      <c r="CJ117" s="77" t="str">
        <f t="shared" si="151"/>
        <v/>
      </c>
      <c r="CK117" s="77" t="str">
        <f t="shared" si="150"/>
        <v/>
      </c>
      <c r="CL117" s="77" t="str">
        <f t="shared" si="150"/>
        <v/>
      </c>
      <c r="CM117" s="77" t="str">
        <f t="shared" si="150"/>
        <v/>
      </c>
      <c r="CN117" s="77" t="str">
        <f t="shared" si="150"/>
        <v/>
      </c>
      <c r="CO117" s="77" t="str">
        <f t="shared" si="150"/>
        <v/>
      </c>
      <c r="CP117" s="77" t="str">
        <f t="shared" si="150"/>
        <v/>
      </c>
      <c r="CQ117" s="77" t="str">
        <f t="shared" si="150"/>
        <v/>
      </c>
      <c r="CR117" s="77" t="str">
        <f t="shared" si="150"/>
        <v/>
      </c>
      <c r="CS117" s="77" t="str">
        <f t="shared" si="150"/>
        <v/>
      </c>
      <c r="CT117" s="77" t="str">
        <f t="shared" si="150"/>
        <v/>
      </c>
      <c r="CU117" s="77" t="str">
        <f t="shared" si="150"/>
        <v/>
      </c>
      <c r="CV117" s="77" t="str">
        <f t="shared" si="150"/>
        <v/>
      </c>
      <c r="CW117" s="77" t="str">
        <f t="shared" si="150"/>
        <v/>
      </c>
      <c r="CX117" s="77" t="str">
        <f t="shared" si="150"/>
        <v/>
      </c>
      <c r="CY117" s="77" t="str">
        <f t="shared" si="150"/>
        <v/>
      </c>
      <c r="CZ117" s="77" t="str">
        <f t="shared" si="150"/>
        <v/>
      </c>
      <c r="DA117" s="77" t="str">
        <f t="shared" si="150"/>
        <v/>
      </c>
      <c r="DB117" s="77" t="str">
        <f t="shared" si="150"/>
        <v/>
      </c>
      <c r="DC117" s="77" t="str">
        <f t="shared" si="150"/>
        <v/>
      </c>
      <c r="DD117" s="77" t="str">
        <f t="shared" si="150"/>
        <v/>
      </c>
      <c r="DE117" s="77" t="str">
        <f t="shared" si="150"/>
        <v/>
      </c>
      <c r="DF117" s="77" t="str">
        <f t="shared" si="150"/>
        <v/>
      </c>
      <c r="DG117" s="77" t="str">
        <f t="shared" si="150"/>
        <v/>
      </c>
      <c r="DH117" s="77" t="str">
        <f t="shared" si="150"/>
        <v/>
      </c>
      <c r="DI117" s="77" t="str">
        <f t="shared" si="150"/>
        <v/>
      </c>
      <c r="DJ117" s="77" t="str">
        <f t="shared" si="150"/>
        <v/>
      </c>
      <c r="DK117" s="77" t="str">
        <f t="shared" si="150"/>
        <v/>
      </c>
      <c r="DL117" s="77" t="str">
        <f t="shared" si="150"/>
        <v/>
      </c>
      <c r="DM117" s="77" t="str">
        <f t="shared" si="150"/>
        <v/>
      </c>
      <c r="DN117" s="77" t="str">
        <f t="shared" si="150"/>
        <v/>
      </c>
      <c r="DO117" s="77" t="str">
        <f t="shared" si="150"/>
        <v/>
      </c>
      <c r="DP117" s="77" t="str">
        <f t="shared" si="150"/>
        <v/>
      </c>
      <c r="DQ117" s="77" t="str">
        <f t="shared" si="150"/>
        <v/>
      </c>
      <c r="DR117" s="77" t="str">
        <f t="shared" si="150"/>
        <v/>
      </c>
      <c r="DS117" s="77" t="str">
        <f t="shared" si="150"/>
        <v/>
      </c>
      <c r="DT117" s="77" t="str">
        <f t="shared" si="150"/>
        <v/>
      </c>
      <c r="DU117" s="77" t="str">
        <f t="shared" si="150"/>
        <v/>
      </c>
      <c r="DV117" s="77" t="str">
        <f t="shared" si="150"/>
        <v/>
      </c>
      <c r="DW117" s="77" t="str">
        <f t="shared" si="150"/>
        <v/>
      </c>
      <c r="DX117" s="77" t="str">
        <f t="shared" si="150"/>
        <v/>
      </c>
      <c r="DY117" s="77" t="str">
        <f t="shared" si="150"/>
        <v/>
      </c>
      <c r="DZ117" s="77" t="str">
        <f t="shared" si="150"/>
        <v/>
      </c>
      <c r="EA117" s="77" t="str">
        <f t="shared" si="150"/>
        <v/>
      </c>
      <c r="EB117" s="77" t="str">
        <f t="shared" si="150"/>
        <v/>
      </c>
      <c r="EC117" s="77" t="str">
        <f t="shared" si="150"/>
        <v/>
      </c>
      <c r="ED117" s="77" t="str">
        <f t="shared" si="150"/>
        <v/>
      </c>
      <c r="EE117" s="77" t="str">
        <f t="shared" si="150"/>
        <v/>
      </c>
      <c r="EF117" s="77" t="str">
        <f t="shared" si="150"/>
        <v/>
      </c>
      <c r="EG117" s="77" t="str">
        <f t="shared" si="150"/>
        <v/>
      </c>
      <c r="EH117" s="77" t="str">
        <f t="shared" si="150"/>
        <v/>
      </c>
      <c r="EI117" s="77" t="str">
        <f t="shared" si="150"/>
        <v/>
      </c>
      <c r="EJ117" s="77" t="str">
        <f t="shared" si="150"/>
        <v/>
      </c>
      <c r="EK117" s="77" t="str">
        <f t="shared" si="150"/>
        <v/>
      </c>
      <c r="EL117" s="77" t="str">
        <f t="shared" si="150"/>
        <v/>
      </c>
      <c r="EM117" s="77" t="str">
        <f t="shared" si="150"/>
        <v/>
      </c>
      <c r="EN117" s="77" t="str">
        <f t="shared" si="150"/>
        <v/>
      </c>
      <c r="EO117" s="77" t="str">
        <f t="shared" si="150"/>
        <v/>
      </c>
      <c r="EP117" s="77" t="str">
        <f t="shared" si="150"/>
        <v/>
      </c>
      <c r="EQ117" s="77" t="str">
        <f t="shared" si="150"/>
        <v/>
      </c>
      <c r="ER117" s="77" t="str">
        <f t="shared" si="150"/>
        <v/>
      </c>
      <c r="ES117" s="77" t="str">
        <f t="shared" si="150"/>
        <v/>
      </c>
      <c r="ET117" s="77" t="str">
        <f t="shared" si="150"/>
        <v/>
      </c>
      <c r="EU117" s="77" t="str">
        <f t="shared" si="150"/>
        <v/>
      </c>
      <c r="EV117" s="77" t="str">
        <f t="shared" si="149"/>
        <v/>
      </c>
      <c r="EW117" s="77" t="str">
        <f t="shared" si="149"/>
        <v/>
      </c>
      <c r="EX117" s="77" t="str">
        <f t="shared" si="149"/>
        <v/>
      </c>
      <c r="EY117" s="77" t="str">
        <f t="shared" si="149"/>
        <v/>
      </c>
      <c r="EZ117" s="77" t="str">
        <f t="shared" si="149"/>
        <v/>
      </c>
      <c r="FA117" s="77" t="str">
        <f t="shared" si="149"/>
        <v/>
      </c>
      <c r="FB117" s="77" t="str">
        <f t="shared" si="149"/>
        <v/>
      </c>
      <c r="FC117" s="77" t="str">
        <f t="shared" si="149"/>
        <v/>
      </c>
      <c r="FD117" s="77" t="str">
        <f t="shared" si="149"/>
        <v/>
      </c>
      <c r="FE117" s="77" t="str">
        <f t="shared" si="149"/>
        <v/>
      </c>
      <c r="FF117" s="77" t="str">
        <f t="shared" si="149"/>
        <v/>
      </c>
      <c r="FG117" s="77" t="str">
        <f t="shared" si="149"/>
        <v/>
      </c>
      <c r="FH117" s="77" t="str">
        <f t="shared" si="149"/>
        <v/>
      </c>
      <c r="FI117" s="77" t="str">
        <f t="shared" si="149"/>
        <v/>
      </c>
      <c r="FJ117" s="77" t="str">
        <f t="shared" si="149"/>
        <v/>
      </c>
      <c r="FK117" s="77" t="str">
        <f t="shared" si="149"/>
        <v/>
      </c>
      <c r="FL117" s="77" t="str">
        <f t="shared" si="149"/>
        <v/>
      </c>
      <c r="FM117" s="77" t="str">
        <f t="shared" si="149"/>
        <v/>
      </c>
      <c r="FN117" s="77" t="str">
        <f t="shared" si="149"/>
        <v/>
      </c>
      <c r="FO117" s="77" t="str">
        <f t="shared" si="149"/>
        <v/>
      </c>
      <c r="FP117" s="77" t="str">
        <f t="shared" si="149"/>
        <v/>
      </c>
      <c r="FQ117" s="77" t="str">
        <f t="shared" si="149"/>
        <v/>
      </c>
      <c r="FR117" s="77" t="str">
        <f t="shared" si="149"/>
        <v/>
      </c>
      <c r="FS117" s="77" t="str">
        <f t="shared" si="149"/>
        <v/>
      </c>
      <c r="FT117" s="77" t="str">
        <f t="shared" si="149"/>
        <v/>
      </c>
      <c r="FU117" s="77" t="str">
        <f t="shared" si="149"/>
        <v/>
      </c>
      <c r="FV117" s="77" t="str">
        <f t="shared" si="149"/>
        <v/>
      </c>
      <c r="FW117" s="77" t="str">
        <f t="shared" si="149"/>
        <v/>
      </c>
      <c r="FX117" s="77" t="str">
        <f t="shared" si="149"/>
        <v/>
      </c>
      <c r="FY117" s="77" t="str">
        <f t="shared" si="149"/>
        <v/>
      </c>
      <c r="FZ117" s="77" t="str">
        <f t="shared" si="149"/>
        <v/>
      </c>
      <c r="GA117" s="77" t="str">
        <f t="shared" si="149"/>
        <v/>
      </c>
      <c r="GB117" s="77" t="str">
        <f t="shared" si="149"/>
        <v/>
      </c>
      <c r="GC117" s="77" t="str">
        <f t="shared" si="149"/>
        <v/>
      </c>
      <c r="GD117" s="77" t="str">
        <f t="shared" si="149"/>
        <v/>
      </c>
      <c r="GE117" s="77" t="str">
        <f t="shared" si="149"/>
        <v/>
      </c>
      <c r="GF117" s="77" t="str">
        <f t="shared" si="149"/>
        <v/>
      </c>
      <c r="GG117" s="77" t="str">
        <f t="shared" si="149"/>
        <v/>
      </c>
      <c r="GH117" s="77" t="str">
        <f t="shared" si="149"/>
        <v/>
      </c>
      <c r="GI117" s="77" t="str">
        <f t="shared" si="149"/>
        <v/>
      </c>
      <c r="GJ117" s="77" t="str">
        <f t="shared" si="149"/>
        <v/>
      </c>
      <c r="GK117" s="77" t="str">
        <f t="shared" si="149"/>
        <v/>
      </c>
      <c r="GL117" s="77" t="str">
        <f t="shared" si="149"/>
        <v/>
      </c>
      <c r="GM117" s="77" t="str">
        <f t="shared" si="149"/>
        <v/>
      </c>
      <c r="GN117" s="77" t="str">
        <f t="shared" si="149"/>
        <v/>
      </c>
      <c r="GO117" s="77" t="str">
        <f t="shared" si="149"/>
        <v/>
      </c>
      <c r="GP117" s="77" t="str">
        <f t="shared" si="149"/>
        <v/>
      </c>
      <c r="GQ117" s="77" t="str">
        <f t="shared" si="149"/>
        <v/>
      </c>
      <c r="GR117" s="77" t="str">
        <f t="shared" si="149"/>
        <v/>
      </c>
      <c r="GS117" s="77" t="str">
        <f t="shared" si="149"/>
        <v/>
      </c>
      <c r="GT117" s="77" t="str">
        <f t="shared" si="149"/>
        <v/>
      </c>
      <c r="GU117" s="77" t="str">
        <f t="shared" si="149"/>
        <v/>
      </c>
      <c r="GV117" s="77" t="str">
        <f t="shared" si="149"/>
        <v/>
      </c>
      <c r="GW117" s="77" t="str">
        <f t="shared" si="149"/>
        <v/>
      </c>
      <c r="GX117" s="77" t="str">
        <f t="shared" si="149"/>
        <v/>
      </c>
    </row>
    <row r="118" spans="1:206" ht="15" customHeight="1" x14ac:dyDescent="0.2">
      <c r="A118" s="22" t="s">
        <v>194</v>
      </c>
      <c r="B118" s="22">
        <v>5</v>
      </c>
      <c r="C118" s="22" t="s">
        <v>194</v>
      </c>
      <c r="D118" s="22">
        <v>6</v>
      </c>
      <c r="E118" s="22" t="s">
        <v>241</v>
      </c>
      <c r="F118" s="22" t="s">
        <v>71</v>
      </c>
      <c r="G118" s="22" t="s">
        <v>72</v>
      </c>
      <c r="H118" s="22">
        <v>2024</v>
      </c>
      <c r="I118" s="22">
        <v>2</v>
      </c>
      <c r="J118" s="22">
        <v>13</v>
      </c>
      <c r="K118" s="22">
        <v>0</v>
      </c>
      <c r="L118" s="22">
        <v>1906</v>
      </c>
      <c r="M118" s="22">
        <v>1906</v>
      </c>
      <c r="N118" s="22" t="s">
        <v>196</v>
      </c>
      <c r="O118" s="22" t="s">
        <v>74</v>
      </c>
      <c r="P118" s="22" t="s">
        <v>216</v>
      </c>
      <c r="Q118" s="24"/>
      <c r="R118" s="22" t="str">
        <f>IF($E118="","",IFERROR(INDEX($W118:$GX118,MATCH('Dashboard Ciclos'!$B$2,$W$1:$GX$1,0)),""))</f>
        <v/>
      </c>
      <c r="S118" s="22" t="str">
        <f t="shared" si="128"/>
        <v>Sin dato</v>
      </c>
      <c r="T118" s="22" t="str">
        <f t="shared" si="129"/>
        <v>Sin dato</v>
      </c>
      <c r="U118" s="22" t="str">
        <f t="shared" si="130"/>
        <v/>
      </c>
      <c r="V118" s="23" t="str">
        <f t="shared" si="131"/>
        <v/>
      </c>
      <c r="W118" s="77" t="str">
        <f t="shared" si="125"/>
        <v/>
      </c>
      <c r="X118" s="77" t="str">
        <f t="shared" si="136"/>
        <v/>
      </c>
      <c r="Y118" s="77" t="str">
        <f t="shared" si="136"/>
        <v/>
      </c>
      <c r="Z118" s="77" t="str">
        <f t="shared" si="136"/>
        <v/>
      </c>
      <c r="AA118" s="77" t="s">
        <v>218</v>
      </c>
      <c r="AB118" s="77" t="str">
        <f t="shared" si="136"/>
        <v/>
      </c>
      <c r="AC118" s="77" t="str">
        <f t="shared" si="136"/>
        <v/>
      </c>
      <c r="AD118" s="77" t="str">
        <f t="shared" si="136"/>
        <v/>
      </c>
      <c r="AE118" s="77" t="str">
        <f t="shared" si="136"/>
        <v/>
      </c>
      <c r="AF118" s="77" t="str">
        <f t="shared" si="136"/>
        <v/>
      </c>
      <c r="AG118" s="77" t="str">
        <f t="shared" si="136"/>
        <v/>
      </c>
      <c r="AH118" s="77" t="str">
        <f t="shared" si="136"/>
        <v/>
      </c>
      <c r="AI118" s="77" t="str">
        <f t="shared" si="136"/>
        <v/>
      </c>
      <c r="AJ118" s="77" t="str">
        <f t="shared" si="136"/>
        <v/>
      </c>
      <c r="AK118" s="77" t="str">
        <f t="shared" si="139"/>
        <v/>
      </c>
      <c r="AL118" s="77" t="str">
        <f t="shared" si="139"/>
        <v/>
      </c>
      <c r="AM118" s="77" t="str">
        <f t="shared" si="139"/>
        <v/>
      </c>
      <c r="AN118" s="77" t="str">
        <f t="shared" si="91"/>
        <v/>
      </c>
      <c r="AO118" s="77" t="str">
        <f t="shared" si="139"/>
        <v/>
      </c>
      <c r="AP118" s="77" t="str">
        <f t="shared" si="139"/>
        <v/>
      </c>
      <c r="AQ118" s="77" t="str">
        <f t="shared" si="139"/>
        <v/>
      </c>
      <c r="AR118" s="77" t="str">
        <f t="shared" si="105"/>
        <v/>
      </c>
      <c r="AS118" s="77" t="str">
        <f t="shared" si="151"/>
        <v/>
      </c>
      <c r="AT118" s="77" t="str">
        <f t="shared" si="151"/>
        <v/>
      </c>
      <c r="AU118" s="77" t="str">
        <f t="shared" si="151"/>
        <v/>
      </c>
      <c r="AV118" s="77" t="str">
        <f t="shared" si="151"/>
        <v/>
      </c>
      <c r="AW118" s="77" t="str">
        <f t="shared" si="151"/>
        <v/>
      </c>
      <c r="AX118" s="77" t="str">
        <f t="shared" si="151"/>
        <v/>
      </c>
      <c r="AY118" s="77" t="str">
        <f t="shared" si="151"/>
        <v/>
      </c>
      <c r="AZ118" s="77" t="str">
        <f t="shared" si="151"/>
        <v/>
      </c>
      <c r="BA118" s="77" t="str">
        <f t="shared" si="151"/>
        <v/>
      </c>
      <c r="BB118" s="77" t="str">
        <f t="shared" si="151"/>
        <v/>
      </c>
      <c r="BC118" s="77" t="str">
        <f t="shared" si="151"/>
        <v/>
      </c>
      <c r="BD118" s="77" t="str">
        <f t="shared" si="151"/>
        <v/>
      </c>
      <c r="BE118" s="77" t="str">
        <f t="shared" si="151"/>
        <v/>
      </c>
      <c r="BF118" s="77" t="str">
        <f t="shared" si="151"/>
        <v/>
      </c>
      <c r="BG118" s="77" t="str">
        <f t="shared" si="151"/>
        <v/>
      </c>
      <c r="BH118" s="77" t="str">
        <f t="shared" si="151"/>
        <v/>
      </c>
      <c r="BI118" s="77" t="str">
        <f t="shared" si="151"/>
        <v/>
      </c>
      <c r="BJ118" s="77" t="str">
        <f t="shared" si="151"/>
        <v/>
      </c>
      <c r="BK118" s="77" t="str">
        <f t="shared" si="151"/>
        <v/>
      </c>
      <c r="BL118" s="77" t="str">
        <f t="shared" si="151"/>
        <v/>
      </c>
      <c r="BM118" s="77" t="str">
        <f t="shared" si="151"/>
        <v/>
      </c>
      <c r="BN118" s="77" t="str">
        <f t="shared" si="151"/>
        <v/>
      </c>
      <c r="BO118" s="77" t="str">
        <f t="shared" si="151"/>
        <v/>
      </c>
      <c r="BP118" s="77" t="str">
        <f t="shared" si="151"/>
        <v/>
      </c>
      <c r="BQ118" s="77" t="str">
        <f t="shared" si="151"/>
        <v/>
      </c>
      <c r="BR118" s="77" t="str">
        <f t="shared" si="151"/>
        <v/>
      </c>
      <c r="BS118" s="77" t="str">
        <f t="shared" si="151"/>
        <v/>
      </c>
      <c r="BT118" s="77" t="str">
        <f t="shared" si="151"/>
        <v/>
      </c>
      <c r="BU118" s="77" t="str">
        <f t="shared" si="151"/>
        <v/>
      </c>
      <c r="BV118" s="77" t="str">
        <f t="shared" si="151"/>
        <v/>
      </c>
      <c r="BW118" s="77" t="str">
        <f t="shared" si="151"/>
        <v/>
      </c>
      <c r="BX118" s="77" t="str">
        <f t="shared" si="151"/>
        <v/>
      </c>
      <c r="BY118" s="77" t="str">
        <f t="shared" si="151"/>
        <v/>
      </c>
      <c r="BZ118" s="77" t="str">
        <f t="shared" si="151"/>
        <v/>
      </c>
      <c r="CA118" s="77" t="str">
        <f t="shared" si="151"/>
        <v/>
      </c>
      <c r="CB118" s="77" t="str">
        <f t="shared" si="151"/>
        <v/>
      </c>
      <c r="CC118" s="77" t="str">
        <f t="shared" si="151"/>
        <v/>
      </c>
      <c r="CD118" s="77" t="str">
        <f t="shared" si="151"/>
        <v/>
      </c>
      <c r="CE118" s="77" t="str">
        <f t="shared" si="151"/>
        <v/>
      </c>
      <c r="CF118" s="77" t="str">
        <f t="shared" si="151"/>
        <v/>
      </c>
      <c r="CG118" s="77" t="str">
        <f t="shared" si="151"/>
        <v/>
      </c>
      <c r="CH118" s="77" t="str">
        <f t="shared" si="151"/>
        <v/>
      </c>
      <c r="CI118" s="77" t="str">
        <f t="shared" si="151"/>
        <v/>
      </c>
      <c r="CJ118" s="77" t="str">
        <f t="shared" si="151"/>
        <v/>
      </c>
      <c r="CK118" s="77" t="str">
        <f t="shared" si="150"/>
        <v/>
      </c>
      <c r="CL118" s="77" t="str">
        <f t="shared" si="150"/>
        <v/>
      </c>
      <c r="CM118" s="77" t="str">
        <f t="shared" si="150"/>
        <v/>
      </c>
      <c r="CN118" s="77" t="str">
        <f t="shared" si="150"/>
        <v/>
      </c>
      <c r="CO118" s="77" t="str">
        <f t="shared" si="150"/>
        <v/>
      </c>
      <c r="CP118" s="77" t="str">
        <f t="shared" si="150"/>
        <v/>
      </c>
      <c r="CQ118" s="77" t="str">
        <f t="shared" si="150"/>
        <v/>
      </c>
      <c r="CR118" s="77" t="str">
        <f t="shared" si="150"/>
        <v/>
      </c>
      <c r="CS118" s="77" t="str">
        <f t="shared" si="150"/>
        <v/>
      </c>
      <c r="CT118" s="77" t="str">
        <f t="shared" si="150"/>
        <v/>
      </c>
      <c r="CU118" s="77" t="str">
        <f t="shared" si="150"/>
        <v/>
      </c>
      <c r="CV118" s="77" t="str">
        <f t="shared" si="150"/>
        <v/>
      </c>
      <c r="CW118" s="77" t="str">
        <f t="shared" si="150"/>
        <v/>
      </c>
      <c r="CX118" s="77" t="str">
        <f t="shared" si="150"/>
        <v/>
      </c>
      <c r="CY118" s="77" t="str">
        <f t="shared" si="150"/>
        <v/>
      </c>
      <c r="CZ118" s="77" t="str">
        <f t="shared" si="150"/>
        <v/>
      </c>
      <c r="DA118" s="77" t="str">
        <f t="shared" si="150"/>
        <v/>
      </c>
      <c r="DB118" s="77" t="str">
        <f t="shared" si="150"/>
        <v/>
      </c>
      <c r="DC118" s="77" t="str">
        <f t="shared" si="150"/>
        <v/>
      </c>
      <c r="DD118" s="77" t="str">
        <f t="shared" si="150"/>
        <v/>
      </c>
      <c r="DE118" s="77" t="str">
        <f t="shared" si="150"/>
        <v/>
      </c>
      <c r="DF118" s="77" t="str">
        <f t="shared" si="150"/>
        <v/>
      </c>
      <c r="DG118" s="77" t="str">
        <f t="shared" si="150"/>
        <v/>
      </c>
      <c r="DH118" s="77" t="str">
        <f t="shared" si="150"/>
        <v/>
      </c>
      <c r="DI118" s="77" t="str">
        <f t="shared" si="150"/>
        <v/>
      </c>
      <c r="DJ118" s="77" t="str">
        <f t="shared" si="150"/>
        <v/>
      </c>
      <c r="DK118" s="77" t="str">
        <f t="shared" si="150"/>
        <v/>
      </c>
      <c r="DL118" s="77" t="str">
        <f t="shared" si="150"/>
        <v/>
      </c>
      <c r="DM118" s="77" t="str">
        <f t="shared" si="150"/>
        <v/>
      </c>
      <c r="DN118" s="77" t="str">
        <f t="shared" si="150"/>
        <v/>
      </c>
      <c r="DO118" s="77" t="str">
        <f t="shared" si="150"/>
        <v/>
      </c>
      <c r="DP118" s="77" t="str">
        <f t="shared" si="150"/>
        <v/>
      </c>
      <c r="DQ118" s="77" t="str">
        <f t="shared" si="150"/>
        <v/>
      </c>
      <c r="DR118" s="77" t="str">
        <f t="shared" si="150"/>
        <v/>
      </c>
      <c r="DS118" s="77" t="str">
        <f t="shared" si="150"/>
        <v/>
      </c>
      <c r="DT118" s="77" t="str">
        <f t="shared" si="150"/>
        <v/>
      </c>
      <c r="DU118" s="77" t="str">
        <f t="shared" si="150"/>
        <v/>
      </c>
      <c r="DV118" s="77" t="str">
        <f t="shared" si="150"/>
        <v/>
      </c>
      <c r="DW118" s="77" t="str">
        <f t="shared" si="150"/>
        <v/>
      </c>
      <c r="DX118" s="77" t="str">
        <f t="shared" si="150"/>
        <v/>
      </c>
      <c r="DY118" s="77" t="str">
        <f t="shared" si="150"/>
        <v/>
      </c>
      <c r="DZ118" s="77" t="str">
        <f t="shared" si="150"/>
        <v/>
      </c>
      <c r="EA118" s="77" t="str">
        <f t="shared" si="150"/>
        <v/>
      </c>
      <c r="EB118" s="77" t="str">
        <f t="shared" si="150"/>
        <v/>
      </c>
      <c r="EC118" s="77" t="str">
        <f t="shared" si="150"/>
        <v/>
      </c>
      <c r="ED118" s="77" t="str">
        <f t="shared" si="150"/>
        <v/>
      </c>
      <c r="EE118" s="77" t="str">
        <f t="shared" si="150"/>
        <v/>
      </c>
      <c r="EF118" s="77" t="str">
        <f t="shared" si="150"/>
        <v/>
      </c>
      <c r="EG118" s="77" t="str">
        <f t="shared" si="150"/>
        <v/>
      </c>
      <c r="EH118" s="77" t="str">
        <f t="shared" si="150"/>
        <v/>
      </c>
      <c r="EI118" s="77" t="str">
        <f t="shared" si="150"/>
        <v/>
      </c>
      <c r="EJ118" s="77" t="str">
        <f t="shared" si="150"/>
        <v/>
      </c>
      <c r="EK118" s="77" t="str">
        <f t="shared" si="150"/>
        <v/>
      </c>
      <c r="EL118" s="77" t="str">
        <f t="shared" si="150"/>
        <v/>
      </c>
      <c r="EM118" s="77" t="str">
        <f t="shared" si="150"/>
        <v/>
      </c>
      <c r="EN118" s="77" t="str">
        <f t="shared" si="150"/>
        <v/>
      </c>
      <c r="EO118" s="77" t="str">
        <f t="shared" si="150"/>
        <v/>
      </c>
      <c r="EP118" s="77" t="str">
        <f t="shared" si="150"/>
        <v/>
      </c>
      <c r="EQ118" s="77" t="str">
        <f t="shared" si="150"/>
        <v/>
      </c>
      <c r="ER118" s="77" t="str">
        <f t="shared" si="150"/>
        <v/>
      </c>
      <c r="ES118" s="77" t="str">
        <f t="shared" si="150"/>
        <v/>
      </c>
      <c r="ET118" s="77" t="str">
        <f t="shared" si="150"/>
        <v/>
      </c>
      <c r="EU118" s="77" t="str">
        <f t="shared" si="150"/>
        <v/>
      </c>
      <c r="EV118" s="77" t="str">
        <f t="shared" si="149"/>
        <v/>
      </c>
      <c r="EW118" s="77" t="str">
        <f t="shared" si="149"/>
        <v/>
      </c>
      <c r="EX118" s="77" t="str">
        <f t="shared" si="149"/>
        <v/>
      </c>
      <c r="EY118" s="77" t="str">
        <f t="shared" si="149"/>
        <v/>
      </c>
      <c r="EZ118" s="77" t="str">
        <f t="shared" si="149"/>
        <v/>
      </c>
      <c r="FA118" s="77" t="str">
        <f t="shared" si="149"/>
        <v/>
      </c>
      <c r="FB118" s="77" t="str">
        <f t="shared" si="149"/>
        <v/>
      </c>
      <c r="FC118" s="77" t="str">
        <f t="shared" si="149"/>
        <v/>
      </c>
      <c r="FD118" s="77" t="str">
        <f t="shared" si="149"/>
        <v/>
      </c>
      <c r="FE118" s="77" t="str">
        <f t="shared" si="149"/>
        <v/>
      </c>
      <c r="FF118" s="77" t="str">
        <f t="shared" si="149"/>
        <v/>
      </c>
      <c r="FG118" s="77" t="str">
        <f t="shared" si="149"/>
        <v/>
      </c>
      <c r="FH118" s="77" t="str">
        <f t="shared" si="149"/>
        <v/>
      </c>
      <c r="FI118" s="77" t="str">
        <f t="shared" si="149"/>
        <v/>
      </c>
      <c r="FJ118" s="77" t="str">
        <f t="shared" si="149"/>
        <v/>
      </c>
      <c r="FK118" s="77" t="str">
        <f t="shared" si="149"/>
        <v/>
      </c>
      <c r="FL118" s="77" t="str">
        <f t="shared" si="149"/>
        <v/>
      </c>
      <c r="FM118" s="77" t="str">
        <f t="shared" si="149"/>
        <v/>
      </c>
      <c r="FN118" s="77" t="str">
        <f t="shared" si="149"/>
        <v/>
      </c>
      <c r="FO118" s="77" t="str">
        <f t="shared" si="149"/>
        <v/>
      </c>
      <c r="FP118" s="77" t="str">
        <f t="shared" si="149"/>
        <v/>
      </c>
      <c r="FQ118" s="77" t="str">
        <f t="shared" si="149"/>
        <v/>
      </c>
      <c r="FR118" s="77" t="str">
        <f t="shared" si="149"/>
        <v/>
      </c>
      <c r="FS118" s="77" t="str">
        <f t="shared" si="149"/>
        <v/>
      </c>
      <c r="FT118" s="77" t="str">
        <f t="shared" si="149"/>
        <v/>
      </c>
      <c r="FU118" s="77" t="str">
        <f t="shared" si="149"/>
        <v/>
      </c>
      <c r="FV118" s="77" t="str">
        <f t="shared" si="149"/>
        <v/>
      </c>
      <c r="FW118" s="77" t="str">
        <f t="shared" si="149"/>
        <v/>
      </c>
      <c r="FX118" s="77" t="str">
        <f t="shared" si="149"/>
        <v/>
      </c>
      <c r="FY118" s="77" t="str">
        <f t="shared" si="149"/>
        <v/>
      </c>
      <c r="FZ118" s="77" t="str">
        <f t="shared" si="149"/>
        <v/>
      </c>
      <c r="GA118" s="77" t="str">
        <f t="shared" si="149"/>
        <v/>
      </c>
      <c r="GB118" s="77" t="str">
        <f t="shared" si="149"/>
        <v/>
      </c>
      <c r="GC118" s="77" t="str">
        <f t="shared" si="149"/>
        <v/>
      </c>
      <c r="GD118" s="77" t="str">
        <f t="shared" si="149"/>
        <v/>
      </c>
      <c r="GE118" s="77" t="str">
        <f t="shared" ref="GE118:GX118" si="152">IF(GD118="","",GD118+1)</f>
        <v/>
      </c>
      <c r="GF118" s="77" t="str">
        <f t="shared" si="152"/>
        <v/>
      </c>
      <c r="GG118" s="77" t="str">
        <f t="shared" si="152"/>
        <v/>
      </c>
      <c r="GH118" s="77" t="str">
        <f t="shared" si="152"/>
        <v/>
      </c>
      <c r="GI118" s="77" t="str">
        <f t="shared" si="152"/>
        <v/>
      </c>
      <c r="GJ118" s="77" t="str">
        <f t="shared" si="152"/>
        <v/>
      </c>
      <c r="GK118" s="77" t="str">
        <f t="shared" si="152"/>
        <v/>
      </c>
      <c r="GL118" s="77" t="str">
        <f t="shared" si="152"/>
        <v/>
      </c>
      <c r="GM118" s="77" t="str">
        <f t="shared" si="152"/>
        <v/>
      </c>
      <c r="GN118" s="77" t="str">
        <f t="shared" si="152"/>
        <v/>
      </c>
      <c r="GO118" s="77" t="str">
        <f t="shared" si="152"/>
        <v/>
      </c>
      <c r="GP118" s="77" t="str">
        <f t="shared" si="152"/>
        <v/>
      </c>
      <c r="GQ118" s="77" t="str">
        <f t="shared" si="152"/>
        <v/>
      </c>
      <c r="GR118" s="77" t="str">
        <f t="shared" si="152"/>
        <v/>
      </c>
      <c r="GS118" s="77" t="str">
        <f t="shared" si="152"/>
        <v/>
      </c>
      <c r="GT118" s="77" t="str">
        <f t="shared" si="152"/>
        <v/>
      </c>
      <c r="GU118" s="77" t="str">
        <f t="shared" si="152"/>
        <v/>
      </c>
      <c r="GV118" s="77" t="str">
        <f t="shared" si="152"/>
        <v/>
      </c>
      <c r="GW118" s="77" t="str">
        <f t="shared" si="152"/>
        <v/>
      </c>
      <c r="GX118" s="77" t="str">
        <f t="shared" si="152"/>
        <v/>
      </c>
    </row>
    <row r="119" spans="1:206" ht="15" customHeight="1" x14ac:dyDescent="0.2">
      <c r="A119" s="22" t="s">
        <v>194</v>
      </c>
      <c r="B119" s="22">
        <v>5</v>
      </c>
      <c r="C119" s="22" t="s">
        <v>194</v>
      </c>
      <c r="D119" s="22" t="s">
        <v>242</v>
      </c>
      <c r="E119" s="22" t="s">
        <v>243</v>
      </c>
      <c r="F119" s="22" t="s">
        <v>71</v>
      </c>
      <c r="G119" s="22" t="s">
        <v>72</v>
      </c>
      <c r="H119" s="22">
        <v>2024</v>
      </c>
      <c r="I119" s="22">
        <v>2</v>
      </c>
      <c r="J119" s="22">
        <v>21</v>
      </c>
      <c r="K119" s="22">
        <v>0</v>
      </c>
      <c r="L119" s="22">
        <v>3229</v>
      </c>
      <c r="M119" s="22">
        <v>3229</v>
      </c>
      <c r="N119" s="22" t="s">
        <v>196</v>
      </c>
      <c r="O119" s="22" t="s">
        <v>74</v>
      </c>
      <c r="P119" s="22" t="s">
        <v>216</v>
      </c>
      <c r="Q119" s="24"/>
      <c r="R119" s="22" t="str">
        <f>IF($E119="","",IFERROR(INDEX($W119:$GX119,MATCH('Dashboard Ciclos'!$B$2,$W$1:$GX$1,0)),""))</f>
        <v/>
      </c>
      <c r="S119" s="22" t="str">
        <f t="shared" si="128"/>
        <v>Sin dato</v>
      </c>
      <c r="T119" s="22" t="str">
        <f t="shared" si="129"/>
        <v>Sin dato</v>
      </c>
      <c r="U119" s="22" t="str">
        <f t="shared" si="130"/>
        <v/>
      </c>
      <c r="V119" s="23" t="str">
        <f t="shared" si="131"/>
        <v/>
      </c>
      <c r="W119" s="77" t="str">
        <f t="shared" si="125"/>
        <v/>
      </c>
      <c r="X119" s="77" t="str">
        <f t="shared" si="136"/>
        <v/>
      </c>
      <c r="Y119" s="77" t="str">
        <f t="shared" si="136"/>
        <v/>
      </c>
      <c r="Z119" s="77" t="str">
        <f t="shared" si="136"/>
        <v/>
      </c>
      <c r="AA119" s="77" t="s">
        <v>218</v>
      </c>
      <c r="AB119" s="77" t="str">
        <f t="shared" si="136"/>
        <v/>
      </c>
      <c r="AC119" s="77" t="str">
        <f t="shared" si="136"/>
        <v/>
      </c>
      <c r="AD119" s="77" t="str">
        <f t="shared" si="136"/>
        <v/>
      </c>
      <c r="AE119" s="77" t="str">
        <f t="shared" si="136"/>
        <v/>
      </c>
      <c r="AF119" s="77" t="str">
        <f t="shared" si="136"/>
        <v/>
      </c>
      <c r="AG119" s="77" t="str">
        <f t="shared" si="136"/>
        <v/>
      </c>
      <c r="AH119" s="77" t="str">
        <f t="shared" si="136"/>
        <v/>
      </c>
      <c r="AI119" s="77" t="str">
        <f t="shared" si="136"/>
        <v/>
      </c>
      <c r="AJ119" s="77" t="str">
        <f t="shared" si="136"/>
        <v/>
      </c>
      <c r="AK119" s="77" t="str">
        <f t="shared" si="139"/>
        <v/>
      </c>
      <c r="AL119" s="77" t="str">
        <f t="shared" si="139"/>
        <v/>
      </c>
      <c r="AM119" s="77" t="str">
        <f t="shared" si="139"/>
        <v/>
      </c>
      <c r="AN119" s="77" t="str">
        <f t="shared" si="91"/>
        <v/>
      </c>
      <c r="AO119" s="77" t="str">
        <f t="shared" si="139"/>
        <v/>
      </c>
      <c r="AP119" s="77" t="str">
        <f t="shared" si="139"/>
        <v/>
      </c>
      <c r="AQ119" s="77" t="str">
        <f t="shared" si="139"/>
        <v/>
      </c>
      <c r="AR119" s="77" t="str">
        <f t="shared" si="105"/>
        <v/>
      </c>
      <c r="AS119" s="77" t="str">
        <f t="shared" si="151"/>
        <v/>
      </c>
      <c r="AT119" s="77" t="str">
        <f t="shared" si="151"/>
        <v/>
      </c>
      <c r="AU119" s="77" t="str">
        <f t="shared" si="151"/>
        <v/>
      </c>
      <c r="AV119" s="77" t="str">
        <f t="shared" si="151"/>
        <v/>
      </c>
      <c r="AW119" s="77" t="str">
        <f t="shared" si="151"/>
        <v/>
      </c>
      <c r="AX119" s="77" t="str">
        <f t="shared" si="151"/>
        <v/>
      </c>
      <c r="AY119" s="77" t="str">
        <f t="shared" si="151"/>
        <v/>
      </c>
      <c r="AZ119" s="77" t="str">
        <f t="shared" si="151"/>
        <v/>
      </c>
      <c r="BA119" s="77" t="str">
        <f t="shared" si="151"/>
        <v/>
      </c>
      <c r="BB119" s="77" t="str">
        <f t="shared" si="151"/>
        <v/>
      </c>
      <c r="BC119" s="77" t="str">
        <f t="shared" si="151"/>
        <v/>
      </c>
      <c r="BD119" s="77" t="str">
        <f t="shared" si="151"/>
        <v/>
      </c>
      <c r="BE119" s="77" t="str">
        <f t="shared" si="151"/>
        <v/>
      </c>
      <c r="BF119" s="77" t="str">
        <f t="shared" si="151"/>
        <v/>
      </c>
      <c r="BG119" s="77" t="str">
        <f t="shared" si="151"/>
        <v/>
      </c>
      <c r="BH119" s="77" t="str">
        <f t="shared" si="151"/>
        <v/>
      </c>
      <c r="BI119" s="77" t="str">
        <f t="shared" si="151"/>
        <v/>
      </c>
      <c r="BJ119" s="77" t="str">
        <f t="shared" si="151"/>
        <v/>
      </c>
      <c r="BK119" s="77" t="str">
        <f t="shared" si="151"/>
        <v/>
      </c>
      <c r="BL119" s="77" t="str">
        <f t="shared" si="151"/>
        <v/>
      </c>
      <c r="BM119" s="77" t="str">
        <f t="shared" si="151"/>
        <v/>
      </c>
      <c r="BN119" s="77" t="str">
        <f t="shared" si="151"/>
        <v/>
      </c>
      <c r="BO119" s="77" t="str">
        <f t="shared" si="151"/>
        <v/>
      </c>
      <c r="BP119" s="77" t="str">
        <f t="shared" si="151"/>
        <v/>
      </c>
      <c r="BQ119" s="77" t="str">
        <f t="shared" si="151"/>
        <v/>
      </c>
      <c r="BR119" s="77" t="str">
        <f t="shared" si="151"/>
        <v/>
      </c>
      <c r="BS119" s="77" t="str">
        <f t="shared" si="151"/>
        <v/>
      </c>
      <c r="BT119" s="77" t="str">
        <f t="shared" si="151"/>
        <v/>
      </c>
      <c r="BU119" s="77" t="str">
        <f t="shared" si="151"/>
        <v/>
      </c>
      <c r="BV119" s="77" t="str">
        <f t="shared" si="151"/>
        <v/>
      </c>
      <c r="BW119" s="77" t="str">
        <f t="shared" si="151"/>
        <v/>
      </c>
      <c r="BX119" s="77" t="str">
        <f t="shared" si="151"/>
        <v/>
      </c>
      <c r="BY119" s="77" t="str">
        <f t="shared" si="151"/>
        <v/>
      </c>
      <c r="BZ119" s="77" t="str">
        <f t="shared" si="151"/>
        <v/>
      </c>
      <c r="CA119" s="77" t="str">
        <f t="shared" si="151"/>
        <v/>
      </c>
      <c r="CB119" s="77" t="str">
        <f t="shared" si="151"/>
        <v/>
      </c>
      <c r="CC119" s="77" t="str">
        <f t="shared" si="151"/>
        <v/>
      </c>
      <c r="CD119" s="77" t="str">
        <f t="shared" si="151"/>
        <v/>
      </c>
      <c r="CE119" s="77" t="str">
        <f t="shared" si="151"/>
        <v/>
      </c>
      <c r="CF119" s="77" t="str">
        <f t="shared" si="151"/>
        <v/>
      </c>
      <c r="CG119" s="77" t="str">
        <f t="shared" si="151"/>
        <v/>
      </c>
      <c r="CH119" s="77" t="str">
        <f t="shared" si="151"/>
        <v/>
      </c>
      <c r="CI119" s="77" t="str">
        <f t="shared" si="151"/>
        <v/>
      </c>
      <c r="CJ119" s="77" t="str">
        <f t="shared" ref="CJ119:EU122" si="153">IF(CI119="","",CI119+1)</f>
        <v/>
      </c>
      <c r="CK119" s="77" t="str">
        <f t="shared" si="153"/>
        <v/>
      </c>
      <c r="CL119" s="77" t="str">
        <f t="shared" si="153"/>
        <v/>
      </c>
      <c r="CM119" s="77" t="str">
        <f t="shared" si="153"/>
        <v/>
      </c>
      <c r="CN119" s="77" t="str">
        <f t="shared" si="153"/>
        <v/>
      </c>
      <c r="CO119" s="77" t="str">
        <f t="shared" si="153"/>
        <v/>
      </c>
      <c r="CP119" s="77" t="str">
        <f t="shared" si="153"/>
        <v/>
      </c>
      <c r="CQ119" s="77" t="str">
        <f t="shared" si="153"/>
        <v/>
      </c>
      <c r="CR119" s="77" t="str">
        <f t="shared" si="153"/>
        <v/>
      </c>
      <c r="CS119" s="77" t="str">
        <f t="shared" si="153"/>
        <v/>
      </c>
      <c r="CT119" s="77" t="str">
        <f t="shared" si="153"/>
        <v/>
      </c>
      <c r="CU119" s="77" t="str">
        <f t="shared" si="153"/>
        <v/>
      </c>
      <c r="CV119" s="77" t="str">
        <f t="shared" si="153"/>
        <v/>
      </c>
      <c r="CW119" s="77" t="str">
        <f t="shared" si="153"/>
        <v/>
      </c>
      <c r="CX119" s="77" t="str">
        <f t="shared" si="153"/>
        <v/>
      </c>
      <c r="CY119" s="77" t="str">
        <f t="shared" si="153"/>
        <v/>
      </c>
      <c r="CZ119" s="77" t="str">
        <f t="shared" si="153"/>
        <v/>
      </c>
      <c r="DA119" s="77" t="str">
        <f t="shared" si="153"/>
        <v/>
      </c>
      <c r="DB119" s="77" t="str">
        <f t="shared" si="153"/>
        <v/>
      </c>
      <c r="DC119" s="77" t="str">
        <f t="shared" si="153"/>
        <v/>
      </c>
      <c r="DD119" s="77" t="str">
        <f t="shared" si="153"/>
        <v/>
      </c>
      <c r="DE119" s="77" t="str">
        <f t="shared" si="153"/>
        <v/>
      </c>
      <c r="DF119" s="77" t="str">
        <f t="shared" si="153"/>
        <v/>
      </c>
      <c r="DG119" s="77" t="str">
        <f t="shared" si="153"/>
        <v/>
      </c>
      <c r="DH119" s="77" t="str">
        <f t="shared" si="153"/>
        <v/>
      </c>
      <c r="DI119" s="77" t="str">
        <f t="shared" si="153"/>
        <v/>
      </c>
      <c r="DJ119" s="77" t="str">
        <f t="shared" si="153"/>
        <v/>
      </c>
      <c r="DK119" s="77" t="str">
        <f t="shared" si="153"/>
        <v/>
      </c>
      <c r="DL119" s="77" t="str">
        <f t="shared" si="153"/>
        <v/>
      </c>
      <c r="DM119" s="77" t="str">
        <f t="shared" si="153"/>
        <v/>
      </c>
      <c r="DN119" s="77" t="str">
        <f t="shared" si="153"/>
        <v/>
      </c>
      <c r="DO119" s="77" t="str">
        <f t="shared" si="153"/>
        <v/>
      </c>
      <c r="DP119" s="77" t="str">
        <f t="shared" si="153"/>
        <v/>
      </c>
      <c r="DQ119" s="77" t="str">
        <f t="shared" si="153"/>
        <v/>
      </c>
      <c r="DR119" s="77" t="str">
        <f t="shared" si="153"/>
        <v/>
      </c>
      <c r="DS119" s="77" t="str">
        <f t="shared" si="153"/>
        <v/>
      </c>
      <c r="DT119" s="77" t="str">
        <f t="shared" si="153"/>
        <v/>
      </c>
      <c r="DU119" s="77" t="str">
        <f t="shared" si="153"/>
        <v/>
      </c>
      <c r="DV119" s="77" t="str">
        <f t="shared" si="153"/>
        <v/>
      </c>
      <c r="DW119" s="77" t="str">
        <f t="shared" si="153"/>
        <v/>
      </c>
      <c r="DX119" s="77" t="str">
        <f t="shared" si="153"/>
        <v/>
      </c>
      <c r="DY119" s="77" t="str">
        <f t="shared" si="153"/>
        <v/>
      </c>
      <c r="DZ119" s="77" t="str">
        <f t="shared" si="153"/>
        <v/>
      </c>
      <c r="EA119" s="77" t="str">
        <f t="shared" si="153"/>
        <v/>
      </c>
      <c r="EB119" s="77" t="str">
        <f t="shared" si="153"/>
        <v/>
      </c>
      <c r="EC119" s="77" t="str">
        <f t="shared" si="153"/>
        <v/>
      </c>
      <c r="ED119" s="77" t="str">
        <f t="shared" si="153"/>
        <v/>
      </c>
      <c r="EE119" s="77" t="str">
        <f t="shared" si="153"/>
        <v/>
      </c>
      <c r="EF119" s="77" t="str">
        <f t="shared" si="153"/>
        <v/>
      </c>
      <c r="EG119" s="77" t="str">
        <f t="shared" si="153"/>
        <v/>
      </c>
      <c r="EH119" s="77" t="str">
        <f t="shared" si="153"/>
        <v/>
      </c>
      <c r="EI119" s="77" t="str">
        <f t="shared" si="153"/>
        <v/>
      </c>
      <c r="EJ119" s="77" t="str">
        <f t="shared" si="153"/>
        <v/>
      </c>
      <c r="EK119" s="77" t="str">
        <f t="shared" si="153"/>
        <v/>
      </c>
      <c r="EL119" s="77" t="str">
        <f t="shared" si="153"/>
        <v/>
      </c>
      <c r="EM119" s="77" t="str">
        <f t="shared" si="153"/>
        <v/>
      </c>
      <c r="EN119" s="77" t="str">
        <f t="shared" si="153"/>
        <v/>
      </c>
      <c r="EO119" s="77" t="str">
        <f t="shared" si="153"/>
        <v/>
      </c>
      <c r="EP119" s="77" t="str">
        <f t="shared" si="153"/>
        <v/>
      </c>
      <c r="EQ119" s="77" t="str">
        <f t="shared" si="153"/>
        <v/>
      </c>
      <c r="ER119" s="77" t="str">
        <f t="shared" si="153"/>
        <v/>
      </c>
      <c r="ES119" s="77" t="str">
        <f t="shared" si="153"/>
        <v/>
      </c>
      <c r="ET119" s="77" t="str">
        <f t="shared" si="153"/>
        <v/>
      </c>
      <c r="EU119" s="77" t="str">
        <f t="shared" si="153"/>
        <v/>
      </c>
      <c r="EV119" s="77" t="str">
        <f t="shared" ref="EV119:GX123" si="154">IF(EU119="","",EU119+1)</f>
        <v/>
      </c>
      <c r="EW119" s="77" t="str">
        <f t="shared" si="154"/>
        <v/>
      </c>
      <c r="EX119" s="77" t="str">
        <f t="shared" si="154"/>
        <v/>
      </c>
      <c r="EY119" s="77" t="str">
        <f t="shared" si="154"/>
        <v/>
      </c>
      <c r="EZ119" s="77" t="str">
        <f t="shared" si="154"/>
        <v/>
      </c>
      <c r="FA119" s="77" t="str">
        <f t="shared" si="154"/>
        <v/>
      </c>
      <c r="FB119" s="77" t="str">
        <f t="shared" si="154"/>
        <v/>
      </c>
      <c r="FC119" s="77" t="str">
        <f t="shared" si="154"/>
        <v/>
      </c>
      <c r="FD119" s="77" t="str">
        <f t="shared" si="154"/>
        <v/>
      </c>
      <c r="FE119" s="77" t="str">
        <f t="shared" si="154"/>
        <v/>
      </c>
      <c r="FF119" s="77" t="str">
        <f t="shared" si="154"/>
        <v/>
      </c>
      <c r="FG119" s="77" t="str">
        <f t="shared" si="154"/>
        <v/>
      </c>
      <c r="FH119" s="77" t="str">
        <f t="shared" si="154"/>
        <v/>
      </c>
      <c r="FI119" s="77" t="str">
        <f t="shared" si="154"/>
        <v/>
      </c>
      <c r="FJ119" s="77" t="str">
        <f t="shared" si="154"/>
        <v/>
      </c>
      <c r="FK119" s="77" t="str">
        <f t="shared" si="154"/>
        <v/>
      </c>
      <c r="FL119" s="77" t="str">
        <f t="shared" si="154"/>
        <v/>
      </c>
      <c r="FM119" s="77" t="str">
        <f t="shared" si="154"/>
        <v/>
      </c>
      <c r="FN119" s="77" t="str">
        <f t="shared" si="154"/>
        <v/>
      </c>
      <c r="FO119" s="77" t="str">
        <f t="shared" si="154"/>
        <v/>
      </c>
      <c r="FP119" s="77" t="str">
        <f t="shared" si="154"/>
        <v/>
      </c>
      <c r="FQ119" s="77" t="str">
        <f t="shared" si="154"/>
        <v/>
      </c>
      <c r="FR119" s="77" t="str">
        <f t="shared" si="154"/>
        <v/>
      </c>
      <c r="FS119" s="77" t="str">
        <f t="shared" si="154"/>
        <v/>
      </c>
      <c r="FT119" s="77" t="str">
        <f t="shared" si="154"/>
        <v/>
      </c>
      <c r="FU119" s="77" t="str">
        <f t="shared" si="154"/>
        <v/>
      </c>
      <c r="FV119" s="77" t="str">
        <f t="shared" si="154"/>
        <v/>
      </c>
      <c r="FW119" s="77" t="str">
        <f t="shared" si="154"/>
        <v/>
      </c>
      <c r="FX119" s="77" t="str">
        <f t="shared" si="154"/>
        <v/>
      </c>
      <c r="FY119" s="77" t="str">
        <f t="shared" si="154"/>
        <v/>
      </c>
      <c r="FZ119" s="77" t="str">
        <f t="shared" si="154"/>
        <v/>
      </c>
      <c r="GA119" s="77" t="str">
        <f t="shared" si="154"/>
        <v/>
      </c>
      <c r="GB119" s="77" t="str">
        <f t="shared" si="154"/>
        <v/>
      </c>
      <c r="GC119" s="77" t="str">
        <f t="shared" si="154"/>
        <v/>
      </c>
      <c r="GD119" s="77" t="str">
        <f t="shared" si="154"/>
        <v/>
      </c>
      <c r="GE119" s="77" t="str">
        <f t="shared" si="154"/>
        <v/>
      </c>
      <c r="GF119" s="77" t="str">
        <f t="shared" si="154"/>
        <v/>
      </c>
      <c r="GG119" s="77" t="str">
        <f t="shared" si="154"/>
        <v/>
      </c>
      <c r="GH119" s="77" t="str">
        <f t="shared" si="154"/>
        <v/>
      </c>
      <c r="GI119" s="77" t="str">
        <f t="shared" si="154"/>
        <v/>
      </c>
      <c r="GJ119" s="77" t="str">
        <f t="shared" si="154"/>
        <v/>
      </c>
      <c r="GK119" s="77" t="str">
        <f t="shared" si="154"/>
        <v/>
      </c>
      <c r="GL119" s="77" t="str">
        <f t="shared" si="154"/>
        <v/>
      </c>
      <c r="GM119" s="77" t="str">
        <f t="shared" si="154"/>
        <v/>
      </c>
      <c r="GN119" s="77" t="str">
        <f t="shared" si="154"/>
        <v/>
      </c>
      <c r="GO119" s="77" t="str">
        <f t="shared" si="154"/>
        <v/>
      </c>
      <c r="GP119" s="77" t="str">
        <f t="shared" si="154"/>
        <v/>
      </c>
      <c r="GQ119" s="77" t="str">
        <f t="shared" si="154"/>
        <v/>
      </c>
      <c r="GR119" s="77" t="str">
        <f t="shared" si="154"/>
        <v/>
      </c>
      <c r="GS119" s="77" t="str">
        <f t="shared" si="154"/>
        <v/>
      </c>
      <c r="GT119" s="77" t="str">
        <f t="shared" si="154"/>
        <v/>
      </c>
      <c r="GU119" s="77" t="str">
        <f t="shared" si="154"/>
        <v/>
      </c>
      <c r="GV119" s="77" t="str">
        <f t="shared" si="154"/>
        <v/>
      </c>
      <c r="GW119" s="77" t="str">
        <f t="shared" si="154"/>
        <v/>
      </c>
      <c r="GX119" s="77" t="str">
        <f t="shared" si="154"/>
        <v/>
      </c>
    </row>
    <row r="120" spans="1:206" ht="15" customHeight="1" x14ac:dyDescent="0.2">
      <c r="A120" s="22" t="s">
        <v>194</v>
      </c>
      <c r="B120" s="22">
        <v>5</v>
      </c>
      <c r="C120" s="22" t="s">
        <v>194</v>
      </c>
      <c r="D120" s="22">
        <v>7</v>
      </c>
      <c r="E120" s="22" t="s">
        <v>244</v>
      </c>
      <c r="F120" s="22" t="s">
        <v>71</v>
      </c>
      <c r="G120" s="22" t="s">
        <v>72</v>
      </c>
      <c r="H120" s="22">
        <v>2024</v>
      </c>
      <c r="I120" s="22">
        <v>2</v>
      </c>
      <c r="J120" s="22">
        <v>23</v>
      </c>
      <c r="K120" s="22">
        <v>0</v>
      </c>
      <c r="L120" s="22">
        <v>3338</v>
      </c>
      <c r="M120" s="22">
        <v>3338</v>
      </c>
      <c r="N120" s="22" t="s">
        <v>196</v>
      </c>
      <c r="O120" s="22" t="s">
        <v>74</v>
      </c>
      <c r="P120" s="22" t="s">
        <v>216</v>
      </c>
      <c r="Q120" s="24"/>
      <c r="R120" s="22" t="str">
        <f>IF($E120="","",IFERROR(INDEX($W120:$GX120,MATCH('Dashboard Ciclos'!$B$2,$W$1:$GX$1,0)),""))</f>
        <v/>
      </c>
      <c r="S120" s="22" t="str">
        <f t="shared" si="128"/>
        <v>Sin dato</v>
      </c>
      <c r="T120" s="22" t="str">
        <f t="shared" si="129"/>
        <v>Sin dato</v>
      </c>
      <c r="U120" s="22" t="str">
        <f t="shared" si="130"/>
        <v/>
      </c>
      <c r="V120" s="23" t="str">
        <f t="shared" si="131"/>
        <v/>
      </c>
      <c r="W120" s="77" t="str">
        <f t="shared" si="125"/>
        <v/>
      </c>
      <c r="X120" s="77" t="str">
        <f t="shared" si="136"/>
        <v/>
      </c>
      <c r="Y120" s="77" t="str">
        <f t="shared" si="136"/>
        <v/>
      </c>
      <c r="Z120" s="77" t="str">
        <f t="shared" si="136"/>
        <v/>
      </c>
      <c r="AA120" s="77" t="s">
        <v>218</v>
      </c>
      <c r="AB120" s="77" t="str">
        <f t="shared" si="136"/>
        <v/>
      </c>
      <c r="AC120" s="77" t="str">
        <f t="shared" si="136"/>
        <v/>
      </c>
      <c r="AD120" s="77" t="str">
        <f t="shared" si="136"/>
        <v/>
      </c>
      <c r="AE120" s="77" t="str">
        <f t="shared" si="136"/>
        <v/>
      </c>
      <c r="AF120" s="77" t="str">
        <f t="shared" si="136"/>
        <v/>
      </c>
      <c r="AG120" s="77" t="str">
        <f t="shared" si="136"/>
        <v/>
      </c>
      <c r="AH120" s="77" t="str">
        <f t="shared" si="136"/>
        <v/>
      </c>
      <c r="AI120" s="77" t="str">
        <f t="shared" si="136"/>
        <v/>
      </c>
      <c r="AJ120" s="77" t="str">
        <f t="shared" si="136"/>
        <v/>
      </c>
      <c r="AK120" s="77" t="str">
        <f t="shared" si="136"/>
        <v/>
      </c>
      <c r="AL120" s="77" t="str">
        <f t="shared" si="136"/>
        <v/>
      </c>
      <c r="AM120" s="77" t="str">
        <f t="shared" si="136"/>
        <v/>
      </c>
      <c r="AN120" s="77" t="str">
        <f t="shared" si="91"/>
        <v/>
      </c>
      <c r="AO120" s="77" t="str">
        <f t="shared" ref="AK120:AQ126" si="155">IF(AN120="","",AN120+1)</f>
        <v/>
      </c>
      <c r="AP120" s="77" t="str">
        <f t="shared" si="155"/>
        <v/>
      </c>
      <c r="AQ120" s="77" t="str">
        <f t="shared" si="155"/>
        <v/>
      </c>
      <c r="AR120" s="77" t="str">
        <f t="shared" si="105"/>
        <v/>
      </c>
      <c r="AS120" s="77" t="str">
        <f t="shared" ref="AS120:CJ123" si="156">IF(AR120="","",AR120+1)</f>
        <v/>
      </c>
      <c r="AT120" s="77" t="str">
        <f t="shared" si="156"/>
        <v/>
      </c>
      <c r="AU120" s="77" t="str">
        <f t="shared" si="156"/>
        <v/>
      </c>
      <c r="AV120" s="77" t="str">
        <f t="shared" si="156"/>
        <v/>
      </c>
      <c r="AW120" s="77" t="str">
        <f t="shared" si="156"/>
        <v/>
      </c>
      <c r="AX120" s="77" t="str">
        <f t="shared" si="156"/>
        <v/>
      </c>
      <c r="AY120" s="77" t="str">
        <f t="shared" si="156"/>
        <v/>
      </c>
      <c r="AZ120" s="77" t="str">
        <f t="shared" si="156"/>
        <v/>
      </c>
      <c r="BA120" s="77" t="str">
        <f t="shared" si="156"/>
        <v/>
      </c>
      <c r="BB120" s="77" t="str">
        <f t="shared" si="156"/>
        <v/>
      </c>
      <c r="BC120" s="77" t="str">
        <f t="shared" si="156"/>
        <v/>
      </c>
      <c r="BD120" s="77" t="str">
        <f t="shared" si="156"/>
        <v/>
      </c>
      <c r="BE120" s="77" t="str">
        <f t="shared" si="156"/>
        <v/>
      </c>
      <c r="BF120" s="77" t="str">
        <f t="shared" si="156"/>
        <v/>
      </c>
      <c r="BG120" s="77" t="str">
        <f t="shared" si="156"/>
        <v/>
      </c>
      <c r="BH120" s="77" t="str">
        <f t="shared" si="156"/>
        <v/>
      </c>
      <c r="BI120" s="77" t="str">
        <f t="shared" si="156"/>
        <v/>
      </c>
      <c r="BJ120" s="77" t="str">
        <f t="shared" si="156"/>
        <v/>
      </c>
      <c r="BK120" s="77" t="str">
        <f t="shared" si="156"/>
        <v/>
      </c>
      <c r="BL120" s="77" t="str">
        <f t="shared" si="156"/>
        <v/>
      </c>
      <c r="BM120" s="77" t="str">
        <f t="shared" si="156"/>
        <v/>
      </c>
      <c r="BN120" s="77" t="str">
        <f t="shared" si="156"/>
        <v/>
      </c>
      <c r="BO120" s="77" t="str">
        <f t="shared" si="156"/>
        <v/>
      </c>
      <c r="BP120" s="77" t="str">
        <f t="shared" si="156"/>
        <v/>
      </c>
      <c r="BQ120" s="77" t="str">
        <f t="shared" si="156"/>
        <v/>
      </c>
      <c r="BR120" s="77" t="str">
        <f t="shared" si="156"/>
        <v/>
      </c>
      <c r="BS120" s="77" t="str">
        <f t="shared" si="156"/>
        <v/>
      </c>
      <c r="BT120" s="77" t="str">
        <f t="shared" si="156"/>
        <v/>
      </c>
      <c r="BU120" s="77" t="str">
        <f t="shared" si="156"/>
        <v/>
      </c>
      <c r="BV120" s="77" t="str">
        <f t="shared" si="156"/>
        <v/>
      </c>
      <c r="BW120" s="77" t="str">
        <f t="shared" si="156"/>
        <v/>
      </c>
      <c r="BX120" s="77" t="str">
        <f t="shared" si="156"/>
        <v/>
      </c>
      <c r="BY120" s="77" t="str">
        <f t="shared" si="156"/>
        <v/>
      </c>
      <c r="BZ120" s="77" t="str">
        <f t="shared" si="156"/>
        <v/>
      </c>
      <c r="CA120" s="77" t="str">
        <f t="shared" si="156"/>
        <v/>
      </c>
      <c r="CB120" s="77" t="str">
        <f t="shared" si="156"/>
        <v/>
      </c>
      <c r="CC120" s="77" t="str">
        <f t="shared" si="156"/>
        <v/>
      </c>
      <c r="CD120" s="77" t="str">
        <f t="shared" si="156"/>
        <v/>
      </c>
      <c r="CE120" s="77" t="str">
        <f t="shared" si="156"/>
        <v/>
      </c>
      <c r="CF120" s="77" t="str">
        <f t="shared" si="156"/>
        <v/>
      </c>
      <c r="CG120" s="77" t="str">
        <f t="shared" si="156"/>
        <v/>
      </c>
      <c r="CH120" s="77" t="str">
        <f t="shared" si="156"/>
        <v/>
      </c>
      <c r="CI120" s="77" t="str">
        <f t="shared" si="156"/>
        <v/>
      </c>
      <c r="CJ120" s="77" t="str">
        <f t="shared" si="156"/>
        <v/>
      </c>
      <c r="CK120" s="77" t="str">
        <f t="shared" si="153"/>
        <v/>
      </c>
      <c r="CL120" s="77" t="str">
        <f t="shared" si="153"/>
        <v/>
      </c>
      <c r="CM120" s="77" t="str">
        <f t="shared" si="153"/>
        <v/>
      </c>
      <c r="CN120" s="77" t="str">
        <f t="shared" si="153"/>
        <v/>
      </c>
      <c r="CO120" s="77" t="str">
        <f t="shared" si="153"/>
        <v/>
      </c>
      <c r="CP120" s="77" t="str">
        <f t="shared" si="153"/>
        <v/>
      </c>
      <c r="CQ120" s="77" t="str">
        <f t="shared" si="153"/>
        <v/>
      </c>
      <c r="CR120" s="77" t="str">
        <f t="shared" si="153"/>
        <v/>
      </c>
      <c r="CS120" s="77" t="str">
        <f t="shared" si="153"/>
        <v/>
      </c>
      <c r="CT120" s="77" t="str">
        <f t="shared" si="153"/>
        <v/>
      </c>
      <c r="CU120" s="77" t="str">
        <f t="shared" si="153"/>
        <v/>
      </c>
      <c r="CV120" s="77" t="str">
        <f t="shared" si="153"/>
        <v/>
      </c>
      <c r="CW120" s="77" t="str">
        <f t="shared" si="153"/>
        <v/>
      </c>
      <c r="CX120" s="77" t="str">
        <f t="shared" si="153"/>
        <v/>
      </c>
      <c r="CY120" s="77" t="str">
        <f t="shared" si="153"/>
        <v/>
      </c>
      <c r="CZ120" s="77" t="str">
        <f t="shared" si="153"/>
        <v/>
      </c>
      <c r="DA120" s="77" t="str">
        <f t="shared" si="153"/>
        <v/>
      </c>
      <c r="DB120" s="77" t="str">
        <f t="shared" si="153"/>
        <v/>
      </c>
      <c r="DC120" s="77" t="str">
        <f t="shared" si="153"/>
        <v/>
      </c>
      <c r="DD120" s="77" t="str">
        <f t="shared" si="153"/>
        <v/>
      </c>
      <c r="DE120" s="77" t="str">
        <f t="shared" si="153"/>
        <v/>
      </c>
      <c r="DF120" s="77" t="str">
        <f t="shared" si="153"/>
        <v/>
      </c>
      <c r="DG120" s="77" t="str">
        <f t="shared" si="153"/>
        <v/>
      </c>
      <c r="DH120" s="77" t="str">
        <f t="shared" si="153"/>
        <v/>
      </c>
      <c r="DI120" s="77" t="str">
        <f t="shared" si="153"/>
        <v/>
      </c>
      <c r="DJ120" s="77" t="str">
        <f t="shared" si="153"/>
        <v/>
      </c>
      <c r="DK120" s="77" t="str">
        <f t="shared" si="153"/>
        <v/>
      </c>
      <c r="DL120" s="77" t="str">
        <f t="shared" si="153"/>
        <v/>
      </c>
      <c r="DM120" s="77" t="str">
        <f t="shared" si="153"/>
        <v/>
      </c>
      <c r="DN120" s="77" t="str">
        <f t="shared" si="153"/>
        <v/>
      </c>
      <c r="DO120" s="77" t="str">
        <f t="shared" si="153"/>
        <v/>
      </c>
      <c r="DP120" s="77" t="str">
        <f t="shared" si="153"/>
        <v/>
      </c>
      <c r="DQ120" s="77" t="str">
        <f t="shared" si="153"/>
        <v/>
      </c>
      <c r="DR120" s="77" t="str">
        <f t="shared" si="153"/>
        <v/>
      </c>
      <c r="DS120" s="77" t="str">
        <f t="shared" si="153"/>
        <v/>
      </c>
      <c r="DT120" s="77" t="str">
        <f t="shared" si="153"/>
        <v/>
      </c>
      <c r="DU120" s="77" t="str">
        <f t="shared" si="153"/>
        <v/>
      </c>
      <c r="DV120" s="77" t="str">
        <f t="shared" si="153"/>
        <v/>
      </c>
      <c r="DW120" s="77" t="str">
        <f t="shared" si="153"/>
        <v/>
      </c>
      <c r="DX120" s="77" t="str">
        <f t="shared" si="153"/>
        <v/>
      </c>
      <c r="DY120" s="77" t="str">
        <f t="shared" si="153"/>
        <v/>
      </c>
      <c r="DZ120" s="77" t="str">
        <f t="shared" si="153"/>
        <v/>
      </c>
      <c r="EA120" s="77" t="str">
        <f t="shared" si="153"/>
        <v/>
      </c>
      <c r="EB120" s="77" t="str">
        <f t="shared" si="153"/>
        <v/>
      </c>
      <c r="EC120" s="77" t="str">
        <f t="shared" si="153"/>
        <v/>
      </c>
      <c r="ED120" s="77" t="str">
        <f t="shared" si="153"/>
        <v/>
      </c>
      <c r="EE120" s="77" t="str">
        <f t="shared" si="153"/>
        <v/>
      </c>
      <c r="EF120" s="77" t="str">
        <f t="shared" si="153"/>
        <v/>
      </c>
      <c r="EG120" s="77" t="str">
        <f t="shared" si="153"/>
        <v/>
      </c>
      <c r="EH120" s="77" t="str">
        <f t="shared" si="153"/>
        <v/>
      </c>
      <c r="EI120" s="77" t="str">
        <f t="shared" si="153"/>
        <v/>
      </c>
      <c r="EJ120" s="77" t="str">
        <f t="shared" si="153"/>
        <v/>
      </c>
      <c r="EK120" s="77" t="str">
        <f t="shared" si="153"/>
        <v/>
      </c>
      <c r="EL120" s="77" t="str">
        <f t="shared" si="153"/>
        <v/>
      </c>
      <c r="EM120" s="77" t="str">
        <f t="shared" si="153"/>
        <v/>
      </c>
      <c r="EN120" s="77" t="str">
        <f t="shared" si="153"/>
        <v/>
      </c>
      <c r="EO120" s="77" t="str">
        <f t="shared" si="153"/>
        <v/>
      </c>
      <c r="EP120" s="77" t="str">
        <f t="shared" si="153"/>
        <v/>
      </c>
      <c r="EQ120" s="77" t="str">
        <f t="shared" si="153"/>
        <v/>
      </c>
      <c r="ER120" s="77" t="str">
        <f t="shared" si="153"/>
        <v/>
      </c>
      <c r="ES120" s="77" t="str">
        <f t="shared" si="153"/>
        <v/>
      </c>
      <c r="ET120" s="77" t="str">
        <f t="shared" si="153"/>
        <v/>
      </c>
      <c r="EU120" s="77" t="str">
        <f t="shared" si="153"/>
        <v/>
      </c>
      <c r="EV120" s="77" t="str">
        <f t="shared" si="154"/>
        <v/>
      </c>
      <c r="EW120" s="77" t="str">
        <f t="shared" si="154"/>
        <v/>
      </c>
      <c r="EX120" s="77" t="str">
        <f t="shared" si="154"/>
        <v/>
      </c>
      <c r="EY120" s="77" t="str">
        <f t="shared" si="154"/>
        <v/>
      </c>
      <c r="EZ120" s="77" t="str">
        <f t="shared" si="154"/>
        <v/>
      </c>
      <c r="FA120" s="77" t="str">
        <f t="shared" si="154"/>
        <v/>
      </c>
      <c r="FB120" s="77" t="str">
        <f t="shared" si="154"/>
        <v/>
      </c>
      <c r="FC120" s="77" t="str">
        <f t="shared" si="154"/>
        <v/>
      </c>
      <c r="FD120" s="77" t="str">
        <f t="shared" si="154"/>
        <v/>
      </c>
      <c r="FE120" s="77" t="str">
        <f t="shared" si="154"/>
        <v/>
      </c>
      <c r="FF120" s="77" t="str">
        <f t="shared" si="154"/>
        <v/>
      </c>
      <c r="FG120" s="77" t="str">
        <f t="shared" si="154"/>
        <v/>
      </c>
      <c r="FH120" s="77" t="str">
        <f t="shared" si="154"/>
        <v/>
      </c>
      <c r="FI120" s="77" t="str">
        <f t="shared" si="154"/>
        <v/>
      </c>
      <c r="FJ120" s="77" t="str">
        <f t="shared" si="154"/>
        <v/>
      </c>
      <c r="FK120" s="77" t="str">
        <f t="shared" si="154"/>
        <v/>
      </c>
      <c r="FL120" s="77" t="str">
        <f t="shared" si="154"/>
        <v/>
      </c>
      <c r="FM120" s="77" t="str">
        <f t="shared" si="154"/>
        <v/>
      </c>
      <c r="FN120" s="77" t="str">
        <f t="shared" si="154"/>
        <v/>
      </c>
      <c r="FO120" s="77" t="str">
        <f t="shared" si="154"/>
        <v/>
      </c>
      <c r="FP120" s="77" t="str">
        <f t="shared" si="154"/>
        <v/>
      </c>
      <c r="FQ120" s="77" t="str">
        <f t="shared" si="154"/>
        <v/>
      </c>
      <c r="FR120" s="77" t="str">
        <f t="shared" si="154"/>
        <v/>
      </c>
      <c r="FS120" s="77" t="str">
        <f t="shared" si="154"/>
        <v/>
      </c>
      <c r="FT120" s="77" t="str">
        <f t="shared" si="154"/>
        <v/>
      </c>
      <c r="FU120" s="77" t="str">
        <f t="shared" si="154"/>
        <v/>
      </c>
      <c r="FV120" s="77" t="str">
        <f t="shared" si="154"/>
        <v/>
      </c>
      <c r="FW120" s="77" t="str">
        <f t="shared" si="154"/>
        <v/>
      </c>
      <c r="FX120" s="77" t="str">
        <f t="shared" si="154"/>
        <v/>
      </c>
      <c r="FY120" s="77" t="str">
        <f t="shared" si="154"/>
        <v/>
      </c>
      <c r="FZ120" s="77" t="str">
        <f t="shared" si="154"/>
        <v/>
      </c>
      <c r="GA120" s="77" t="str">
        <f t="shared" si="154"/>
        <v/>
      </c>
      <c r="GB120" s="77" t="str">
        <f t="shared" si="154"/>
        <v/>
      </c>
      <c r="GC120" s="77" t="str">
        <f t="shared" si="154"/>
        <v/>
      </c>
      <c r="GD120" s="77" t="str">
        <f t="shared" si="154"/>
        <v/>
      </c>
      <c r="GE120" s="77" t="str">
        <f t="shared" si="154"/>
        <v/>
      </c>
      <c r="GF120" s="77" t="str">
        <f t="shared" si="154"/>
        <v/>
      </c>
      <c r="GG120" s="77" t="str">
        <f t="shared" si="154"/>
        <v/>
      </c>
      <c r="GH120" s="77" t="str">
        <f t="shared" si="154"/>
        <v/>
      </c>
      <c r="GI120" s="77" t="str">
        <f t="shared" si="154"/>
        <v/>
      </c>
      <c r="GJ120" s="77" t="str">
        <f t="shared" si="154"/>
        <v/>
      </c>
      <c r="GK120" s="77" t="str">
        <f t="shared" si="154"/>
        <v/>
      </c>
      <c r="GL120" s="77" t="str">
        <f t="shared" si="154"/>
        <v/>
      </c>
      <c r="GM120" s="77" t="str">
        <f t="shared" si="154"/>
        <v/>
      </c>
      <c r="GN120" s="77" t="str">
        <f t="shared" si="154"/>
        <v/>
      </c>
      <c r="GO120" s="77" t="str">
        <f t="shared" si="154"/>
        <v/>
      </c>
      <c r="GP120" s="77" t="str">
        <f t="shared" si="154"/>
        <v/>
      </c>
      <c r="GQ120" s="77" t="str">
        <f t="shared" si="154"/>
        <v/>
      </c>
      <c r="GR120" s="77" t="str">
        <f t="shared" si="154"/>
        <v/>
      </c>
      <c r="GS120" s="77" t="str">
        <f t="shared" si="154"/>
        <v/>
      </c>
      <c r="GT120" s="77" t="str">
        <f t="shared" si="154"/>
        <v/>
      </c>
      <c r="GU120" s="77" t="str">
        <f t="shared" si="154"/>
        <v/>
      </c>
      <c r="GV120" s="77" t="str">
        <f t="shared" si="154"/>
        <v/>
      </c>
      <c r="GW120" s="77" t="str">
        <f t="shared" si="154"/>
        <v/>
      </c>
      <c r="GX120" s="77" t="str">
        <f t="shared" si="154"/>
        <v/>
      </c>
    </row>
    <row r="121" spans="1:206" ht="15" customHeight="1" x14ac:dyDescent="0.2">
      <c r="A121" s="22" t="s">
        <v>194</v>
      </c>
      <c r="B121" s="22">
        <v>5</v>
      </c>
      <c r="C121" s="22" t="s">
        <v>194</v>
      </c>
      <c r="D121" s="22" t="s">
        <v>245</v>
      </c>
      <c r="E121" s="22" t="s">
        <v>246</v>
      </c>
      <c r="F121" s="22" t="s">
        <v>71</v>
      </c>
      <c r="G121" s="22" t="s">
        <v>72</v>
      </c>
      <c r="H121" s="22">
        <v>2024</v>
      </c>
      <c r="I121" s="22">
        <v>2</v>
      </c>
      <c r="J121" s="22">
        <v>22</v>
      </c>
      <c r="K121" s="22">
        <v>0</v>
      </c>
      <c r="L121" s="22">
        <v>3085</v>
      </c>
      <c r="M121" s="22">
        <v>3085</v>
      </c>
      <c r="N121" s="22" t="s">
        <v>196</v>
      </c>
      <c r="O121" s="22" t="s">
        <v>74</v>
      </c>
      <c r="P121" s="22" t="s">
        <v>216</v>
      </c>
      <c r="Q121" s="24"/>
      <c r="R121" s="22" t="str">
        <f>IF($E121="","",IFERROR(INDEX($W121:$GX121,MATCH('Dashboard Ciclos'!$B$2,$W$1:$GX$1,0)),""))</f>
        <v/>
      </c>
      <c r="S121" s="22" t="str">
        <f t="shared" si="128"/>
        <v>Sin dato</v>
      </c>
      <c r="T121" s="22" t="str">
        <f t="shared" si="129"/>
        <v>Sin dato</v>
      </c>
      <c r="U121" s="22" t="str">
        <f t="shared" si="130"/>
        <v/>
      </c>
      <c r="V121" s="23" t="str">
        <f t="shared" si="131"/>
        <v/>
      </c>
      <c r="W121" s="77" t="str">
        <f t="shared" si="125"/>
        <v/>
      </c>
      <c r="X121" s="77" t="str">
        <f t="shared" si="136"/>
        <v/>
      </c>
      <c r="Y121" s="77" t="str">
        <f t="shared" si="136"/>
        <v/>
      </c>
      <c r="Z121" s="77" t="str">
        <f t="shared" si="136"/>
        <v/>
      </c>
      <c r="AA121" s="77" t="s">
        <v>218</v>
      </c>
      <c r="AB121" s="77" t="str">
        <f t="shared" si="136"/>
        <v/>
      </c>
      <c r="AC121" s="77" t="str">
        <f t="shared" si="136"/>
        <v/>
      </c>
      <c r="AD121" s="77" t="str">
        <f t="shared" si="136"/>
        <v/>
      </c>
      <c r="AE121" s="77" t="str">
        <f t="shared" si="136"/>
        <v/>
      </c>
      <c r="AF121" s="77" t="str">
        <f t="shared" si="136"/>
        <v/>
      </c>
      <c r="AG121" s="77" t="str">
        <f t="shared" si="136"/>
        <v/>
      </c>
      <c r="AH121" s="77" t="str">
        <f t="shared" si="136"/>
        <v/>
      </c>
      <c r="AI121" s="77" t="str">
        <f t="shared" si="136"/>
        <v/>
      </c>
      <c r="AJ121" s="77" t="str">
        <f t="shared" si="136"/>
        <v/>
      </c>
      <c r="AK121" s="77" t="str">
        <f t="shared" si="155"/>
        <v/>
      </c>
      <c r="AL121" s="77" t="str">
        <f t="shared" si="155"/>
        <v/>
      </c>
      <c r="AM121" s="77" t="str">
        <f t="shared" si="155"/>
        <v/>
      </c>
      <c r="AN121" s="77" t="str">
        <f t="shared" si="91"/>
        <v/>
      </c>
      <c r="AO121" s="77" t="str">
        <f t="shared" si="155"/>
        <v/>
      </c>
      <c r="AP121" s="77" t="str">
        <f t="shared" si="155"/>
        <v/>
      </c>
      <c r="AQ121" s="77" t="str">
        <f t="shared" si="155"/>
        <v/>
      </c>
      <c r="AR121" s="77" t="str">
        <f t="shared" si="105"/>
        <v/>
      </c>
      <c r="AS121" s="77" t="str">
        <f t="shared" si="156"/>
        <v/>
      </c>
      <c r="AT121" s="77" t="str">
        <f t="shared" si="156"/>
        <v/>
      </c>
      <c r="AU121" s="77" t="str">
        <f t="shared" si="156"/>
        <v/>
      </c>
      <c r="AV121" s="77" t="str">
        <f t="shared" si="156"/>
        <v/>
      </c>
      <c r="AW121" s="77" t="str">
        <f t="shared" si="156"/>
        <v/>
      </c>
      <c r="AX121" s="77" t="str">
        <f t="shared" si="156"/>
        <v/>
      </c>
      <c r="AY121" s="77" t="str">
        <f t="shared" si="156"/>
        <v/>
      </c>
      <c r="AZ121" s="77" t="str">
        <f t="shared" si="156"/>
        <v/>
      </c>
      <c r="BA121" s="77" t="str">
        <f t="shared" si="156"/>
        <v/>
      </c>
      <c r="BB121" s="77" t="str">
        <f t="shared" si="156"/>
        <v/>
      </c>
      <c r="BC121" s="77" t="str">
        <f t="shared" si="156"/>
        <v/>
      </c>
      <c r="BD121" s="77" t="str">
        <f t="shared" si="156"/>
        <v/>
      </c>
      <c r="BE121" s="77" t="str">
        <f t="shared" si="156"/>
        <v/>
      </c>
      <c r="BF121" s="77" t="str">
        <f t="shared" si="156"/>
        <v/>
      </c>
      <c r="BG121" s="77" t="str">
        <f t="shared" si="156"/>
        <v/>
      </c>
      <c r="BH121" s="77" t="str">
        <f t="shared" si="156"/>
        <v/>
      </c>
      <c r="BI121" s="77" t="str">
        <f t="shared" si="156"/>
        <v/>
      </c>
      <c r="BJ121" s="77" t="str">
        <f t="shared" si="156"/>
        <v/>
      </c>
      <c r="BK121" s="77" t="str">
        <f t="shared" si="156"/>
        <v/>
      </c>
      <c r="BL121" s="77" t="str">
        <f t="shared" si="156"/>
        <v/>
      </c>
      <c r="BM121" s="77" t="str">
        <f t="shared" si="156"/>
        <v/>
      </c>
      <c r="BN121" s="77" t="str">
        <f t="shared" si="156"/>
        <v/>
      </c>
      <c r="BO121" s="77" t="str">
        <f t="shared" si="156"/>
        <v/>
      </c>
      <c r="BP121" s="77" t="str">
        <f t="shared" si="156"/>
        <v/>
      </c>
      <c r="BQ121" s="77" t="str">
        <f t="shared" si="156"/>
        <v/>
      </c>
      <c r="BR121" s="77" t="str">
        <f t="shared" si="156"/>
        <v/>
      </c>
      <c r="BS121" s="77" t="str">
        <f t="shared" si="156"/>
        <v/>
      </c>
      <c r="BT121" s="77" t="str">
        <f t="shared" si="156"/>
        <v/>
      </c>
      <c r="BU121" s="77" t="str">
        <f t="shared" si="156"/>
        <v/>
      </c>
      <c r="BV121" s="77" t="str">
        <f t="shared" si="156"/>
        <v/>
      </c>
      <c r="BW121" s="77" t="str">
        <f t="shared" si="156"/>
        <v/>
      </c>
      <c r="BX121" s="77" t="str">
        <f t="shared" si="156"/>
        <v/>
      </c>
      <c r="BY121" s="77" t="str">
        <f t="shared" si="156"/>
        <v/>
      </c>
      <c r="BZ121" s="77" t="str">
        <f t="shared" si="156"/>
        <v/>
      </c>
      <c r="CA121" s="77" t="str">
        <f t="shared" si="156"/>
        <v/>
      </c>
      <c r="CB121" s="77" t="str">
        <f t="shared" si="156"/>
        <v/>
      </c>
      <c r="CC121" s="77" t="str">
        <f t="shared" si="156"/>
        <v/>
      </c>
      <c r="CD121" s="77" t="str">
        <f t="shared" si="156"/>
        <v/>
      </c>
      <c r="CE121" s="77" t="str">
        <f t="shared" si="156"/>
        <v/>
      </c>
      <c r="CF121" s="77" t="str">
        <f t="shared" si="156"/>
        <v/>
      </c>
      <c r="CG121" s="77" t="str">
        <f t="shared" si="156"/>
        <v/>
      </c>
      <c r="CH121" s="77" t="str">
        <f t="shared" si="156"/>
        <v/>
      </c>
      <c r="CI121" s="77" t="str">
        <f t="shared" si="156"/>
        <v/>
      </c>
      <c r="CJ121" s="77" t="str">
        <f t="shared" si="156"/>
        <v/>
      </c>
      <c r="CK121" s="77" t="str">
        <f t="shared" si="153"/>
        <v/>
      </c>
      <c r="CL121" s="77" t="str">
        <f t="shared" si="153"/>
        <v/>
      </c>
      <c r="CM121" s="77" t="str">
        <f t="shared" si="153"/>
        <v/>
      </c>
      <c r="CN121" s="77" t="str">
        <f t="shared" si="153"/>
        <v/>
      </c>
      <c r="CO121" s="77" t="str">
        <f t="shared" si="153"/>
        <v/>
      </c>
      <c r="CP121" s="77" t="str">
        <f t="shared" si="153"/>
        <v/>
      </c>
      <c r="CQ121" s="77" t="str">
        <f t="shared" si="153"/>
        <v/>
      </c>
      <c r="CR121" s="77" t="str">
        <f t="shared" si="153"/>
        <v/>
      </c>
      <c r="CS121" s="77" t="str">
        <f t="shared" si="153"/>
        <v/>
      </c>
      <c r="CT121" s="77" t="str">
        <f t="shared" si="153"/>
        <v/>
      </c>
      <c r="CU121" s="77" t="str">
        <f t="shared" si="153"/>
        <v/>
      </c>
      <c r="CV121" s="77" t="str">
        <f t="shared" si="153"/>
        <v/>
      </c>
      <c r="CW121" s="77" t="str">
        <f t="shared" si="153"/>
        <v/>
      </c>
      <c r="CX121" s="77" t="str">
        <f t="shared" si="153"/>
        <v/>
      </c>
      <c r="CY121" s="77" t="str">
        <f t="shared" si="153"/>
        <v/>
      </c>
      <c r="CZ121" s="77" t="str">
        <f t="shared" si="153"/>
        <v/>
      </c>
      <c r="DA121" s="77" t="str">
        <f t="shared" si="153"/>
        <v/>
      </c>
      <c r="DB121" s="77" t="str">
        <f t="shared" si="153"/>
        <v/>
      </c>
      <c r="DC121" s="77" t="str">
        <f t="shared" si="153"/>
        <v/>
      </c>
      <c r="DD121" s="77" t="str">
        <f t="shared" si="153"/>
        <v/>
      </c>
      <c r="DE121" s="77" t="str">
        <f t="shared" si="153"/>
        <v/>
      </c>
      <c r="DF121" s="77" t="str">
        <f t="shared" si="153"/>
        <v/>
      </c>
      <c r="DG121" s="77" t="str">
        <f t="shared" si="153"/>
        <v/>
      </c>
      <c r="DH121" s="77" t="str">
        <f t="shared" si="153"/>
        <v/>
      </c>
      <c r="DI121" s="77" t="str">
        <f t="shared" si="153"/>
        <v/>
      </c>
      <c r="DJ121" s="77" t="str">
        <f t="shared" si="153"/>
        <v/>
      </c>
      <c r="DK121" s="77" t="str">
        <f t="shared" si="153"/>
        <v/>
      </c>
      <c r="DL121" s="77" t="str">
        <f t="shared" si="153"/>
        <v/>
      </c>
      <c r="DM121" s="77" t="str">
        <f t="shared" si="153"/>
        <v/>
      </c>
      <c r="DN121" s="77" t="str">
        <f t="shared" si="153"/>
        <v/>
      </c>
      <c r="DO121" s="77" t="str">
        <f t="shared" si="153"/>
        <v/>
      </c>
      <c r="DP121" s="77" t="str">
        <f t="shared" si="153"/>
        <v/>
      </c>
      <c r="DQ121" s="77" t="str">
        <f t="shared" si="153"/>
        <v/>
      </c>
      <c r="DR121" s="77" t="str">
        <f t="shared" si="153"/>
        <v/>
      </c>
      <c r="DS121" s="77" t="str">
        <f t="shared" si="153"/>
        <v/>
      </c>
      <c r="DT121" s="77" t="str">
        <f t="shared" si="153"/>
        <v/>
      </c>
      <c r="DU121" s="77" t="str">
        <f t="shared" si="153"/>
        <v/>
      </c>
      <c r="DV121" s="77" t="str">
        <f t="shared" si="153"/>
        <v/>
      </c>
      <c r="DW121" s="77" t="str">
        <f t="shared" si="153"/>
        <v/>
      </c>
      <c r="DX121" s="77" t="str">
        <f t="shared" si="153"/>
        <v/>
      </c>
      <c r="DY121" s="77" t="str">
        <f t="shared" si="153"/>
        <v/>
      </c>
      <c r="DZ121" s="77" t="str">
        <f t="shared" si="153"/>
        <v/>
      </c>
      <c r="EA121" s="77" t="str">
        <f t="shared" si="153"/>
        <v/>
      </c>
      <c r="EB121" s="77" t="str">
        <f t="shared" si="153"/>
        <v/>
      </c>
      <c r="EC121" s="77" t="str">
        <f t="shared" si="153"/>
        <v/>
      </c>
      <c r="ED121" s="77" t="str">
        <f t="shared" si="153"/>
        <v/>
      </c>
      <c r="EE121" s="77" t="str">
        <f t="shared" si="153"/>
        <v/>
      </c>
      <c r="EF121" s="77" t="str">
        <f t="shared" si="153"/>
        <v/>
      </c>
      <c r="EG121" s="77" t="str">
        <f t="shared" si="153"/>
        <v/>
      </c>
      <c r="EH121" s="77" t="str">
        <f t="shared" si="153"/>
        <v/>
      </c>
      <c r="EI121" s="77" t="str">
        <f t="shared" si="153"/>
        <v/>
      </c>
      <c r="EJ121" s="77" t="str">
        <f t="shared" si="153"/>
        <v/>
      </c>
      <c r="EK121" s="77" t="str">
        <f t="shared" si="153"/>
        <v/>
      </c>
      <c r="EL121" s="77" t="str">
        <f t="shared" si="153"/>
        <v/>
      </c>
      <c r="EM121" s="77" t="str">
        <f t="shared" si="153"/>
        <v/>
      </c>
      <c r="EN121" s="77" t="str">
        <f t="shared" si="153"/>
        <v/>
      </c>
      <c r="EO121" s="77" t="str">
        <f t="shared" si="153"/>
        <v/>
      </c>
      <c r="EP121" s="77" t="str">
        <f t="shared" si="153"/>
        <v/>
      </c>
      <c r="EQ121" s="77" t="str">
        <f t="shared" si="153"/>
        <v/>
      </c>
      <c r="ER121" s="77" t="str">
        <f t="shared" si="153"/>
        <v/>
      </c>
      <c r="ES121" s="77" t="str">
        <f t="shared" si="153"/>
        <v/>
      </c>
      <c r="ET121" s="77" t="str">
        <f t="shared" si="153"/>
        <v/>
      </c>
      <c r="EU121" s="77" t="str">
        <f t="shared" si="153"/>
        <v/>
      </c>
      <c r="EV121" s="77" t="str">
        <f t="shared" si="154"/>
        <v/>
      </c>
      <c r="EW121" s="77" t="str">
        <f t="shared" si="154"/>
        <v/>
      </c>
      <c r="EX121" s="77" t="str">
        <f t="shared" si="154"/>
        <v/>
      </c>
      <c r="EY121" s="77" t="str">
        <f t="shared" si="154"/>
        <v/>
      </c>
      <c r="EZ121" s="77" t="str">
        <f t="shared" si="154"/>
        <v/>
      </c>
      <c r="FA121" s="77" t="str">
        <f t="shared" si="154"/>
        <v/>
      </c>
      <c r="FB121" s="77" t="str">
        <f t="shared" si="154"/>
        <v/>
      </c>
      <c r="FC121" s="77" t="str">
        <f t="shared" si="154"/>
        <v/>
      </c>
      <c r="FD121" s="77" t="str">
        <f t="shared" si="154"/>
        <v/>
      </c>
      <c r="FE121" s="77" t="str">
        <f t="shared" si="154"/>
        <v/>
      </c>
      <c r="FF121" s="77" t="str">
        <f t="shared" si="154"/>
        <v/>
      </c>
      <c r="FG121" s="77" t="str">
        <f t="shared" si="154"/>
        <v/>
      </c>
      <c r="FH121" s="77" t="str">
        <f t="shared" si="154"/>
        <v/>
      </c>
      <c r="FI121" s="77" t="str">
        <f t="shared" si="154"/>
        <v/>
      </c>
      <c r="FJ121" s="77" t="str">
        <f t="shared" si="154"/>
        <v/>
      </c>
      <c r="FK121" s="77" t="str">
        <f t="shared" si="154"/>
        <v/>
      </c>
      <c r="FL121" s="77" t="str">
        <f t="shared" si="154"/>
        <v/>
      </c>
      <c r="FM121" s="77" t="str">
        <f t="shared" si="154"/>
        <v/>
      </c>
      <c r="FN121" s="77" t="str">
        <f t="shared" si="154"/>
        <v/>
      </c>
      <c r="FO121" s="77" t="str">
        <f t="shared" si="154"/>
        <v/>
      </c>
      <c r="FP121" s="77" t="str">
        <f t="shared" si="154"/>
        <v/>
      </c>
      <c r="FQ121" s="77" t="str">
        <f t="shared" si="154"/>
        <v/>
      </c>
      <c r="FR121" s="77" t="str">
        <f t="shared" si="154"/>
        <v/>
      </c>
      <c r="FS121" s="77" t="str">
        <f t="shared" si="154"/>
        <v/>
      </c>
      <c r="FT121" s="77" t="str">
        <f t="shared" si="154"/>
        <v/>
      </c>
      <c r="FU121" s="77" t="str">
        <f t="shared" si="154"/>
        <v/>
      </c>
      <c r="FV121" s="77" t="str">
        <f t="shared" si="154"/>
        <v/>
      </c>
      <c r="FW121" s="77" t="str">
        <f t="shared" si="154"/>
        <v/>
      </c>
      <c r="FX121" s="77" t="str">
        <f t="shared" si="154"/>
        <v/>
      </c>
      <c r="FY121" s="77" t="str">
        <f t="shared" si="154"/>
        <v/>
      </c>
      <c r="FZ121" s="77" t="str">
        <f t="shared" si="154"/>
        <v/>
      </c>
      <c r="GA121" s="77" t="str">
        <f t="shared" si="154"/>
        <v/>
      </c>
      <c r="GB121" s="77" t="str">
        <f t="shared" si="154"/>
        <v/>
      </c>
      <c r="GC121" s="77" t="str">
        <f t="shared" si="154"/>
        <v/>
      </c>
      <c r="GD121" s="77" t="str">
        <f t="shared" si="154"/>
        <v/>
      </c>
      <c r="GE121" s="77" t="str">
        <f t="shared" si="154"/>
        <v/>
      </c>
      <c r="GF121" s="77" t="str">
        <f t="shared" si="154"/>
        <v/>
      </c>
      <c r="GG121" s="77" t="str">
        <f t="shared" si="154"/>
        <v/>
      </c>
      <c r="GH121" s="77" t="str">
        <f t="shared" si="154"/>
        <v/>
      </c>
      <c r="GI121" s="77" t="str">
        <f t="shared" si="154"/>
        <v/>
      </c>
      <c r="GJ121" s="77" t="str">
        <f t="shared" si="154"/>
        <v/>
      </c>
      <c r="GK121" s="77" t="str">
        <f t="shared" si="154"/>
        <v/>
      </c>
      <c r="GL121" s="77" t="str">
        <f t="shared" si="154"/>
        <v/>
      </c>
      <c r="GM121" s="77" t="str">
        <f t="shared" si="154"/>
        <v/>
      </c>
      <c r="GN121" s="77" t="str">
        <f t="shared" si="154"/>
        <v/>
      </c>
      <c r="GO121" s="77" t="str">
        <f t="shared" si="154"/>
        <v/>
      </c>
      <c r="GP121" s="77" t="str">
        <f t="shared" si="154"/>
        <v/>
      </c>
      <c r="GQ121" s="77" t="str">
        <f t="shared" si="154"/>
        <v/>
      </c>
      <c r="GR121" s="77" t="str">
        <f t="shared" si="154"/>
        <v/>
      </c>
      <c r="GS121" s="77" t="str">
        <f t="shared" si="154"/>
        <v/>
      </c>
      <c r="GT121" s="77" t="str">
        <f t="shared" si="154"/>
        <v/>
      </c>
      <c r="GU121" s="77" t="str">
        <f t="shared" si="154"/>
        <v/>
      </c>
      <c r="GV121" s="77" t="str">
        <f t="shared" si="154"/>
        <v/>
      </c>
      <c r="GW121" s="77" t="str">
        <f t="shared" si="154"/>
        <v/>
      </c>
      <c r="GX121" s="77" t="str">
        <f t="shared" si="154"/>
        <v/>
      </c>
    </row>
    <row r="122" spans="1:206" ht="15" customHeight="1" x14ac:dyDescent="0.2">
      <c r="A122" s="22" t="s">
        <v>194</v>
      </c>
      <c r="B122" s="22">
        <v>5</v>
      </c>
      <c r="C122" s="22" t="s">
        <v>194</v>
      </c>
      <c r="D122" s="22">
        <v>8</v>
      </c>
      <c r="E122" s="22" t="s">
        <v>247</v>
      </c>
      <c r="F122" s="22" t="s">
        <v>71</v>
      </c>
      <c r="G122" s="22" t="s">
        <v>72</v>
      </c>
      <c r="H122" s="22">
        <v>2024</v>
      </c>
      <c r="I122" s="22">
        <v>2</v>
      </c>
      <c r="J122" s="22">
        <v>21</v>
      </c>
      <c r="K122" s="22">
        <v>0</v>
      </c>
      <c r="L122" s="22">
        <v>3076</v>
      </c>
      <c r="M122" s="22">
        <v>3076</v>
      </c>
      <c r="N122" s="22" t="s">
        <v>196</v>
      </c>
      <c r="O122" s="22" t="s">
        <v>74</v>
      </c>
      <c r="P122" s="22" t="s">
        <v>216</v>
      </c>
      <c r="Q122" s="24"/>
      <c r="R122" s="22" t="str">
        <f>IF($E122="","",IFERROR(INDEX($W122:$GX122,MATCH('Dashboard Ciclos'!$B$2,$W$1:$GX$1,0)),""))</f>
        <v/>
      </c>
      <c r="S122" s="22" t="str">
        <f t="shared" si="128"/>
        <v>Sin dato</v>
      </c>
      <c r="T122" s="22" t="str">
        <f t="shared" si="129"/>
        <v>Sin dato</v>
      </c>
      <c r="U122" s="22" t="str">
        <f t="shared" si="130"/>
        <v/>
      </c>
      <c r="V122" s="23" t="str">
        <f t="shared" si="131"/>
        <v/>
      </c>
      <c r="W122" s="77" t="str">
        <f t="shared" si="125"/>
        <v/>
      </c>
      <c r="X122" s="77" t="str">
        <f t="shared" si="136"/>
        <v/>
      </c>
      <c r="Y122" s="77" t="str">
        <f t="shared" si="136"/>
        <v/>
      </c>
      <c r="Z122" s="77" t="str">
        <f t="shared" si="136"/>
        <v/>
      </c>
      <c r="AA122" s="77" t="s">
        <v>218</v>
      </c>
      <c r="AB122" s="77" t="str">
        <f t="shared" si="136"/>
        <v/>
      </c>
      <c r="AC122" s="77" t="str">
        <f t="shared" si="136"/>
        <v/>
      </c>
      <c r="AD122" s="77" t="str">
        <f t="shared" si="136"/>
        <v/>
      </c>
      <c r="AE122" s="77" t="str">
        <f t="shared" si="136"/>
        <v/>
      </c>
      <c r="AF122" s="77" t="str">
        <f t="shared" si="136"/>
        <v/>
      </c>
      <c r="AG122" s="77" t="str">
        <f t="shared" si="136"/>
        <v/>
      </c>
      <c r="AH122" s="77" t="str">
        <f t="shared" si="136"/>
        <v/>
      </c>
      <c r="AI122" s="77" t="str">
        <f t="shared" si="136"/>
        <v/>
      </c>
      <c r="AJ122" s="77" t="str">
        <f t="shared" si="136"/>
        <v/>
      </c>
      <c r="AK122" s="77" t="str">
        <f t="shared" si="155"/>
        <v/>
      </c>
      <c r="AL122" s="77" t="str">
        <f t="shared" si="155"/>
        <v/>
      </c>
      <c r="AM122" s="77" t="str">
        <f t="shared" si="155"/>
        <v/>
      </c>
      <c r="AN122" s="77" t="str">
        <f t="shared" si="91"/>
        <v/>
      </c>
      <c r="AO122" s="77" t="str">
        <f t="shared" si="155"/>
        <v/>
      </c>
      <c r="AP122" s="77" t="str">
        <f t="shared" si="155"/>
        <v/>
      </c>
      <c r="AQ122" s="77" t="str">
        <f t="shared" si="155"/>
        <v/>
      </c>
      <c r="AR122" s="77" t="str">
        <f t="shared" si="105"/>
        <v/>
      </c>
      <c r="AS122" s="77" t="str">
        <f t="shared" si="156"/>
        <v/>
      </c>
      <c r="AT122" s="77" t="str">
        <f t="shared" si="156"/>
        <v/>
      </c>
      <c r="AU122" s="77" t="str">
        <f t="shared" si="156"/>
        <v/>
      </c>
      <c r="AV122" s="77" t="str">
        <f t="shared" si="156"/>
        <v/>
      </c>
      <c r="AW122" s="77" t="str">
        <f t="shared" si="156"/>
        <v/>
      </c>
      <c r="AX122" s="77" t="str">
        <f t="shared" si="156"/>
        <v/>
      </c>
      <c r="AY122" s="77" t="str">
        <f t="shared" si="156"/>
        <v/>
      </c>
      <c r="AZ122" s="77" t="str">
        <f t="shared" si="156"/>
        <v/>
      </c>
      <c r="BA122" s="77" t="str">
        <f t="shared" si="156"/>
        <v/>
      </c>
      <c r="BB122" s="77" t="str">
        <f t="shared" si="156"/>
        <v/>
      </c>
      <c r="BC122" s="77" t="str">
        <f t="shared" si="156"/>
        <v/>
      </c>
      <c r="BD122" s="77" t="str">
        <f t="shared" si="156"/>
        <v/>
      </c>
      <c r="BE122" s="77" t="str">
        <f t="shared" si="156"/>
        <v/>
      </c>
      <c r="BF122" s="77" t="str">
        <f t="shared" si="156"/>
        <v/>
      </c>
      <c r="BG122" s="77" t="str">
        <f t="shared" si="156"/>
        <v/>
      </c>
      <c r="BH122" s="77" t="str">
        <f t="shared" si="156"/>
        <v/>
      </c>
      <c r="BI122" s="77" t="str">
        <f t="shared" si="156"/>
        <v/>
      </c>
      <c r="BJ122" s="77" t="str">
        <f t="shared" si="156"/>
        <v/>
      </c>
      <c r="BK122" s="77" t="str">
        <f t="shared" si="156"/>
        <v/>
      </c>
      <c r="BL122" s="77" t="str">
        <f t="shared" si="156"/>
        <v/>
      </c>
      <c r="BM122" s="77" t="str">
        <f t="shared" si="156"/>
        <v/>
      </c>
      <c r="BN122" s="77" t="str">
        <f t="shared" si="156"/>
        <v/>
      </c>
      <c r="BO122" s="77" t="str">
        <f t="shared" si="156"/>
        <v/>
      </c>
      <c r="BP122" s="77" t="str">
        <f t="shared" si="156"/>
        <v/>
      </c>
      <c r="BQ122" s="77" t="str">
        <f t="shared" si="156"/>
        <v/>
      </c>
      <c r="BR122" s="77" t="str">
        <f t="shared" si="156"/>
        <v/>
      </c>
      <c r="BS122" s="77" t="str">
        <f t="shared" si="156"/>
        <v/>
      </c>
      <c r="BT122" s="77" t="str">
        <f t="shared" si="156"/>
        <v/>
      </c>
      <c r="BU122" s="77" t="str">
        <f t="shared" si="156"/>
        <v/>
      </c>
      <c r="BV122" s="77" t="str">
        <f t="shared" si="156"/>
        <v/>
      </c>
      <c r="BW122" s="77" t="str">
        <f t="shared" si="156"/>
        <v/>
      </c>
      <c r="BX122" s="77" t="str">
        <f t="shared" si="156"/>
        <v/>
      </c>
      <c r="BY122" s="77" t="str">
        <f t="shared" si="156"/>
        <v/>
      </c>
      <c r="BZ122" s="77" t="str">
        <f t="shared" si="156"/>
        <v/>
      </c>
      <c r="CA122" s="77" t="str">
        <f t="shared" si="156"/>
        <v/>
      </c>
      <c r="CB122" s="77" t="str">
        <f t="shared" si="156"/>
        <v/>
      </c>
      <c r="CC122" s="77" t="str">
        <f t="shared" si="156"/>
        <v/>
      </c>
      <c r="CD122" s="77" t="str">
        <f t="shared" si="156"/>
        <v/>
      </c>
      <c r="CE122" s="77" t="str">
        <f t="shared" si="156"/>
        <v/>
      </c>
      <c r="CF122" s="77" t="str">
        <f t="shared" si="156"/>
        <v/>
      </c>
      <c r="CG122" s="77" t="str">
        <f t="shared" si="156"/>
        <v/>
      </c>
      <c r="CH122" s="77" t="str">
        <f t="shared" si="156"/>
        <v/>
      </c>
      <c r="CI122" s="77" t="str">
        <f t="shared" si="156"/>
        <v/>
      </c>
      <c r="CJ122" s="77" t="str">
        <f t="shared" si="156"/>
        <v/>
      </c>
      <c r="CK122" s="77" t="str">
        <f t="shared" si="153"/>
        <v/>
      </c>
      <c r="CL122" s="77" t="str">
        <f t="shared" si="153"/>
        <v/>
      </c>
      <c r="CM122" s="77" t="str">
        <f t="shared" si="153"/>
        <v/>
      </c>
      <c r="CN122" s="77" t="str">
        <f t="shared" si="153"/>
        <v/>
      </c>
      <c r="CO122" s="77" t="str">
        <f t="shared" si="153"/>
        <v/>
      </c>
      <c r="CP122" s="77" t="str">
        <f t="shared" si="153"/>
        <v/>
      </c>
      <c r="CQ122" s="77" t="str">
        <f t="shared" si="153"/>
        <v/>
      </c>
      <c r="CR122" s="77" t="str">
        <f t="shared" si="153"/>
        <v/>
      </c>
      <c r="CS122" s="77" t="str">
        <f t="shared" si="153"/>
        <v/>
      </c>
      <c r="CT122" s="77" t="str">
        <f t="shared" si="153"/>
        <v/>
      </c>
      <c r="CU122" s="77" t="str">
        <f t="shared" si="153"/>
        <v/>
      </c>
      <c r="CV122" s="77" t="str">
        <f t="shared" si="153"/>
        <v/>
      </c>
      <c r="CW122" s="77" t="str">
        <f t="shared" si="153"/>
        <v/>
      </c>
      <c r="CX122" s="77" t="str">
        <f t="shared" si="153"/>
        <v/>
      </c>
      <c r="CY122" s="77" t="str">
        <f t="shared" si="153"/>
        <v/>
      </c>
      <c r="CZ122" s="77" t="str">
        <f t="shared" si="153"/>
        <v/>
      </c>
      <c r="DA122" s="77" t="str">
        <f t="shared" si="153"/>
        <v/>
      </c>
      <c r="DB122" s="77" t="str">
        <f t="shared" si="153"/>
        <v/>
      </c>
      <c r="DC122" s="77" t="str">
        <f t="shared" si="153"/>
        <v/>
      </c>
      <c r="DD122" s="77" t="str">
        <f t="shared" si="153"/>
        <v/>
      </c>
      <c r="DE122" s="77" t="str">
        <f t="shared" si="153"/>
        <v/>
      </c>
      <c r="DF122" s="77" t="str">
        <f t="shared" si="153"/>
        <v/>
      </c>
      <c r="DG122" s="77" t="str">
        <f t="shared" si="153"/>
        <v/>
      </c>
      <c r="DH122" s="77" t="str">
        <f t="shared" si="153"/>
        <v/>
      </c>
      <c r="DI122" s="77" t="str">
        <f t="shared" si="153"/>
        <v/>
      </c>
      <c r="DJ122" s="77" t="str">
        <f t="shared" si="153"/>
        <v/>
      </c>
      <c r="DK122" s="77" t="str">
        <f t="shared" si="153"/>
        <v/>
      </c>
      <c r="DL122" s="77" t="str">
        <f t="shared" si="153"/>
        <v/>
      </c>
      <c r="DM122" s="77" t="str">
        <f t="shared" si="153"/>
        <v/>
      </c>
      <c r="DN122" s="77" t="str">
        <f t="shared" si="153"/>
        <v/>
      </c>
      <c r="DO122" s="77" t="str">
        <f t="shared" si="153"/>
        <v/>
      </c>
      <c r="DP122" s="77" t="str">
        <f t="shared" si="153"/>
        <v/>
      </c>
      <c r="DQ122" s="77" t="str">
        <f t="shared" si="153"/>
        <v/>
      </c>
      <c r="DR122" s="77" t="str">
        <f t="shared" si="153"/>
        <v/>
      </c>
      <c r="DS122" s="77" t="str">
        <f t="shared" si="153"/>
        <v/>
      </c>
      <c r="DT122" s="77" t="str">
        <f t="shared" si="153"/>
        <v/>
      </c>
      <c r="DU122" s="77" t="str">
        <f t="shared" si="153"/>
        <v/>
      </c>
      <c r="DV122" s="77" t="str">
        <f t="shared" si="153"/>
        <v/>
      </c>
      <c r="DW122" s="77" t="str">
        <f t="shared" si="153"/>
        <v/>
      </c>
      <c r="DX122" s="77" t="str">
        <f t="shared" si="153"/>
        <v/>
      </c>
      <c r="DY122" s="77" t="str">
        <f t="shared" si="153"/>
        <v/>
      </c>
      <c r="DZ122" s="77" t="str">
        <f t="shared" si="153"/>
        <v/>
      </c>
      <c r="EA122" s="77" t="str">
        <f t="shared" si="153"/>
        <v/>
      </c>
      <c r="EB122" s="77" t="str">
        <f t="shared" si="153"/>
        <v/>
      </c>
      <c r="EC122" s="77" t="str">
        <f t="shared" si="153"/>
        <v/>
      </c>
      <c r="ED122" s="77" t="str">
        <f t="shared" si="153"/>
        <v/>
      </c>
      <c r="EE122" s="77" t="str">
        <f t="shared" si="153"/>
        <v/>
      </c>
      <c r="EF122" s="77" t="str">
        <f t="shared" si="153"/>
        <v/>
      </c>
      <c r="EG122" s="77" t="str">
        <f t="shared" si="153"/>
        <v/>
      </c>
      <c r="EH122" s="77" t="str">
        <f t="shared" si="153"/>
        <v/>
      </c>
      <c r="EI122" s="77" t="str">
        <f t="shared" si="153"/>
        <v/>
      </c>
      <c r="EJ122" s="77" t="str">
        <f t="shared" si="153"/>
        <v/>
      </c>
      <c r="EK122" s="77" t="str">
        <f t="shared" si="153"/>
        <v/>
      </c>
      <c r="EL122" s="77" t="str">
        <f t="shared" si="153"/>
        <v/>
      </c>
      <c r="EM122" s="77" t="str">
        <f t="shared" si="153"/>
        <v/>
      </c>
      <c r="EN122" s="77" t="str">
        <f t="shared" si="153"/>
        <v/>
      </c>
      <c r="EO122" s="77" t="str">
        <f t="shared" si="153"/>
        <v/>
      </c>
      <c r="EP122" s="77" t="str">
        <f t="shared" si="153"/>
        <v/>
      </c>
      <c r="EQ122" s="77" t="str">
        <f t="shared" si="153"/>
        <v/>
      </c>
      <c r="ER122" s="77" t="str">
        <f t="shared" si="153"/>
        <v/>
      </c>
      <c r="ES122" s="77" t="str">
        <f t="shared" si="153"/>
        <v/>
      </c>
      <c r="ET122" s="77" t="str">
        <f t="shared" si="153"/>
        <v/>
      </c>
      <c r="EU122" s="77" t="str">
        <f t="shared" si="153"/>
        <v/>
      </c>
      <c r="EV122" s="77" t="str">
        <f t="shared" si="154"/>
        <v/>
      </c>
      <c r="EW122" s="77" t="str">
        <f t="shared" si="154"/>
        <v/>
      </c>
      <c r="EX122" s="77" t="str">
        <f t="shared" si="154"/>
        <v/>
      </c>
      <c r="EY122" s="77" t="str">
        <f t="shared" si="154"/>
        <v/>
      </c>
      <c r="EZ122" s="77" t="str">
        <f t="shared" si="154"/>
        <v/>
      </c>
      <c r="FA122" s="77" t="str">
        <f t="shared" si="154"/>
        <v/>
      </c>
      <c r="FB122" s="77" t="str">
        <f t="shared" si="154"/>
        <v/>
      </c>
      <c r="FC122" s="77" t="str">
        <f t="shared" si="154"/>
        <v/>
      </c>
      <c r="FD122" s="77" t="str">
        <f t="shared" si="154"/>
        <v/>
      </c>
      <c r="FE122" s="77" t="str">
        <f t="shared" si="154"/>
        <v/>
      </c>
      <c r="FF122" s="77" t="str">
        <f t="shared" si="154"/>
        <v/>
      </c>
      <c r="FG122" s="77" t="str">
        <f t="shared" si="154"/>
        <v/>
      </c>
      <c r="FH122" s="77" t="str">
        <f t="shared" si="154"/>
        <v/>
      </c>
      <c r="FI122" s="77" t="str">
        <f t="shared" si="154"/>
        <v/>
      </c>
      <c r="FJ122" s="77" t="str">
        <f t="shared" si="154"/>
        <v/>
      </c>
      <c r="FK122" s="77" t="str">
        <f t="shared" si="154"/>
        <v/>
      </c>
      <c r="FL122" s="77" t="str">
        <f t="shared" si="154"/>
        <v/>
      </c>
      <c r="FM122" s="77" t="str">
        <f t="shared" si="154"/>
        <v/>
      </c>
      <c r="FN122" s="77" t="str">
        <f t="shared" si="154"/>
        <v/>
      </c>
      <c r="FO122" s="77" t="str">
        <f t="shared" si="154"/>
        <v/>
      </c>
      <c r="FP122" s="77" t="str">
        <f t="shared" si="154"/>
        <v/>
      </c>
      <c r="FQ122" s="77" t="str">
        <f t="shared" si="154"/>
        <v/>
      </c>
      <c r="FR122" s="77" t="str">
        <f t="shared" si="154"/>
        <v/>
      </c>
      <c r="FS122" s="77" t="str">
        <f t="shared" si="154"/>
        <v/>
      </c>
      <c r="FT122" s="77" t="str">
        <f t="shared" si="154"/>
        <v/>
      </c>
      <c r="FU122" s="77" t="str">
        <f t="shared" si="154"/>
        <v/>
      </c>
      <c r="FV122" s="77" t="str">
        <f t="shared" si="154"/>
        <v/>
      </c>
      <c r="FW122" s="77" t="str">
        <f t="shared" si="154"/>
        <v/>
      </c>
      <c r="FX122" s="77" t="str">
        <f t="shared" si="154"/>
        <v/>
      </c>
      <c r="FY122" s="77" t="str">
        <f t="shared" si="154"/>
        <v/>
      </c>
      <c r="FZ122" s="77" t="str">
        <f t="shared" si="154"/>
        <v/>
      </c>
      <c r="GA122" s="77" t="str">
        <f t="shared" si="154"/>
        <v/>
      </c>
      <c r="GB122" s="77" t="str">
        <f t="shared" si="154"/>
        <v/>
      </c>
      <c r="GC122" s="77" t="str">
        <f t="shared" si="154"/>
        <v/>
      </c>
      <c r="GD122" s="77" t="str">
        <f t="shared" si="154"/>
        <v/>
      </c>
      <c r="GE122" s="77" t="str">
        <f t="shared" si="154"/>
        <v/>
      </c>
      <c r="GF122" s="77" t="str">
        <f t="shared" si="154"/>
        <v/>
      </c>
      <c r="GG122" s="77" t="str">
        <f t="shared" si="154"/>
        <v/>
      </c>
      <c r="GH122" s="77" t="str">
        <f t="shared" si="154"/>
        <v/>
      </c>
      <c r="GI122" s="77" t="str">
        <f t="shared" si="154"/>
        <v/>
      </c>
      <c r="GJ122" s="77" t="str">
        <f t="shared" si="154"/>
        <v/>
      </c>
      <c r="GK122" s="77" t="str">
        <f t="shared" si="154"/>
        <v/>
      </c>
      <c r="GL122" s="77" t="str">
        <f t="shared" si="154"/>
        <v/>
      </c>
      <c r="GM122" s="77" t="str">
        <f t="shared" si="154"/>
        <v/>
      </c>
      <c r="GN122" s="77" t="str">
        <f t="shared" si="154"/>
        <v/>
      </c>
      <c r="GO122" s="77" t="str">
        <f t="shared" si="154"/>
        <v/>
      </c>
      <c r="GP122" s="77" t="str">
        <f t="shared" si="154"/>
        <v/>
      </c>
      <c r="GQ122" s="77" t="str">
        <f t="shared" si="154"/>
        <v/>
      </c>
      <c r="GR122" s="77" t="str">
        <f t="shared" si="154"/>
        <v/>
      </c>
      <c r="GS122" s="77" t="str">
        <f t="shared" si="154"/>
        <v/>
      </c>
      <c r="GT122" s="77" t="str">
        <f t="shared" si="154"/>
        <v/>
      </c>
      <c r="GU122" s="77" t="str">
        <f t="shared" si="154"/>
        <v/>
      </c>
      <c r="GV122" s="77" t="str">
        <f t="shared" si="154"/>
        <v/>
      </c>
      <c r="GW122" s="77" t="str">
        <f t="shared" si="154"/>
        <v/>
      </c>
      <c r="GX122" s="77" t="str">
        <f t="shared" si="154"/>
        <v/>
      </c>
    </row>
    <row r="123" spans="1:206" ht="15" customHeight="1" x14ac:dyDescent="0.2">
      <c r="A123" s="22" t="s">
        <v>194</v>
      </c>
      <c r="B123" s="22">
        <v>5</v>
      </c>
      <c r="C123" s="22" t="s">
        <v>194</v>
      </c>
      <c r="D123" s="22" t="s">
        <v>248</v>
      </c>
      <c r="E123" s="22" t="s">
        <v>249</v>
      </c>
      <c r="F123" s="22" t="s">
        <v>71</v>
      </c>
      <c r="G123" s="22" t="s">
        <v>72</v>
      </c>
      <c r="H123" s="22">
        <v>2024</v>
      </c>
      <c r="I123" s="22">
        <v>2</v>
      </c>
      <c r="J123" s="22">
        <v>20</v>
      </c>
      <c r="K123" s="22">
        <v>0</v>
      </c>
      <c r="L123" s="22">
        <v>2975</v>
      </c>
      <c r="M123" s="22">
        <v>2975</v>
      </c>
      <c r="N123" s="22" t="s">
        <v>196</v>
      </c>
      <c r="O123" s="22" t="s">
        <v>74</v>
      </c>
      <c r="P123" s="22" t="s">
        <v>216</v>
      </c>
      <c r="Q123" s="24"/>
      <c r="R123" s="22" t="str">
        <f>IF($E123="","",IFERROR(INDEX($W123:$GX123,MATCH('Dashboard Ciclos'!$B$2,$W$1:$GX$1,0)),""))</f>
        <v/>
      </c>
      <c r="S123" s="22" t="str">
        <f t="shared" si="128"/>
        <v>Sin dato</v>
      </c>
      <c r="T123" s="22" t="str">
        <f t="shared" si="129"/>
        <v>Sin dato</v>
      </c>
      <c r="U123" s="22" t="str">
        <f t="shared" si="130"/>
        <v/>
      </c>
      <c r="V123" s="23" t="str">
        <f t="shared" si="131"/>
        <v/>
      </c>
      <c r="W123" s="77" t="str">
        <f t="shared" si="125"/>
        <v/>
      </c>
      <c r="X123" s="77" t="str">
        <f t="shared" si="136"/>
        <v/>
      </c>
      <c r="Y123" s="77" t="str">
        <f t="shared" si="136"/>
        <v/>
      </c>
      <c r="Z123" s="77" t="str">
        <f t="shared" si="136"/>
        <v/>
      </c>
      <c r="AA123" s="77" t="s">
        <v>218</v>
      </c>
      <c r="AB123" s="77" t="str">
        <f t="shared" si="136"/>
        <v/>
      </c>
      <c r="AC123" s="77" t="str">
        <f t="shared" si="136"/>
        <v/>
      </c>
      <c r="AD123" s="77" t="str">
        <f t="shared" si="136"/>
        <v/>
      </c>
      <c r="AE123" s="77" t="str">
        <f t="shared" si="136"/>
        <v/>
      </c>
      <c r="AF123" s="77" t="str">
        <f t="shared" si="136"/>
        <v/>
      </c>
      <c r="AG123" s="77" t="str">
        <f t="shared" si="136"/>
        <v/>
      </c>
      <c r="AH123" s="77" t="str">
        <f t="shared" si="136"/>
        <v/>
      </c>
      <c r="AI123" s="77" t="str">
        <f t="shared" si="136"/>
        <v/>
      </c>
      <c r="AJ123" s="77" t="str">
        <f t="shared" si="136"/>
        <v/>
      </c>
      <c r="AK123" s="77" t="str">
        <f t="shared" si="155"/>
        <v/>
      </c>
      <c r="AL123" s="77" t="str">
        <f t="shared" si="155"/>
        <v/>
      </c>
      <c r="AM123" s="77" t="str">
        <f t="shared" si="155"/>
        <v/>
      </c>
      <c r="AN123" s="77" t="str">
        <f t="shared" si="91"/>
        <v/>
      </c>
      <c r="AO123" s="77" t="str">
        <f t="shared" si="155"/>
        <v/>
      </c>
      <c r="AP123" s="77" t="str">
        <f t="shared" si="155"/>
        <v/>
      </c>
      <c r="AQ123" s="77" t="str">
        <f t="shared" si="155"/>
        <v/>
      </c>
      <c r="AR123" s="77" t="str">
        <f t="shared" si="105"/>
        <v/>
      </c>
      <c r="AS123" s="77" t="str">
        <f t="shared" si="156"/>
        <v/>
      </c>
      <c r="AT123" s="77" t="str">
        <f t="shared" si="156"/>
        <v/>
      </c>
      <c r="AU123" s="77" t="str">
        <f t="shared" si="156"/>
        <v/>
      </c>
      <c r="AV123" s="77" t="str">
        <f t="shared" si="156"/>
        <v/>
      </c>
      <c r="AW123" s="77" t="str">
        <f t="shared" si="156"/>
        <v/>
      </c>
      <c r="AX123" s="77" t="str">
        <f t="shared" si="156"/>
        <v/>
      </c>
      <c r="AY123" s="77" t="str">
        <f t="shared" si="156"/>
        <v/>
      </c>
      <c r="AZ123" s="77" t="str">
        <f t="shared" si="156"/>
        <v/>
      </c>
      <c r="BA123" s="77" t="str">
        <f t="shared" si="156"/>
        <v/>
      </c>
      <c r="BB123" s="77" t="str">
        <f t="shared" si="156"/>
        <v/>
      </c>
      <c r="BC123" s="77" t="str">
        <f t="shared" si="156"/>
        <v/>
      </c>
      <c r="BD123" s="77" t="str">
        <f t="shared" si="156"/>
        <v/>
      </c>
      <c r="BE123" s="77" t="str">
        <f t="shared" si="156"/>
        <v/>
      </c>
      <c r="BF123" s="77" t="str">
        <f t="shared" si="156"/>
        <v/>
      </c>
      <c r="BG123" s="77" t="str">
        <f t="shared" si="156"/>
        <v/>
      </c>
      <c r="BH123" s="77" t="str">
        <f t="shared" si="156"/>
        <v/>
      </c>
      <c r="BI123" s="77" t="str">
        <f t="shared" si="156"/>
        <v/>
      </c>
      <c r="BJ123" s="77" t="str">
        <f t="shared" si="156"/>
        <v/>
      </c>
      <c r="BK123" s="77" t="str">
        <f t="shared" si="156"/>
        <v/>
      </c>
      <c r="BL123" s="77" t="str">
        <f t="shared" si="156"/>
        <v/>
      </c>
      <c r="BM123" s="77" t="str">
        <f t="shared" si="156"/>
        <v/>
      </c>
      <c r="BN123" s="77" t="str">
        <f t="shared" si="156"/>
        <v/>
      </c>
      <c r="BO123" s="77" t="str">
        <f t="shared" si="156"/>
        <v/>
      </c>
      <c r="BP123" s="77" t="str">
        <f t="shared" si="156"/>
        <v/>
      </c>
      <c r="BQ123" s="77" t="str">
        <f t="shared" si="156"/>
        <v/>
      </c>
      <c r="BR123" s="77" t="str">
        <f t="shared" si="156"/>
        <v/>
      </c>
      <c r="BS123" s="77" t="str">
        <f t="shared" si="156"/>
        <v/>
      </c>
      <c r="BT123" s="77" t="str">
        <f t="shared" si="156"/>
        <v/>
      </c>
      <c r="BU123" s="77" t="str">
        <f t="shared" si="156"/>
        <v/>
      </c>
      <c r="BV123" s="77" t="str">
        <f t="shared" si="156"/>
        <v/>
      </c>
      <c r="BW123" s="77" t="str">
        <f t="shared" si="156"/>
        <v/>
      </c>
      <c r="BX123" s="77" t="str">
        <f t="shared" si="156"/>
        <v/>
      </c>
      <c r="BY123" s="77" t="str">
        <f t="shared" si="156"/>
        <v/>
      </c>
      <c r="BZ123" s="77" t="str">
        <f t="shared" si="156"/>
        <v/>
      </c>
      <c r="CA123" s="77" t="str">
        <f t="shared" si="156"/>
        <v/>
      </c>
      <c r="CB123" s="77" t="str">
        <f t="shared" si="156"/>
        <v/>
      </c>
      <c r="CC123" s="77" t="str">
        <f t="shared" si="156"/>
        <v/>
      </c>
      <c r="CD123" s="77" t="str">
        <f t="shared" si="156"/>
        <v/>
      </c>
      <c r="CE123" s="77" t="str">
        <f t="shared" si="156"/>
        <v/>
      </c>
      <c r="CF123" s="77" t="str">
        <f t="shared" si="156"/>
        <v/>
      </c>
      <c r="CG123" s="77" t="str">
        <f t="shared" si="156"/>
        <v/>
      </c>
      <c r="CH123" s="77" t="str">
        <f t="shared" si="156"/>
        <v/>
      </c>
      <c r="CI123" s="77" t="str">
        <f t="shared" si="156"/>
        <v/>
      </c>
      <c r="CJ123" s="77" t="str">
        <f t="shared" ref="CJ123:EU126" si="157">IF(CI123="","",CI123+1)</f>
        <v/>
      </c>
      <c r="CK123" s="77" t="str">
        <f t="shared" si="157"/>
        <v/>
      </c>
      <c r="CL123" s="77" t="str">
        <f t="shared" si="157"/>
        <v/>
      </c>
      <c r="CM123" s="77" t="str">
        <f t="shared" si="157"/>
        <v/>
      </c>
      <c r="CN123" s="77" t="str">
        <f t="shared" si="157"/>
        <v/>
      </c>
      <c r="CO123" s="77" t="str">
        <f t="shared" si="157"/>
        <v/>
      </c>
      <c r="CP123" s="77" t="str">
        <f t="shared" si="157"/>
        <v/>
      </c>
      <c r="CQ123" s="77" t="str">
        <f t="shared" si="157"/>
        <v/>
      </c>
      <c r="CR123" s="77" t="str">
        <f t="shared" si="157"/>
        <v/>
      </c>
      <c r="CS123" s="77" t="str">
        <f t="shared" si="157"/>
        <v/>
      </c>
      <c r="CT123" s="77" t="str">
        <f t="shared" si="157"/>
        <v/>
      </c>
      <c r="CU123" s="77" t="str">
        <f t="shared" si="157"/>
        <v/>
      </c>
      <c r="CV123" s="77" t="str">
        <f t="shared" si="157"/>
        <v/>
      </c>
      <c r="CW123" s="77" t="str">
        <f t="shared" si="157"/>
        <v/>
      </c>
      <c r="CX123" s="77" t="str">
        <f t="shared" si="157"/>
        <v/>
      </c>
      <c r="CY123" s="77" t="str">
        <f t="shared" si="157"/>
        <v/>
      </c>
      <c r="CZ123" s="77" t="str">
        <f t="shared" si="157"/>
        <v/>
      </c>
      <c r="DA123" s="77" t="str">
        <f t="shared" si="157"/>
        <v/>
      </c>
      <c r="DB123" s="77" t="str">
        <f t="shared" si="157"/>
        <v/>
      </c>
      <c r="DC123" s="77" t="str">
        <f t="shared" si="157"/>
        <v/>
      </c>
      <c r="DD123" s="77" t="str">
        <f t="shared" si="157"/>
        <v/>
      </c>
      <c r="DE123" s="77" t="str">
        <f t="shared" si="157"/>
        <v/>
      </c>
      <c r="DF123" s="77" t="str">
        <f t="shared" si="157"/>
        <v/>
      </c>
      <c r="DG123" s="77" t="str">
        <f t="shared" si="157"/>
        <v/>
      </c>
      <c r="DH123" s="77" t="str">
        <f t="shared" si="157"/>
        <v/>
      </c>
      <c r="DI123" s="77" t="str">
        <f t="shared" si="157"/>
        <v/>
      </c>
      <c r="DJ123" s="77" t="str">
        <f t="shared" si="157"/>
        <v/>
      </c>
      <c r="DK123" s="77" t="str">
        <f t="shared" si="157"/>
        <v/>
      </c>
      <c r="DL123" s="77" t="str">
        <f t="shared" si="157"/>
        <v/>
      </c>
      <c r="DM123" s="77" t="str">
        <f t="shared" si="157"/>
        <v/>
      </c>
      <c r="DN123" s="77" t="str">
        <f t="shared" si="157"/>
        <v/>
      </c>
      <c r="DO123" s="77" t="str">
        <f t="shared" si="157"/>
        <v/>
      </c>
      <c r="DP123" s="77" t="str">
        <f t="shared" si="157"/>
        <v/>
      </c>
      <c r="DQ123" s="77" t="str">
        <f t="shared" si="157"/>
        <v/>
      </c>
      <c r="DR123" s="77" t="str">
        <f t="shared" si="157"/>
        <v/>
      </c>
      <c r="DS123" s="77" t="str">
        <f t="shared" si="157"/>
        <v/>
      </c>
      <c r="DT123" s="77" t="str">
        <f t="shared" si="157"/>
        <v/>
      </c>
      <c r="DU123" s="77" t="str">
        <f t="shared" si="157"/>
        <v/>
      </c>
      <c r="DV123" s="77" t="str">
        <f t="shared" si="157"/>
        <v/>
      </c>
      <c r="DW123" s="77" t="str">
        <f t="shared" si="157"/>
        <v/>
      </c>
      <c r="DX123" s="77" t="str">
        <f t="shared" si="157"/>
        <v/>
      </c>
      <c r="DY123" s="77" t="str">
        <f t="shared" si="157"/>
        <v/>
      </c>
      <c r="DZ123" s="77" t="str">
        <f t="shared" si="157"/>
        <v/>
      </c>
      <c r="EA123" s="77" t="str">
        <f t="shared" si="157"/>
        <v/>
      </c>
      <c r="EB123" s="77" t="str">
        <f t="shared" si="157"/>
        <v/>
      </c>
      <c r="EC123" s="77" t="str">
        <f t="shared" si="157"/>
        <v/>
      </c>
      <c r="ED123" s="77" t="str">
        <f t="shared" si="157"/>
        <v/>
      </c>
      <c r="EE123" s="77" t="str">
        <f t="shared" si="157"/>
        <v/>
      </c>
      <c r="EF123" s="77" t="str">
        <f t="shared" si="157"/>
        <v/>
      </c>
      <c r="EG123" s="77" t="str">
        <f t="shared" si="157"/>
        <v/>
      </c>
      <c r="EH123" s="77" t="str">
        <f t="shared" si="157"/>
        <v/>
      </c>
      <c r="EI123" s="77" t="str">
        <f t="shared" si="157"/>
        <v/>
      </c>
      <c r="EJ123" s="77" t="str">
        <f t="shared" si="157"/>
        <v/>
      </c>
      <c r="EK123" s="77" t="str">
        <f t="shared" si="157"/>
        <v/>
      </c>
      <c r="EL123" s="77" t="str">
        <f t="shared" si="157"/>
        <v/>
      </c>
      <c r="EM123" s="77" t="str">
        <f t="shared" si="157"/>
        <v/>
      </c>
      <c r="EN123" s="77" t="str">
        <f t="shared" si="157"/>
        <v/>
      </c>
      <c r="EO123" s="77" t="str">
        <f t="shared" si="157"/>
        <v/>
      </c>
      <c r="EP123" s="77" t="str">
        <f t="shared" si="157"/>
        <v/>
      </c>
      <c r="EQ123" s="77" t="str">
        <f t="shared" si="157"/>
        <v/>
      </c>
      <c r="ER123" s="77" t="str">
        <f t="shared" si="157"/>
        <v/>
      </c>
      <c r="ES123" s="77" t="str">
        <f t="shared" si="157"/>
        <v/>
      </c>
      <c r="ET123" s="77" t="str">
        <f t="shared" si="157"/>
        <v/>
      </c>
      <c r="EU123" s="77" t="str">
        <f t="shared" si="157"/>
        <v/>
      </c>
      <c r="EV123" s="77" t="str">
        <f t="shared" si="154"/>
        <v/>
      </c>
      <c r="EW123" s="77" t="str">
        <f t="shared" si="154"/>
        <v/>
      </c>
      <c r="EX123" s="77" t="str">
        <f t="shared" si="154"/>
        <v/>
      </c>
      <c r="EY123" s="77" t="str">
        <f t="shared" si="154"/>
        <v/>
      </c>
      <c r="EZ123" s="77" t="str">
        <f t="shared" si="154"/>
        <v/>
      </c>
      <c r="FA123" s="77" t="str">
        <f t="shared" si="154"/>
        <v/>
      </c>
      <c r="FB123" s="77" t="str">
        <f t="shared" si="154"/>
        <v/>
      </c>
      <c r="FC123" s="77" t="str">
        <f t="shared" si="154"/>
        <v/>
      </c>
      <c r="FD123" s="77" t="str">
        <f t="shared" si="154"/>
        <v/>
      </c>
      <c r="FE123" s="77" t="str">
        <f t="shared" si="154"/>
        <v/>
      </c>
      <c r="FF123" s="77" t="str">
        <f t="shared" si="154"/>
        <v/>
      </c>
      <c r="FG123" s="77" t="str">
        <f t="shared" si="154"/>
        <v/>
      </c>
      <c r="FH123" s="77" t="str">
        <f t="shared" si="154"/>
        <v/>
      </c>
      <c r="FI123" s="77" t="str">
        <f t="shared" si="154"/>
        <v/>
      </c>
      <c r="FJ123" s="77" t="str">
        <f t="shared" si="154"/>
        <v/>
      </c>
      <c r="FK123" s="77" t="str">
        <f t="shared" si="154"/>
        <v/>
      </c>
      <c r="FL123" s="77" t="str">
        <f t="shared" si="154"/>
        <v/>
      </c>
      <c r="FM123" s="77" t="str">
        <f t="shared" si="154"/>
        <v/>
      </c>
      <c r="FN123" s="77" t="str">
        <f t="shared" si="154"/>
        <v/>
      </c>
      <c r="FO123" s="77" t="str">
        <f t="shared" si="154"/>
        <v/>
      </c>
      <c r="FP123" s="77" t="str">
        <f t="shared" si="154"/>
        <v/>
      </c>
      <c r="FQ123" s="77" t="str">
        <f t="shared" si="154"/>
        <v/>
      </c>
      <c r="FR123" s="77" t="str">
        <f t="shared" si="154"/>
        <v/>
      </c>
      <c r="FS123" s="77" t="str">
        <f t="shared" si="154"/>
        <v/>
      </c>
      <c r="FT123" s="77" t="str">
        <f t="shared" si="154"/>
        <v/>
      </c>
      <c r="FU123" s="77" t="str">
        <f t="shared" si="154"/>
        <v/>
      </c>
      <c r="FV123" s="77" t="str">
        <f t="shared" si="154"/>
        <v/>
      </c>
      <c r="FW123" s="77" t="str">
        <f t="shared" si="154"/>
        <v/>
      </c>
      <c r="FX123" s="77" t="str">
        <f t="shared" si="154"/>
        <v/>
      </c>
      <c r="FY123" s="77" t="str">
        <f t="shared" si="154"/>
        <v/>
      </c>
      <c r="FZ123" s="77" t="str">
        <f t="shared" si="154"/>
        <v/>
      </c>
      <c r="GA123" s="77" t="str">
        <f t="shared" si="154"/>
        <v/>
      </c>
      <c r="GB123" s="77" t="str">
        <f t="shared" si="154"/>
        <v/>
      </c>
      <c r="GC123" s="77" t="str">
        <f t="shared" si="154"/>
        <v/>
      </c>
      <c r="GD123" s="77" t="str">
        <f t="shared" si="154"/>
        <v/>
      </c>
      <c r="GE123" s="77" t="str">
        <f t="shared" ref="GE123:GX123" si="158">IF(GD123="","",GD123+1)</f>
        <v/>
      </c>
      <c r="GF123" s="77" t="str">
        <f t="shared" si="158"/>
        <v/>
      </c>
      <c r="GG123" s="77" t="str">
        <f t="shared" si="158"/>
        <v/>
      </c>
      <c r="GH123" s="77" t="str">
        <f t="shared" si="158"/>
        <v/>
      </c>
      <c r="GI123" s="77" t="str">
        <f t="shared" si="158"/>
        <v/>
      </c>
      <c r="GJ123" s="77" t="str">
        <f t="shared" si="158"/>
        <v/>
      </c>
      <c r="GK123" s="77" t="str">
        <f t="shared" si="158"/>
        <v/>
      </c>
      <c r="GL123" s="77" t="str">
        <f t="shared" si="158"/>
        <v/>
      </c>
      <c r="GM123" s="77" t="str">
        <f t="shared" si="158"/>
        <v/>
      </c>
      <c r="GN123" s="77" t="str">
        <f t="shared" si="158"/>
        <v/>
      </c>
      <c r="GO123" s="77" t="str">
        <f t="shared" si="158"/>
        <v/>
      </c>
      <c r="GP123" s="77" t="str">
        <f t="shared" si="158"/>
        <v/>
      </c>
      <c r="GQ123" s="77" t="str">
        <f t="shared" si="158"/>
        <v/>
      </c>
      <c r="GR123" s="77" t="str">
        <f t="shared" si="158"/>
        <v/>
      </c>
      <c r="GS123" s="77" t="str">
        <f t="shared" si="158"/>
        <v/>
      </c>
      <c r="GT123" s="77" t="str">
        <f t="shared" si="158"/>
        <v/>
      </c>
      <c r="GU123" s="77" t="str">
        <f t="shared" si="158"/>
        <v/>
      </c>
      <c r="GV123" s="77" t="str">
        <f t="shared" si="158"/>
        <v/>
      </c>
      <c r="GW123" s="77" t="str">
        <f t="shared" si="158"/>
        <v/>
      </c>
      <c r="GX123" s="77" t="str">
        <f t="shared" si="158"/>
        <v/>
      </c>
    </row>
    <row r="124" spans="1:206" ht="15" customHeight="1" x14ac:dyDescent="0.2">
      <c r="A124" s="22" t="s">
        <v>194</v>
      </c>
      <c r="B124" s="22">
        <v>5</v>
      </c>
      <c r="C124" s="22" t="s">
        <v>194</v>
      </c>
      <c r="D124" s="22">
        <v>9</v>
      </c>
      <c r="E124" s="22" t="s">
        <v>250</v>
      </c>
      <c r="F124" s="22" t="s">
        <v>71</v>
      </c>
      <c r="G124" s="22" t="s">
        <v>72</v>
      </c>
      <c r="H124" s="22">
        <v>2024</v>
      </c>
      <c r="I124" s="22">
        <v>2</v>
      </c>
      <c r="J124" s="22">
        <v>20</v>
      </c>
      <c r="K124" s="22">
        <v>0</v>
      </c>
      <c r="L124" s="22">
        <v>2830</v>
      </c>
      <c r="M124" s="22">
        <v>2830</v>
      </c>
      <c r="N124" s="22" t="s">
        <v>196</v>
      </c>
      <c r="O124" s="22" t="s">
        <v>74</v>
      </c>
      <c r="P124" s="22" t="s">
        <v>216</v>
      </c>
      <c r="Q124" s="24"/>
      <c r="R124" s="22" t="str">
        <f>IF($E124="","",IFERROR(INDEX($W124:$GX124,MATCH('Dashboard Ciclos'!$B$2,$W$1:$GX$1,0)),""))</f>
        <v/>
      </c>
      <c r="S124" s="22" t="str">
        <f t="shared" si="128"/>
        <v>Sin dato</v>
      </c>
      <c r="T124" s="22" t="str">
        <f t="shared" si="129"/>
        <v>Sin dato</v>
      </c>
      <c r="U124" s="22" t="str">
        <f t="shared" si="130"/>
        <v/>
      </c>
      <c r="V124" s="23" t="str">
        <f t="shared" si="131"/>
        <v/>
      </c>
      <c r="W124" s="77" t="str">
        <f t="shared" si="125"/>
        <v/>
      </c>
      <c r="X124" s="77" t="str">
        <f t="shared" si="136"/>
        <v/>
      </c>
      <c r="Y124" s="77" t="str">
        <f t="shared" si="136"/>
        <v/>
      </c>
      <c r="Z124" s="77" t="str">
        <f t="shared" si="136"/>
        <v/>
      </c>
      <c r="AA124" s="77" t="s">
        <v>218</v>
      </c>
      <c r="AB124" s="77" t="str">
        <f t="shared" si="136"/>
        <v/>
      </c>
      <c r="AC124" s="77" t="str">
        <f t="shared" si="136"/>
        <v/>
      </c>
      <c r="AD124" s="77" t="str">
        <f t="shared" si="136"/>
        <v/>
      </c>
      <c r="AE124" s="77" t="str">
        <f t="shared" si="136"/>
        <v/>
      </c>
      <c r="AF124" s="77" t="str">
        <f t="shared" si="136"/>
        <v/>
      </c>
      <c r="AG124" s="77" t="str">
        <f t="shared" si="136"/>
        <v/>
      </c>
      <c r="AH124" s="77" t="str">
        <f t="shared" si="136"/>
        <v/>
      </c>
      <c r="AI124" s="77" t="str">
        <f t="shared" si="136"/>
        <v/>
      </c>
      <c r="AJ124" s="77" t="str">
        <f t="shared" si="136"/>
        <v/>
      </c>
      <c r="AK124" s="77" t="str">
        <f t="shared" si="155"/>
        <v/>
      </c>
      <c r="AL124" s="77" t="str">
        <f t="shared" si="155"/>
        <v/>
      </c>
      <c r="AM124" s="77" t="str">
        <f t="shared" si="155"/>
        <v/>
      </c>
      <c r="AN124" s="77" t="str">
        <f t="shared" si="91"/>
        <v/>
      </c>
      <c r="AO124" s="77" t="str">
        <f t="shared" si="155"/>
        <v/>
      </c>
      <c r="AP124" s="77" t="str">
        <f t="shared" si="155"/>
        <v/>
      </c>
      <c r="AQ124" s="77" t="str">
        <f t="shared" si="155"/>
        <v/>
      </c>
      <c r="AR124" s="77" t="str">
        <f t="shared" si="105"/>
        <v/>
      </c>
      <c r="AS124" s="77" t="str">
        <f t="shared" ref="AS124:CJ126" si="159">IF(AR124="","",AR124+1)</f>
        <v/>
      </c>
      <c r="AT124" s="77" t="str">
        <f t="shared" si="159"/>
        <v/>
      </c>
      <c r="AU124" s="77" t="str">
        <f t="shared" si="159"/>
        <v/>
      </c>
      <c r="AV124" s="77" t="str">
        <f t="shared" si="159"/>
        <v/>
      </c>
      <c r="AW124" s="77" t="str">
        <f t="shared" si="159"/>
        <v/>
      </c>
      <c r="AX124" s="77" t="str">
        <f t="shared" si="159"/>
        <v/>
      </c>
      <c r="AY124" s="77" t="str">
        <f t="shared" si="159"/>
        <v/>
      </c>
      <c r="AZ124" s="77" t="str">
        <f t="shared" si="159"/>
        <v/>
      </c>
      <c r="BA124" s="77" t="str">
        <f t="shared" si="159"/>
        <v/>
      </c>
      <c r="BB124" s="77" t="str">
        <f t="shared" si="159"/>
        <v/>
      </c>
      <c r="BC124" s="77" t="str">
        <f t="shared" si="159"/>
        <v/>
      </c>
      <c r="BD124" s="77" t="str">
        <f t="shared" si="159"/>
        <v/>
      </c>
      <c r="BE124" s="77" t="str">
        <f t="shared" si="159"/>
        <v/>
      </c>
      <c r="BF124" s="77" t="str">
        <f t="shared" si="159"/>
        <v/>
      </c>
      <c r="BG124" s="77" t="str">
        <f t="shared" si="159"/>
        <v/>
      </c>
      <c r="BH124" s="77" t="str">
        <f t="shared" si="159"/>
        <v/>
      </c>
      <c r="BI124" s="77" t="str">
        <f t="shared" si="159"/>
        <v/>
      </c>
      <c r="BJ124" s="77" t="str">
        <f t="shared" si="159"/>
        <v/>
      </c>
      <c r="BK124" s="77" t="str">
        <f t="shared" si="159"/>
        <v/>
      </c>
      <c r="BL124" s="77" t="str">
        <f t="shared" si="159"/>
        <v/>
      </c>
      <c r="BM124" s="77" t="str">
        <f t="shared" si="159"/>
        <v/>
      </c>
      <c r="BN124" s="77" t="str">
        <f t="shared" si="159"/>
        <v/>
      </c>
      <c r="BO124" s="77" t="str">
        <f t="shared" si="159"/>
        <v/>
      </c>
      <c r="BP124" s="77" t="str">
        <f t="shared" si="159"/>
        <v/>
      </c>
      <c r="BQ124" s="77" t="str">
        <f t="shared" si="159"/>
        <v/>
      </c>
      <c r="BR124" s="77" t="str">
        <f t="shared" si="159"/>
        <v/>
      </c>
      <c r="BS124" s="77" t="str">
        <f t="shared" si="159"/>
        <v/>
      </c>
      <c r="BT124" s="77" t="str">
        <f t="shared" si="159"/>
        <v/>
      </c>
      <c r="BU124" s="77" t="str">
        <f t="shared" si="159"/>
        <v/>
      </c>
      <c r="BV124" s="77" t="str">
        <f t="shared" si="159"/>
        <v/>
      </c>
      <c r="BW124" s="77" t="str">
        <f t="shared" si="159"/>
        <v/>
      </c>
      <c r="BX124" s="77" t="str">
        <f t="shared" si="159"/>
        <v/>
      </c>
      <c r="BY124" s="77" t="str">
        <f t="shared" si="159"/>
        <v/>
      </c>
      <c r="BZ124" s="77" t="str">
        <f t="shared" si="159"/>
        <v/>
      </c>
      <c r="CA124" s="77" t="str">
        <f t="shared" si="159"/>
        <v/>
      </c>
      <c r="CB124" s="77" t="str">
        <f t="shared" si="159"/>
        <v/>
      </c>
      <c r="CC124" s="77" t="str">
        <f t="shared" si="159"/>
        <v/>
      </c>
      <c r="CD124" s="77" t="str">
        <f t="shared" si="159"/>
        <v/>
      </c>
      <c r="CE124" s="77" t="str">
        <f t="shared" si="159"/>
        <v/>
      </c>
      <c r="CF124" s="77" t="str">
        <f t="shared" si="159"/>
        <v/>
      </c>
      <c r="CG124" s="77" t="str">
        <f t="shared" si="159"/>
        <v/>
      </c>
      <c r="CH124" s="77" t="str">
        <f t="shared" si="159"/>
        <v/>
      </c>
      <c r="CI124" s="77" t="str">
        <f t="shared" si="159"/>
        <v/>
      </c>
      <c r="CJ124" s="77" t="str">
        <f t="shared" si="159"/>
        <v/>
      </c>
      <c r="CK124" s="77" t="str">
        <f t="shared" si="157"/>
        <v/>
      </c>
      <c r="CL124" s="77" t="str">
        <f t="shared" si="157"/>
        <v/>
      </c>
      <c r="CM124" s="77" t="str">
        <f t="shared" si="157"/>
        <v/>
      </c>
      <c r="CN124" s="77" t="str">
        <f t="shared" si="157"/>
        <v/>
      </c>
      <c r="CO124" s="77" t="str">
        <f t="shared" si="157"/>
        <v/>
      </c>
      <c r="CP124" s="77" t="str">
        <f t="shared" si="157"/>
        <v/>
      </c>
      <c r="CQ124" s="77" t="str">
        <f t="shared" si="157"/>
        <v/>
      </c>
      <c r="CR124" s="77" t="str">
        <f t="shared" si="157"/>
        <v/>
      </c>
      <c r="CS124" s="77" t="str">
        <f t="shared" si="157"/>
        <v/>
      </c>
      <c r="CT124" s="77" t="str">
        <f t="shared" si="157"/>
        <v/>
      </c>
      <c r="CU124" s="77" t="str">
        <f t="shared" si="157"/>
        <v/>
      </c>
      <c r="CV124" s="77" t="str">
        <f t="shared" si="157"/>
        <v/>
      </c>
      <c r="CW124" s="77" t="str">
        <f t="shared" si="157"/>
        <v/>
      </c>
      <c r="CX124" s="77" t="str">
        <f t="shared" si="157"/>
        <v/>
      </c>
      <c r="CY124" s="77" t="str">
        <f t="shared" si="157"/>
        <v/>
      </c>
      <c r="CZ124" s="77" t="str">
        <f t="shared" si="157"/>
        <v/>
      </c>
      <c r="DA124" s="77" t="str">
        <f t="shared" si="157"/>
        <v/>
      </c>
      <c r="DB124" s="77" t="str">
        <f t="shared" si="157"/>
        <v/>
      </c>
      <c r="DC124" s="77" t="str">
        <f t="shared" si="157"/>
        <v/>
      </c>
      <c r="DD124" s="77" t="str">
        <f t="shared" si="157"/>
        <v/>
      </c>
      <c r="DE124" s="77" t="str">
        <f t="shared" si="157"/>
        <v/>
      </c>
      <c r="DF124" s="77" t="str">
        <f t="shared" si="157"/>
        <v/>
      </c>
      <c r="DG124" s="77" t="str">
        <f t="shared" si="157"/>
        <v/>
      </c>
      <c r="DH124" s="77" t="str">
        <f t="shared" si="157"/>
        <v/>
      </c>
      <c r="DI124" s="77" t="str">
        <f t="shared" si="157"/>
        <v/>
      </c>
      <c r="DJ124" s="77" t="str">
        <f t="shared" si="157"/>
        <v/>
      </c>
      <c r="DK124" s="77" t="str">
        <f t="shared" si="157"/>
        <v/>
      </c>
      <c r="DL124" s="77" t="str">
        <f t="shared" si="157"/>
        <v/>
      </c>
      <c r="DM124" s="77" t="str">
        <f t="shared" si="157"/>
        <v/>
      </c>
      <c r="DN124" s="77" t="str">
        <f t="shared" si="157"/>
        <v/>
      </c>
      <c r="DO124" s="77" t="str">
        <f t="shared" si="157"/>
        <v/>
      </c>
      <c r="DP124" s="77" t="str">
        <f t="shared" si="157"/>
        <v/>
      </c>
      <c r="DQ124" s="77" t="str">
        <f t="shared" si="157"/>
        <v/>
      </c>
      <c r="DR124" s="77" t="str">
        <f t="shared" si="157"/>
        <v/>
      </c>
      <c r="DS124" s="77" t="str">
        <f t="shared" si="157"/>
        <v/>
      </c>
      <c r="DT124" s="77" t="str">
        <f t="shared" si="157"/>
        <v/>
      </c>
      <c r="DU124" s="77" t="str">
        <f t="shared" si="157"/>
        <v/>
      </c>
      <c r="DV124" s="77" t="str">
        <f t="shared" si="157"/>
        <v/>
      </c>
      <c r="DW124" s="77" t="str">
        <f t="shared" si="157"/>
        <v/>
      </c>
      <c r="DX124" s="77" t="str">
        <f t="shared" si="157"/>
        <v/>
      </c>
      <c r="DY124" s="77" t="str">
        <f t="shared" si="157"/>
        <v/>
      </c>
      <c r="DZ124" s="77" t="str">
        <f t="shared" si="157"/>
        <v/>
      </c>
      <c r="EA124" s="77" t="str">
        <f t="shared" si="157"/>
        <v/>
      </c>
      <c r="EB124" s="77" t="str">
        <f t="shared" si="157"/>
        <v/>
      </c>
      <c r="EC124" s="77" t="str">
        <f t="shared" si="157"/>
        <v/>
      </c>
      <c r="ED124" s="77" t="str">
        <f t="shared" si="157"/>
        <v/>
      </c>
      <c r="EE124" s="77" t="str">
        <f t="shared" si="157"/>
        <v/>
      </c>
      <c r="EF124" s="77" t="str">
        <f t="shared" si="157"/>
        <v/>
      </c>
      <c r="EG124" s="77" t="str">
        <f t="shared" si="157"/>
        <v/>
      </c>
      <c r="EH124" s="77" t="str">
        <f t="shared" si="157"/>
        <v/>
      </c>
      <c r="EI124" s="77" t="str">
        <f t="shared" si="157"/>
        <v/>
      </c>
      <c r="EJ124" s="77" t="str">
        <f t="shared" si="157"/>
        <v/>
      </c>
      <c r="EK124" s="77" t="str">
        <f t="shared" si="157"/>
        <v/>
      </c>
      <c r="EL124" s="77" t="str">
        <f t="shared" si="157"/>
        <v/>
      </c>
      <c r="EM124" s="77" t="str">
        <f t="shared" si="157"/>
        <v/>
      </c>
      <c r="EN124" s="77" t="str">
        <f t="shared" si="157"/>
        <v/>
      </c>
      <c r="EO124" s="77" t="str">
        <f t="shared" si="157"/>
        <v/>
      </c>
      <c r="EP124" s="77" t="str">
        <f t="shared" si="157"/>
        <v/>
      </c>
      <c r="EQ124" s="77" t="str">
        <f t="shared" si="157"/>
        <v/>
      </c>
      <c r="ER124" s="77" t="str">
        <f t="shared" si="157"/>
        <v/>
      </c>
      <c r="ES124" s="77" t="str">
        <f t="shared" si="157"/>
        <v/>
      </c>
      <c r="ET124" s="77" t="str">
        <f t="shared" si="157"/>
        <v/>
      </c>
      <c r="EU124" s="77" t="str">
        <f t="shared" si="157"/>
        <v/>
      </c>
      <c r="EV124" s="77" t="str">
        <f t="shared" ref="EV124:GX126" si="160">IF(EU124="","",EU124+1)</f>
        <v/>
      </c>
      <c r="EW124" s="77" t="str">
        <f t="shared" si="160"/>
        <v/>
      </c>
      <c r="EX124" s="77" t="str">
        <f t="shared" si="160"/>
        <v/>
      </c>
      <c r="EY124" s="77" t="str">
        <f t="shared" si="160"/>
        <v/>
      </c>
      <c r="EZ124" s="77" t="str">
        <f t="shared" si="160"/>
        <v/>
      </c>
      <c r="FA124" s="77" t="str">
        <f t="shared" si="160"/>
        <v/>
      </c>
      <c r="FB124" s="77" t="str">
        <f t="shared" si="160"/>
        <v/>
      </c>
      <c r="FC124" s="77" t="str">
        <f t="shared" si="160"/>
        <v/>
      </c>
      <c r="FD124" s="77" t="str">
        <f t="shared" si="160"/>
        <v/>
      </c>
      <c r="FE124" s="77" t="str">
        <f t="shared" si="160"/>
        <v/>
      </c>
      <c r="FF124" s="77" t="str">
        <f t="shared" si="160"/>
        <v/>
      </c>
      <c r="FG124" s="77" t="str">
        <f t="shared" si="160"/>
        <v/>
      </c>
      <c r="FH124" s="77" t="str">
        <f t="shared" si="160"/>
        <v/>
      </c>
      <c r="FI124" s="77" t="str">
        <f t="shared" si="160"/>
        <v/>
      </c>
      <c r="FJ124" s="77" t="str">
        <f t="shared" si="160"/>
        <v/>
      </c>
      <c r="FK124" s="77" t="str">
        <f t="shared" si="160"/>
        <v/>
      </c>
      <c r="FL124" s="77" t="str">
        <f t="shared" si="160"/>
        <v/>
      </c>
      <c r="FM124" s="77" t="str">
        <f t="shared" si="160"/>
        <v/>
      </c>
      <c r="FN124" s="77" t="str">
        <f t="shared" si="160"/>
        <v/>
      </c>
      <c r="FO124" s="77" t="str">
        <f t="shared" si="160"/>
        <v/>
      </c>
      <c r="FP124" s="77" t="str">
        <f t="shared" si="160"/>
        <v/>
      </c>
      <c r="FQ124" s="77" t="str">
        <f t="shared" si="160"/>
        <v/>
      </c>
      <c r="FR124" s="77" t="str">
        <f t="shared" si="160"/>
        <v/>
      </c>
      <c r="FS124" s="77" t="str">
        <f t="shared" si="160"/>
        <v/>
      </c>
      <c r="FT124" s="77" t="str">
        <f t="shared" si="160"/>
        <v/>
      </c>
      <c r="FU124" s="77" t="str">
        <f t="shared" si="160"/>
        <v/>
      </c>
      <c r="FV124" s="77" t="str">
        <f t="shared" si="160"/>
        <v/>
      </c>
      <c r="FW124" s="77" t="str">
        <f t="shared" si="160"/>
        <v/>
      </c>
      <c r="FX124" s="77" t="str">
        <f t="shared" si="160"/>
        <v/>
      </c>
      <c r="FY124" s="77" t="str">
        <f t="shared" si="160"/>
        <v/>
      </c>
      <c r="FZ124" s="77" t="str">
        <f t="shared" si="160"/>
        <v/>
      </c>
      <c r="GA124" s="77" t="str">
        <f t="shared" si="160"/>
        <v/>
      </c>
      <c r="GB124" s="77" t="str">
        <f t="shared" si="160"/>
        <v/>
      </c>
      <c r="GC124" s="77" t="str">
        <f t="shared" si="160"/>
        <v/>
      </c>
      <c r="GD124" s="77" t="str">
        <f t="shared" si="160"/>
        <v/>
      </c>
      <c r="GE124" s="77" t="str">
        <f t="shared" si="160"/>
        <v/>
      </c>
      <c r="GF124" s="77" t="str">
        <f t="shared" si="160"/>
        <v/>
      </c>
      <c r="GG124" s="77" t="str">
        <f t="shared" si="160"/>
        <v/>
      </c>
      <c r="GH124" s="77" t="str">
        <f t="shared" si="160"/>
        <v/>
      </c>
      <c r="GI124" s="77" t="str">
        <f t="shared" si="160"/>
        <v/>
      </c>
      <c r="GJ124" s="77" t="str">
        <f t="shared" si="160"/>
        <v/>
      </c>
      <c r="GK124" s="77" t="str">
        <f t="shared" si="160"/>
        <v/>
      </c>
      <c r="GL124" s="77" t="str">
        <f t="shared" si="160"/>
        <v/>
      </c>
      <c r="GM124" s="77" t="str">
        <f t="shared" si="160"/>
        <v/>
      </c>
      <c r="GN124" s="77" t="str">
        <f t="shared" si="160"/>
        <v/>
      </c>
      <c r="GO124" s="77" t="str">
        <f t="shared" si="160"/>
        <v/>
      </c>
      <c r="GP124" s="77" t="str">
        <f t="shared" si="160"/>
        <v/>
      </c>
      <c r="GQ124" s="77" t="str">
        <f t="shared" si="160"/>
        <v/>
      </c>
      <c r="GR124" s="77" t="str">
        <f t="shared" si="160"/>
        <v/>
      </c>
      <c r="GS124" s="77" t="str">
        <f t="shared" si="160"/>
        <v/>
      </c>
      <c r="GT124" s="77" t="str">
        <f t="shared" si="160"/>
        <v/>
      </c>
      <c r="GU124" s="77" t="str">
        <f t="shared" si="160"/>
        <v/>
      </c>
      <c r="GV124" s="77" t="str">
        <f t="shared" si="160"/>
        <v/>
      </c>
      <c r="GW124" s="77" t="str">
        <f t="shared" si="160"/>
        <v/>
      </c>
      <c r="GX124" s="77" t="str">
        <f t="shared" si="160"/>
        <v/>
      </c>
    </row>
    <row r="125" spans="1:206" ht="15" customHeight="1" x14ac:dyDescent="0.2">
      <c r="A125" s="22" t="s">
        <v>194</v>
      </c>
      <c r="B125" s="22">
        <v>5</v>
      </c>
      <c r="C125" s="22" t="s">
        <v>194</v>
      </c>
      <c r="D125" s="22" t="s">
        <v>251</v>
      </c>
      <c r="E125" s="22" t="s">
        <v>252</v>
      </c>
      <c r="F125" s="22" t="s">
        <v>71</v>
      </c>
      <c r="G125" s="22" t="s">
        <v>72</v>
      </c>
      <c r="H125" s="22">
        <v>2024</v>
      </c>
      <c r="I125" s="22">
        <v>2</v>
      </c>
      <c r="J125" s="22">
        <v>20</v>
      </c>
      <c r="K125" s="22">
        <v>0</v>
      </c>
      <c r="L125" s="22">
        <v>2883</v>
      </c>
      <c r="M125" s="22">
        <v>2883</v>
      </c>
      <c r="N125" s="22" t="s">
        <v>196</v>
      </c>
      <c r="O125" s="22" t="s">
        <v>74</v>
      </c>
      <c r="P125" s="22" t="s">
        <v>216</v>
      </c>
      <c r="Q125" s="24"/>
      <c r="R125" s="22" t="str">
        <f>IF($E125="","",IFERROR(INDEX($W125:$GX125,MATCH('Dashboard Ciclos'!$B$2,$W$1:$GX$1,0)),""))</f>
        <v/>
      </c>
      <c r="S125" s="22" t="str">
        <f t="shared" si="128"/>
        <v>Sin dato</v>
      </c>
      <c r="T125" s="22" t="str">
        <f t="shared" si="129"/>
        <v>Sin dato</v>
      </c>
      <c r="U125" s="22" t="str">
        <f t="shared" si="130"/>
        <v/>
      </c>
      <c r="V125" s="23" t="str">
        <f t="shared" si="131"/>
        <v/>
      </c>
      <c r="W125" s="77" t="str">
        <f t="shared" si="125"/>
        <v/>
      </c>
      <c r="X125" s="77" t="str">
        <f t="shared" si="136"/>
        <v/>
      </c>
      <c r="Y125" s="77" t="str">
        <f t="shared" si="136"/>
        <v/>
      </c>
      <c r="Z125" s="77" t="str">
        <f t="shared" si="136"/>
        <v/>
      </c>
      <c r="AA125" s="77" t="s">
        <v>218</v>
      </c>
      <c r="AB125" s="77" t="str">
        <f t="shared" si="136"/>
        <v/>
      </c>
      <c r="AC125" s="77" t="str">
        <f t="shared" si="136"/>
        <v/>
      </c>
      <c r="AD125" s="77" t="str">
        <f t="shared" si="136"/>
        <v/>
      </c>
      <c r="AE125" s="77" t="str">
        <f t="shared" si="136"/>
        <v/>
      </c>
      <c r="AF125" s="77" t="str">
        <f t="shared" si="136"/>
        <v/>
      </c>
      <c r="AG125" s="77" t="str">
        <f t="shared" si="136"/>
        <v/>
      </c>
      <c r="AH125" s="77" t="str">
        <f t="shared" si="136"/>
        <v/>
      </c>
      <c r="AI125" s="77" t="str">
        <f t="shared" si="136"/>
        <v/>
      </c>
      <c r="AJ125" s="77" t="str">
        <f t="shared" si="136"/>
        <v/>
      </c>
      <c r="AK125" s="77" t="str">
        <f t="shared" si="155"/>
        <v/>
      </c>
      <c r="AL125" s="77" t="str">
        <f t="shared" si="155"/>
        <v/>
      </c>
      <c r="AM125" s="77" t="str">
        <f t="shared" si="155"/>
        <v/>
      </c>
      <c r="AN125" s="77" t="str">
        <f t="shared" si="91"/>
        <v/>
      </c>
      <c r="AO125" s="77" t="str">
        <f t="shared" si="155"/>
        <v/>
      </c>
      <c r="AP125" s="77" t="str">
        <f t="shared" si="155"/>
        <v/>
      </c>
      <c r="AQ125" s="77" t="str">
        <f t="shared" si="155"/>
        <v/>
      </c>
      <c r="AR125" s="77" t="str">
        <f t="shared" si="105"/>
        <v/>
      </c>
      <c r="AS125" s="77" t="str">
        <f t="shared" si="159"/>
        <v/>
      </c>
      <c r="AT125" s="77" t="str">
        <f t="shared" si="159"/>
        <v/>
      </c>
      <c r="AU125" s="77" t="str">
        <f t="shared" si="159"/>
        <v/>
      </c>
      <c r="AV125" s="77" t="str">
        <f t="shared" si="159"/>
        <v/>
      </c>
      <c r="AW125" s="77" t="str">
        <f t="shared" si="159"/>
        <v/>
      </c>
      <c r="AX125" s="77" t="str">
        <f t="shared" si="159"/>
        <v/>
      </c>
      <c r="AY125" s="77" t="str">
        <f t="shared" si="159"/>
        <v/>
      </c>
      <c r="AZ125" s="77" t="str">
        <f t="shared" si="159"/>
        <v/>
      </c>
      <c r="BA125" s="77" t="str">
        <f t="shared" si="159"/>
        <v/>
      </c>
      <c r="BB125" s="77" t="str">
        <f t="shared" si="159"/>
        <v/>
      </c>
      <c r="BC125" s="77" t="str">
        <f t="shared" si="159"/>
        <v/>
      </c>
      <c r="BD125" s="77" t="str">
        <f t="shared" si="159"/>
        <v/>
      </c>
      <c r="BE125" s="77" t="str">
        <f t="shared" si="159"/>
        <v/>
      </c>
      <c r="BF125" s="77" t="str">
        <f t="shared" si="159"/>
        <v/>
      </c>
      <c r="BG125" s="77" t="str">
        <f t="shared" si="159"/>
        <v/>
      </c>
      <c r="BH125" s="77" t="str">
        <f t="shared" si="159"/>
        <v/>
      </c>
      <c r="BI125" s="77" t="str">
        <f t="shared" si="159"/>
        <v/>
      </c>
      <c r="BJ125" s="77" t="str">
        <f t="shared" si="159"/>
        <v/>
      </c>
      <c r="BK125" s="77" t="str">
        <f t="shared" si="159"/>
        <v/>
      </c>
      <c r="BL125" s="77" t="str">
        <f t="shared" si="159"/>
        <v/>
      </c>
      <c r="BM125" s="77" t="str">
        <f t="shared" si="159"/>
        <v/>
      </c>
      <c r="BN125" s="77" t="str">
        <f t="shared" si="159"/>
        <v/>
      </c>
      <c r="BO125" s="77" t="str">
        <f t="shared" si="159"/>
        <v/>
      </c>
      <c r="BP125" s="77" t="str">
        <f t="shared" si="159"/>
        <v/>
      </c>
      <c r="BQ125" s="77" t="str">
        <f t="shared" si="159"/>
        <v/>
      </c>
      <c r="BR125" s="77" t="str">
        <f t="shared" si="159"/>
        <v/>
      </c>
      <c r="BS125" s="77" t="str">
        <f t="shared" si="159"/>
        <v/>
      </c>
      <c r="BT125" s="77" t="str">
        <f t="shared" si="159"/>
        <v/>
      </c>
      <c r="BU125" s="77" t="str">
        <f t="shared" si="159"/>
        <v/>
      </c>
      <c r="BV125" s="77" t="str">
        <f t="shared" si="159"/>
        <v/>
      </c>
      <c r="BW125" s="77" t="str">
        <f t="shared" si="159"/>
        <v/>
      </c>
      <c r="BX125" s="77" t="str">
        <f t="shared" si="159"/>
        <v/>
      </c>
      <c r="BY125" s="77" t="str">
        <f t="shared" si="159"/>
        <v/>
      </c>
      <c r="BZ125" s="77" t="str">
        <f t="shared" si="159"/>
        <v/>
      </c>
      <c r="CA125" s="77" t="str">
        <f t="shared" si="159"/>
        <v/>
      </c>
      <c r="CB125" s="77" t="str">
        <f t="shared" si="159"/>
        <v/>
      </c>
      <c r="CC125" s="77" t="str">
        <f t="shared" si="159"/>
        <v/>
      </c>
      <c r="CD125" s="77" t="str">
        <f t="shared" si="159"/>
        <v/>
      </c>
      <c r="CE125" s="77" t="str">
        <f t="shared" si="159"/>
        <v/>
      </c>
      <c r="CF125" s="77" t="str">
        <f t="shared" si="159"/>
        <v/>
      </c>
      <c r="CG125" s="77" t="str">
        <f t="shared" si="159"/>
        <v/>
      </c>
      <c r="CH125" s="77" t="str">
        <f t="shared" si="159"/>
        <v/>
      </c>
      <c r="CI125" s="77" t="str">
        <f t="shared" si="159"/>
        <v/>
      </c>
      <c r="CJ125" s="77" t="str">
        <f t="shared" si="159"/>
        <v/>
      </c>
      <c r="CK125" s="77" t="str">
        <f t="shared" si="157"/>
        <v/>
      </c>
      <c r="CL125" s="77" t="str">
        <f t="shared" si="157"/>
        <v/>
      </c>
      <c r="CM125" s="77" t="str">
        <f t="shared" si="157"/>
        <v/>
      </c>
      <c r="CN125" s="77" t="str">
        <f t="shared" si="157"/>
        <v/>
      </c>
      <c r="CO125" s="77" t="str">
        <f t="shared" si="157"/>
        <v/>
      </c>
      <c r="CP125" s="77" t="str">
        <f t="shared" si="157"/>
        <v/>
      </c>
      <c r="CQ125" s="77" t="str">
        <f t="shared" si="157"/>
        <v/>
      </c>
      <c r="CR125" s="77" t="str">
        <f t="shared" si="157"/>
        <v/>
      </c>
      <c r="CS125" s="77" t="str">
        <f t="shared" si="157"/>
        <v/>
      </c>
      <c r="CT125" s="77" t="str">
        <f t="shared" si="157"/>
        <v/>
      </c>
      <c r="CU125" s="77" t="str">
        <f t="shared" si="157"/>
        <v/>
      </c>
      <c r="CV125" s="77" t="str">
        <f t="shared" si="157"/>
        <v/>
      </c>
      <c r="CW125" s="77" t="str">
        <f t="shared" si="157"/>
        <v/>
      </c>
      <c r="CX125" s="77" t="str">
        <f t="shared" si="157"/>
        <v/>
      </c>
      <c r="CY125" s="77" t="str">
        <f t="shared" si="157"/>
        <v/>
      </c>
      <c r="CZ125" s="77" t="str">
        <f t="shared" si="157"/>
        <v/>
      </c>
      <c r="DA125" s="77" t="str">
        <f t="shared" si="157"/>
        <v/>
      </c>
      <c r="DB125" s="77" t="str">
        <f t="shared" si="157"/>
        <v/>
      </c>
      <c r="DC125" s="77" t="str">
        <f t="shared" si="157"/>
        <v/>
      </c>
      <c r="DD125" s="77" t="str">
        <f t="shared" si="157"/>
        <v/>
      </c>
      <c r="DE125" s="77" t="str">
        <f t="shared" si="157"/>
        <v/>
      </c>
      <c r="DF125" s="77" t="str">
        <f t="shared" si="157"/>
        <v/>
      </c>
      <c r="DG125" s="77" t="str">
        <f t="shared" si="157"/>
        <v/>
      </c>
      <c r="DH125" s="77" t="str">
        <f t="shared" si="157"/>
        <v/>
      </c>
      <c r="DI125" s="77" t="str">
        <f t="shared" si="157"/>
        <v/>
      </c>
      <c r="DJ125" s="77" t="str">
        <f t="shared" si="157"/>
        <v/>
      </c>
      <c r="DK125" s="77" t="str">
        <f t="shared" si="157"/>
        <v/>
      </c>
      <c r="DL125" s="77" t="str">
        <f t="shared" si="157"/>
        <v/>
      </c>
      <c r="DM125" s="77" t="str">
        <f t="shared" si="157"/>
        <v/>
      </c>
      <c r="DN125" s="77" t="str">
        <f t="shared" si="157"/>
        <v/>
      </c>
      <c r="DO125" s="77" t="str">
        <f t="shared" si="157"/>
        <v/>
      </c>
      <c r="DP125" s="77" t="str">
        <f t="shared" si="157"/>
        <v/>
      </c>
      <c r="DQ125" s="77" t="str">
        <f t="shared" si="157"/>
        <v/>
      </c>
      <c r="DR125" s="77" t="str">
        <f t="shared" si="157"/>
        <v/>
      </c>
      <c r="DS125" s="77" t="str">
        <f t="shared" si="157"/>
        <v/>
      </c>
      <c r="DT125" s="77" t="str">
        <f t="shared" si="157"/>
        <v/>
      </c>
      <c r="DU125" s="77" t="str">
        <f t="shared" si="157"/>
        <v/>
      </c>
      <c r="DV125" s="77" t="str">
        <f t="shared" si="157"/>
        <v/>
      </c>
      <c r="DW125" s="77" t="str">
        <f t="shared" si="157"/>
        <v/>
      </c>
      <c r="DX125" s="77" t="str">
        <f t="shared" si="157"/>
        <v/>
      </c>
      <c r="DY125" s="77" t="str">
        <f t="shared" si="157"/>
        <v/>
      </c>
      <c r="DZ125" s="77" t="str">
        <f t="shared" si="157"/>
        <v/>
      </c>
      <c r="EA125" s="77" t="str">
        <f t="shared" si="157"/>
        <v/>
      </c>
      <c r="EB125" s="77" t="str">
        <f t="shared" si="157"/>
        <v/>
      </c>
      <c r="EC125" s="77" t="str">
        <f t="shared" si="157"/>
        <v/>
      </c>
      <c r="ED125" s="77" t="str">
        <f t="shared" si="157"/>
        <v/>
      </c>
      <c r="EE125" s="77" t="str">
        <f t="shared" si="157"/>
        <v/>
      </c>
      <c r="EF125" s="77" t="str">
        <f t="shared" si="157"/>
        <v/>
      </c>
      <c r="EG125" s="77" t="str">
        <f t="shared" si="157"/>
        <v/>
      </c>
      <c r="EH125" s="77" t="str">
        <f t="shared" si="157"/>
        <v/>
      </c>
      <c r="EI125" s="77" t="str">
        <f t="shared" si="157"/>
        <v/>
      </c>
      <c r="EJ125" s="77" t="str">
        <f t="shared" si="157"/>
        <v/>
      </c>
      <c r="EK125" s="77" t="str">
        <f t="shared" si="157"/>
        <v/>
      </c>
      <c r="EL125" s="77" t="str">
        <f t="shared" si="157"/>
        <v/>
      </c>
      <c r="EM125" s="77" t="str">
        <f t="shared" si="157"/>
        <v/>
      </c>
      <c r="EN125" s="77" t="str">
        <f t="shared" si="157"/>
        <v/>
      </c>
      <c r="EO125" s="77" t="str">
        <f t="shared" si="157"/>
        <v/>
      </c>
      <c r="EP125" s="77" t="str">
        <f t="shared" si="157"/>
        <v/>
      </c>
      <c r="EQ125" s="77" t="str">
        <f t="shared" si="157"/>
        <v/>
      </c>
      <c r="ER125" s="77" t="str">
        <f t="shared" si="157"/>
        <v/>
      </c>
      <c r="ES125" s="77" t="str">
        <f t="shared" si="157"/>
        <v/>
      </c>
      <c r="ET125" s="77" t="str">
        <f t="shared" si="157"/>
        <v/>
      </c>
      <c r="EU125" s="77" t="str">
        <f t="shared" si="157"/>
        <v/>
      </c>
      <c r="EV125" s="77" t="str">
        <f t="shared" si="160"/>
        <v/>
      </c>
      <c r="EW125" s="77" t="str">
        <f t="shared" si="160"/>
        <v/>
      </c>
      <c r="EX125" s="77" t="str">
        <f t="shared" si="160"/>
        <v/>
      </c>
      <c r="EY125" s="77" t="str">
        <f t="shared" si="160"/>
        <v/>
      </c>
      <c r="EZ125" s="77" t="str">
        <f t="shared" si="160"/>
        <v/>
      </c>
      <c r="FA125" s="77" t="str">
        <f t="shared" si="160"/>
        <v/>
      </c>
      <c r="FB125" s="77" t="str">
        <f t="shared" si="160"/>
        <v/>
      </c>
      <c r="FC125" s="77" t="str">
        <f t="shared" si="160"/>
        <v/>
      </c>
      <c r="FD125" s="77" t="str">
        <f t="shared" si="160"/>
        <v/>
      </c>
      <c r="FE125" s="77" t="str">
        <f t="shared" si="160"/>
        <v/>
      </c>
      <c r="FF125" s="77" t="str">
        <f t="shared" si="160"/>
        <v/>
      </c>
      <c r="FG125" s="77" t="str">
        <f t="shared" si="160"/>
        <v/>
      </c>
      <c r="FH125" s="77" t="str">
        <f t="shared" si="160"/>
        <v/>
      </c>
      <c r="FI125" s="77" t="str">
        <f t="shared" si="160"/>
        <v/>
      </c>
      <c r="FJ125" s="77" t="str">
        <f t="shared" si="160"/>
        <v/>
      </c>
      <c r="FK125" s="77" t="str">
        <f t="shared" si="160"/>
        <v/>
      </c>
      <c r="FL125" s="77" t="str">
        <f t="shared" si="160"/>
        <v/>
      </c>
      <c r="FM125" s="77" t="str">
        <f t="shared" si="160"/>
        <v/>
      </c>
      <c r="FN125" s="77" t="str">
        <f t="shared" si="160"/>
        <v/>
      </c>
      <c r="FO125" s="77" t="str">
        <f t="shared" si="160"/>
        <v/>
      </c>
      <c r="FP125" s="77" t="str">
        <f t="shared" si="160"/>
        <v/>
      </c>
      <c r="FQ125" s="77" t="str">
        <f t="shared" si="160"/>
        <v/>
      </c>
      <c r="FR125" s="77" t="str">
        <f t="shared" si="160"/>
        <v/>
      </c>
      <c r="FS125" s="77" t="str">
        <f t="shared" si="160"/>
        <v/>
      </c>
      <c r="FT125" s="77" t="str">
        <f t="shared" si="160"/>
        <v/>
      </c>
      <c r="FU125" s="77" t="str">
        <f t="shared" si="160"/>
        <v/>
      </c>
      <c r="FV125" s="77" t="str">
        <f t="shared" si="160"/>
        <v/>
      </c>
      <c r="FW125" s="77" t="str">
        <f t="shared" si="160"/>
        <v/>
      </c>
      <c r="FX125" s="77" t="str">
        <f t="shared" si="160"/>
        <v/>
      </c>
      <c r="FY125" s="77" t="str">
        <f t="shared" si="160"/>
        <v/>
      </c>
      <c r="FZ125" s="77" t="str">
        <f t="shared" si="160"/>
        <v/>
      </c>
      <c r="GA125" s="77" t="str">
        <f t="shared" si="160"/>
        <v/>
      </c>
      <c r="GB125" s="77" t="str">
        <f t="shared" si="160"/>
        <v/>
      </c>
      <c r="GC125" s="77" t="str">
        <f t="shared" si="160"/>
        <v/>
      </c>
      <c r="GD125" s="77" t="str">
        <f t="shared" si="160"/>
        <v/>
      </c>
      <c r="GE125" s="77" t="str">
        <f t="shared" si="160"/>
        <v/>
      </c>
      <c r="GF125" s="77" t="str">
        <f t="shared" si="160"/>
        <v/>
      </c>
      <c r="GG125" s="77" t="str">
        <f t="shared" si="160"/>
        <v/>
      </c>
      <c r="GH125" s="77" t="str">
        <f t="shared" si="160"/>
        <v/>
      </c>
      <c r="GI125" s="77" t="str">
        <f t="shared" si="160"/>
        <v/>
      </c>
      <c r="GJ125" s="77" t="str">
        <f t="shared" si="160"/>
        <v/>
      </c>
      <c r="GK125" s="77" t="str">
        <f t="shared" si="160"/>
        <v/>
      </c>
      <c r="GL125" s="77" t="str">
        <f t="shared" si="160"/>
        <v/>
      </c>
      <c r="GM125" s="77" t="str">
        <f t="shared" si="160"/>
        <v/>
      </c>
      <c r="GN125" s="77" t="str">
        <f t="shared" si="160"/>
        <v/>
      </c>
      <c r="GO125" s="77" t="str">
        <f t="shared" si="160"/>
        <v/>
      </c>
      <c r="GP125" s="77" t="str">
        <f t="shared" si="160"/>
        <v/>
      </c>
      <c r="GQ125" s="77" t="str">
        <f t="shared" si="160"/>
        <v/>
      </c>
      <c r="GR125" s="77" t="str">
        <f t="shared" si="160"/>
        <v/>
      </c>
      <c r="GS125" s="77" t="str">
        <f t="shared" si="160"/>
        <v/>
      </c>
      <c r="GT125" s="77" t="str">
        <f t="shared" si="160"/>
        <v/>
      </c>
      <c r="GU125" s="77" t="str">
        <f t="shared" si="160"/>
        <v/>
      </c>
      <c r="GV125" s="77" t="str">
        <f t="shared" si="160"/>
        <v/>
      </c>
      <c r="GW125" s="77" t="str">
        <f t="shared" si="160"/>
        <v/>
      </c>
      <c r="GX125" s="77" t="str">
        <f t="shared" si="160"/>
        <v/>
      </c>
    </row>
    <row r="126" spans="1:206" ht="15" customHeight="1" x14ac:dyDescent="0.2">
      <c r="A126" s="22" t="s">
        <v>194</v>
      </c>
      <c r="B126" s="22">
        <v>5</v>
      </c>
      <c r="C126" s="22" t="s">
        <v>194</v>
      </c>
      <c r="D126" s="22">
        <v>10</v>
      </c>
      <c r="E126" s="22" t="s">
        <v>253</v>
      </c>
      <c r="F126" s="22" t="s">
        <v>71</v>
      </c>
      <c r="G126" s="22" t="s">
        <v>72</v>
      </c>
      <c r="H126" s="22">
        <v>2024</v>
      </c>
      <c r="I126" s="22">
        <v>2</v>
      </c>
      <c r="J126" s="22">
        <v>32</v>
      </c>
      <c r="K126" s="22">
        <v>0</v>
      </c>
      <c r="L126" s="22">
        <v>4819</v>
      </c>
      <c r="M126" s="22">
        <v>4819</v>
      </c>
      <c r="N126" s="22" t="s">
        <v>196</v>
      </c>
      <c r="O126" s="22" t="s">
        <v>74</v>
      </c>
      <c r="P126" s="22" t="s">
        <v>216</v>
      </c>
      <c r="Q126" s="24"/>
      <c r="R126" s="22" t="str">
        <f>IF($E126="","",IFERROR(INDEX($W126:$GX126,MATCH('Dashboard Ciclos'!$B$2,$W$1:$GX$1,0)),""))</f>
        <v/>
      </c>
      <c r="S126" s="22" t="str">
        <f t="shared" si="128"/>
        <v>Sin dato</v>
      </c>
      <c r="T126" s="22" t="str">
        <f t="shared" si="129"/>
        <v>Sin dato</v>
      </c>
      <c r="U126" s="22" t="str">
        <f t="shared" si="130"/>
        <v/>
      </c>
      <c r="V126" s="23" t="str">
        <f t="shared" si="131"/>
        <v/>
      </c>
      <c r="W126" s="77" t="str">
        <f t="shared" si="125"/>
        <v/>
      </c>
      <c r="X126" s="77" t="str">
        <f t="shared" si="136"/>
        <v/>
      </c>
      <c r="Y126" s="77" t="str">
        <f t="shared" si="136"/>
        <v/>
      </c>
      <c r="Z126" s="77" t="str">
        <f t="shared" si="136"/>
        <v/>
      </c>
      <c r="AA126" s="77" t="s">
        <v>218</v>
      </c>
      <c r="AB126" s="77" t="str">
        <f t="shared" si="136"/>
        <v/>
      </c>
      <c r="AC126" s="77" t="str">
        <f t="shared" si="136"/>
        <v/>
      </c>
      <c r="AD126" s="77" t="str">
        <f t="shared" si="136"/>
        <v/>
      </c>
      <c r="AE126" s="77" t="str">
        <f t="shared" si="136"/>
        <v/>
      </c>
      <c r="AF126" s="77" t="str">
        <f t="shared" si="136"/>
        <v/>
      </c>
      <c r="AG126" s="77" t="str">
        <f t="shared" si="136"/>
        <v/>
      </c>
      <c r="AH126" s="77" t="str">
        <f t="shared" si="136"/>
        <v/>
      </c>
      <c r="AI126" s="77" t="str">
        <f t="shared" si="136"/>
        <v/>
      </c>
      <c r="AJ126" s="77" t="str">
        <f t="shared" si="136"/>
        <v/>
      </c>
      <c r="AK126" s="77" t="str">
        <f t="shared" si="155"/>
        <v/>
      </c>
      <c r="AL126" s="77" t="str">
        <f t="shared" si="155"/>
        <v/>
      </c>
      <c r="AM126" s="77" t="str">
        <f t="shared" si="155"/>
        <v/>
      </c>
      <c r="AN126" s="77" t="str">
        <f t="shared" si="91"/>
        <v/>
      </c>
      <c r="AO126" s="77" t="str">
        <f t="shared" si="155"/>
        <v/>
      </c>
      <c r="AP126" s="77" t="str">
        <f t="shared" si="155"/>
        <v/>
      </c>
      <c r="AQ126" s="77" t="str">
        <f t="shared" si="155"/>
        <v/>
      </c>
      <c r="AR126" s="77" t="str">
        <f t="shared" si="105"/>
        <v/>
      </c>
      <c r="AS126" s="77" t="str">
        <f t="shared" si="159"/>
        <v/>
      </c>
      <c r="AT126" s="77" t="str">
        <f t="shared" si="159"/>
        <v/>
      </c>
      <c r="AU126" s="77" t="str">
        <f t="shared" si="159"/>
        <v/>
      </c>
      <c r="AV126" s="77" t="str">
        <f t="shared" si="159"/>
        <v/>
      </c>
      <c r="AW126" s="77" t="str">
        <f t="shared" si="159"/>
        <v/>
      </c>
      <c r="AX126" s="77" t="str">
        <f t="shared" si="159"/>
        <v/>
      </c>
      <c r="AY126" s="77" t="str">
        <f t="shared" si="159"/>
        <v/>
      </c>
      <c r="AZ126" s="77" t="str">
        <f t="shared" si="159"/>
        <v/>
      </c>
      <c r="BA126" s="77" t="str">
        <f t="shared" si="159"/>
        <v/>
      </c>
      <c r="BB126" s="77" t="str">
        <f t="shared" si="159"/>
        <v/>
      </c>
      <c r="BC126" s="77" t="str">
        <f t="shared" si="159"/>
        <v/>
      </c>
      <c r="BD126" s="77" t="str">
        <f t="shared" si="159"/>
        <v/>
      </c>
      <c r="BE126" s="77" t="str">
        <f t="shared" si="159"/>
        <v/>
      </c>
      <c r="BF126" s="77" t="str">
        <f t="shared" si="159"/>
        <v/>
      </c>
      <c r="BG126" s="77" t="str">
        <f t="shared" si="159"/>
        <v/>
      </c>
      <c r="BH126" s="77" t="str">
        <f t="shared" si="159"/>
        <v/>
      </c>
      <c r="BI126" s="77" t="str">
        <f t="shared" si="159"/>
        <v/>
      </c>
      <c r="BJ126" s="77" t="str">
        <f t="shared" si="159"/>
        <v/>
      </c>
      <c r="BK126" s="77" t="str">
        <f t="shared" si="159"/>
        <v/>
      </c>
      <c r="BL126" s="77" t="str">
        <f t="shared" si="159"/>
        <v/>
      </c>
      <c r="BM126" s="77" t="str">
        <f t="shared" si="159"/>
        <v/>
      </c>
      <c r="BN126" s="77" t="str">
        <f t="shared" si="159"/>
        <v/>
      </c>
      <c r="BO126" s="77" t="str">
        <f t="shared" si="159"/>
        <v/>
      </c>
      <c r="BP126" s="77" t="str">
        <f t="shared" si="159"/>
        <v/>
      </c>
      <c r="BQ126" s="77" t="str">
        <f t="shared" si="159"/>
        <v/>
      </c>
      <c r="BR126" s="77" t="str">
        <f t="shared" si="159"/>
        <v/>
      </c>
      <c r="BS126" s="77" t="str">
        <f t="shared" si="159"/>
        <v/>
      </c>
      <c r="BT126" s="77" t="str">
        <f t="shared" si="159"/>
        <v/>
      </c>
      <c r="BU126" s="77" t="str">
        <f t="shared" si="159"/>
        <v/>
      </c>
      <c r="BV126" s="77" t="str">
        <f t="shared" si="159"/>
        <v/>
      </c>
      <c r="BW126" s="77" t="str">
        <f t="shared" si="159"/>
        <v/>
      </c>
      <c r="BX126" s="77" t="str">
        <f t="shared" si="159"/>
        <v/>
      </c>
      <c r="BY126" s="77" t="str">
        <f t="shared" si="159"/>
        <v/>
      </c>
      <c r="BZ126" s="77" t="str">
        <f t="shared" si="159"/>
        <v/>
      </c>
      <c r="CA126" s="77" t="str">
        <f t="shared" si="159"/>
        <v/>
      </c>
      <c r="CB126" s="77" t="str">
        <f t="shared" si="159"/>
        <v/>
      </c>
      <c r="CC126" s="77" t="str">
        <f t="shared" si="159"/>
        <v/>
      </c>
      <c r="CD126" s="77" t="str">
        <f t="shared" si="159"/>
        <v/>
      </c>
      <c r="CE126" s="77" t="str">
        <f t="shared" si="159"/>
        <v/>
      </c>
      <c r="CF126" s="77" t="str">
        <f t="shared" si="159"/>
        <v/>
      </c>
      <c r="CG126" s="77" t="str">
        <f t="shared" si="159"/>
        <v/>
      </c>
      <c r="CH126" s="77" t="str">
        <f t="shared" si="159"/>
        <v/>
      </c>
      <c r="CI126" s="77" t="str">
        <f t="shared" si="159"/>
        <v/>
      </c>
      <c r="CJ126" s="77" t="str">
        <f t="shared" si="159"/>
        <v/>
      </c>
      <c r="CK126" s="77" t="str">
        <f t="shared" si="157"/>
        <v/>
      </c>
      <c r="CL126" s="77" t="str">
        <f t="shared" si="157"/>
        <v/>
      </c>
      <c r="CM126" s="77" t="str">
        <f t="shared" si="157"/>
        <v/>
      </c>
      <c r="CN126" s="77" t="str">
        <f t="shared" si="157"/>
        <v/>
      </c>
      <c r="CO126" s="77" t="str">
        <f t="shared" si="157"/>
        <v/>
      </c>
      <c r="CP126" s="77" t="str">
        <f t="shared" si="157"/>
        <v/>
      </c>
      <c r="CQ126" s="77" t="str">
        <f t="shared" si="157"/>
        <v/>
      </c>
      <c r="CR126" s="77" t="str">
        <f t="shared" si="157"/>
        <v/>
      </c>
      <c r="CS126" s="77" t="str">
        <f t="shared" si="157"/>
        <v/>
      </c>
      <c r="CT126" s="77" t="str">
        <f t="shared" si="157"/>
        <v/>
      </c>
      <c r="CU126" s="77" t="str">
        <f t="shared" si="157"/>
        <v/>
      </c>
      <c r="CV126" s="77" t="str">
        <f t="shared" si="157"/>
        <v/>
      </c>
      <c r="CW126" s="77" t="str">
        <f t="shared" si="157"/>
        <v/>
      </c>
      <c r="CX126" s="77" t="str">
        <f t="shared" si="157"/>
        <v/>
      </c>
      <c r="CY126" s="77" t="str">
        <f t="shared" si="157"/>
        <v/>
      </c>
      <c r="CZ126" s="77" t="str">
        <f t="shared" si="157"/>
        <v/>
      </c>
      <c r="DA126" s="77" t="str">
        <f t="shared" si="157"/>
        <v/>
      </c>
      <c r="DB126" s="77" t="str">
        <f t="shared" si="157"/>
        <v/>
      </c>
      <c r="DC126" s="77" t="str">
        <f t="shared" si="157"/>
        <v/>
      </c>
      <c r="DD126" s="77" t="str">
        <f t="shared" si="157"/>
        <v/>
      </c>
      <c r="DE126" s="77" t="str">
        <f t="shared" si="157"/>
        <v/>
      </c>
      <c r="DF126" s="77" t="str">
        <f t="shared" si="157"/>
        <v/>
      </c>
      <c r="DG126" s="77" t="str">
        <f t="shared" si="157"/>
        <v/>
      </c>
      <c r="DH126" s="77" t="str">
        <f t="shared" si="157"/>
        <v/>
      </c>
      <c r="DI126" s="77" t="str">
        <f t="shared" si="157"/>
        <v/>
      </c>
      <c r="DJ126" s="77" t="str">
        <f t="shared" si="157"/>
        <v/>
      </c>
      <c r="DK126" s="77" t="str">
        <f t="shared" si="157"/>
        <v/>
      </c>
      <c r="DL126" s="77" t="str">
        <f t="shared" si="157"/>
        <v/>
      </c>
      <c r="DM126" s="77" t="str">
        <f t="shared" si="157"/>
        <v/>
      </c>
      <c r="DN126" s="77" t="str">
        <f t="shared" si="157"/>
        <v/>
      </c>
      <c r="DO126" s="77" t="str">
        <f t="shared" si="157"/>
        <v/>
      </c>
      <c r="DP126" s="77" t="str">
        <f t="shared" si="157"/>
        <v/>
      </c>
      <c r="DQ126" s="77" t="str">
        <f t="shared" si="157"/>
        <v/>
      </c>
      <c r="DR126" s="77" t="str">
        <f t="shared" si="157"/>
        <v/>
      </c>
      <c r="DS126" s="77" t="str">
        <f t="shared" si="157"/>
        <v/>
      </c>
      <c r="DT126" s="77" t="str">
        <f t="shared" si="157"/>
        <v/>
      </c>
      <c r="DU126" s="77" t="str">
        <f t="shared" si="157"/>
        <v/>
      </c>
      <c r="DV126" s="77" t="str">
        <f t="shared" si="157"/>
        <v/>
      </c>
      <c r="DW126" s="77" t="str">
        <f t="shared" si="157"/>
        <v/>
      </c>
      <c r="DX126" s="77" t="str">
        <f t="shared" si="157"/>
        <v/>
      </c>
      <c r="DY126" s="77" t="str">
        <f t="shared" si="157"/>
        <v/>
      </c>
      <c r="DZ126" s="77" t="str">
        <f t="shared" si="157"/>
        <v/>
      </c>
      <c r="EA126" s="77" t="str">
        <f t="shared" si="157"/>
        <v/>
      </c>
      <c r="EB126" s="77" t="str">
        <f t="shared" si="157"/>
        <v/>
      </c>
      <c r="EC126" s="77" t="str">
        <f t="shared" si="157"/>
        <v/>
      </c>
      <c r="ED126" s="77" t="str">
        <f t="shared" si="157"/>
        <v/>
      </c>
      <c r="EE126" s="77" t="str">
        <f t="shared" si="157"/>
        <v/>
      </c>
      <c r="EF126" s="77" t="str">
        <f t="shared" si="157"/>
        <v/>
      </c>
      <c r="EG126" s="77" t="str">
        <f t="shared" si="157"/>
        <v/>
      </c>
      <c r="EH126" s="77" t="str">
        <f t="shared" si="157"/>
        <v/>
      </c>
      <c r="EI126" s="77" t="str">
        <f t="shared" si="157"/>
        <v/>
      </c>
      <c r="EJ126" s="77" t="str">
        <f t="shared" si="157"/>
        <v/>
      </c>
      <c r="EK126" s="77" t="str">
        <f t="shared" si="157"/>
        <v/>
      </c>
      <c r="EL126" s="77" t="str">
        <f t="shared" si="157"/>
        <v/>
      </c>
      <c r="EM126" s="77" t="str">
        <f t="shared" si="157"/>
        <v/>
      </c>
      <c r="EN126" s="77" t="str">
        <f t="shared" si="157"/>
        <v/>
      </c>
      <c r="EO126" s="77" t="str">
        <f t="shared" si="157"/>
        <v/>
      </c>
      <c r="EP126" s="77" t="str">
        <f t="shared" si="157"/>
        <v/>
      </c>
      <c r="EQ126" s="77" t="str">
        <f t="shared" si="157"/>
        <v/>
      </c>
      <c r="ER126" s="77" t="str">
        <f t="shared" si="157"/>
        <v/>
      </c>
      <c r="ES126" s="77" t="str">
        <f t="shared" si="157"/>
        <v/>
      </c>
      <c r="ET126" s="77" t="str">
        <f t="shared" si="157"/>
        <v/>
      </c>
      <c r="EU126" s="77" t="str">
        <f t="shared" si="157"/>
        <v/>
      </c>
      <c r="EV126" s="77" t="str">
        <f t="shared" si="160"/>
        <v/>
      </c>
      <c r="EW126" s="77" t="str">
        <f t="shared" si="160"/>
        <v/>
      </c>
      <c r="EX126" s="77" t="str">
        <f t="shared" si="160"/>
        <v/>
      </c>
      <c r="EY126" s="77" t="str">
        <f t="shared" si="160"/>
        <v/>
      </c>
      <c r="EZ126" s="77" t="str">
        <f t="shared" si="160"/>
        <v/>
      </c>
      <c r="FA126" s="77" t="str">
        <f t="shared" si="160"/>
        <v/>
      </c>
      <c r="FB126" s="77" t="str">
        <f t="shared" si="160"/>
        <v/>
      </c>
      <c r="FC126" s="77" t="str">
        <f t="shared" si="160"/>
        <v/>
      </c>
      <c r="FD126" s="77" t="str">
        <f t="shared" si="160"/>
        <v/>
      </c>
      <c r="FE126" s="77" t="str">
        <f t="shared" si="160"/>
        <v/>
      </c>
      <c r="FF126" s="77" t="str">
        <f t="shared" si="160"/>
        <v/>
      </c>
      <c r="FG126" s="77" t="str">
        <f t="shared" si="160"/>
        <v/>
      </c>
      <c r="FH126" s="77" t="str">
        <f t="shared" si="160"/>
        <v/>
      </c>
      <c r="FI126" s="77" t="str">
        <f t="shared" si="160"/>
        <v/>
      </c>
      <c r="FJ126" s="77" t="str">
        <f t="shared" si="160"/>
        <v/>
      </c>
      <c r="FK126" s="77" t="str">
        <f t="shared" si="160"/>
        <v/>
      </c>
      <c r="FL126" s="77" t="str">
        <f t="shared" si="160"/>
        <v/>
      </c>
      <c r="FM126" s="77" t="str">
        <f t="shared" si="160"/>
        <v/>
      </c>
      <c r="FN126" s="77" t="str">
        <f t="shared" si="160"/>
        <v/>
      </c>
      <c r="FO126" s="77" t="str">
        <f t="shared" si="160"/>
        <v/>
      </c>
      <c r="FP126" s="77" t="str">
        <f t="shared" si="160"/>
        <v/>
      </c>
      <c r="FQ126" s="77" t="str">
        <f t="shared" si="160"/>
        <v/>
      </c>
      <c r="FR126" s="77" t="str">
        <f t="shared" si="160"/>
        <v/>
      </c>
      <c r="FS126" s="77" t="str">
        <f t="shared" si="160"/>
        <v/>
      </c>
      <c r="FT126" s="77" t="str">
        <f t="shared" si="160"/>
        <v/>
      </c>
      <c r="FU126" s="77" t="str">
        <f t="shared" si="160"/>
        <v/>
      </c>
      <c r="FV126" s="77" t="str">
        <f t="shared" si="160"/>
        <v/>
      </c>
      <c r="FW126" s="77" t="str">
        <f t="shared" si="160"/>
        <v/>
      </c>
      <c r="FX126" s="77" t="str">
        <f t="shared" si="160"/>
        <v/>
      </c>
      <c r="FY126" s="77" t="str">
        <f t="shared" si="160"/>
        <v/>
      </c>
      <c r="FZ126" s="77" t="str">
        <f t="shared" si="160"/>
        <v/>
      </c>
      <c r="GA126" s="77" t="str">
        <f t="shared" si="160"/>
        <v/>
      </c>
      <c r="GB126" s="77" t="str">
        <f t="shared" si="160"/>
        <v/>
      </c>
      <c r="GC126" s="77" t="str">
        <f t="shared" si="160"/>
        <v/>
      </c>
      <c r="GD126" s="77" t="str">
        <f t="shared" si="160"/>
        <v/>
      </c>
      <c r="GE126" s="77" t="str">
        <f t="shared" si="160"/>
        <v/>
      </c>
      <c r="GF126" s="77" t="str">
        <f t="shared" si="160"/>
        <v/>
      </c>
      <c r="GG126" s="77" t="str">
        <f t="shared" si="160"/>
        <v/>
      </c>
      <c r="GH126" s="77" t="str">
        <f t="shared" si="160"/>
        <v/>
      </c>
      <c r="GI126" s="77" t="str">
        <f t="shared" si="160"/>
        <v/>
      </c>
      <c r="GJ126" s="77" t="str">
        <f t="shared" si="160"/>
        <v/>
      </c>
      <c r="GK126" s="77" t="str">
        <f t="shared" si="160"/>
        <v/>
      </c>
      <c r="GL126" s="77" t="str">
        <f t="shared" si="160"/>
        <v/>
      </c>
      <c r="GM126" s="77" t="str">
        <f t="shared" si="160"/>
        <v/>
      </c>
      <c r="GN126" s="77" t="str">
        <f t="shared" si="160"/>
        <v/>
      </c>
      <c r="GO126" s="77" t="str">
        <f t="shared" si="160"/>
        <v/>
      </c>
      <c r="GP126" s="77" t="str">
        <f t="shared" si="160"/>
        <v/>
      </c>
      <c r="GQ126" s="77" t="str">
        <f t="shared" si="160"/>
        <v/>
      </c>
      <c r="GR126" s="77" t="str">
        <f t="shared" si="160"/>
        <v/>
      </c>
      <c r="GS126" s="77" t="str">
        <f t="shared" si="160"/>
        <v/>
      </c>
      <c r="GT126" s="77" t="str">
        <f t="shared" si="160"/>
        <v/>
      </c>
      <c r="GU126" s="77" t="str">
        <f t="shared" si="160"/>
        <v/>
      </c>
      <c r="GV126" s="77" t="str">
        <f t="shared" si="160"/>
        <v/>
      </c>
      <c r="GW126" s="77" t="str">
        <f t="shared" si="160"/>
        <v/>
      </c>
      <c r="GX126" s="77" t="str">
        <f t="shared" si="160"/>
        <v/>
      </c>
    </row>
    <row r="127" spans="1:206" ht="15" customHeight="1" x14ac:dyDescent="0.2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R127" s="110"/>
      <c r="S127" s="110"/>
      <c r="T127" s="110"/>
      <c r="U127" s="110"/>
      <c r="V127" s="111"/>
    </row>
    <row r="128" spans="1:206" x14ac:dyDescent="0.2">
      <c r="E128" s="77" t="s">
        <v>612</v>
      </c>
      <c r="R128" s="79">
        <f>+SUMPRODUCT($J$2:$J$95,R$2:R$95)/SUM($J$2:$J$95)</f>
        <v>9.1703443700104899</v>
      </c>
      <c r="W128" s="79">
        <f>+SUMPRODUCT($J$2:$J$95,W$2:W$95)/SUM($J$2:$J$95)</f>
        <v>12.582299937932071</v>
      </c>
      <c r="X128" s="79">
        <f t="shared" ref="X128:BX128" si="161">+SUMPRODUCT($J$2:$J$95,X$2:X$95)/SUM($J$2:$J$95)</f>
        <v>13.582299937932065</v>
      </c>
      <c r="Y128" s="79">
        <f t="shared" si="161"/>
        <v>14.582299937932062</v>
      </c>
      <c r="Z128" s="79">
        <f t="shared" si="161"/>
        <v>15.582299937932065</v>
      </c>
      <c r="AA128" s="79">
        <f t="shared" si="161"/>
        <v>16.58229993793206</v>
      </c>
      <c r="AB128" s="79">
        <f t="shared" si="161"/>
        <v>16.664850287866795</v>
      </c>
      <c r="AC128" s="79">
        <f t="shared" si="161"/>
        <v>16.627930569526779</v>
      </c>
      <c r="AD128" s="79">
        <f t="shared" si="161"/>
        <v>17.548261027759356</v>
      </c>
      <c r="AE128" s="79">
        <f t="shared" si="161"/>
        <v>16.816972369068768</v>
      </c>
      <c r="AF128" s="79">
        <f t="shared" si="161"/>
        <v>17.261716927423322</v>
      </c>
      <c r="AG128" s="79">
        <f t="shared" si="161"/>
        <v>16.560315048263167</v>
      </c>
      <c r="AH128" s="79">
        <f t="shared" si="161"/>
        <v>15.386409263103824</v>
      </c>
      <c r="AI128" s="79">
        <f t="shared" si="161"/>
        <v>15.383776726665666</v>
      </c>
      <c r="AJ128" s="79">
        <f t="shared" si="161"/>
        <v>15.253755109903045</v>
      </c>
      <c r="AK128" s="79">
        <f t="shared" si="161"/>
        <v>14.393074074866769</v>
      </c>
      <c r="AL128" s="79">
        <f t="shared" si="161"/>
        <v>14.703062731417074</v>
      </c>
      <c r="AM128" s="79">
        <f t="shared" si="161"/>
        <v>13.674400188344066</v>
      </c>
      <c r="AN128" s="79">
        <f t="shared" si="161"/>
        <v>13.866558226141304</v>
      </c>
      <c r="AO128" s="79">
        <f t="shared" si="161"/>
        <v>14.866558226141297</v>
      </c>
      <c r="AP128" s="79">
        <f t="shared" si="161"/>
        <v>15.68136891894784</v>
      </c>
      <c r="AQ128" s="79">
        <f t="shared" si="161"/>
        <v>15.573417802795195</v>
      </c>
      <c r="AR128" s="79">
        <f t="shared" si="161"/>
        <v>13.681398882777216</v>
      </c>
      <c r="AS128" s="79">
        <f t="shared" si="161"/>
        <v>12.102454893735416</v>
      </c>
      <c r="AT128" s="79">
        <f t="shared" si="161"/>
        <v>12.026000042805466</v>
      </c>
      <c r="AU128" s="79">
        <f t="shared" si="161"/>
        <v>11.942413800483703</v>
      </c>
      <c r="AV128" s="79">
        <f t="shared" si="161"/>
        <v>12.942413800483704</v>
      </c>
      <c r="AW128" s="79">
        <f t="shared" si="161"/>
        <v>10.69807161355221</v>
      </c>
      <c r="AX128" s="79">
        <f t="shared" si="161"/>
        <v>11.000809023393185</v>
      </c>
      <c r="AY128" s="79">
        <f t="shared" si="161"/>
        <v>10.557780964407254</v>
      </c>
      <c r="AZ128" s="79">
        <f t="shared" si="161"/>
        <v>10.404173533377563</v>
      </c>
      <c r="BA128" s="79">
        <f t="shared" si="161"/>
        <v>8.899976456991201</v>
      </c>
      <c r="BB128" s="79">
        <f t="shared" si="161"/>
        <v>9.4049825567707526</v>
      </c>
      <c r="BC128" s="79">
        <f t="shared" si="161"/>
        <v>10.404982556770754</v>
      </c>
      <c r="BD128" s="79">
        <f t="shared" si="161"/>
        <v>10.412520600132698</v>
      </c>
      <c r="BE128" s="79">
        <f t="shared" si="161"/>
        <v>9.9352267619801822</v>
      </c>
      <c r="BF128" s="79">
        <f t="shared" si="161"/>
        <v>9.0674100550050305</v>
      </c>
      <c r="BG128" s="79">
        <f t="shared" si="161"/>
        <v>8.5771846842026385</v>
      </c>
      <c r="BH128" s="79">
        <f t="shared" si="161"/>
        <v>9.0656079446953353</v>
      </c>
      <c r="BI128" s="79">
        <f t="shared" si="161"/>
        <v>9.5129465145645629</v>
      </c>
      <c r="BJ128" s="79">
        <f t="shared" si="161"/>
        <v>10.512946514564559</v>
      </c>
      <c r="BK128" s="79">
        <f t="shared" si="161"/>
        <v>10.3963401322689</v>
      </c>
      <c r="BL128" s="79">
        <f t="shared" si="161"/>
        <v>9.8555443785715813</v>
      </c>
      <c r="BM128" s="79">
        <f t="shared" si="161"/>
        <v>8.3114483230956893</v>
      </c>
      <c r="BN128" s="79">
        <f t="shared" si="161"/>
        <v>8.7718297198381983</v>
      </c>
      <c r="BO128" s="79">
        <f t="shared" si="161"/>
        <v>8.1703443700104863</v>
      </c>
      <c r="BP128" s="79">
        <f t="shared" si="161"/>
        <v>9.1703443700104899</v>
      </c>
      <c r="BQ128" s="79">
        <f t="shared" si="161"/>
        <v>10.170344370010488</v>
      </c>
      <c r="BR128" s="79">
        <f t="shared" si="161"/>
        <v>11.170344370010488</v>
      </c>
      <c r="BS128" s="79">
        <f t="shared" si="161"/>
        <v>12.170344370010488</v>
      </c>
      <c r="BT128" s="79">
        <f t="shared" si="161"/>
        <v>13.17034437001049</v>
      </c>
      <c r="BU128" s="79">
        <f t="shared" si="161"/>
        <v>14.170344370010493</v>
      </c>
      <c r="BV128" s="79">
        <f t="shared" si="161"/>
        <v>15.170344370010483</v>
      </c>
      <c r="BW128" s="79">
        <f t="shared" si="161"/>
        <v>16.170344370010483</v>
      </c>
      <c r="BX128" s="79">
        <f t="shared" si="161"/>
        <v>17.170344370010486</v>
      </c>
    </row>
    <row r="129" spans="1:206" x14ac:dyDescent="0.2">
      <c r="A129" s="81" t="s">
        <v>254</v>
      </c>
      <c r="B129" s="81"/>
    </row>
    <row r="130" spans="1:206" x14ac:dyDescent="0.2">
      <c r="A130" s="82" t="s">
        <v>23</v>
      </c>
      <c r="B130" s="82" t="s">
        <v>31</v>
      </c>
    </row>
    <row r="131" spans="1:206" x14ac:dyDescent="0.2">
      <c r="A131" s="83">
        <v>1</v>
      </c>
      <c r="B131" s="83" t="s">
        <v>11</v>
      </c>
      <c r="W131" s="79" cm="1">
        <f t="array" ref="W131">SUMPRODUCT(($B$2:$B$126=1)*(W$2:W$126&gt;=0)*(W$2:W$126&lt;=12)*(W$2:W$126&lt;&gt;"")*($J$2:$J$126))</f>
        <v>151.75</v>
      </c>
      <c r="X131" s="79" cm="1">
        <f t="array" ref="X131">SUMPRODUCT(($B$2:$B$126=1)*(X$2:X$126&gt;=0)*(X$2:X$126&lt;=12)*(X$2:X$126&lt;&gt;"")*($J$2:$J$126))</f>
        <v>151.75</v>
      </c>
      <c r="Y131" s="79" cm="1">
        <f t="array" ref="Y131">SUMPRODUCT(($B$2:$B$126=1)*(Y$2:Y$126&gt;=0)*(Y$2:Y$126&lt;=12)*(Y$2:Y$126&lt;&gt;"")*($J$2:$J$126))</f>
        <v>101.65</v>
      </c>
      <c r="Z131" s="79" cm="1">
        <f t="array" ref="Z131">SUMPRODUCT(($B$2:$B$126=1)*(Z$2:Z$126&gt;=0)*(Z$2:Z$126&lt;=12)*(Z$2:Z$126&lt;&gt;"")*($J$2:$J$126))</f>
        <v>101.65</v>
      </c>
      <c r="AA131" s="79" cm="1">
        <f t="array" ref="AA131">SUMPRODUCT(($B$2:$B$126=1)*(AA$2:AA$126&gt;=0)*(AA$2:AA$126&lt;=12)*(AA$2:AA$126&lt;&gt;"")*($J$2:$J$126))</f>
        <v>101.65</v>
      </c>
      <c r="AB131" s="79" cm="1">
        <f t="array" ref="AB131">SUMPRODUCT(($B$2:$B$126=1)*(AB$2:AB$126&gt;=0)*(AB$2:AB$126&lt;=12)*(AB$2:AB$126&lt;&gt;"")*($J$2:$J$126))</f>
        <v>104.53</v>
      </c>
      <c r="AC131" s="79" cm="1">
        <f t="array" ref="AC131">SUMPRODUCT(($B$2:$B$126=1)*(AC$2:AC$126&gt;=0)*(AC$2:AC$126&lt;=12)*(AC$2:AC$126&lt;&gt;"")*($J$2:$J$126))</f>
        <v>104.53</v>
      </c>
      <c r="AD131" s="79" cm="1">
        <f t="array" ref="AD131">SUMPRODUCT(($B$2:$B$126=1)*(AD$2:AD$126&gt;=0)*(AD$2:AD$126&lt;=12)*(AD$2:AD$126&lt;&gt;"")*($J$2:$J$126))</f>
        <v>104.53</v>
      </c>
      <c r="AE131" s="79" cm="1">
        <f t="array" ref="AE131">SUMPRODUCT(($B$2:$B$126=1)*(AE$2:AE$126&gt;=0)*(AE$2:AE$126&lt;=12)*(AE$2:AE$126&lt;&gt;"")*($J$2:$J$126))</f>
        <v>140.88999999999999</v>
      </c>
      <c r="AF131" s="79" cm="1">
        <f t="array" ref="AF131">SUMPRODUCT(($B$2:$B$126=1)*(AF$2:AF$126&gt;=0)*(AF$2:AF$126&lt;=12)*(AF$2:AF$126&lt;&gt;"")*($J$2:$J$126))</f>
        <v>140.88999999999999</v>
      </c>
      <c r="AG131" s="79" cm="1">
        <f t="array" ref="AG131">SUMPRODUCT(($B$2:$B$126=1)*(AG$2:AG$126&gt;=0)*(AG$2:AG$126&lt;=12)*(AG$2:AG$126&lt;&gt;"")*($J$2:$J$126))</f>
        <v>140.88999999999999</v>
      </c>
      <c r="AH131" s="79" cm="1">
        <f t="array" ref="AH131">SUMPRODUCT(($B$2:$B$126=1)*(AH$2:AH$126&gt;=0)*(AH$2:AH$126&lt;=12)*(AH$2:AH$126&lt;&gt;"")*($J$2:$J$126))</f>
        <v>132.56</v>
      </c>
      <c r="AI131" s="79" cm="1">
        <f t="array" ref="AI131">SUMPRODUCT(($B$2:$B$126=1)*(AI$2:AI$126&gt;=0)*(AI$2:AI$126&lt;=12)*(AI$2:AI$126&lt;&gt;"")*($J$2:$J$126))</f>
        <v>181.37</v>
      </c>
      <c r="AJ131" s="79" cm="1">
        <f t="array" ref="AJ131">SUMPRODUCT(($B$2:$B$126=1)*(AJ$2:AJ$126&gt;=0)*(AJ$2:AJ$126&lt;=12)*(AJ$2:AJ$126&lt;&gt;"")*($J$2:$J$126))</f>
        <v>181.37</v>
      </c>
      <c r="AK131" s="79" cm="1">
        <f t="array" ref="AK131">SUMPRODUCT(($B$2:$B$126=1)*(AK$2:AK$126&gt;=0)*(AK$2:AK$126&lt;=12)*(AK$2:AK$126&lt;&gt;"")*($J$2:$J$126))</f>
        <v>224.45</v>
      </c>
      <c r="AL131" s="79" cm="1">
        <f t="array" ref="AL131">SUMPRODUCT(($B$2:$B$126=1)*(AL$2:AL$126&gt;=0)*(AL$2:AL$126&lt;=12)*(AL$2:AL$126&lt;&gt;"")*($J$2:$J$126))</f>
        <v>264.12</v>
      </c>
      <c r="AM131" s="79" cm="1">
        <f t="array" ref="AM131">SUMPRODUCT(($B$2:$B$126=1)*(AM$2:AM$126&gt;=0)*(AM$2:AM$126&lt;=12)*(AM$2:AM$126&lt;&gt;"")*($J$2:$J$126))</f>
        <v>285.64</v>
      </c>
      <c r="AN131" s="79" cm="1">
        <f t="array" ref="AN131">SUMPRODUCT(($B$2:$B$126=1)*(AN$2:AN$126&gt;=0)*(AN$2:AN$126&lt;=12)*(AN$2:AN$126&lt;&gt;"")*($J$2:$J$126))</f>
        <v>285.64</v>
      </c>
      <c r="AO131" s="79" cm="1">
        <f t="array" ref="AO131">SUMPRODUCT(($B$2:$B$126=1)*(AO$2:AO$126&gt;=0)*(AO$2:AO$126&lt;=12)*(AO$2:AO$126&lt;&gt;"")*($J$2:$J$126))</f>
        <v>246.26000000000002</v>
      </c>
      <c r="AP131" s="79" cm="1">
        <f t="array" ref="AP131">SUMPRODUCT(($B$2:$B$126=1)*(AP$2:AP$126&gt;=0)*(AP$2:AP$126&lt;=12)*(AP$2:AP$126&lt;&gt;"")*($J$2:$J$126))</f>
        <v>246.26000000000002</v>
      </c>
      <c r="AQ131" s="79" cm="1">
        <f t="array" ref="AQ131">SUMPRODUCT(($B$2:$B$126=1)*(AQ$2:AQ$126&gt;=0)*(AQ$2:AQ$126&lt;=12)*(AQ$2:AQ$126&lt;&gt;"")*($J$2:$J$126))</f>
        <v>308.12</v>
      </c>
      <c r="AR131" s="79" cm="1">
        <f t="array" ref="AR131">SUMPRODUCT(($B$2:$B$126=1)*(AR$2:AR$126&gt;=0)*(AR$2:AR$126&lt;=12)*(AR$2:AR$126&lt;&gt;"")*($J$2:$J$126))</f>
        <v>299.18</v>
      </c>
      <c r="AS131" s="79" cm="1">
        <f t="array" ref="AS131">SUMPRODUCT(($B$2:$B$126=1)*(AS$2:AS$126&gt;=0)*(AS$2:AS$126&lt;=12)*(AS$2:AS$126&lt;&gt;"")*($J$2:$J$126))</f>
        <v>349.28000000000003</v>
      </c>
      <c r="AT131" s="79" cm="1">
        <f t="array" ref="AT131">SUMPRODUCT(($B$2:$B$126=1)*(AT$2:AT$126&gt;=0)*(AT$2:AT$126&lt;=12)*(AT$2:AT$126&lt;&gt;"")*($J$2:$J$126))</f>
        <v>349.28000000000003</v>
      </c>
      <c r="AU131" s="79" cm="1">
        <f t="array" ref="AU131">SUMPRODUCT(($B$2:$B$126=1)*(AU$2:AU$126&gt;=0)*(AU$2:AU$126&lt;=12)*(AU$2:AU$126&lt;&gt;"")*($J$2:$J$126))</f>
        <v>347.85</v>
      </c>
      <c r="AV131" s="79" cm="1">
        <f t="array" ref="AV131">SUMPRODUCT(($B$2:$B$126=1)*(AV$2:AV$126&gt;=0)*(AV$2:AV$126&lt;=12)*(AV$2:AV$126&lt;&gt;"")*($J$2:$J$126))</f>
        <v>299.04000000000002</v>
      </c>
      <c r="AW131" s="79" cm="1">
        <f t="array" ref="AW131">SUMPRODUCT(($B$2:$B$126=1)*(AW$2:AW$126&gt;=0)*(AW$2:AW$126&lt;=12)*(AW$2:AW$126&lt;&gt;"")*($J$2:$J$126))</f>
        <v>364.19</v>
      </c>
      <c r="AX131" s="79" cm="1">
        <f t="array" ref="AX131">SUMPRODUCT(($B$2:$B$126=1)*(AX$2:AX$126&gt;=0)*(AX$2:AX$126&lt;=12)*(AX$2:AX$126&lt;&gt;"")*($J$2:$J$126))</f>
        <v>360.49</v>
      </c>
      <c r="AY131" s="79" cm="1">
        <f t="array" ref="AY131">SUMPRODUCT(($B$2:$B$126=1)*(AY$2:AY$126&gt;=0)*(AY$2:AY$126&lt;=12)*(AY$2:AY$126&lt;&gt;"")*($J$2:$J$126))</f>
        <v>376.07</v>
      </c>
      <c r="AZ131" s="79" cm="1">
        <f t="array" ref="AZ131">SUMPRODUCT(($B$2:$B$126=1)*(AZ$2:AZ$126&gt;=0)*(AZ$2:AZ$126&lt;=12)*(AZ$2:AZ$126&lt;&gt;"")*($J$2:$J$126))</f>
        <v>392.48</v>
      </c>
      <c r="BA131" s="79" cm="1">
        <f t="array" ref="BA131">SUMPRODUCT(($B$2:$B$126=1)*(BA$2:BA$126&gt;=0)*(BA$2:BA$126&lt;=12)*(BA$2:BA$126&lt;&gt;"")*($J$2:$J$126))</f>
        <v>484.37</v>
      </c>
      <c r="BB131" s="79" cm="1">
        <f t="array" ref="BB131">SUMPRODUCT(($B$2:$B$126=1)*(BB$2:BB$126&gt;=0)*(BB$2:BB$126&lt;=12)*(BB$2:BB$126&lt;&gt;"")*($J$2:$J$126))</f>
        <v>524.04000000000008</v>
      </c>
      <c r="BC131" s="79" cm="1">
        <f t="array" ref="BC131">SUMPRODUCT(($B$2:$B$126=1)*(BC$2:BC$126&gt;=0)*(BC$2:BC$126&lt;=12)*(BC$2:BC$126&lt;&gt;"")*($J$2:$J$126))</f>
        <v>524.04000000000008</v>
      </c>
      <c r="BD131" s="79" cm="1">
        <f t="array" ref="BD131">SUMPRODUCT(($B$2:$B$126=1)*(BD$2:BD$126&gt;=0)*(BD$2:BD$126&lt;=12)*(BD$2:BD$126&lt;&gt;"")*($J$2:$J$126))</f>
        <v>483.7</v>
      </c>
      <c r="BE131" s="79" cm="1">
        <f t="array" ref="BE131">SUMPRODUCT(($B$2:$B$126=1)*(BE$2:BE$126&gt;=0)*(BE$2:BE$126&lt;=12)*(BE$2:BE$126&lt;&gt;"")*($J$2:$J$126))</f>
        <v>437.39</v>
      </c>
      <c r="BF131" s="79" cm="1">
        <f t="array" ref="BF131">SUMPRODUCT(($B$2:$B$126=1)*(BF$2:BF$126&gt;=0)*(BF$2:BF$126&lt;=12)*(BF$2:BF$126&lt;&gt;"")*($J$2:$J$126))</f>
        <v>387.28999999999996</v>
      </c>
      <c r="BG131" s="79" cm="1">
        <f t="array" ref="BG131">SUMPRODUCT(($B$2:$B$126=1)*(BG$2:BG$126&gt;=0)*(BG$2:BG$126&lt;=12)*(BG$2:BG$126&lt;&gt;"")*($J$2:$J$126))</f>
        <v>387.28999999999996</v>
      </c>
      <c r="BH131" s="79" cm="1">
        <f t="array" ref="BH131">SUMPRODUCT(($B$2:$B$126=1)*(BH$2:BH$126&gt;=0)*(BH$2:BH$126&lt;=12)*(BH$2:BH$126&lt;&gt;"")*($J$2:$J$126))</f>
        <v>350.78999999999996</v>
      </c>
      <c r="BI131" s="79" cm="1">
        <f t="array" ref="BI131">SUMPRODUCT(($B$2:$B$126=1)*(BI$2:BI$126&gt;=0)*(BI$2:BI$126&lt;=12)*(BI$2:BI$126&lt;&gt;"")*($J$2:$J$126))</f>
        <v>350.78999999999996</v>
      </c>
      <c r="BJ131" s="79" cm="1">
        <f t="array" ref="BJ131">SUMPRODUCT(($B$2:$B$126=1)*(BJ$2:BJ$126&gt;=0)*(BJ$2:BJ$126&lt;=12)*(BJ$2:BJ$126&lt;&gt;"")*($J$2:$J$126))</f>
        <v>285.64</v>
      </c>
      <c r="BK131" s="79" cm="1">
        <f t="array" ref="BK131">SUMPRODUCT(($B$2:$B$126=1)*(BK$2:BK$126&gt;=0)*(BK$2:BK$126&lt;=12)*(BK$2:BK$126&lt;&gt;"")*($J$2:$J$126))</f>
        <v>308.12</v>
      </c>
      <c r="BL131" s="79" cm="1">
        <f t="array" ref="BL131">SUMPRODUCT(($B$2:$B$126=1)*(BL$2:BL$126&gt;=0)*(BL$2:BL$126&lt;=12)*(BL$2:BL$126&lt;&gt;"")*($J$2:$J$126))</f>
        <v>299.18</v>
      </c>
      <c r="BM131" s="79" cm="1">
        <f t="array" ref="BM131">SUMPRODUCT(($B$2:$B$126=1)*(BM$2:BM$126&gt;=0)*(BM$2:BM$126&lt;=12)*(BM$2:BM$126&lt;&gt;"")*($J$2:$J$126))</f>
        <v>311.35000000000002</v>
      </c>
      <c r="BN131" s="79" cm="1">
        <f t="array" ref="BN131">SUMPRODUCT(($B$2:$B$126=1)*(BN$2:BN$126&gt;=0)*(BN$2:BN$126&lt;=12)*(BN$2:BN$126&lt;&gt;"")*($J$2:$J$126))</f>
        <v>219.46</v>
      </c>
      <c r="BO131" s="79" cm="1">
        <f t="array" ref="BO131">SUMPRODUCT(($B$2:$B$126=1)*(BO$2:BO$126&gt;=0)*(BO$2:BO$126&lt;=12)*(BO$2:BO$126&lt;&gt;"")*($J$2:$J$126))</f>
        <v>216.29</v>
      </c>
      <c r="BP131" s="79" cm="1">
        <f t="array" ref="BP131">SUMPRODUCT(($B$2:$B$126=1)*(BP$2:BP$126&gt;=0)*(BP$2:BP$126&lt;=12)*(BP$2:BP$126&lt;&gt;"")*($J$2:$J$126))</f>
        <v>216.29</v>
      </c>
      <c r="BQ131" s="79" cm="1">
        <f t="array" ref="BQ131">SUMPRODUCT(($B$2:$B$126=1)*(BQ$2:BQ$126&gt;=0)*(BQ$2:BQ$126&lt;=12)*(BQ$2:BQ$126&lt;&gt;"")*($J$2:$J$126))</f>
        <v>194.77</v>
      </c>
      <c r="BR131" s="79" cm="1">
        <f t="array" ref="BR131">SUMPRODUCT(($B$2:$B$126=1)*(BR$2:BR$126&gt;=0)*(BR$2:BR$126&lt;=12)*(BR$2:BR$126&lt;&gt;"")*($J$2:$J$126))</f>
        <v>194.77</v>
      </c>
      <c r="BS131" s="79" cm="1">
        <f t="array" ref="BS131">SUMPRODUCT(($B$2:$B$126=1)*(BS$2:BS$126&gt;=0)*(BS$2:BS$126&lt;=12)*(BS$2:BS$126&lt;&gt;"")*($J$2:$J$126))</f>
        <v>194.77</v>
      </c>
      <c r="BT131" s="79" cm="1">
        <f t="array" ref="BT131">SUMPRODUCT(($B$2:$B$126=1)*(BT$2:BT$126&gt;=0)*(BT$2:BT$126&lt;=12)*(BT$2:BT$126&lt;&gt;"")*($J$2:$J$126))</f>
        <v>194.77</v>
      </c>
      <c r="BU131" s="79" cm="1">
        <f t="array" ref="BU131">SUMPRODUCT(($B$2:$B$126=1)*(BU$2:BU$126&gt;=0)*(BU$2:BU$126&lt;=12)*(BU$2:BU$126&lt;&gt;"")*($J$2:$J$126))</f>
        <v>194.77</v>
      </c>
      <c r="BV131" s="79" cm="1">
        <f t="array" ref="BV131">SUMPRODUCT(($B$2:$B$126=1)*(BV$2:BV$126&gt;=0)*(BV$2:BV$126&lt;=12)*(BV$2:BV$126&lt;&gt;"")*($J$2:$J$126))</f>
        <v>194.77</v>
      </c>
      <c r="BW131" s="79" cm="1">
        <f t="array" ref="BW131">SUMPRODUCT(($B$2:$B$126=1)*(BW$2:BW$126&gt;=0)*(BW$2:BW$126&lt;=12)*(BW$2:BW$126&lt;&gt;"")*($J$2:$J$126))</f>
        <v>194.77</v>
      </c>
      <c r="BX131" s="79" cm="1">
        <f t="array" ref="BX131">SUMPRODUCT(($B$2:$B$126=1)*(BX$2:BX$126&gt;=0)*(BX$2:BX$126&lt;=12)*(BX$2:BX$126&lt;&gt;"")*($J$2:$J$126))</f>
        <v>132.91</v>
      </c>
      <c r="BY131" s="79" cm="1">
        <f t="array" ref="BY131">SUMPRODUCT(($B$2:$B$126=1)*(BY$2:BY$126&gt;=0)*(BY$2:BY$126&lt;=12)*(BY$2:BY$126&lt;&gt;"")*($J$2:$J$126))</f>
        <v>86.6</v>
      </c>
      <c r="BZ131" s="79" cm="1">
        <f t="array" ref="BZ131">SUMPRODUCT(($B$2:$B$126=1)*(BZ$2:BZ$126&gt;=0)*(BZ$2:BZ$126&lt;=12)*(BZ$2:BZ$126&lt;&gt;"")*($J$2:$J$126))</f>
        <v>36.5</v>
      </c>
      <c r="CA131" s="79" cm="1">
        <f t="array" ref="CA131">SUMPRODUCT(($B$2:$B$126=1)*(CA$2:CA$126&gt;=0)*(CA$2:CA$126&lt;=12)*(CA$2:CA$126&lt;&gt;"")*($J$2:$J$126))</f>
        <v>36.5</v>
      </c>
      <c r="CB131" s="79" cm="1">
        <f t="array" ref="CB131">SUMPRODUCT(($B$2:$B$126=1)*(CB$2:CB$126&gt;=0)*(CB$2:CB$126&lt;=12)*(CB$2:CB$126&lt;&gt;"")*($J$2:$J$126))</f>
        <v>0</v>
      </c>
      <c r="CC131" s="79" cm="1">
        <f t="array" ref="CC131">SUMPRODUCT(($B$2:$B$126=1)*(CC$2:CC$126&gt;=0)*(CC$2:CC$126&lt;=12)*(CC$2:CC$126&lt;&gt;"")*($J$2:$J$126))</f>
        <v>0</v>
      </c>
      <c r="CD131" s="79" cm="1">
        <f t="array" ref="CD131">SUMPRODUCT(($B$2:$B$126=1)*(CD$2:CD$126&gt;=0)*(CD$2:CD$126&lt;=12)*(CD$2:CD$126&lt;&gt;"")*($J$2:$J$126))</f>
        <v>0</v>
      </c>
      <c r="CE131" s="79" cm="1">
        <f t="array" ref="CE131">SUMPRODUCT(($B$2:$B$126=1)*(CE$2:CE$126&gt;=0)*(CE$2:CE$126&lt;=12)*(CE$2:CE$126&lt;&gt;"")*($J$2:$J$126))</f>
        <v>0</v>
      </c>
      <c r="CF131" s="79" cm="1">
        <f t="array" ref="CF131">SUMPRODUCT(($B$2:$B$126=1)*(CF$2:CF$126&gt;=0)*(CF$2:CF$126&lt;=12)*(CF$2:CF$126&lt;&gt;"")*($J$2:$J$126))</f>
        <v>0</v>
      </c>
      <c r="CG131" s="79" cm="1">
        <f t="array" ref="CG131">SUMPRODUCT(($B$2:$B$126=1)*(CG$2:CG$126&gt;=0)*(CG$2:CG$126&lt;=12)*(CG$2:CG$126&lt;&gt;"")*($J$2:$J$126))</f>
        <v>0</v>
      </c>
      <c r="CH131" s="79" cm="1">
        <f t="array" ref="CH131">SUMPRODUCT(($B$2:$B$126=1)*(CH$2:CH$126&gt;=0)*(CH$2:CH$126&lt;=12)*(CH$2:CH$126&lt;&gt;"")*($J$2:$J$126))</f>
        <v>0</v>
      </c>
      <c r="CI131" s="79" cm="1">
        <f t="array" ref="CI131">SUMPRODUCT(($B$2:$B$126=1)*(CI$2:CI$126&gt;=0)*(CI$2:CI$126&lt;=12)*(CI$2:CI$126&lt;&gt;"")*($J$2:$J$126))</f>
        <v>0</v>
      </c>
      <c r="CJ131" s="79" cm="1">
        <f t="array" ref="CJ131">SUMPRODUCT(($B$2:$B$126=1)*(CJ$2:CJ$126&gt;=0)*(CJ$2:CJ$126&lt;=12)*(CJ$2:CJ$126&lt;&gt;"")*($J$2:$J$126))</f>
        <v>0</v>
      </c>
      <c r="CK131" s="79" cm="1">
        <f t="array" ref="CK131">SUMPRODUCT(($B$2:$B$126=1)*(CK$2:CK$126&gt;=0)*(CK$2:CK$126&lt;=12)*(CK$2:CK$126&lt;&gt;"")*($J$2:$J$126))</f>
        <v>0</v>
      </c>
      <c r="CL131" s="79" cm="1">
        <f t="array" ref="CL131">SUMPRODUCT(($B$2:$B$126=1)*(CL$2:CL$126&gt;=0)*(CL$2:CL$126&lt;=12)*(CL$2:CL$126&lt;&gt;"")*($J$2:$J$126))</f>
        <v>0</v>
      </c>
      <c r="CM131" s="79" cm="1">
        <f t="array" ref="CM131">SUMPRODUCT(($B$2:$B$126=1)*(CM$2:CM$126&gt;=0)*(CM$2:CM$126&lt;=12)*(CM$2:CM$126&lt;&gt;"")*($J$2:$J$126))</f>
        <v>0</v>
      </c>
      <c r="CN131" s="79" cm="1">
        <f t="array" ref="CN131">SUMPRODUCT(($B$2:$B$126=1)*(CN$2:CN$126&gt;=0)*(CN$2:CN$126&lt;=12)*(CN$2:CN$126&lt;&gt;"")*($J$2:$J$126))</f>
        <v>0</v>
      </c>
      <c r="CO131" s="79" cm="1">
        <f t="array" ref="CO131">SUMPRODUCT(($B$2:$B$126=1)*(CO$2:CO$126&gt;=0)*(CO$2:CO$126&lt;=12)*(CO$2:CO$126&lt;&gt;"")*($J$2:$J$126))</f>
        <v>0</v>
      </c>
      <c r="CP131" s="79" cm="1">
        <f t="array" ref="CP131">SUMPRODUCT(($B$2:$B$126=1)*(CP$2:CP$126&gt;=0)*(CP$2:CP$126&lt;=12)*(CP$2:CP$126&lt;&gt;"")*($J$2:$J$126))</f>
        <v>0</v>
      </c>
      <c r="CQ131" s="79" cm="1">
        <f t="array" ref="CQ131">SUMPRODUCT(($B$2:$B$126=1)*(CQ$2:CQ$126&gt;=0)*(CQ$2:CQ$126&lt;=12)*(CQ$2:CQ$126&lt;&gt;"")*($J$2:$J$126))</f>
        <v>0</v>
      </c>
      <c r="CR131" s="79" cm="1">
        <f t="array" ref="CR131">SUMPRODUCT(($B$2:$B$126=1)*(CR$2:CR$126&gt;=0)*(CR$2:CR$126&lt;=12)*(CR$2:CR$126&lt;&gt;"")*($J$2:$J$126))</f>
        <v>0</v>
      </c>
      <c r="CS131" s="79" cm="1">
        <f t="array" ref="CS131">SUMPRODUCT(($B$2:$B$126=1)*(CS$2:CS$126&gt;=0)*(CS$2:CS$126&lt;=12)*(CS$2:CS$126&lt;&gt;"")*($J$2:$J$126))</f>
        <v>0</v>
      </c>
      <c r="CT131" s="79" cm="1">
        <f t="array" ref="CT131">SUMPRODUCT(($B$2:$B$126=1)*(CT$2:CT$126&gt;=0)*(CT$2:CT$126&lt;=12)*(CT$2:CT$126&lt;&gt;"")*($J$2:$J$126))</f>
        <v>0</v>
      </c>
      <c r="CU131" s="79" cm="1">
        <f t="array" ref="CU131">SUMPRODUCT(($B$2:$B$126=1)*(CU$2:CU$126&gt;=0)*(CU$2:CU$126&lt;=12)*(CU$2:CU$126&lt;&gt;"")*($J$2:$J$126))</f>
        <v>0</v>
      </c>
      <c r="CV131" s="79" cm="1">
        <f t="array" ref="CV131">SUMPRODUCT(($B$2:$B$126=1)*(CV$2:CV$126&gt;=0)*(CV$2:CV$126&lt;=12)*(CV$2:CV$126&lt;&gt;"")*($J$2:$J$126))</f>
        <v>0</v>
      </c>
      <c r="CW131" s="79" cm="1">
        <f t="array" ref="CW131">SUMPRODUCT(($B$2:$B$126=1)*(CW$2:CW$126&gt;=0)*(CW$2:CW$126&lt;=12)*(CW$2:CW$126&lt;&gt;"")*($J$2:$J$126))</f>
        <v>0</v>
      </c>
      <c r="CX131" s="79" cm="1">
        <f t="array" ref="CX131">SUMPRODUCT(($B$2:$B$126=1)*(CX$2:CX$126&gt;=0)*(CX$2:CX$126&lt;=12)*(CX$2:CX$126&lt;&gt;"")*($J$2:$J$126))</f>
        <v>0</v>
      </c>
      <c r="CY131" s="79" cm="1">
        <f t="array" ref="CY131">SUMPRODUCT(($B$2:$B$126=1)*(CY$2:CY$126&gt;=0)*(CY$2:CY$126&lt;=12)*(CY$2:CY$126&lt;&gt;"")*($J$2:$J$126))</f>
        <v>0</v>
      </c>
      <c r="CZ131" s="79" cm="1">
        <f t="array" ref="CZ131">SUMPRODUCT(($B$2:$B$126=1)*(CZ$2:CZ$126&gt;=0)*(CZ$2:CZ$126&lt;=12)*(CZ$2:CZ$126&lt;&gt;"")*($J$2:$J$126))</f>
        <v>0</v>
      </c>
      <c r="DA131" s="79" cm="1">
        <f t="array" ref="DA131">SUMPRODUCT(($B$2:$B$126=1)*(DA$2:DA$126&gt;=0)*(DA$2:DA$126&lt;=12)*(DA$2:DA$126&lt;&gt;"")*($J$2:$J$126))</f>
        <v>0</v>
      </c>
      <c r="DB131" s="79" cm="1">
        <f t="array" ref="DB131">SUMPRODUCT(($B$2:$B$126=1)*(DB$2:DB$126&gt;=0)*(DB$2:DB$126&lt;=12)*(DB$2:DB$126&lt;&gt;"")*($J$2:$J$126))</f>
        <v>0</v>
      </c>
      <c r="DC131" s="79" cm="1">
        <f t="array" ref="DC131">SUMPRODUCT(($B$2:$B$126=1)*(DC$2:DC$126&gt;=0)*(DC$2:DC$126&lt;=12)*(DC$2:DC$126&lt;&gt;"")*($J$2:$J$126))</f>
        <v>0</v>
      </c>
      <c r="DD131" s="79" cm="1">
        <f t="array" ref="DD131">SUMPRODUCT(($B$2:$B$126=1)*(DD$2:DD$126&gt;=0)*(DD$2:DD$126&lt;=12)*(DD$2:DD$126&lt;&gt;"")*($J$2:$J$126))</f>
        <v>0</v>
      </c>
      <c r="DE131" s="79" cm="1">
        <f t="array" ref="DE131">SUMPRODUCT(($B$2:$B$126=1)*(DE$2:DE$126&gt;=0)*(DE$2:DE$126&lt;=12)*(DE$2:DE$126&lt;&gt;"")*($J$2:$J$126))</f>
        <v>0</v>
      </c>
      <c r="DF131" s="79" cm="1">
        <f t="array" ref="DF131">SUMPRODUCT(($B$2:$B$126=1)*(DF$2:DF$126&gt;=0)*(DF$2:DF$126&lt;=12)*(DF$2:DF$126&lt;&gt;"")*($J$2:$J$126))</f>
        <v>0</v>
      </c>
      <c r="DG131" s="79" cm="1">
        <f t="array" ref="DG131">SUMPRODUCT(($B$2:$B$126=1)*(DG$2:DG$126&gt;=0)*(DG$2:DG$126&lt;=12)*(DG$2:DG$126&lt;&gt;"")*($J$2:$J$126))</f>
        <v>0</v>
      </c>
      <c r="DH131" s="79" cm="1">
        <f t="array" ref="DH131">SUMPRODUCT(($B$2:$B$126=1)*(DH$2:DH$126&gt;=0)*(DH$2:DH$126&lt;=12)*(DH$2:DH$126&lt;&gt;"")*($J$2:$J$126))</f>
        <v>0</v>
      </c>
      <c r="DI131" s="79" cm="1">
        <f t="array" ref="DI131">SUMPRODUCT(($B$2:$B$126=1)*(DI$2:DI$126&gt;=0)*(DI$2:DI$126&lt;=12)*(DI$2:DI$126&lt;&gt;"")*($J$2:$J$126))</f>
        <v>0</v>
      </c>
      <c r="DJ131" s="79" cm="1">
        <f t="array" ref="DJ131">SUMPRODUCT(($B$2:$B$126=1)*(DJ$2:DJ$126&gt;=0)*(DJ$2:DJ$126&lt;=12)*(DJ$2:DJ$126&lt;&gt;"")*($J$2:$J$126))</f>
        <v>0</v>
      </c>
      <c r="DK131" s="79" cm="1">
        <f t="array" ref="DK131">SUMPRODUCT(($B$2:$B$126=1)*(DK$2:DK$126&gt;=0)*(DK$2:DK$126&lt;=12)*(DK$2:DK$126&lt;&gt;"")*($J$2:$J$126))</f>
        <v>0</v>
      </c>
      <c r="DL131" s="79" cm="1">
        <f t="array" ref="DL131">SUMPRODUCT(($B$2:$B$126=1)*(DL$2:DL$126&gt;=0)*(DL$2:DL$126&lt;=12)*(DL$2:DL$126&lt;&gt;"")*($J$2:$J$126))</f>
        <v>0</v>
      </c>
      <c r="DM131" s="79" cm="1">
        <f t="array" ref="DM131">SUMPRODUCT(($B$2:$B$126=1)*(DM$2:DM$126&gt;=0)*(DM$2:DM$126&lt;=12)*(DM$2:DM$126&lt;&gt;"")*($J$2:$J$126))</f>
        <v>0</v>
      </c>
      <c r="DN131" s="79" cm="1">
        <f t="array" ref="DN131">SUMPRODUCT(($B$2:$B$126=1)*(DN$2:DN$126&gt;=0)*(DN$2:DN$126&lt;=12)*(DN$2:DN$126&lt;&gt;"")*($J$2:$J$126))</f>
        <v>0</v>
      </c>
      <c r="DO131" s="79" cm="1">
        <f t="array" ref="DO131">SUMPRODUCT(($B$2:$B$126=1)*(DO$2:DO$126&gt;=0)*(DO$2:DO$126&lt;=12)*(DO$2:DO$126&lt;&gt;"")*($J$2:$J$126))</f>
        <v>0</v>
      </c>
      <c r="DP131" s="79" cm="1">
        <f t="array" ref="DP131">SUMPRODUCT(($B$2:$B$126=1)*(DP$2:DP$126&gt;=0)*(DP$2:DP$126&lt;=12)*(DP$2:DP$126&lt;&gt;"")*($J$2:$J$126))</f>
        <v>0</v>
      </c>
      <c r="DQ131" s="79" cm="1">
        <f t="array" ref="DQ131">SUMPRODUCT(($B$2:$B$126=1)*(DQ$2:DQ$126&gt;=0)*(DQ$2:DQ$126&lt;=12)*(DQ$2:DQ$126&lt;&gt;"")*($J$2:$J$126))</f>
        <v>0</v>
      </c>
      <c r="DR131" s="79" cm="1">
        <f t="array" ref="DR131">SUMPRODUCT(($B$2:$B$126=1)*(DR$2:DR$126&gt;=0)*(DR$2:DR$126&lt;=12)*(DR$2:DR$126&lt;&gt;"")*($J$2:$J$126))</f>
        <v>0</v>
      </c>
      <c r="DS131" s="79" cm="1">
        <f t="array" ref="DS131">SUMPRODUCT(($B$2:$B$126=1)*(DS$2:DS$126&gt;=0)*(DS$2:DS$126&lt;=12)*(DS$2:DS$126&lt;&gt;"")*($J$2:$J$126))</f>
        <v>0</v>
      </c>
      <c r="DT131" s="79" cm="1">
        <f t="array" ref="DT131">SUMPRODUCT(($B$2:$B$126=1)*(DT$2:DT$126&gt;=0)*(DT$2:DT$126&lt;=12)*(DT$2:DT$126&lt;&gt;"")*($J$2:$J$126))</f>
        <v>0</v>
      </c>
      <c r="DU131" s="79" cm="1">
        <f t="array" ref="DU131">SUMPRODUCT(($B$2:$B$126=1)*(DU$2:DU$126&gt;=0)*(DU$2:DU$126&lt;=12)*(DU$2:DU$126&lt;&gt;"")*($J$2:$J$126))</f>
        <v>0</v>
      </c>
      <c r="DV131" s="79" cm="1">
        <f t="array" ref="DV131">SUMPRODUCT(($B$2:$B$126=1)*(DV$2:DV$126&gt;=0)*(DV$2:DV$126&lt;=12)*(DV$2:DV$126&lt;&gt;"")*($J$2:$J$126))</f>
        <v>0</v>
      </c>
      <c r="DW131" s="79" cm="1">
        <f t="array" ref="DW131">SUMPRODUCT(($B$2:$B$126=1)*(DW$2:DW$126&gt;=0)*(DW$2:DW$126&lt;=12)*(DW$2:DW$126&lt;&gt;"")*($J$2:$J$126))</f>
        <v>0</v>
      </c>
      <c r="DX131" s="79" cm="1">
        <f t="array" ref="DX131">SUMPRODUCT(($B$2:$B$126=1)*(DX$2:DX$126&gt;=0)*(DX$2:DX$126&lt;=12)*(DX$2:DX$126&lt;&gt;"")*($J$2:$J$126))</f>
        <v>0</v>
      </c>
      <c r="DY131" s="79" cm="1">
        <f t="array" ref="DY131">SUMPRODUCT(($B$2:$B$126=1)*(DY$2:DY$126&gt;=0)*(DY$2:DY$126&lt;=12)*(DY$2:DY$126&lt;&gt;"")*($J$2:$J$126))</f>
        <v>0</v>
      </c>
      <c r="DZ131" s="79" cm="1">
        <f t="array" ref="DZ131">SUMPRODUCT(($B$2:$B$126=1)*(DZ$2:DZ$126&gt;=0)*(DZ$2:DZ$126&lt;=12)*(DZ$2:DZ$126&lt;&gt;"")*($J$2:$J$126))</f>
        <v>0</v>
      </c>
      <c r="EA131" s="79" cm="1">
        <f t="array" ref="EA131">SUMPRODUCT(($B$2:$B$126=1)*(EA$2:EA$126&gt;=0)*(EA$2:EA$126&lt;=12)*(EA$2:EA$126&lt;&gt;"")*($J$2:$J$126))</f>
        <v>0</v>
      </c>
      <c r="EB131" s="79" cm="1">
        <f t="array" ref="EB131">SUMPRODUCT(($B$2:$B$126=1)*(EB$2:EB$126&gt;=0)*(EB$2:EB$126&lt;=12)*(EB$2:EB$126&lt;&gt;"")*($J$2:$J$126))</f>
        <v>0</v>
      </c>
      <c r="EC131" s="79" cm="1">
        <f t="array" ref="EC131">SUMPRODUCT(($B$2:$B$126=1)*(EC$2:EC$126&gt;=0)*(EC$2:EC$126&lt;=12)*(EC$2:EC$126&lt;&gt;"")*($J$2:$J$126))</f>
        <v>0</v>
      </c>
      <c r="ED131" s="79" cm="1">
        <f t="array" ref="ED131">SUMPRODUCT(($B$2:$B$126=1)*(ED$2:ED$126&gt;=0)*(ED$2:ED$126&lt;=12)*(ED$2:ED$126&lt;&gt;"")*($J$2:$J$126))</f>
        <v>0</v>
      </c>
      <c r="EE131" s="79" cm="1">
        <f t="array" ref="EE131">SUMPRODUCT(($B$2:$B$126=1)*(EE$2:EE$126&gt;=0)*(EE$2:EE$126&lt;=12)*(EE$2:EE$126&lt;&gt;"")*($J$2:$J$126))</f>
        <v>0</v>
      </c>
      <c r="EF131" s="79" cm="1">
        <f t="array" ref="EF131">SUMPRODUCT(($B$2:$B$126=1)*(EF$2:EF$126&gt;=0)*(EF$2:EF$126&lt;=12)*(EF$2:EF$126&lt;&gt;"")*($J$2:$J$126))</f>
        <v>0</v>
      </c>
      <c r="EG131" s="79" cm="1">
        <f t="array" ref="EG131">SUMPRODUCT(($B$2:$B$126=1)*(EG$2:EG$126&gt;=0)*(EG$2:EG$126&lt;=12)*(EG$2:EG$126&lt;&gt;"")*($J$2:$J$126))</f>
        <v>0</v>
      </c>
      <c r="EH131" s="79" cm="1">
        <f t="array" ref="EH131">SUMPRODUCT(($B$2:$B$126=1)*(EH$2:EH$126&gt;=0)*(EH$2:EH$126&lt;=12)*(EH$2:EH$126&lt;&gt;"")*($J$2:$J$126))</f>
        <v>0</v>
      </c>
      <c r="EI131" s="79" cm="1">
        <f t="array" ref="EI131">SUMPRODUCT(($B$2:$B$126=1)*(EI$2:EI$126&gt;=0)*(EI$2:EI$126&lt;=12)*(EI$2:EI$126&lt;&gt;"")*($J$2:$J$126))</f>
        <v>0</v>
      </c>
      <c r="EJ131" s="79" cm="1">
        <f t="array" ref="EJ131">SUMPRODUCT(($B$2:$B$126=1)*(EJ$2:EJ$126&gt;=0)*(EJ$2:EJ$126&lt;=12)*(EJ$2:EJ$126&lt;&gt;"")*($J$2:$J$126))</f>
        <v>0</v>
      </c>
      <c r="EK131" s="79" cm="1">
        <f t="array" ref="EK131">SUMPRODUCT(($B$2:$B$126=1)*(EK$2:EK$126&gt;=0)*(EK$2:EK$126&lt;=12)*(EK$2:EK$126&lt;&gt;"")*($J$2:$J$126))</f>
        <v>0</v>
      </c>
      <c r="EL131" s="79" cm="1">
        <f t="array" ref="EL131">SUMPRODUCT(($B$2:$B$126=1)*(EL$2:EL$126&gt;=0)*(EL$2:EL$126&lt;=12)*(EL$2:EL$126&lt;&gt;"")*($J$2:$J$126))</f>
        <v>0</v>
      </c>
      <c r="EM131" s="79" cm="1">
        <f t="array" ref="EM131">SUMPRODUCT(($B$2:$B$126=1)*(EM$2:EM$126&gt;=0)*(EM$2:EM$126&lt;=12)*(EM$2:EM$126&lt;&gt;"")*($J$2:$J$126))</f>
        <v>0</v>
      </c>
      <c r="EN131" s="79" cm="1">
        <f t="array" ref="EN131">SUMPRODUCT(($B$2:$B$126=1)*(EN$2:EN$126&gt;=0)*(EN$2:EN$126&lt;=12)*(EN$2:EN$126&lt;&gt;"")*($J$2:$J$126))</f>
        <v>0</v>
      </c>
      <c r="EO131" s="79" cm="1">
        <f t="array" ref="EO131">SUMPRODUCT(($B$2:$B$126=1)*(EO$2:EO$126&gt;=0)*(EO$2:EO$126&lt;=12)*(EO$2:EO$126&lt;&gt;"")*($J$2:$J$126))</f>
        <v>0</v>
      </c>
      <c r="EP131" s="79" cm="1">
        <f t="array" ref="EP131">SUMPRODUCT(($B$2:$B$126=1)*(EP$2:EP$126&gt;=0)*(EP$2:EP$126&lt;=12)*(EP$2:EP$126&lt;&gt;"")*($J$2:$J$126))</f>
        <v>0</v>
      </c>
      <c r="EQ131" s="79" cm="1">
        <f t="array" ref="EQ131">SUMPRODUCT(($B$2:$B$126=1)*(EQ$2:EQ$126&gt;=0)*(EQ$2:EQ$126&lt;=12)*(EQ$2:EQ$126&lt;&gt;"")*($J$2:$J$126))</f>
        <v>0</v>
      </c>
      <c r="ER131" s="79" cm="1">
        <f t="array" ref="ER131">SUMPRODUCT(($B$2:$B$126=1)*(ER$2:ER$126&gt;=0)*(ER$2:ER$126&lt;=12)*(ER$2:ER$126&lt;&gt;"")*($J$2:$J$126))</f>
        <v>0</v>
      </c>
      <c r="ES131" s="79" cm="1">
        <f t="array" ref="ES131">SUMPRODUCT(($B$2:$B$126=1)*(ES$2:ES$126&gt;=0)*(ES$2:ES$126&lt;=12)*(ES$2:ES$126&lt;&gt;"")*($J$2:$J$126))</f>
        <v>0</v>
      </c>
      <c r="ET131" s="79" cm="1">
        <f t="array" ref="ET131">SUMPRODUCT(($B$2:$B$126=1)*(ET$2:ET$126&gt;=0)*(ET$2:ET$126&lt;=12)*(ET$2:ET$126&lt;&gt;"")*($J$2:$J$126))</f>
        <v>0</v>
      </c>
      <c r="EU131" s="79" cm="1">
        <f t="array" ref="EU131">SUMPRODUCT(($B$2:$B$126=1)*(EU$2:EU$126&gt;=0)*(EU$2:EU$126&lt;=12)*(EU$2:EU$126&lt;&gt;"")*($J$2:$J$126))</f>
        <v>0</v>
      </c>
      <c r="EV131" s="79" cm="1">
        <f t="array" ref="EV131">SUMPRODUCT(($B$2:$B$126=1)*(EV$2:EV$126&gt;=0)*(EV$2:EV$126&lt;=12)*(EV$2:EV$126&lt;&gt;"")*($J$2:$J$126))</f>
        <v>0</v>
      </c>
      <c r="EW131" s="79" cm="1">
        <f t="array" ref="EW131">SUMPRODUCT(($B$2:$B$126=1)*(EW$2:EW$126&gt;=0)*(EW$2:EW$126&lt;=12)*(EW$2:EW$126&lt;&gt;"")*($J$2:$J$126))</f>
        <v>0</v>
      </c>
      <c r="EX131" s="79" cm="1">
        <f t="array" ref="EX131">SUMPRODUCT(($B$2:$B$126=1)*(EX$2:EX$126&gt;=0)*(EX$2:EX$126&lt;=12)*(EX$2:EX$126&lt;&gt;"")*($J$2:$J$126))</f>
        <v>0</v>
      </c>
      <c r="EY131" s="79" cm="1">
        <f t="array" ref="EY131">SUMPRODUCT(($B$2:$B$126=1)*(EY$2:EY$126&gt;=0)*(EY$2:EY$126&lt;=12)*(EY$2:EY$126&lt;&gt;"")*($J$2:$J$126))</f>
        <v>0</v>
      </c>
      <c r="EZ131" s="79" cm="1">
        <f t="array" ref="EZ131">SUMPRODUCT(($B$2:$B$126=1)*(EZ$2:EZ$126&gt;=0)*(EZ$2:EZ$126&lt;=12)*(EZ$2:EZ$126&lt;&gt;"")*($J$2:$J$126))</f>
        <v>0</v>
      </c>
      <c r="FA131" s="79" cm="1">
        <f t="array" ref="FA131">SUMPRODUCT(($B$2:$B$126=1)*(FA$2:FA$126&gt;=0)*(FA$2:FA$126&lt;=12)*(FA$2:FA$126&lt;&gt;"")*($J$2:$J$126))</f>
        <v>0</v>
      </c>
      <c r="FB131" s="79" cm="1">
        <f t="array" ref="FB131">SUMPRODUCT(($B$2:$B$126=1)*(FB$2:FB$126&gt;=0)*(FB$2:FB$126&lt;=12)*(FB$2:FB$126&lt;&gt;"")*($J$2:$J$126))</f>
        <v>0</v>
      </c>
      <c r="FC131" s="79" cm="1">
        <f t="array" ref="FC131">SUMPRODUCT(($B$2:$B$126=1)*(FC$2:FC$126&gt;=0)*(FC$2:FC$126&lt;=12)*(FC$2:FC$126&lt;&gt;"")*($J$2:$J$126))</f>
        <v>0</v>
      </c>
      <c r="FD131" s="79" cm="1">
        <f t="array" ref="FD131">SUMPRODUCT(($B$2:$B$126=1)*(FD$2:FD$126&gt;=0)*(FD$2:FD$126&lt;=12)*(FD$2:FD$126&lt;&gt;"")*($J$2:$J$126))</f>
        <v>0</v>
      </c>
      <c r="FE131" s="79" cm="1">
        <f t="array" ref="FE131">SUMPRODUCT(($B$2:$B$126=1)*(FE$2:FE$126&gt;=0)*(FE$2:FE$126&lt;=12)*(FE$2:FE$126&lt;&gt;"")*($J$2:$J$126))</f>
        <v>0</v>
      </c>
      <c r="FF131" s="79" cm="1">
        <f t="array" ref="FF131">SUMPRODUCT(($B$2:$B$126=1)*(FF$2:FF$126&gt;=0)*(FF$2:FF$126&lt;=12)*(FF$2:FF$126&lt;&gt;"")*($J$2:$J$126))</f>
        <v>0</v>
      </c>
      <c r="FG131" s="79" cm="1">
        <f t="array" ref="FG131">SUMPRODUCT(($B$2:$B$126=1)*(FG$2:FG$126&gt;=0)*(FG$2:FG$126&lt;=12)*(FG$2:FG$126&lt;&gt;"")*($J$2:$J$126))</f>
        <v>0</v>
      </c>
      <c r="FH131" s="79" cm="1">
        <f t="array" ref="FH131">SUMPRODUCT(($B$2:$B$126=1)*(FH$2:FH$126&gt;=0)*(FH$2:FH$126&lt;=12)*(FH$2:FH$126&lt;&gt;"")*($J$2:$J$126))</f>
        <v>0</v>
      </c>
      <c r="FI131" s="79" cm="1">
        <f t="array" ref="FI131">SUMPRODUCT(($B$2:$B$126=1)*(FI$2:FI$126&gt;=0)*(FI$2:FI$126&lt;=12)*(FI$2:FI$126&lt;&gt;"")*($J$2:$J$126))</f>
        <v>0</v>
      </c>
      <c r="FJ131" s="79" cm="1">
        <f t="array" ref="FJ131">SUMPRODUCT(($B$2:$B$126=1)*(FJ$2:FJ$126&gt;=0)*(FJ$2:FJ$126&lt;=12)*(FJ$2:FJ$126&lt;&gt;"")*($J$2:$J$126))</f>
        <v>0</v>
      </c>
      <c r="FK131" s="79" cm="1">
        <f t="array" ref="FK131">SUMPRODUCT(($B$2:$B$126=1)*(FK$2:FK$126&gt;=0)*(FK$2:FK$126&lt;=12)*(FK$2:FK$126&lt;&gt;"")*($J$2:$J$126))</f>
        <v>0</v>
      </c>
      <c r="FL131" s="79" cm="1">
        <f t="array" ref="FL131">SUMPRODUCT(($B$2:$B$126=1)*(FL$2:FL$126&gt;=0)*(FL$2:FL$126&lt;=12)*(FL$2:FL$126&lt;&gt;"")*($J$2:$J$126))</f>
        <v>0</v>
      </c>
      <c r="FM131" s="79" cm="1">
        <f t="array" ref="FM131">SUMPRODUCT(($B$2:$B$126=1)*(FM$2:FM$126&gt;=0)*(FM$2:FM$126&lt;=12)*(FM$2:FM$126&lt;&gt;"")*($J$2:$J$126))</f>
        <v>0</v>
      </c>
      <c r="FN131" s="79" cm="1">
        <f t="array" ref="FN131">SUMPRODUCT(($B$2:$B$126=1)*(FN$2:FN$126&gt;=0)*(FN$2:FN$126&lt;=12)*(FN$2:FN$126&lt;&gt;"")*($J$2:$J$126))</f>
        <v>0</v>
      </c>
      <c r="FO131" s="79" cm="1">
        <f t="array" ref="FO131">SUMPRODUCT(($B$2:$B$126=1)*(FO$2:FO$126&gt;=0)*(FO$2:FO$126&lt;=12)*(FO$2:FO$126&lt;&gt;"")*($J$2:$J$126))</f>
        <v>0</v>
      </c>
      <c r="FP131" s="79" cm="1">
        <f t="array" ref="FP131">SUMPRODUCT(($B$2:$B$126=1)*(FP$2:FP$126&gt;=0)*(FP$2:FP$126&lt;=12)*(FP$2:FP$126&lt;&gt;"")*($J$2:$J$126))</f>
        <v>0</v>
      </c>
      <c r="FQ131" s="79" cm="1">
        <f t="array" ref="FQ131">SUMPRODUCT(($B$2:$B$126=1)*(FQ$2:FQ$126&gt;=0)*(FQ$2:FQ$126&lt;=12)*(FQ$2:FQ$126&lt;&gt;"")*($J$2:$J$126))</f>
        <v>0</v>
      </c>
      <c r="FR131" s="79" cm="1">
        <f t="array" ref="FR131">SUMPRODUCT(($B$2:$B$126=1)*(FR$2:FR$126&gt;=0)*(FR$2:FR$126&lt;=12)*(FR$2:FR$126&lt;&gt;"")*($J$2:$J$126))</f>
        <v>0</v>
      </c>
      <c r="FS131" s="79" cm="1">
        <f t="array" ref="FS131">SUMPRODUCT(($B$2:$B$126=1)*(FS$2:FS$126&gt;=0)*(FS$2:FS$126&lt;=12)*(FS$2:FS$126&lt;&gt;"")*($J$2:$J$126))</f>
        <v>0</v>
      </c>
      <c r="FT131" s="79" cm="1">
        <f t="array" ref="FT131">SUMPRODUCT(($B$2:$B$126=1)*(FT$2:FT$126&gt;=0)*(FT$2:FT$126&lt;=12)*(FT$2:FT$126&lt;&gt;"")*($J$2:$J$126))</f>
        <v>0</v>
      </c>
      <c r="FU131" s="79" cm="1">
        <f t="array" ref="FU131">SUMPRODUCT(($B$2:$B$126=1)*(FU$2:FU$126&gt;=0)*(FU$2:FU$126&lt;=12)*(FU$2:FU$126&lt;&gt;"")*($J$2:$J$126))</f>
        <v>0</v>
      </c>
      <c r="FV131" s="79" cm="1">
        <f t="array" ref="FV131">SUMPRODUCT(($B$2:$B$126=1)*(FV$2:FV$126&gt;=0)*(FV$2:FV$126&lt;=12)*(FV$2:FV$126&lt;&gt;"")*($J$2:$J$126))</f>
        <v>0</v>
      </c>
      <c r="FW131" s="79" cm="1">
        <f t="array" ref="FW131">SUMPRODUCT(($B$2:$B$126=1)*(FW$2:FW$126&gt;=0)*(FW$2:FW$126&lt;=12)*(FW$2:FW$126&lt;&gt;"")*($J$2:$J$126))</f>
        <v>0</v>
      </c>
      <c r="FX131" s="79" cm="1">
        <f t="array" ref="FX131">SUMPRODUCT(($B$2:$B$126=1)*(FX$2:FX$126&gt;=0)*(FX$2:FX$126&lt;=12)*(FX$2:FX$126&lt;&gt;"")*($J$2:$J$126))</f>
        <v>0</v>
      </c>
      <c r="FY131" s="79" cm="1">
        <f t="array" ref="FY131">SUMPRODUCT(($B$2:$B$126=1)*(FY$2:FY$126&gt;=0)*(FY$2:FY$126&lt;=12)*(FY$2:FY$126&lt;&gt;"")*($J$2:$J$126))</f>
        <v>0</v>
      </c>
      <c r="FZ131" s="79" cm="1">
        <f t="array" ref="FZ131">SUMPRODUCT(($B$2:$B$126=1)*(FZ$2:FZ$126&gt;=0)*(FZ$2:FZ$126&lt;=12)*(FZ$2:FZ$126&lt;&gt;"")*($J$2:$J$126))</f>
        <v>0</v>
      </c>
      <c r="GA131" s="79" cm="1">
        <f t="array" ref="GA131">SUMPRODUCT(($B$2:$B$126=1)*(GA$2:GA$126&gt;=0)*(GA$2:GA$126&lt;=12)*(GA$2:GA$126&lt;&gt;"")*($J$2:$J$126))</f>
        <v>0</v>
      </c>
      <c r="GB131" s="79" cm="1">
        <f t="array" ref="GB131">SUMPRODUCT(($B$2:$B$126=1)*(GB$2:GB$126&gt;=0)*(GB$2:GB$126&lt;=12)*(GB$2:GB$126&lt;&gt;"")*($J$2:$J$126))</f>
        <v>0</v>
      </c>
      <c r="GC131" s="79" cm="1">
        <f t="array" ref="GC131">SUMPRODUCT(($B$2:$B$126=1)*(GC$2:GC$126&gt;=0)*(GC$2:GC$126&lt;=12)*(GC$2:GC$126&lt;&gt;"")*($J$2:$J$126))</f>
        <v>0</v>
      </c>
      <c r="GD131" s="79" cm="1">
        <f t="array" ref="GD131">SUMPRODUCT(($B$2:$B$126=1)*(GD$2:GD$126&gt;=0)*(GD$2:GD$126&lt;=12)*(GD$2:GD$126&lt;&gt;"")*($J$2:$J$126))</f>
        <v>0</v>
      </c>
      <c r="GE131" s="79" cm="1">
        <f t="array" ref="GE131">SUMPRODUCT(($B$2:$B$126=1)*(GE$2:GE$126&gt;=0)*(GE$2:GE$126&lt;=12)*(GE$2:GE$126&lt;&gt;"")*($J$2:$J$126))</f>
        <v>0</v>
      </c>
      <c r="GF131" s="79" cm="1">
        <f t="array" ref="GF131">SUMPRODUCT(($B$2:$B$126=1)*(GF$2:GF$126&gt;=0)*(GF$2:GF$126&lt;=12)*(GF$2:GF$126&lt;&gt;"")*($J$2:$J$126))</f>
        <v>0</v>
      </c>
      <c r="GG131" s="79" cm="1">
        <f t="array" ref="GG131">SUMPRODUCT(($B$2:$B$126=1)*(GG$2:GG$126&gt;=0)*(GG$2:GG$126&lt;=12)*(GG$2:GG$126&lt;&gt;"")*($J$2:$J$126))</f>
        <v>0</v>
      </c>
      <c r="GH131" s="79" cm="1">
        <f t="array" ref="GH131">SUMPRODUCT(($B$2:$B$126=1)*(GH$2:GH$126&gt;=0)*(GH$2:GH$126&lt;=12)*(GH$2:GH$126&lt;&gt;"")*($J$2:$J$126))</f>
        <v>0</v>
      </c>
      <c r="GI131" s="79" cm="1">
        <f t="array" ref="GI131">SUMPRODUCT(($B$2:$B$126=1)*(GI$2:GI$126&gt;=0)*(GI$2:GI$126&lt;=12)*(GI$2:GI$126&lt;&gt;"")*($J$2:$J$126))</f>
        <v>0</v>
      </c>
      <c r="GJ131" s="79" cm="1">
        <f t="array" ref="GJ131">SUMPRODUCT(($B$2:$B$126=1)*(GJ$2:GJ$126&gt;=0)*(GJ$2:GJ$126&lt;=12)*(GJ$2:GJ$126&lt;&gt;"")*($J$2:$J$126))</f>
        <v>0</v>
      </c>
      <c r="GK131" s="79" cm="1">
        <f t="array" ref="GK131">SUMPRODUCT(($B$2:$B$126=1)*(GK$2:GK$126&gt;=0)*(GK$2:GK$126&lt;=12)*(GK$2:GK$126&lt;&gt;"")*($J$2:$J$126))</f>
        <v>0</v>
      </c>
      <c r="GL131" s="79" cm="1">
        <f t="array" ref="GL131">SUMPRODUCT(($B$2:$B$126=1)*(GL$2:GL$126&gt;=0)*(GL$2:GL$126&lt;=12)*(GL$2:GL$126&lt;&gt;"")*($J$2:$J$126))</f>
        <v>0</v>
      </c>
      <c r="GM131" s="79" cm="1">
        <f t="array" ref="GM131">SUMPRODUCT(($B$2:$B$126=1)*(GM$2:GM$126&gt;=0)*(GM$2:GM$126&lt;=12)*(GM$2:GM$126&lt;&gt;"")*($J$2:$J$126))</f>
        <v>0</v>
      </c>
      <c r="GN131" s="79" cm="1">
        <f t="array" ref="GN131">SUMPRODUCT(($B$2:$B$126=1)*(GN$2:GN$126&gt;=0)*(GN$2:GN$126&lt;=12)*(GN$2:GN$126&lt;&gt;"")*($J$2:$J$126))</f>
        <v>0</v>
      </c>
      <c r="GO131" s="79" cm="1">
        <f t="array" ref="GO131">SUMPRODUCT(($B$2:$B$126=1)*(GO$2:GO$126&gt;=0)*(GO$2:GO$126&lt;=12)*(GO$2:GO$126&lt;&gt;"")*($J$2:$J$126))</f>
        <v>0</v>
      </c>
      <c r="GP131" s="79" cm="1">
        <f t="array" ref="GP131">SUMPRODUCT(($B$2:$B$126=1)*(GP$2:GP$126&gt;=0)*(GP$2:GP$126&lt;=12)*(GP$2:GP$126&lt;&gt;"")*($J$2:$J$126))</f>
        <v>0</v>
      </c>
      <c r="GQ131" s="79" cm="1">
        <f t="array" ref="GQ131">SUMPRODUCT(($B$2:$B$126=1)*(GQ$2:GQ$126&gt;=0)*(GQ$2:GQ$126&lt;=12)*(GQ$2:GQ$126&lt;&gt;"")*($J$2:$J$126))</f>
        <v>0</v>
      </c>
      <c r="GR131" s="79" cm="1">
        <f t="array" ref="GR131">SUMPRODUCT(($B$2:$B$126=1)*(GR$2:GR$126&gt;=0)*(GR$2:GR$126&lt;=12)*(GR$2:GR$126&lt;&gt;"")*($J$2:$J$126))</f>
        <v>0</v>
      </c>
      <c r="GS131" s="79" cm="1">
        <f t="array" ref="GS131">SUMPRODUCT(($B$2:$B$126=1)*(GS$2:GS$126&gt;=0)*(GS$2:GS$126&lt;=12)*(GS$2:GS$126&lt;&gt;"")*($J$2:$J$126))</f>
        <v>0</v>
      </c>
      <c r="GT131" s="79" cm="1">
        <f t="array" ref="GT131">SUMPRODUCT(($B$2:$B$126=1)*(GT$2:GT$126&gt;=0)*(GT$2:GT$126&lt;=12)*(GT$2:GT$126&lt;&gt;"")*($J$2:$J$126))</f>
        <v>0</v>
      </c>
      <c r="GU131" s="79" cm="1">
        <f t="array" ref="GU131">SUMPRODUCT(($B$2:$B$126=1)*(GU$2:GU$126&gt;=0)*(GU$2:GU$126&lt;=12)*(GU$2:GU$126&lt;&gt;"")*($J$2:$J$126))</f>
        <v>0</v>
      </c>
      <c r="GV131" s="79" cm="1">
        <f t="array" ref="GV131">SUMPRODUCT(($B$2:$B$126=1)*(GV$2:GV$126&gt;=0)*(GV$2:GV$126&lt;=12)*(GV$2:GV$126&lt;&gt;"")*($J$2:$J$126))</f>
        <v>0</v>
      </c>
      <c r="GW131" s="79" cm="1">
        <f t="array" ref="GW131">SUMPRODUCT(($B$2:$B$126=1)*(GW$2:GW$126&gt;=0)*(GW$2:GW$126&lt;=12)*(GW$2:GW$126&lt;&gt;"")*($J$2:$J$126))</f>
        <v>0</v>
      </c>
      <c r="GX131" s="79" cm="1">
        <f t="array" ref="GX131">SUMPRODUCT(($B$2:$B$126=1)*(GX$2:GX$126&gt;=0)*(GX$2:GX$126&lt;=12)*(GX$2:GX$126&lt;&gt;"")*($J$2:$J$126))</f>
        <v>0</v>
      </c>
    </row>
    <row r="132" spans="1:206" x14ac:dyDescent="0.2">
      <c r="A132" s="84">
        <v>1</v>
      </c>
      <c r="B132" s="84" t="s">
        <v>255</v>
      </c>
      <c r="W132" s="79" cm="1">
        <f t="array" ref="W132">SUMPRODUCT(($B$2:$B$126=1)*(W$2:W$126&gt;=13)*(W$2:W$126&lt;=17)*(W$2:W$126&lt;&gt;"")*($J$2:$J$126))</f>
        <v>46.31</v>
      </c>
      <c r="X132" s="79" cm="1">
        <f t="array" ref="X132">SUMPRODUCT(($B$2:$B$126=1)*(X$2:X$126&gt;=13)*(X$2:X$126&lt;=17)*(X$2:X$126&lt;&gt;"")*($J$2:$J$126))</f>
        <v>46.31</v>
      </c>
      <c r="Y132" s="79" cm="1">
        <f t="array" ref="Y132">SUMPRODUCT(($B$2:$B$126=1)*(Y$2:Y$126&gt;=13)*(Y$2:Y$126&lt;=17)*(Y$2:Y$126&lt;&gt;"")*($J$2:$J$126))</f>
        <v>96.41</v>
      </c>
      <c r="Z132" s="79" cm="1">
        <f t="array" ref="Z132">SUMPRODUCT(($B$2:$B$126=1)*(Z$2:Z$126&gt;=13)*(Z$2:Z$126&lt;=17)*(Z$2:Z$126&lt;&gt;"")*($J$2:$J$126))</f>
        <v>96.41</v>
      </c>
      <c r="AA132" s="79" cm="1">
        <f t="array" ref="AA132">SUMPRODUCT(($B$2:$B$126=1)*(AA$2:AA$126&gt;=13)*(AA$2:AA$126&lt;=17)*(AA$2:AA$126&lt;&gt;"")*($J$2:$J$126))</f>
        <v>50.1</v>
      </c>
      <c r="AB132" s="79" cm="1">
        <f t="array" ref="AB132">SUMPRODUCT(($B$2:$B$126=1)*(AB$2:AB$126&gt;=13)*(AB$2:AB$126&lt;=17)*(AB$2:AB$126&lt;&gt;"")*($J$2:$J$126))</f>
        <v>86.6</v>
      </c>
      <c r="AC132" s="79" cm="1">
        <f t="array" ref="AC132">SUMPRODUCT(($B$2:$B$126=1)*(AC$2:AC$126&gt;=13)*(AC$2:AC$126&lt;=17)*(AC$2:AC$126&lt;&gt;"")*($J$2:$J$126))</f>
        <v>86.6</v>
      </c>
      <c r="AD132" s="79" cm="1">
        <f t="array" ref="AD132">SUMPRODUCT(($B$2:$B$126=1)*(AD$2:AD$126&gt;=13)*(AD$2:AD$126&lt;=17)*(AD$2:AD$126&lt;&gt;"")*($J$2:$J$126))</f>
        <v>36.5</v>
      </c>
      <c r="AE132" s="79" cm="1">
        <f t="array" ref="AE132">SUMPRODUCT(($B$2:$B$126=1)*(AE$2:AE$126&gt;=13)*(AE$2:AE$126&lt;=17)*(AE$2:AE$126&lt;&gt;"")*($J$2:$J$126))</f>
        <v>55.39</v>
      </c>
      <c r="AF132" s="79" cm="1">
        <f t="array" ref="AF132">SUMPRODUCT(($B$2:$B$126=1)*(AF$2:AF$126&gt;=13)*(AF$2:AF$126&lt;=17)*(AF$2:AF$126&lt;&gt;"")*($J$2:$J$126))</f>
        <v>55.39</v>
      </c>
      <c r="AG132" s="79" cm="1">
        <f t="array" ref="AG132">SUMPRODUCT(($B$2:$B$126=1)*(AG$2:AG$126&gt;=13)*(AG$2:AG$126&lt;=17)*(AG$2:AG$126&lt;&gt;"")*($J$2:$J$126))</f>
        <v>18.89</v>
      </c>
      <c r="AH132" s="79" cm="1">
        <f t="array" ref="AH132">SUMPRODUCT(($B$2:$B$126=1)*(AH$2:AH$126&gt;=13)*(AH$2:AH$126&lt;=17)*(AH$2:AH$126&lt;&gt;"")*($J$2:$J$126))</f>
        <v>65.150000000000006</v>
      </c>
      <c r="AI132" s="79" cm="1">
        <f t="array" ref="AI132">SUMPRODUCT(($B$2:$B$126=1)*(AI$2:AI$126&gt;=13)*(AI$2:AI$126&lt;=17)*(AI$2:AI$126&lt;&gt;"")*($J$2:$J$126))</f>
        <v>65.150000000000006</v>
      </c>
      <c r="AJ132" s="79" cm="1">
        <f t="array" ref="AJ132">SUMPRODUCT(($B$2:$B$126=1)*(AJ$2:AJ$126&gt;=13)*(AJ$2:AJ$126&lt;=17)*(AJ$2:AJ$126&lt;&gt;"")*($J$2:$J$126))</f>
        <v>46.26</v>
      </c>
      <c r="AK132" s="79" cm="1">
        <f t="array" ref="AK132">SUMPRODUCT(($B$2:$B$126=1)*(AK$2:AK$126&gt;=13)*(AK$2:AK$126&lt;=17)*(AK$2:AK$126&lt;&gt;"")*($J$2:$J$126))</f>
        <v>46.26</v>
      </c>
      <c r="AL132" s="79" cm="1">
        <f t="array" ref="AL132">SUMPRODUCT(($B$2:$B$126=1)*(AL$2:AL$126&gt;=13)*(AL$2:AL$126&lt;=17)*(AL$2:AL$126&lt;&gt;"")*($J$2:$J$126))</f>
        <v>46.26</v>
      </c>
      <c r="AM132" s="79" cm="1">
        <f t="array" ref="AM132">SUMPRODUCT(($B$2:$B$126=1)*(AM$2:AM$126&gt;=13)*(AM$2:AM$126&lt;=17)*(AM$2:AM$126&lt;&gt;"")*($J$2:$J$126))</f>
        <v>0</v>
      </c>
      <c r="AN132" s="79" cm="1">
        <f t="array" ref="AN132">SUMPRODUCT(($B$2:$B$126=1)*(AN$2:AN$126&gt;=13)*(AN$2:AN$126&lt;=17)*(AN$2:AN$126&lt;&gt;"")*($J$2:$J$126))</f>
        <v>0</v>
      </c>
      <c r="AO132" s="79" cm="1">
        <f t="array" ref="AO132">SUMPRODUCT(($B$2:$B$126=1)*(AO$2:AO$126&gt;=13)*(AO$2:AO$126&lt;=17)*(AO$2:AO$126&lt;&gt;"")*($J$2:$J$126))</f>
        <v>39.380000000000003</v>
      </c>
      <c r="AP132" s="79" cm="1">
        <f t="array" ref="AP132">SUMPRODUCT(($B$2:$B$126=1)*(AP$2:AP$126&gt;=13)*(AP$2:AP$126&lt;=17)*(AP$2:AP$126&lt;&gt;"")*($J$2:$J$126))</f>
        <v>39.380000000000003</v>
      </c>
      <c r="AQ132" s="79" cm="1">
        <f t="array" ref="AQ132">SUMPRODUCT(($B$2:$B$126=1)*(AQ$2:AQ$126&gt;=13)*(AQ$2:AQ$126&lt;=17)*(AQ$2:AQ$126&lt;&gt;"")*($J$2:$J$126))</f>
        <v>39.380000000000003</v>
      </c>
      <c r="AR132" s="79" cm="1">
        <f t="array" ref="AR132">SUMPRODUCT(($B$2:$B$126=1)*(AR$2:AR$126&gt;=13)*(AR$2:AR$126&lt;=17)*(AR$2:AR$126&lt;&gt;"")*($J$2:$J$126))</f>
        <v>94.63</v>
      </c>
      <c r="AS132" s="79" cm="1">
        <f t="array" ref="AS132">SUMPRODUCT(($B$2:$B$126=1)*(AS$2:AS$126&gt;=13)*(AS$2:AS$126&lt;=17)*(AS$2:AS$126&lt;&gt;"")*($J$2:$J$126))</f>
        <v>94.63</v>
      </c>
      <c r="AT132" s="79" cm="1">
        <f t="array" ref="AT132">SUMPRODUCT(($B$2:$B$126=1)*(AT$2:AT$126&gt;=13)*(AT$2:AT$126&lt;=17)*(AT$2:AT$126&lt;&gt;"")*($J$2:$J$126))</f>
        <v>55.25</v>
      </c>
      <c r="AU132" s="79" cm="1">
        <f t="array" ref="AU132">SUMPRODUCT(($B$2:$B$126=1)*(AU$2:AU$126&gt;=13)*(AU$2:AU$126&lt;=17)*(AU$2:AU$126&lt;&gt;"")*($J$2:$J$126))</f>
        <v>93.18</v>
      </c>
      <c r="AV132" s="79" cm="1">
        <f t="array" ref="AV132">SUMPRODUCT(($B$2:$B$126=1)*(AV$2:AV$126&gt;=13)*(AV$2:AV$126&lt;=17)*(AV$2:AV$126&lt;&gt;"")*($J$2:$J$126))</f>
        <v>141.99</v>
      </c>
      <c r="AW132" s="79" cm="1">
        <f t="array" ref="AW132">SUMPRODUCT(($B$2:$B$126=1)*(AW$2:AW$126&gt;=13)*(AW$2:AW$126&lt;=17)*(AW$2:AW$126&lt;&gt;"")*($J$2:$J$126))</f>
        <v>86.740000000000009</v>
      </c>
      <c r="AX132" s="79" cm="1">
        <f t="array" ref="AX132">SUMPRODUCT(($B$2:$B$126=1)*(AX$2:AX$126&gt;=13)*(AX$2:AX$126&lt;=17)*(AX$2:AX$126&lt;&gt;"")*($J$2:$J$126))</f>
        <v>129.82</v>
      </c>
      <c r="AY132" s="79" cm="1">
        <f t="array" ref="AY132">SUMPRODUCT(($B$2:$B$126=1)*(AY$2:AY$126&gt;=13)*(AY$2:AY$126&lt;=17)*(AY$2:AY$126&lt;&gt;"")*($J$2:$J$126))</f>
        <v>169.49</v>
      </c>
      <c r="AZ132" s="79" cm="1">
        <f t="array" ref="AZ132">SUMPRODUCT(($B$2:$B$126=1)*(AZ$2:AZ$126&gt;=13)*(AZ$2:AZ$126&lt;=17)*(AZ$2:AZ$126&lt;&gt;"")*($J$2:$J$126))</f>
        <v>153.08000000000001</v>
      </c>
      <c r="BA132" s="79" cm="1">
        <f t="array" ref="BA132">SUMPRODUCT(($B$2:$B$126=1)*(BA$2:BA$126&gt;=13)*(BA$2:BA$126&lt;=17)*(BA$2:BA$126&lt;&gt;"")*($J$2:$J$126))</f>
        <v>61.19</v>
      </c>
      <c r="BB132" s="79" cm="1">
        <f t="array" ref="BB132">SUMPRODUCT(($B$2:$B$126=1)*(BB$2:BB$126&gt;=13)*(BB$2:BB$126&lt;=17)*(BB$2:BB$126&lt;&gt;"")*($J$2:$J$126))</f>
        <v>21.52</v>
      </c>
      <c r="BC132" s="79" cm="1">
        <f t="array" ref="BC132">SUMPRODUCT(($B$2:$B$126=1)*(BC$2:BC$126&gt;=13)*(BC$2:BC$126&lt;=17)*(BC$2:BC$126&lt;&gt;"")*($J$2:$J$126))</f>
        <v>21.52</v>
      </c>
      <c r="BD132" s="79" cm="1">
        <f t="array" ref="BD132">SUMPRODUCT(($B$2:$B$126=1)*(BD$2:BD$126&gt;=13)*(BD$2:BD$126&lt;=17)*(BD$2:BD$126&lt;&gt;"")*($J$2:$J$126))</f>
        <v>61.86</v>
      </c>
      <c r="BE132" s="79" cm="1">
        <f t="array" ref="BE132">SUMPRODUCT(($B$2:$B$126=1)*(BE$2:BE$126&gt;=13)*(BE$2:BE$126&lt;=17)*(BE$2:BE$126&lt;&gt;"")*($J$2:$J$126))</f>
        <v>108.17</v>
      </c>
      <c r="BF132" s="79" cm="1">
        <f t="array" ref="BF132">SUMPRODUCT(($B$2:$B$126=1)*(BF$2:BF$126&gt;=13)*(BF$2:BF$126&lt;=17)*(BF$2:BF$126&lt;&gt;"")*($J$2:$J$126))</f>
        <v>158.27000000000001</v>
      </c>
      <c r="BG132" s="79" cm="1">
        <f t="array" ref="BG132">SUMPRODUCT(($B$2:$B$126=1)*(BG$2:BG$126&gt;=13)*(BG$2:BG$126&lt;=17)*(BG$2:BG$126&lt;&gt;"")*($J$2:$J$126))</f>
        <v>158.27000000000001</v>
      </c>
      <c r="BH132" s="79" cm="1">
        <f t="array" ref="BH132">SUMPRODUCT(($B$2:$B$126=1)*(BH$2:BH$126&gt;=13)*(BH$2:BH$126&lt;=17)*(BH$2:BH$126&lt;&gt;"")*($J$2:$J$126))</f>
        <v>194.77</v>
      </c>
      <c r="BI132" s="79" cm="1">
        <f t="array" ref="BI132">SUMPRODUCT(($B$2:$B$126=1)*(BI$2:BI$126&gt;=13)*(BI$2:BI$126&lt;=17)*(BI$2:BI$126&lt;&gt;"")*($J$2:$J$126))</f>
        <v>132.91</v>
      </c>
      <c r="BJ132" s="79" cm="1">
        <f t="array" ref="BJ132">SUMPRODUCT(($B$2:$B$126=1)*(BJ$2:BJ$126&gt;=13)*(BJ$2:BJ$126&lt;=17)*(BJ$2:BJ$126&lt;&gt;"")*($J$2:$J$126))</f>
        <v>151.75</v>
      </c>
      <c r="BK132" s="79" cm="1">
        <f t="array" ref="BK132">SUMPRODUCT(($B$2:$B$126=1)*(BK$2:BK$126&gt;=13)*(BK$2:BK$126&lt;=17)*(BK$2:BK$126&lt;&gt;"")*($J$2:$J$126))</f>
        <v>141.03</v>
      </c>
      <c r="BL132" s="79" cm="1">
        <f t="array" ref="BL132">SUMPRODUCT(($B$2:$B$126=1)*(BL$2:BL$126&gt;=13)*(BL$2:BL$126&lt;=17)*(BL$2:BL$126&lt;&gt;"")*($J$2:$J$126))</f>
        <v>196.27999999999997</v>
      </c>
      <c r="BM132" s="79" cm="1">
        <f t="array" ref="BM132">SUMPRODUCT(($B$2:$B$126=1)*(BM$2:BM$126&gt;=13)*(BM$2:BM$126&lt;=17)*(BM$2:BM$126&lt;&gt;"")*($J$2:$J$126))</f>
        <v>197.70999999999998</v>
      </c>
      <c r="BN132" s="79" cm="1">
        <f t="array" ref="BN132">SUMPRODUCT(($B$2:$B$126=1)*(BN$2:BN$126&gt;=13)*(BN$2:BN$126&lt;=17)*(BN$2:BN$126&lt;&gt;"")*($J$2:$J$126))</f>
        <v>289.59999999999997</v>
      </c>
      <c r="BO132" s="79" cm="1">
        <f t="array" ref="BO132">SUMPRODUCT(($B$2:$B$126=1)*(BO$2:BO$126&gt;=13)*(BO$2:BO$126&lt;=17)*(BO$2:BO$126&lt;&gt;"")*($J$2:$J$126))</f>
        <v>264.12</v>
      </c>
      <c r="BP132" s="79" cm="1">
        <f t="array" ref="BP132">SUMPRODUCT(($B$2:$B$126=1)*(BP$2:BP$126&gt;=13)*(BP$2:BP$126&lt;=17)*(BP$2:BP$126&lt;&gt;"")*($J$2:$J$126))</f>
        <v>224.74</v>
      </c>
      <c r="BQ132" s="79" cm="1">
        <f t="array" ref="BQ132">SUMPRODUCT(($B$2:$B$126=1)*(BQ$2:BQ$126&gt;=13)*(BQ$2:BQ$126&lt;=17)*(BQ$2:BQ$126&lt;&gt;"")*($J$2:$J$126))</f>
        <v>191.01000000000002</v>
      </c>
      <c r="BR132" s="79" cm="1">
        <f t="array" ref="BR132">SUMPRODUCT(($B$2:$B$126=1)*(BR$2:BR$126&gt;=13)*(BR$2:BR$126&lt;=17)*(BR$2:BR$126&lt;&gt;"")*($J$2:$J$126))</f>
        <v>153.08000000000001</v>
      </c>
      <c r="BS132" s="79" cm="1">
        <f t="array" ref="BS132">SUMPRODUCT(($B$2:$B$126=1)*(BS$2:BS$126&gt;=13)*(BS$2:BS$126&lt;=17)*(BS$2:BS$126&lt;&gt;"")*($J$2:$J$126))</f>
        <v>61.19</v>
      </c>
      <c r="BT132" s="79" cm="1">
        <f t="array" ref="BT132">SUMPRODUCT(($B$2:$B$126=1)*(BT$2:BT$126&gt;=13)*(BT$2:BT$126&lt;=17)*(BT$2:BT$126&lt;&gt;"")*($J$2:$J$126))</f>
        <v>21.52</v>
      </c>
      <c r="BU132" s="79" cm="1">
        <f t="array" ref="BU132">SUMPRODUCT(($B$2:$B$126=1)*(BU$2:BU$126&gt;=13)*(BU$2:BU$126&lt;=17)*(BU$2:BU$126&lt;&gt;"")*($J$2:$J$126))</f>
        <v>21.52</v>
      </c>
      <c r="BV132" s="79" cm="1">
        <f t="array" ref="BV132">SUMPRODUCT(($B$2:$B$126=1)*(BV$2:BV$126&gt;=13)*(BV$2:BV$126&lt;=17)*(BV$2:BV$126&lt;&gt;"")*($J$2:$J$126))</f>
        <v>0</v>
      </c>
      <c r="BW132" s="79" cm="1">
        <f t="array" ref="BW132">SUMPRODUCT(($B$2:$B$126=1)*(BW$2:BW$126&gt;=13)*(BW$2:BW$126&lt;=17)*(BW$2:BW$126&lt;&gt;"")*($J$2:$J$126))</f>
        <v>0</v>
      </c>
      <c r="BX132" s="79" cm="1">
        <f t="array" ref="BX132">SUMPRODUCT(($B$2:$B$126=1)*(BX$2:BX$126&gt;=13)*(BX$2:BX$126&lt;=17)*(BX$2:BX$126&lt;&gt;"")*($J$2:$J$126))</f>
        <v>61.86</v>
      </c>
      <c r="BY132" s="79" cm="1">
        <f t="array" ref="BY132">SUMPRODUCT(($B$2:$B$126=1)*(BY$2:BY$126&gt;=13)*(BY$2:BY$126&lt;=17)*(BY$2:BY$126&lt;&gt;"")*($J$2:$J$126))</f>
        <v>108.17</v>
      </c>
      <c r="BZ132" s="79" cm="1">
        <f t="array" ref="BZ132">SUMPRODUCT(($B$2:$B$126=1)*(BZ$2:BZ$126&gt;=13)*(BZ$2:BZ$126&lt;=17)*(BZ$2:BZ$126&lt;&gt;"")*($J$2:$J$126))</f>
        <v>158.27000000000001</v>
      </c>
      <c r="CA132" s="79" cm="1">
        <f t="array" ref="CA132">SUMPRODUCT(($B$2:$B$126=1)*(CA$2:CA$126&gt;=13)*(CA$2:CA$126&lt;=17)*(CA$2:CA$126&lt;&gt;"")*($J$2:$J$126))</f>
        <v>158.27000000000001</v>
      </c>
      <c r="CB132" s="79" cm="1">
        <f t="array" ref="CB132">SUMPRODUCT(($B$2:$B$126=1)*(CB$2:CB$126&gt;=13)*(CB$2:CB$126&lt;=17)*(CB$2:CB$126&lt;&gt;"")*($J$2:$J$126))</f>
        <v>194.77</v>
      </c>
      <c r="CC132" s="79" cm="1">
        <f t="array" ref="CC132">SUMPRODUCT(($B$2:$B$126=1)*(CC$2:CC$126&gt;=13)*(CC$2:CC$126&lt;=17)*(CC$2:CC$126&lt;&gt;"")*($J$2:$J$126))</f>
        <v>132.91</v>
      </c>
      <c r="CD132" s="79" cm="1">
        <f t="array" ref="CD132">SUMPRODUCT(($B$2:$B$126=1)*(CD$2:CD$126&gt;=13)*(CD$2:CD$126&lt;=17)*(CD$2:CD$126&lt;&gt;"")*($J$2:$J$126))</f>
        <v>86.6</v>
      </c>
      <c r="CE132" s="79" cm="1">
        <f t="array" ref="CE132">SUMPRODUCT(($B$2:$B$126=1)*(CE$2:CE$126&gt;=13)*(CE$2:CE$126&lt;=17)*(CE$2:CE$126&lt;&gt;"")*($J$2:$J$126))</f>
        <v>36.5</v>
      </c>
      <c r="CF132" s="79" cm="1">
        <f t="array" ref="CF132">SUMPRODUCT(($B$2:$B$126=1)*(CF$2:CF$126&gt;=13)*(CF$2:CF$126&lt;=17)*(CF$2:CF$126&lt;&gt;"")*($J$2:$J$126))</f>
        <v>36.5</v>
      </c>
      <c r="CG132" s="79" cm="1">
        <f t="array" ref="CG132">SUMPRODUCT(($B$2:$B$126=1)*(CG$2:CG$126&gt;=13)*(CG$2:CG$126&lt;=17)*(CG$2:CG$126&lt;&gt;"")*($J$2:$J$126))</f>
        <v>0</v>
      </c>
      <c r="CH132" s="79" cm="1">
        <f t="array" ref="CH132">SUMPRODUCT(($B$2:$B$126=1)*(CH$2:CH$126&gt;=13)*(CH$2:CH$126&lt;=17)*(CH$2:CH$126&lt;&gt;"")*($J$2:$J$126))</f>
        <v>0</v>
      </c>
      <c r="CI132" s="79" cm="1">
        <f t="array" ref="CI132">SUMPRODUCT(($B$2:$B$126=1)*(CI$2:CI$126&gt;=13)*(CI$2:CI$126&lt;=17)*(CI$2:CI$126&lt;&gt;"")*($J$2:$J$126))</f>
        <v>0</v>
      </c>
      <c r="CJ132" s="79" cm="1">
        <f t="array" ref="CJ132">SUMPRODUCT(($B$2:$B$126=1)*(CJ$2:CJ$126&gt;=13)*(CJ$2:CJ$126&lt;=17)*(CJ$2:CJ$126&lt;&gt;"")*($J$2:$J$126))</f>
        <v>0</v>
      </c>
      <c r="CK132" s="79" cm="1">
        <f t="array" ref="CK132">SUMPRODUCT(($B$2:$B$126=1)*(CK$2:CK$126&gt;=13)*(CK$2:CK$126&lt;=17)*(CK$2:CK$126&lt;&gt;"")*($J$2:$J$126))</f>
        <v>0</v>
      </c>
      <c r="CL132" s="79" cm="1">
        <f t="array" ref="CL132">SUMPRODUCT(($B$2:$B$126=1)*(CL$2:CL$126&gt;=13)*(CL$2:CL$126&lt;=17)*(CL$2:CL$126&lt;&gt;"")*($J$2:$J$126))</f>
        <v>0</v>
      </c>
      <c r="CM132" s="79" cm="1">
        <f t="array" ref="CM132">SUMPRODUCT(($B$2:$B$126=1)*(CM$2:CM$126&gt;=13)*(CM$2:CM$126&lt;=17)*(CM$2:CM$126&lt;&gt;"")*($J$2:$J$126))</f>
        <v>0</v>
      </c>
      <c r="CN132" s="79" cm="1">
        <f t="array" ref="CN132">SUMPRODUCT(($B$2:$B$126=1)*(CN$2:CN$126&gt;=13)*(CN$2:CN$126&lt;=17)*(CN$2:CN$126&lt;&gt;"")*($J$2:$J$126))</f>
        <v>0</v>
      </c>
      <c r="CO132" s="79" cm="1">
        <f t="array" ref="CO132">SUMPRODUCT(($B$2:$B$126=1)*(CO$2:CO$126&gt;=13)*(CO$2:CO$126&lt;=17)*(CO$2:CO$126&lt;&gt;"")*($J$2:$J$126))</f>
        <v>0</v>
      </c>
      <c r="CP132" s="79" cm="1">
        <f t="array" ref="CP132">SUMPRODUCT(($B$2:$B$126=1)*(CP$2:CP$126&gt;=13)*(CP$2:CP$126&lt;=17)*(CP$2:CP$126&lt;&gt;"")*($J$2:$J$126))</f>
        <v>0</v>
      </c>
      <c r="CQ132" s="79" cm="1">
        <f t="array" ref="CQ132">SUMPRODUCT(($B$2:$B$126=1)*(CQ$2:CQ$126&gt;=13)*(CQ$2:CQ$126&lt;=17)*(CQ$2:CQ$126&lt;&gt;"")*($J$2:$J$126))</f>
        <v>0</v>
      </c>
      <c r="CR132" s="79" cm="1">
        <f t="array" ref="CR132">SUMPRODUCT(($B$2:$B$126=1)*(CR$2:CR$126&gt;=13)*(CR$2:CR$126&lt;=17)*(CR$2:CR$126&lt;&gt;"")*($J$2:$J$126))</f>
        <v>0</v>
      </c>
      <c r="CS132" s="79" cm="1">
        <f t="array" ref="CS132">SUMPRODUCT(($B$2:$B$126=1)*(CS$2:CS$126&gt;=13)*(CS$2:CS$126&lt;=17)*(CS$2:CS$126&lt;&gt;"")*($J$2:$J$126))</f>
        <v>0</v>
      </c>
      <c r="CT132" s="79" cm="1">
        <f t="array" ref="CT132">SUMPRODUCT(($B$2:$B$126=1)*(CT$2:CT$126&gt;=13)*(CT$2:CT$126&lt;=17)*(CT$2:CT$126&lt;&gt;"")*($J$2:$J$126))</f>
        <v>0</v>
      </c>
      <c r="CU132" s="79" cm="1">
        <f t="array" ref="CU132">SUMPRODUCT(($B$2:$B$126=1)*(CU$2:CU$126&gt;=13)*(CU$2:CU$126&lt;=17)*(CU$2:CU$126&lt;&gt;"")*($J$2:$J$126))</f>
        <v>0</v>
      </c>
      <c r="CV132" s="79" cm="1">
        <f t="array" ref="CV132">SUMPRODUCT(($B$2:$B$126=1)*(CV$2:CV$126&gt;=13)*(CV$2:CV$126&lt;=17)*(CV$2:CV$126&lt;&gt;"")*($J$2:$J$126))</f>
        <v>0</v>
      </c>
      <c r="CW132" s="79" cm="1">
        <f t="array" ref="CW132">SUMPRODUCT(($B$2:$B$126=1)*(CW$2:CW$126&gt;=13)*(CW$2:CW$126&lt;=17)*(CW$2:CW$126&lt;&gt;"")*($J$2:$J$126))</f>
        <v>0</v>
      </c>
      <c r="CX132" s="79" cm="1">
        <f t="array" ref="CX132">SUMPRODUCT(($B$2:$B$126=1)*(CX$2:CX$126&gt;=13)*(CX$2:CX$126&lt;=17)*(CX$2:CX$126&lt;&gt;"")*($J$2:$J$126))</f>
        <v>0</v>
      </c>
      <c r="CY132" s="79" cm="1">
        <f t="array" ref="CY132">SUMPRODUCT(($B$2:$B$126=1)*(CY$2:CY$126&gt;=13)*(CY$2:CY$126&lt;=17)*(CY$2:CY$126&lt;&gt;"")*($J$2:$J$126))</f>
        <v>0</v>
      </c>
      <c r="CZ132" s="79" cm="1">
        <f t="array" ref="CZ132">SUMPRODUCT(($B$2:$B$126=1)*(CZ$2:CZ$126&gt;=13)*(CZ$2:CZ$126&lt;=17)*(CZ$2:CZ$126&lt;&gt;"")*($J$2:$J$126))</f>
        <v>0</v>
      </c>
      <c r="DA132" s="79" cm="1">
        <f t="array" ref="DA132">SUMPRODUCT(($B$2:$B$126=1)*(DA$2:DA$126&gt;=13)*(DA$2:DA$126&lt;=17)*(DA$2:DA$126&lt;&gt;"")*($J$2:$J$126))</f>
        <v>0</v>
      </c>
      <c r="DB132" s="79" cm="1">
        <f t="array" ref="DB132">SUMPRODUCT(($B$2:$B$126=1)*(DB$2:DB$126&gt;=13)*(DB$2:DB$126&lt;=17)*(DB$2:DB$126&lt;&gt;"")*($J$2:$J$126))</f>
        <v>0</v>
      </c>
      <c r="DC132" s="79" cm="1">
        <f t="array" ref="DC132">SUMPRODUCT(($B$2:$B$126=1)*(DC$2:DC$126&gt;=13)*(DC$2:DC$126&lt;=17)*(DC$2:DC$126&lt;&gt;"")*($J$2:$J$126))</f>
        <v>0</v>
      </c>
      <c r="DD132" s="79" cm="1">
        <f t="array" ref="DD132">SUMPRODUCT(($B$2:$B$126=1)*(DD$2:DD$126&gt;=13)*(DD$2:DD$126&lt;=17)*(DD$2:DD$126&lt;&gt;"")*($J$2:$J$126))</f>
        <v>0</v>
      </c>
      <c r="DE132" s="79" cm="1">
        <f t="array" ref="DE132">SUMPRODUCT(($B$2:$B$126=1)*(DE$2:DE$126&gt;=13)*(DE$2:DE$126&lt;=17)*(DE$2:DE$126&lt;&gt;"")*($J$2:$J$126))</f>
        <v>0</v>
      </c>
      <c r="DF132" s="79" cm="1">
        <f t="array" ref="DF132">SUMPRODUCT(($B$2:$B$126=1)*(DF$2:DF$126&gt;=13)*(DF$2:DF$126&lt;=17)*(DF$2:DF$126&lt;&gt;"")*($J$2:$J$126))</f>
        <v>0</v>
      </c>
      <c r="DG132" s="79" cm="1">
        <f t="array" ref="DG132">SUMPRODUCT(($B$2:$B$126=1)*(DG$2:DG$126&gt;=13)*(DG$2:DG$126&lt;=17)*(DG$2:DG$126&lt;&gt;"")*($J$2:$J$126))</f>
        <v>0</v>
      </c>
      <c r="DH132" s="79" cm="1">
        <f t="array" ref="DH132">SUMPRODUCT(($B$2:$B$126=1)*(DH$2:DH$126&gt;=13)*(DH$2:DH$126&lt;=17)*(DH$2:DH$126&lt;&gt;"")*($J$2:$J$126))</f>
        <v>0</v>
      </c>
      <c r="DI132" s="79" cm="1">
        <f t="array" ref="DI132">SUMPRODUCT(($B$2:$B$126=1)*(DI$2:DI$126&gt;=13)*(DI$2:DI$126&lt;=17)*(DI$2:DI$126&lt;&gt;"")*($J$2:$J$126))</f>
        <v>0</v>
      </c>
      <c r="DJ132" s="79" cm="1">
        <f t="array" ref="DJ132">SUMPRODUCT(($B$2:$B$126=1)*(DJ$2:DJ$126&gt;=13)*(DJ$2:DJ$126&lt;=17)*(DJ$2:DJ$126&lt;&gt;"")*($J$2:$J$126))</f>
        <v>0</v>
      </c>
      <c r="DK132" s="79" cm="1">
        <f t="array" ref="DK132">SUMPRODUCT(($B$2:$B$126=1)*(DK$2:DK$126&gt;=13)*(DK$2:DK$126&lt;=17)*(DK$2:DK$126&lt;&gt;"")*($J$2:$J$126))</f>
        <v>0</v>
      </c>
      <c r="DL132" s="79" cm="1">
        <f t="array" ref="DL132">SUMPRODUCT(($B$2:$B$126=1)*(DL$2:DL$126&gt;=13)*(DL$2:DL$126&lt;=17)*(DL$2:DL$126&lt;&gt;"")*($J$2:$J$126))</f>
        <v>0</v>
      </c>
      <c r="DM132" s="79" cm="1">
        <f t="array" ref="DM132">SUMPRODUCT(($B$2:$B$126=1)*(DM$2:DM$126&gt;=13)*(DM$2:DM$126&lt;=17)*(DM$2:DM$126&lt;&gt;"")*($J$2:$J$126))</f>
        <v>0</v>
      </c>
      <c r="DN132" s="79" cm="1">
        <f t="array" ref="DN132">SUMPRODUCT(($B$2:$B$126=1)*(DN$2:DN$126&gt;=13)*(DN$2:DN$126&lt;=17)*(DN$2:DN$126&lt;&gt;"")*($J$2:$J$126))</f>
        <v>0</v>
      </c>
      <c r="DO132" s="79" cm="1">
        <f t="array" ref="DO132">SUMPRODUCT(($B$2:$B$126=1)*(DO$2:DO$126&gt;=13)*(DO$2:DO$126&lt;=17)*(DO$2:DO$126&lt;&gt;"")*($J$2:$J$126))</f>
        <v>0</v>
      </c>
      <c r="DP132" s="79" cm="1">
        <f t="array" ref="DP132">SUMPRODUCT(($B$2:$B$126=1)*(DP$2:DP$126&gt;=13)*(DP$2:DP$126&lt;=17)*(DP$2:DP$126&lt;&gt;"")*($J$2:$J$126))</f>
        <v>0</v>
      </c>
      <c r="DQ132" s="79" cm="1">
        <f t="array" ref="DQ132">SUMPRODUCT(($B$2:$B$126=1)*(DQ$2:DQ$126&gt;=13)*(DQ$2:DQ$126&lt;=17)*(DQ$2:DQ$126&lt;&gt;"")*($J$2:$J$126))</f>
        <v>0</v>
      </c>
      <c r="DR132" s="79" cm="1">
        <f t="array" ref="DR132">SUMPRODUCT(($B$2:$B$126=1)*(DR$2:DR$126&gt;=13)*(DR$2:DR$126&lt;=17)*(DR$2:DR$126&lt;&gt;"")*($J$2:$J$126))</f>
        <v>0</v>
      </c>
      <c r="DS132" s="79" cm="1">
        <f t="array" ref="DS132">SUMPRODUCT(($B$2:$B$126=1)*(DS$2:DS$126&gt;=13)*(DS$2:DS$126&lt;=17)*(DS$2:DS$126&lt;&gt;"")*($J$2:$J$126))</f>
        <v>0</v>
      </c>
      <c r="DT132" s="79" cm="1">
        <f t="array" ref="DT132">SUMPRODUCT(($B$2:$B$126=1)*(DT$2:DT$126&gt;=13)*(DT$2:DT$126&lt;=17)*(DT$2:DT$126&lt;&gt;"")*($J$2:$J$126))</f>
        <v>0</v>
      </c>
      <c r="DU132" s="79" cm="1">
        <f t="array" ref="DU132">SUMPRODUCT(($B$2:$B$126=1)*(DU$2:DU$126&gt;=13)*(DU$2:DU$126&lt;=17)*(DU$2:DU$126&lt;&gt;"")*($J$2:$J$126))</f>
        <v>0</v>
      </c>
      <c r="DV132" s="79" cm="1">
        <f t="array" ref="DV132">SUMPRODUCT(($B$2:$B$126=1)*(DV$2:DV$126&gt;=13)*(DV$2:DV$126&lt;=17)*(DV$2:DV$126&lt;&gt;"")*($J$2:$J$126))</f>
        <v>0</v>
      </c>
      <c r="DW132" s="79" cm="1">
        <f t="array" ref="DW132">SUMPRODUCT(($B$2:$B$126=1)*(DW$2:DW$126&gt;=13)*(DW$2:DW$126&lt;=17)*(DW$2:DW$126&lt;&gt;"")*($J$2:$J$126))</f>
        <v>0</v>
      </c>
      <c r="DX132" s="79" cm="1">
        <f t="array" ref="DX132">SUMPRODUCT(($B$2:$B$126=1)*(DX$2:DX$126&gt;=13)*(DX$2:DX$126&lt;=17)*(DX$2:DX$126&lt;&gt;"")*($J$2:$J$126))</f>
        <v>0</v>
      </c>
      <c r="DY132" s="79" cm="1">
        <f t="array" ref="DY132">SUMPRODUCT(($B$2:$B$126=1)*(DY$2:DY$126&gt;=13)*(DY$2:DY$126&lt;=17)*(DY$2:DY$126&lt;&gt;"")*($J$2:$J$126))</f>
        <v>0</v>
      </c>
      <c r="DZ132" s="79" cm="1">
        <f t="array" ref="DZ132">SUMPRODUCT(($B$2:$B$126=1)*(DZ$2:DZ$126&gt;=13)*(DZ$2:DZ$126&lt;=17)*(DZ$2:DZ$126&lt;&gt;"")*($J$2:$J$126))</f>
        <v>0</v>
      </c>
      <c r="EA132" s="79" cm="1">
        <f t="array" ref="EA132">SUMPRODUCT(($B$2:$B$126=1)*(EA$2:EA$126&gt;=13)*(EA$2:EA$126&lt;=17)*(EA$2:EA$126&lt;&gt;"")*($J$2:$J$126))</f>
        <v>0</v>
      </c>
      <c r="EB132" s="79" cm="1">
        <f t="array" ref="EB132">SUMPRODUCT(($B$2:$B$126=1)*(EB$2:EB$126&gt;=13)*(EB$2:EB$126&lt;=17)*(EB$2:EB$126&lt;&gt;"")*($J$2:$J$126))</f>
        <v>0</v>
      </c>
      <c r="EC132" s="79" cm="1">
        <f t="array" ref="EC132">SUMPRODUCT(($B$2:$B$126=1)*(EC$2:EC$126&gt;=13)*(EC$2:EC$126&lt;=17)*(EC$2:EC$126&lt;&gt;"")*($J$2:$J$126))</f>
        <v>0</v>
      </c>
      <c r="ED132" s="79" cm="1">
        <f t="array" ref="ED132">SUMPRODUCT(($B$2:$B$126=1)*(ED$2:ED$126&gt;=13)*(ED$2:ED$126&lt;=17)*(ED$2:ED$126&lt;&gt;"")*($J$2:$J$126))</f>
        <v>0</v>
      </c>
      <c r="EE132" s="79" cm="1">
        <f t="array" ref="EE132">SUMPRODUCT(($B$2:$B$126=1)*(EE$2:EE$126&gt;=13)*(EE$2:EE$126&lt;=17)*(EE$2:EE$126&lt;&gt;"")*($J$2:$J$126))</f>
        <v>0</v>
      </c>
      <c r="EF132" s="79" cm="1">
        <f t="array" ref="EF132">SUMPRODUCT(($B$2:$B$126=1)*(EF$2:EF$126&gt;=13)*(EF$2:EF$126&lt;=17)*(EF$2:EF$126&lt;&gt;"")*($J$2:$J$126))</f>
        <v>0</v>
      </c>
      <c r="EG132" s="79" cm="1">
        <f t="array" ref="EG132">SUMPRODUCT(($B$2:$B$126=1)*(EG$2:EG$126&gt;=13)*(EG$2:EG$126&lt;=17)*(EG$2:EG$126&lt;&gt;"")*($J$2:$J$126))</f>
        <v>0</v>
      </c>
      <c r="EH132" s="79" cm="1">
        <f t="array" ref="EH132">SUMPRODUCT(($B$2:$B$126=1)*(EH$2:EH$126&gt;=13)*(EH$2:EH$126&lt;=17)*(EH$2:EH$126&lt;&gt;"")*($J$2:$J$126))</f>
        <v>0</v>
      </c>
      <c r="EI132" s="79" cm="1">
        <f t="array" ref="EI132">SUMPRODUCT(($B$2:$B$126=1)*(EI$2:EI$126&gt;=13)*(EI$2:EI$126&lt;=17)*(EI$2:EI$126&lt;&gt;"")*($J$2:$J$126))</f>
        <v>0</v>
      </c>
      <c r="EJ132" s="79" cm="1">
        <f t="array" ref="EJ132">SUMPRODUCT(($B$2:$B$126=1)*(EJ$2:EJ$126&gt;=13)*(EJ$2:EJ$126&lt;=17)*(EJ$2:EJ$126&lt;&gt;"")*($J$2:$J$126))</f>
        <v>0</v>
      </c>
      <c r="EK132" s="79" cm="1">
        <f t="array" ref="EK132">SUMPRODUCT(($B$2:$B$126=1)*(EK$2:EK$126&gt;=13)*(EK$2:EK$126&lt;=17)*(EK$2:EK$126&lt;&gt;"")*($J$2:$J$126))</f>
        <v>0</v>
      </c>
      <c r="EL132" s="79" cm="1">
        <f t="array" ref="EL132">SUMPRODUCT(($B$2:$B$126=1)*(EL$2:EL$126&gt;=13)*(EL$2:EL$126&lt;=17)*(EL$2:EL$126&lt;&gt;"")*($J$2:$J$126))</f>
        <v>0</v>
      </c>
      <c r="EM132" s="79" cm="1">
        <f t="array" ref="EM132">SUMPRODUCT(($B$2:$B$126=1)*(EM$2:EM$126&gt;=13)*(EM$2:EM$126&lt;=17)*(EM$2:EM$126&lt;&gt;"")*($J$2:$J$126))</f>
        <v>0</v>
      </c>
      <c r="EN132" s="79" cm="1">
        <f t="array" ref="EN132">SUMPRODUCT(($B$2:$B$126=1)*(EN$2:EN$126&gt;=13)*(EN$2:EN$126&lt;=17)*(EN$2:EN$126&lt;&gt;"")*($J$2:$J$126))</f>
        <v>0</v>
      </c>
      <c r="EO132" s="79" cm="1">
        <f t="array" ref="EO132">SUMPRODUCT(($B$2:$B$126=1)*(EO$2:EO$126&gt;=13)*(EO$2:EO$126&lt;=17)*(EO$2:EO$126&lt;&gt;"")*($J$2:$J$126))</f>
        <v>0</v>
      </c>
      <c r="EP132" s="79" cm="1">
        <f t="array" ref="EP132">SUMPRODUCT(($B$2:$B$126=1)*(EP$2:EP$126&gt;=13)*(EP$2:EP$126&lt;=17)*(EP$2:EP$126&lt;&gt;"")*($J$2:$J$126))</f>
        <v>0</v>
      </c>
      <c r="EQ132" s="79" cm="1">
        <f t="array" ref="EQ132">SUMPRODUCT(($B$2:$B$126=1)*(EQ$2:EQ$126&gt;=13)*(EQ$2:EQ$126&lt;=17)*(EQ$2:EQ$126&lt;&gt;"")*($J$2:$J$126))</f>
        <v>0</v>
      </c>
      <c r="ER132" s="79" cm="1">
        <f t="array" ref="ER132">SUMPRODUCT(($B$2:$B$126=1)*(ER$2:ER$126&gt;=13)*(ER$2:ER$126&lt;=17)*(ER$2:ER$126&lt;&gt;"")*($J$2:$J$126))</f>
        <v>0</v>
      </c>
      <c r="ES132" s="79" cm="1">
        <f t="array" ref="ES132">SUMPRODUCT(($B$2:$B$126=1)*(ES$2:ES$126&gt;=13)*(ES$2:ES$126&lt;=17)*(ES$2:ES$126&lt;&gt;"")*($J$2:$J$126))</f>
        <v>0</v>
      </c>
      <c r="ET132" s="79" cm="1">
        <f t="array" ref="ET132">SUMPRODUCT(($B$2:$B$126=1)*(ET$2:ET$126&gt;=13)*(ET$2:ET$126&lt;=17)*(ET$2:ET$126&lt;&gt;"")*($J$2:$J$126))</f>
        <v>0</v>
      </c>
      <c r="EU132" s="79" cm="1">
        <f t="array" ref="EU132">SUMPRODUCT(($B$2:$B$126=1)*(EU$2:EU$126&gt;=13)*(EU$2:EU$126&lt;=17)*(EU$2:EU$126&lt;&gt;"")*($J$2:$J$126))</f>
        <v>0</v>
      </c>
      <c r="EV132" s="79" cm="1">
        <f t="array" ref="EV132">SUMPRODUCT(($B$2:$B$126=1)*(EV$2:EV$126&gt;=13)*(EV$2:EV$126&lt;=17)*(EV$2:EV$126&lt;&gt;"")*($J$2:$J$126))</f>
        <v>0</v>
      </c>
      <c r="EW132" s="79" cm="1">
        <f t="array" ref="EW132">SUMPRODUCT(($B$2:$B$126=1)*(EW$2:EW$126&gt;=13)*(EW$2:EW$126&lt;=17)*(EW$2:EW$126&lt;&gt;"")*($J$2:$J$126))</f>
        <v>0</v>
      </c>
      <c r="EX132" s="79" cm="1">
        <f t="array" ref="EX132">SUMPRODUCT(($B$2:$B$126=1)*(EX$2:EX$126&gt;=13)*(EX$2:EX$126&lt;=17)*(EX$2:EX$126&lt;&gt;"")*($J$2:$J$126))</f>
        <v>0</v>
      </c>
      <c r="EY132" s="79" cm="1">
        <f t="array" ref="EY132">SUMPRODUCT(($B$2:$B$126=1)*(EY$2:EY$126&gt;=13)*(EY$2:EY$126&lt;=17)*(EY$2:EY$126&lt;&gt;"")*($J$2:$J$126))</f>
        <v>0</v>
      </c>
      <c r="EZ132" s="79" cm="1">
        <f t="array" ref="EZ132">SUMPRODUCT(($B$2:$B$126=1)*(EZ$2:EZ$126&gt;=13)*(EZ$2:EZ$126&lt;=17)*(EZ$2:EZ$126&lt;&gt;"")*($J$2:$J$126))</f>
        <v>0</v>
      </c>
      <c r="FA132" s="79" cm="1">
        <f t="array" ref="FA132">SUMPRODUCT(($B$2:$B$126=1)*(FA$2:FA$126&gt;=13)*(FA$2:FA$126&lt;=17)*(FA$2:FA$126&lt;&gt;"")*($J$2:$J$126))</f>
        <v>0</v>
      </c>
      <c r="FB132" s="79" cm="1">
        <f t="array" ref="FB132">SUMPRODUCT(($B$2:$B$126=1)*(FB$2:FB$126&gt;=13)*(FB$2:FB$126&lt;=17)*(FB$2:FB$126&lt;&gt;"")*($J$2:$J$126))</f>
        <v>0</v>
      </c>
      <c r="FC132" s="79" cm="1">
        <f t="array" ref="FC132">SUMPRODUCT(($B$2:$B$126=1)*(FC$2:FC$126&gt;=13)*(FC$2:FC$126&lt;=17)*(FC$2:FC$126&lt;&gt;"")*($J$2:$J$126))</f>
        <v>0</v>
      </c>
      <c r="FD132" s="79" cm="1">
        <f t="array" ref="FD132">SUMPRODUCT(($B$2:$B$126=1)*(FD$2:FD$126&gt;=13)*(FD$2:FD$126&lt;=17)*(FD$2:FD$126&lt;&gt;"")*($J$2:$J$126))</f>
        <v>0</v>
      </c>
      <c r="FE132" s="79" cm="1">
        <f t="array" ref="FE132">SUMPRODUCT(($B$2:$B$126=1)*(FE$2:FE$126&gt;=13)*(FE$2:FE$126&lt;=17)*(FE$2:FE$126&lt;&gt;"")*($J$2:$J$126))</f>
        <v>0</v>
      </c>
      <c r="FF132" s="79" cm="1">
        <f t="array" ref="FF132">SUMPRODUCT(($B$2:$B$126=1)*(FF$2:FF$126&gt;=13)*(FF$2:FF$126&lt;=17)*(FF$2:FF$126&lt;&gt;"")*($J$2:$J$126))</f>
        <v>0</v>
      </c>
      <c r="FG132" s="79" cm="1">
        <f t="array" ref="FG132">SUMPRODUCT(($B$2:$B$126=1)*(FG$2:FG$126&gt;=13)*(FG$2:FG$126&lt;=17)*(FG$2:FG$126&lt;&gt;"")*($J$2:$J$126))</f>
        <v>0</v>
      </c>
      <c r="FH132" s="79" cm="1">
        <f t="array" ref="FH132">SUMPRODUCT(($B$2:$B$126=1)*(FH$2:FH$126&gt;=13)*(FH$2:FH$126&lt;=17)*(FH$2:FH$126&lt;&gt;"")*($J$2:$J$126))</f>
        <v>0</v>
      </c>
      <c r="FI132" s="79" cm="1">
        <f t="array" ref="FI132">SUMPRODUCT(($B$2:$B$126=1)*(FI$2:FI$126&gt;=13)*(FI$2:FI$126&lt;=17)*(FI$2:FI$126&lt;&gt;"")*($J$2:$J$126))</f>
        <v>0</v>
      </c>
      <c r="FJ132" s="79" cm="1">
        <f t="array" ref="FJ132">SUMPRODUCT(($B$2:$B$126=1)*(FJ$2:FJ$126&gt;=13)*(FJ$2:FJ$126&lt;=17)*(FJ$2:FJ$126&lt;&gt;"")*($J$2:$J$126))</f>
        <v>0</v>
      </c>
      <c r="FK132" s="79" cm="1">
        <f t="array" ref="FK132">SUMPRODUCT(($B$2:$B$126=1)*(FK$2:FK$126&gt;=13)*(FK$2:FK$126&lt;=17)*(FK$2:FK$126&lt;&gt;"")*($J$2:$J$126))</f>
        <v>0</v>
      </c>
      <c r="FL132" s="79" cm="1">
        <f t="array" ref="FL132">SUMPRODUCT(($B$2:$B$126=1)*(FL$2:FL$126&gt;=13)*(FL$2:FL$126&lt;=17)*(FL$2:FL$126&lt;&gt;"")*($J$2:$J$126))</f>
        <v>0</v>
      </c>
      <c r="FM132" s="79" cm="1">
        <f t="array" ref="FM132">SUMPRODUCT(($B$2:$B$126=1)*(FM$2:FM$126&gt;=13)*(FM$2:FM$126&lt;=17)*(FM$2:FM$126&lt;&gt;"")*($J$2:$J$126))</f>
        <v>0</v>
      </c>
      <c r="FN132" s="79" cm="1">
        <f t="array" ref="FN132">SUMPRODUCT(($B$2:$B$126=1)*(FN$2:FN$126&gt;=13)*(FN$2:FN$126&lt;=17)*(FN$2:FN$126&lt;&gt;"")*($J$2:$J$126))</f>
        <v>0</v>
      </c>
      <c r="FO132" s="79" cm="1">
        <f t="array" ref="FO132">SUMPRODUCT(($B$2:$B$126=1)*(FO$2:FO$126&gt;=13)*(FO$2:FO$126&lt;=17)*(FO$2:FO$126&lt;&gt;"")*($J$2:$J$126))</f>
        <v>0</v>
      </c>
      <c r="FP132" s="79" cm="1">
        <f t="array" ref="FP132">SUMPRODUCT(($B$2:$B$126=1)*(FP$2:FP$126&gt;=13)*(FP$2:FP$126&lt;=17)*(FP$2:FP$126&lt;&gt;"")*($J$2:$J$126))</f>
        <v>0</v>
      </c>
      <c r="FQ132" s="79" cm="1">
        <f t="array" ref="FQ132">SUMPRODUCT(($B$2:$B$126=1)*(FQ$2:FQ$126&gt;=13)*(FQ$2:FQ$126&lt;=17)*(FQ$2:FQ$126&lt;&gt;"")*($J$2:$J$126))</f>
        <v>0</v>
      </c>
      <c r="FR132" s="79" cm="1">
        <f t="array" ref="FR132">SUMPRODUCT(($B$2:$B$126=1)*(FR$2:FR$126&gt;=13)*(FR$2:FR$126&lt;=17)*(FR$2:FR$126&lt;&gt;"")*($J$2:$J$126))</f>
        <v>0</v>
      </c>
      <c r="FS132" s="79" cm="1">
        <f t="array" ref="FS132">SUMPRODUCT(($B$2:$B$126=1)*(FS$2:FS$126&gt;=13)*(FS$2:FS$126&lt;=17)*(FS$2:FS$126&lt;&gt;"")*($J$2:$J$126))</f>
        <v>0</v>
      </c>
      <c r="FT132" s="79" cm="1">
        <f t="array" ref="FT132">SUMPRODUCT(($B$2:$B$126=1)*(FT$2:FT$126&gt;=13)*(FT$2:FT$126&lt;=17)*(FT$2:FT$126&lt;&gt;"")*($J$2:$J$126))</f>
        <v>0</v>
      </c>
      <c r="FU132" s="79" cm="1">
        <f t="array" ref="FU132">SUMPRODUCT(($B$2:$B$126=1)*(FU$2:FU$126&gt;=13)*(FU$2:FU$126&lt;=17)*(FU$2:FU$126&lt;&gt;"")*($J$2:$J$126))</f>
        <v>0</v>
      </c>
      <c r="FV132" s="79" cm="1">
        <f t="array" ref="FV132">SUMPRODUCT(($B$2:$B$126=1)*(FV$2:FV$126&gt;=13)*(FV$2:FV$126&lt;=17)*(FV$2:FV$126&lt;&gt;"")*($J$2:$J$126))</f>
        <v>0</v>
      </c>
      <c r="FW132" s="79" cm="1">
        <f t="array" ref="FW132">SUMPRODUCT(($B$2:$B$126=1)*(FW$2:FW$126&gt;=13)*(FW$2:FW$126&lt;=17)*(FW$2:FW$126&lt;&gt;"")*($J$2:$J$126))</f>
        <v>0</v>
      </c>
      <c r="FX132" s="79" cm="1">
        <f t="array" ref="FX132">SUMPRODUCT(($B$2:$B$126=1)*(FX$2:FX$126&gt;=13)*(FX$2:FX$126&lt;=17)*(FX$2:FX$126&lt;&gt;"")*($J$2:$J$126))</f>
        <v>0</v>
      </c>
      <c r="FY132" s="79" cm="1">
        <f t="array" ref="FY132">SUMPRODUCT(($B$2:$B$126=1)*(FY$2:FY$126&gt;=13)*(FY$2:FY$126&lt;=17)*(FY$2:FY$126&lt;&gt;"")*($J$2:$J$126))</f>
        <v>0</v>
      </c>
      <c r="FZ132" s="79" cm="1">
        <f t="array" ref="FZ132">SUMPRODUCT(($B$2:$B$126=1)*(FZ$2:FZ$126&gt;=13)*(FZ$2:FZ$126&lt;=17)*(FZ$2:FZ$126&lt;&gt;"")*($J$2:$J$126))</f>
        <v>0</v>
      </c>
      <c r="GA132" s="79" cm="1">
        <f t="array" ref="GA132">SUMPRODUCT(($B$2:$B$126=1)*(GA$2:GA$126&gt;=13)*(GA$2:GA$126&lt;=17)*(GA$2:GA$126&lt;&gt;"")*($J$2:$J$126))</f>
        <v>0</v>
      </c>
      <c r="GB132" s="79" cm="1">
        <f t="array" ref="GB132">SUMPRODUCT(($B$2:$B$126=1)*(GB$2:GB$126&gt;=13)*(GB$2:GB$126&lt;=17)*(GB$2:GB$126&lt;&gt;"")*($J$2:$J$126))</f>
        <v>0</v>
      </c>
      <c r="GC132" s="79" cm="1">
        <f t="array" ref="GC132">SUMPRODUCT(($B$2:$B$126=1)*(GC$2:GC$126&gt;=13)*(GC$2:GC$126&lt;=17)*(GC$2:GC$126&lt;&gt;"")*($J$2:$J$126))</f>
        <v>0</v>
      </c>
      <c r="GD132" s="79" cm="1">
        <f t="array" ref="GD132">SUMPRODUCT(($B$2:$B$126=1)*(GD$2:GD$126&gt;=13)*(GD$2:GD$126&lt;=17)*(GD$2:GD$126&lt;&gt;"")*($J$2:$J$126))</f>
        <v>0</v>
      </c>
      <c r="GE132" s="79" cm="1">
        <f t="array" ref="GE132">SUMPRODUCT(($B$2:$B$126=1)*(GE$2:GE$126&gt;=13)*(GE$2:GE$126&lt;=17)*(GE$2:GE$126&lt;&gt;"")*($J$2:$J$126))</f>
        <v>0</v>
      </c>
      <c r="GF132" s="79" cm="1">
        <f t="array" ref="GF132">SUMPRODUCT(($B$2:$B$126=1)*(GF$2:GF$126&gt;=13)*(GF$2:GF$126&lt;=17)*(GF$2:GF$126&lt;&gt;"")*($J$2:$J$126))</f>
        <v>0</v>
      </c>
      <c r="GG132" s="79" cm="1">
        <f t="array" ref="GG132">SUMPRODUCT(($B$2:$B$126=1)*(GG$2:GG$126&gt;=13)*(GG$2:GG$126&lt;=17)*(GG$2:GG$126&lt;&gt;"")*($J$2:$J$126))</f>
        <v>0</v>
      </c>
      <c r="GH132" s="79" cm="1">
        <f t="array" ref="GH132">SUMPRODUCT(($B$2:$B$126=1)*(GH$2:GH$126&gt;=13)*(GH$2:GH$126&lt;=17)*(GH$2:GH$126&lt;&gt;"")*($J$2:$J$126))</f>
        <v>0</v>
      </c>
      <c r="GI132" s="79" cm="1">
        <f t="array" ref="GI132">SUMPRODUCT(($B$2:$B$126=1)*(GI$2:GI$126&gt;=13)*(GI$2:GI$126&lt;=17)*(GI$2:GI$126&lt;&gt;"")*($J$2:$J$126))</f>
        <v>0</v>
      </c>
      <c r="GJ132" s="79" cm="1">
        <f t="array" ref="GJ132">SUMPRODUCT(($B$2:$B$126=1)*(GJ$2:GJ$126&gt;=13)*(GJ$2:GJ$126&lt;=17)*(GJ$2:GJ$126&lt;&gt;"")*($J$2:$J$126))</f>
        <v>0</v>
      </c>
      <c r="GK132" s="79" cm="1">
        <f t="array" ref="GK132">SUMPRODUCT(($B$2:$B$126=1)*(GK$2:GK$126&gt;=13)*(GK$2:GK$126&lt;=17)*(GK$2:GK$126&lt;&gt;"")*($J$2:$J$126))</f>
        <v>0</v>
      </c>
      <c r="GL132" s="79" cm="1">
        <f t="array" ref="GL132">SUMPRODUCT(($B$2:$B$126=1)*(GL$2:GL$126&gt;=13)*(GL$2:GL$126&lt;=17)*(GL$2:GL$126&lt;&gt;"")*($J$2:$J$126))</f>
        <v>0</v>
      </c>
      <c r="GM132" s="79" cm="1">
        <f t="array" ref="GM132">SUMPRODUCT(($B$2:$B$126=1)*(GM$2:GM$126&gt;=13)*(GM$2:GM$126&lt;=17)*(GM$2:GM$126&lt;&gt;"")*($J$2:$J$126))</f>
        <v>0</v>
      </c>
      <c r="GN132" s="79" cm="1">
        <f t="array" ref="GN132">SUMPRODUCT(($B$2:$B$126=1)*(GN$2:GN$126&gt;=13)*(GN$2:GN$126&lt;=17)*(GN$2:GN$126&lt;&gt;"")*($J$2:$J$126))</f>
        <v>0</v>
      </c>
      <c r="GO132" s="79" cm="1">
        <f t="array" ref="GO132">SUMPRODUCT(($B$2:$B$126=1)*(GO$2:GO$126&gt;=13)*(GO$2:GO$126&lt;=17)*(GO$2:GO$126&lt;&gt;"")*($J$2:$J$126))</f>
        <v>0</v>
      </c>
      <c r="GP132" s="79" cm="1">
        <f t="array" ref="GP132">SUMPRODUCT(($B$2:$B$126=1)*(GP$2:GP$126&gt;=13)*(GP$2:GP$126&lt;=17)*(GP$2:GP$126&lt;&gt;"")*($J$2:$J$126))</f>
        <v>0</v>
      </c>
      <c r="GQ132" s="79" cm="1">
        <f t="array" ref="GQ132">SUMPRODUCT(($B$2:$B$126=1)*(GQ$2:GQ$126&gt;=13)*(GQ$2:GQ$126&lt;=17)*(GQ$2:GQ$126&lt;&gt;"")*($J$2:$J$126))</f>
        <v>0</v>
      </c>
      <c r="GR132" s="79" cm="1">
        <f t="array" ref="GR132">SUMPRODUCT(($B$2:$B$126=1)*(GR$2:GR$126&gt;=13)*(GR$2:GR$126&lt;=17)*(GR$2:GR$126&lt;&gt;"")*($J$2:$J$126))</f>
        <v>0</v>
      </c>
      <c r="GS132" s="79" cm="1">
        <f t="array" ref="GS132">SUMPRODUCT(($B$2:$B$126=1)*(GS$2:GS$126&gt;=13)*(GS$2:GS$126&lt;=17)*(GS$2:GS$126&lt;&gt;"")*($J$2:$J$126))</f>
        <v>0</v>
      </c>
      <c r="GT132" s="79" cm="1">
        <f t="array" ref="GT132">SUMPRODUCT(($B$2:$B$126=1)*(GT$2:GT$126&gt;=13)*(GT$2:GT$126&lt;=17)*(GT$2:GT$126&lt;&gt;"")*($J$2:$J$126))</f>
        <v>0</v>
      </c>
      <c r="GU132" s="79" cm="1">
        <f t="array" ref="GU132">SUMPRODUCT(($B$2:$B$126=1)*(GU$2:GU$126&gt;=13)*(GU$2:GU$126&lt;=17)*(GU$2:GU$126&lt;&gt;"")*($J$2:$J$126))</f>
        <v>0</v>
      </c>
      <c r="GV132" s="79" cm="1">
        <f t="array" ref="GV132">SUMPRODUCT(($B$2:$B$126=1)*(GV$2:GV$126&gt;=13)*(GV$2:GV$126&lt;=17)*(GV$2:GV$126&lt;&gt;"")*($J$2:$J$126))</f>
        <v>0</v>
      </c>
      <c r="GW132" s="79" cm="1">
        <f t="array" ref="GW132">SUMPRODUCT(($B$2:$B$126=1)*(GW$2:GW$126&gt;=13)*(GW$2:GW$126&lt;=17)*(GW$2:GW$126&lt;&gt;"")*($J$2:$J$126))</f>
        <v>0</v>
      </c>
      <c r="GX132" s="79" cm="1">
        <f t="array" ref="GX132">SUMPRODUCT(($B$2:$B$126=1)*(GX$2:GX$126&gt;=13)*(GX$2:GX$126&lt;=17)*(GX$2:GX$126&lt;&gt;"")*($J$2:$J$126))</f>
        <v>0</v>
      </c>
    </row>
    <row r="133" spans="1:206" x14ac:dyDescent="0.2">
      <c r="A133" s="84">
        <v>1</v>
      </c>
      <c r="B133" s="84" t="s">
        <v>256</v>
      </c>
      <c r="W133" s="79" cm="1">
        <f t="array" ref="W133">SUMPRODUCT(($B$2:$B$126=1)*(W$2:W$126&gt;=18)*(W$2:W$126&lt;=22)*(W$2:W$126&lt;&gt;"")*($J$2:$J$126))</f>
        <v>214.94</v>
      </c>
      <c r="X133" s="79" cm="1">
        <f t="array" ref="X133">SUMPRODUCT(($B$2:$B$126=1)*(X$2:X$126&gt;=18)*(X$2:X$126&lt;=22)*(X$2:X$126&lt;&gt;"")*($J$2:$J$126))</f>
        <v>166.13</v>
      </c>
      <c r="Y133" s="79" cm="1">
        <f t="array" ref="Y133">SUMPRODUCT(($B$2:$B$126=1)*(Y$2:Y$126&gt;=18)*(Y$2:Y$126&lt;=22)*(Y$2:Y$126&lt;&gt;"")*($J$2:$J$126))</f>
        <v>123.05</v>
      </c>
      <c r="Z133" s="79" cm="1">
        <f t="array" ref="Z133">SUMPRODUCT(($B$2:$B$126=1)*(Z$2:Z$126&gt;=18)*(Z$2:Z$126&lt;=22)*(Z$2:Z$126&lt;&gt;"")*($J$2:$J$126))</f>
        <v>83.38</v>
      </c>
      <c r="AA133" s="79" cm="1">
        <f t="array" ref="AA133">SUMPRODUCT(($B$2:$B$126=1)*(AA$2:AA$126&gt;=18)*(AA$2:AA$126&lt;=22)*(AA$2:AA$126&lt;&gt;"")*($J$2:$J$126))</f>
        <v>129.69</v>
      </c>
      <c r="AB133" s="79" cm="1">
        <f t="array" ref="AB133">SUMPRODUCT(($B$2:$B$126=1)*(AB$2:AB$126&gt;=18)*(AB$2:AB$126&lt;=22)*(AB$2:AB$126&lt;&gt;"")*($J$2:$J$126))</f>
        <v>46.31</v>
      </c>
      <c r="AC133" s="79" cm="1">
        <f t="array" ref="AC133">SUMPRODUCT(($B$2:$B$126=1)*(AC$2:AC$126&gt;=18)*(AC$2:AC$126&lt;=22)*(AC$2:AC$126&lt;&gt;"")*($J$2:$J$126))</f>
        <v>46.31</v>
      </c>
      <c r="AD133" s="79" cm="1">
        <f t="array" ref="AD133">SUMPRODUCT(($B$2:$B$126=1)*(AD$2:AD$126&gt;=18)*(AD$2:AD$126&lt;=22)*(AD$2:AD$126&lt;&gt;"")*($J$2:$J$126))</f>
        <v>96.41</v>
      </c>
      <c r="AE133" s="79" cm="1">
        <f t="array" ref="AE133">SUMPRODUCT(($B$2:$B$126=1)*(AE$2:AE$126&gt;=18)*(AE$2:AE$126&lt;=22)*(AE$2:AE$126&lt;&gt;"")*($J$2:$J$126))</f>
        <v>96.41</v>
      </c>
      <c r="AF133" s="79" cm="1">
        <f t="array" ref="AF133">SUMPRODUCT(($B$2:$B$126=1)*(AF$2:AF$126&gt;=18)*(AF$2:AF$126&lt;=22)*(AF$2:AF$126&lt;&gt;"")*($J$2:$J$126))</f>
        <v>50.1</v>
      </c>
      <c r="AG133" s="79" cm="1">
        <f t="array" ref="AG133">SUMPRODUCT(($B$2:$B$126=1)*(AG$2:AG$126&gt;=18)*(AG$2:AG$126&lt;=22)*(AG$2:AG$126&lt;&gt;"")*($J$2:$J$126))</f>
        <v>86.6</v>
      </c>
      <c r="AH133" s="79" cm="1">
        <f t="array" ref="AH133">SUMPRODUCT(($B$2:$B$126=1)*(AH$2:AH$126&gt;=18)*(AH$2:AH$126&lt;=22)*(AH$2:AH$126&lt;&gt;"")*($J$2:$J$126))</f>
        <v>86.6</v>
      </c>
      <c r="AI133" s="79" cm="1">
        <f t="array" ref="AI133">SUMPRODUCT(($B$2:$B$126=1)*(AI$2:AI$126&gt;=18)*(AI$2:AI$126&lt;=22)*(AI$2:AI$126&lt;&gt;"")*($J$2:$J$126))</f>
        <v>36.5</v>
      </c>
      <c r="AJ133" s="79" cm="1">
        <f t="array" ref="AJ133">SUMPRODUCT(($B$2:$B$126=1)*(AJ$2:AJ$126&gt;=18)*(AJ$2:AJ$126&lt;=22)*(AJ$2:AJ$126&lt;&gt;"")*($J$2:$J$126))</f>
        <v>55.39</v>
      </c>
      <c r="AK133" s="79" cm="1">
        <f t="array" ref="AK133">SUMPRODUCT(($B$2:$B$126=1)*(AK$2:AK$126&gt;=18)*(AK$2:AK$126&lt;=22)*(AK$2:AK$126&lt;&gt;"")*($J$2:$J$126))</f>
        <v>55.39</v>
      </c>
      <c r="AL133" s="79" cm="1">
        <f t="array" ref="AL133">SUMPRODUCT(($B$2:$B$126=1)*(AL$2:AL$126&gt;=18)*(AL$2:AL$126&lt;=22)*(AL$2:AL$126&lt;&gt;"")*($J$2:$J$126))</f>
        <v>18.89</v>
      </c>
      <c r="AM133" s="79" cm="1">
        <f t="array" ref="AM133">SUMPRODUCT(($B$2:$B$126=1)*(AM$2:AM$126&gt;=18)*(AM$2:AM$126&lt;=22)*(AM$2:AM$126&lt;&gt;"")*($J$2:$J$126))</f>
        <v>65.150000000000006</v>
      </c>
      <c r="AN133" s="79" cm="1">
        <f t="array" ref="AN133">SUMPRODUCT(($B$2:$B$126=1)*(AN$2:AN$126&gt;=18)*(AN$2:AN$126&lt;=22)*(AN$2:AN$126&lt;&gt;"")*($J$2:$J$126))</f>
        <v>65.150000000000006</v>
      </c>
      <c r="AO133" s="79" cm="1">
        <f t="array" ref="AO133">SUMPRODUCT(($B$2:$B$126=1)*(AO$2:AO$126&gt;=18)*(AO$2:AO$126&lt;=22)*(AO$2:AO$126&lt;&gt;"")*($J$2:$J$126))</f>
        <v>46.26</v>
      </c>
      <c r="AP133" s="79" cm="1">
        <f t="array" ref="AP133">SUMPRODUCT(($B$2:$B$126=1)*(AP$2:AP$126&gt;=18)*(AP$2:AP$126&lt;=22)*(AP$2:AP$126&lt;&gt;"")*($J$2:$J$126))</f>
        <v>46.26</v>
      </c>
      <c r="AQ133" s="79" cm="1">
        <f t="array" ref="AQ133">SUMPRODUCT(($B$2:$B$126=1)*(AQ$2:AQ$126&gt;=18)*(AQ$2:AQ$126&lt;=22)*(AQ$2:AQ$126&lt;&gt;"")*($J$2:$J$126))</f>
        <v>46.26</v>
      </c>
      <c r="AR133" s="79" cm="1">
        <f t="array" ref="AR133">SUMPRODUCT(($B$2:$B$126=1)*(AR$2:AR$126&gt;=18)*(AR$2:AR$126&lt;=22)*(AR$2:AR$126&lt;&gt;"")*($J$2:$J$126))</f>
        <v>0</v>
      </c>
      <c r="AS133" s="79" cm="1">
        <f t="array" ref="AS133">SUMPRODUCT(($B$2:$B$126=1)*(AS$2:AS$126&gt;=18)*(AS$2:AS$126&lt;=22)*(AS$2:AS$126&lt;&gt;"")*($J$2:$J$126))</f>
        <v>0</v>
      </c>
      <c r="AT133" s="79" cm="1">
        <f t="array" ref="AT133">SUMPRODUCT(($B$2:$B$126=1)*(AT$2:AT$126&gt;=18)*(AT$2:AT$126&lt;=22)*(AT$2:AT$126&lt;&gt;"")*($J$2:$J$126))</f>
        <v>39.380000000000003</v>
      </c>
      <c r="AU133" s="79" cm="1">
        <f t="array" ref="AU133">SUMPRODUCT(($B$2:$B$126=1)*(AU$2:AU$126&gt;=18)*(AU$2:AU$126&lt;=22)*(AU$2:AU$126&lt;&gt;"")*($J$2:$J$126))</f>
        <v>39.380000000000003</v>
      </c>
      <c r="AV133" s="79" cm="1">
        <f t="array" ref="AV133">SUMPRODUCT(($B$2:$B$126=1)*(AV$2:AV$126&gt;=18)*(AV$2:AV$126&lt;=22)*(AV$2:AV$126&lt;&gt;"")*($J$2:$J$126))</f>
        <v>39.380000000000003</v>
      </c>
      <c r="AW133" s="79" cm="1">
        <f t="array" ref="AW133">SUMPRODUCT(($B$2:$B$126=1)*(AW$2:AW$126&gt;=18)*(AW$2:AW$126&lt;=22)*(AW$2:AW$126&lt;&gt;"")*($J$2:$J$126))</f>
        <v>94.63</v>
      </c>
      <c r="AX133" s="79" cm="1">
        <f t="array" ref="AX133">SUMPRODUCT(($B$2:$B$126=1)*(AX$2:AX$126&gt;=18)*(AX$2:AX$126&lt;=22)*(AX$2:AX$126&lt;&gt;"")*($J$2:$J$126))</f>
        <v>55.25</v>
      </c>
      <c r="AY133" s="79" cm="1">
        <f t="array" ref="AY133">SUMPRODUCT(($B$2:$B$126=1)*(AY$2:AY$126&gt;=18)*(AY$2:AY$126&lt;=22)*(AY$2:AY$126&lt;&gt;"")*($J$2:$J$126))</f>
        <v>0</v>
      </c>
      <c r="AZ133" s="79" cm="1">
        <f t="array" ref="AZ133">SUMPRODUCT(($B$2:$B$126=1)*(AZ$2:AZ$126&gt;=18)*(AZ$2:AZ$126&lt;=22)*(AZ$2:AZ$126&lt;&gt;"")*($J$2:$J$126))</f>
        <v>0</v>
      </c>
      <c r="BA133" s="79" cm="1">
        <f t="array" ref="BA133">SUMPRODUCT(($B$2:$B$126=1)*(BA$2:BA$126&gt;=18)*(BA$2:BA$126&lt;=22)*(BA$2:BA$126&lt;&gt;"")*($J$2:$J$126))</f>
        <v>0</v>
      </c>
      <c r="BB133" s="79" cm="1">
        <f t="array" ref="BB133">SUMPRODUCT(($B$2:$B$126=1)*(BB$2:BB$126&gt;=18)*(BB$2:BB$126&lt;=22)*(BB$2:BB$126&lt;&gt;"")*($J$2:$J$126))</f>
        <v>0</v>
      </c>
      <c r="BC133" s="79" cm="1">
        <f t="array" ref="BC133">SUMPRODUCT(($B$2:$B$126=1)*(BC$2:BC$126&gt;=18)*(BC$2:BC$126&lt;=22)*(BC$2:BC$126&lt;&gt;"")*($J$2:$J$126))</f>
        <v>0</v>
      </c>
      <c r="BD133" s="79" cm="1">
        <f t="array" ref="BD133">SUMPRODUCT(($B$2:$B$126=1)*(BD$2:BD$126&gt;=18)*(BD$2:BD$126&lt;=22)*(BD$2:BD$126&lt;&gt;"")*($J$2:$J$126))</f>
        <v>0</v>
      </c>
      <c r="BE133" s="79" cm="1">
        <f t="array" ref="BE133">SUMPRODUCT(($B$2:$B$126=1)*(BE$2:BE$126&gt;=18)*(BE$2:BE$126&lt;=22)*(BE$2:BE$126&lt;&gt;"")*($J$2:$J$126))</f>
        <v>0</v>
      </c>
      <c r="BF133" s="79" cm="1">
        <f t="array" ref="BF133">SUMPRODUCT(($B$2:$B$126=1)*(BF$2:BF$126&gt;=18)*(BF$2:BF$126&lt;=22)*(BF$2:BF$126&lt;&gt;"")*($J$2:$J$126))</f>
        <v>0</v>
      </c>
      <c r="BG133" s="79" cm="1">
        <f t="array" ref="BG133">SUMPRODUCT(($B$2:$B$126=1)*(BG$2:BG$126&gt;=18)*(BG$2:BG$126&lt;=22)*(BG$2:BG$126&lt;&gt;"")*($J$2:$J$126))</f>
        <v>0</v>
      </c>
      <c r="BH133" s="79" cm="1">
        <f t="array" ref="BH133">SUMPRODUCT(($B$2:$B$126=1)*(BH$2:BH$126&gt;=18)*(BH$2:BH$126&lt;=22)*(BH$2:BH$126&lt;&gt;"")*($J$2:$J$126))</f>
        <v>0</v>
      </c>
      <c r="BI133" s="79" cm="1">
        <f t="array" ref="BI133">SUMPRODUCT(($B$2:$B$126=1)*(BI$2:BI$126&gt;=18)*(BI$2:BI$126&lt;=22)*(BI$2:BI$126&lt;&gt;"")*($J$2:$J$126))</f>
        <v>61.86</v>
      </c>
      <c r="BJ133" s="79" cm="1">
        <f t="array" ref="BJ133">SUMPRODUCT(($B$2:$B$126=1)*(BJ$2:BJ$126&gt;=18)*(BJ$2:BJ$126&lt;=22)*(BJ$2:BJ$126&lt;&gt;"")*($J$2:$J$126))</f>
        <v>108.17</v>
      </c>
      <c r="BK133" s="79" cm="1">
        <f t="array" ref="BK133">SUMPRODUCT(($B$2:$B$126=1)*(BK$2:BK$126&gt;=18)*(BK$2:BK$126&lt;=22)*(BK$2:BK$126&lt;&gt;"")*($J$2:$J$126))</f>
        <v>96.41</v>
      </c>
      <c r="BL133" s="79" cm="1">
        <f t="array" ref="BL133">SUMPRODUCT(($B$2:$B$126=1)*(BL$2:BL$126&gt;=18)*(BL$2:BL$126&lt;=22)*(BL$2:BL$126&lt;&gt;"")*($J$2:$J$126))</f>
        <v>50.1</v>
      </c>
      <c r="BM133" s="79" cm="1">
        <f t="array" ref="BM133">SUMPRODUCT(($B$2:$B$126=1)*(BM$2:BM$126&gt;=18)*(BM$2:BM$126&lt;=22)*(BM$2:BM$126&lt;&gt;"")*($J$2:$J$126))</f>
        <v>36.5</v>
      </c>
      <c r="BN133" s="79" cm="1">
        <f t="array" ref="BN133">SUMPRODUCT(($B$2:$B$126=1)*(BN$2:BN$126&gt;=18)*(BN$2:BN$126&lt;=22)*(BN$2:BN$126&lt;&gt;"")*($J$2:$J$126))</f>
        <v>36.5</v>
      </c>
      <c r="BO133" s="79" cm="1">
        <f t="array" ref="BO133">SUMPRODUCT(($B$2:$B$126=1)*(BO$2:BO$126&gt;=18)*(BO$2:BO$126&lt;=22)*(BO$2:BO$126&lt;&gt;"")*($J$2:$J$126))</f>
        <v>65.150000000000006</v>
      </c>
      <c r="BP133" s="79" cm="1">
        <f t="array" ref="BP133">SUMPRODUCT(($B$2:$B$126=1)*(BP$2:BP$126&gt;=18)*(BP$2:BP$126&lt;=22)*(BP$2:BP$126&lt;&gt;"")*($J$2:$J$126))</f>
        <v>104.53</v>
      </c>
      <c r="BQ133" s="79" cm="1">
        <f t="array" ref="BQ133">SUMPRODUCT(($B$2:$B$126=1)*(BQ$2:BQ$126&gt;=18)*(BQ$2:BQ$126&lt;=22)*(BQ$2:BQ$126&lt;&gt;"")*($J$2:$J$126))</f>
        <v>159.78</v>
      </c>
      <c r="BR133" s="79" cm="1">
        <f t="array" ref="BR133">SUMPRODUCT(($B$2:$B$126=1)*(BR$2:BR$126&gt;=18)*(BR$2:BR$126&lt;=22)*(BR$2:BR$126&lt;&gt;"")*($J$2:$J$126))</f>
        <v>197.70999999999998</v>
      </c>
      <c r="BS133" s="79" cm="1">
        <f t="array" ref="BS133">SUMPRODUCT(($B$2:$B$126=1)*(BS$2:BS$126&gt;=18)*(BS$2:BS$126&lt;=22)*(BS$2:BS$126&lt;&gt;"")*($J$2:$J$126))</f>
        <v>289.59999999999997</v>
      </c>
      <c r="BT133" s="79" cm="1">
        <f t="array" ref="BT133">SUMPRODUCT(($B$2:$B$126=1)*(BT$2:BT$126&gt;=18)*(BT$2:BT$126&lt;=22)*(BT$2:BT$126&lt;&gt;"")*($J$2:$J$126))</f>
        <v>264.12</v>
      </c>
      <c r="BU133" s="79" cm="1">
        <f t="array" ref="BU133">SUMPRODUCT(($B$2:$B$126=1)*(BU$2:BU$126&gt;=18)*(BU$2:BU$126&lt;=22)*(BU$2:BU$126&lt;&gt;"")*($J$2:$J$126))</f>
        <v>224.74</v>
      </c>
      <c r="BV133" s="79" cm="1">
        <f t="array" ref="BV133">SUMPRODUCT(($B$2:$B$126=1)*(BV$2:BV$126&gt;=18)*(BV$2:BV$126&lt;=22)*(BV$2:BV$126&lt;&gt;"")*($J$2:$J$126))</f>
        <v>191.01000000000002</v>
      </c>
      <c r="BW133" s="79" cm="1">
        <f t="array" ref="BW133">SUMPRODUCT(($B$2:$B$126=1)*(BW$2:BW$126&gt;=18)*(BW$2:BW$126&lt;=22)*(BW$2:BW$126&lt;&gt;"")*($J$2:$J$126))</f>
        <v>153.08000000000001</v>
      </c>
      <c r="BX133" s="79" cm="1">
        <f t="array" ref="BX133">SUMPRODUCT(($B$2:$B$126=1)*(BX$2:BX$126&gt;=18)*(BX$2:BX$126&lt;=22)*(BX$2:BX$126&lt;&gt;"")*($J$2:$J$126))</f>
        <v>61.19</v>
      </c>
      <c r="BY133" s="79" cm="1">
        <f t="array" ref="BY133">SUMPRODUCT(($B$2:$B$126=1)*(BY$2:BY$126&gt;=18)*(BY$2:BY$126&lt;=22)*(BY$2:BY$126&lt;&gt;"")*($J$2:$J$126))</f>
        <v>21.52</v>
      </c>
      <c r="BZ133" s="79" cm="1">
        <f t="array" ref="BZ133">SUMPRODUCT(($B$2:$B$126=1)*(BZ$2:BZ$126&gt;=18)*(BZ$2:BZ$126&lt;=22)*(BZ$2:BZ$126&lt;&gt;"")*($J$2:$J$126))</f>
        <v>21.52</v>
      </c>
      <c r="CA133" s="79" cm="1">
        <f t="array" ref="CA133">SUMPRODUCT(($B$2:$B$126=1)*(CA$2:CA$126&gt;=18)*(CA$2:CA$126&lt;=22)*(CA$2:CA$126&lt;&gt;"")*($J$2:$J$126))</f>
        <v>0</v>
      </c>
      <c r="CB133" s="79" cm="1">
        <f t="array" ref="CB133">SUMPRODUCT(($B$2:$B$126=1)*(CB$2:CB$126&gt;=18)*(CB$2:CB$126&lt;=22)*(CB$2:CB$126&lt;&gt;"")*($J$2:$J$126))</f>
        <v>0</v>
      </c>
      <c r="CC133" s="79" cm="1">
        <f t="array" ref="CC133">SUMPRODUCT(($B$2:$B$126=1)*(CC$2:CC$126&gt;=18)*(CC$2:CC$126&lt;=22)*(CC$2:CC$126&lt;&gt;"")*($J$2:$J$126))</f>
        <v>61.86</v>
      </c>
      <c r="CD133" s="79" cm="1">
        <f t="array" ref="CD133">SUMPRODUCT(($B$2:$B$126=1)*(CD$2:CD$126&gt;=18)*(CD$2:CD$126&lt;=22)*(CD$2:CD$126&lt;&gt;"")*($J$2:$J$126))</f>
        <v>108.17</v>
      </c>
      <c r="CE133" s="79" cm="1">
        <f t="array" ref="CE133">SUMPRODUCT(($B$2:$B$126=1)*(CE$2:CE$126&gt;=18)*(CE$2:CE$126&lt;=22)*(CE$2:CE$126&lt;&gt;"")*($J$2:$J$126))</f>
        <v>158.27000000000001</v>
      </c>
      <c r="CF133" s="79" cm="1">
        <f t="array" ref="CF133">SUMPRODUCT(($B$2:$B$126=1)*(CF$2:CF$126&gt;=18)*(CF$2:CF$126&lt;=22)*(CF$2:CF$126&lt;&gt;"")*($J$2:$J$126))</f>
        <v>158.27000000000001</v>
      </c>
      <c r="CG133" s="79" cm="1">
        <f t="array" ref="CG133">SUMPRODUCT(($B$2:$B$126=1)*(CG$2:CG$126&gt;=18)*(CG$2:CG$126&lt;=22)*(CG$2:CG$126&lt;&gt;"")*($J$2:$J$126))</f>
        <v>194.77</v>
      </c>
      <c r="CH133" s="79" cm="1">
        <f t="array" ref="CH133">SUMPRODUCT(($B$2:$B$126=1)*(CH$2:CH$126&gt;=18)*(CH$2:CH$126&lt;=22)*(CH$2:CH$126&lt;&gt;"")*($J$2:$J$126))</f>
        <v>132.91</v>
      </c>
      <c r="CI133" s="79" cm="1">
        <f t="array" ref="CI133">SUMPRODUCT(($B$2:$B$126=1)*(CI$2:CI$126&gt;=18)*(CI$2:CI$126&lt;=22)*(CI$2:CI$126&lt;&gt;"")*($J$2:$J$126))</f>
        <v>86.6</v>
      </c>
      <c r="CJ133" s="79" cm="1">
        <f t="array" ref="CJ133">SUMPRODUCT(($B$2:$B$126=1)*(CJ$2:CJ$126&gt;=18)*(CJ$2:CJ$126&lt;=22)*(CJ$2:CJ$126&lt;&gt;"")*($J$2:$J$126))</f>
        <v>36.5</v>
      </c>
      <c r="CK133" s="79" cm="1">
        <f t="array" ref="CK133">SUMPRODUCT(($B$2:$B$126=1)*(CK$2:CK$126&gt;=18)*(CK$2:CK$126&lt;=22)*(CK$2:CK$126&lt;&gt;"")*($J$2:$J$126))</f>
        <v>36.5</v>
      </c>
      <c r="CL133" s="79" cm="1">
        <f t="array" ref="CL133">SUMPRODUCT(($B$2:$B$126=1)*(CL$2:CL$126&gt;=18)*(CL$2:CL$126&lt;=22)*(CL$2:CL$126&lt;&gt;"")*($J$2:$J$126))</f>
        <v>0</v>
      </c>
      <c r="CM133" s="79" cm="1">
        <f t="array" ref="CM133">SUMPRODUCT(($B$2:$B$126=1)*(CM$2:CM$126&gt;=18)*(CM$2:CM$126&lt;=22)*(CM$2:CM$126&lt;&gt;"")*($J$2:$J$126))</f>
        <v>0</v>
      </c>
      <c r="CN133" s="79" cm="1">
        <f t="array" ref="CN133">SUMPRODUCT(($B$2:$B$126=1)*(CN$2:CN$126&gt;=18)*(CN$2:CN$126&lt;=22)*(CN$2:CN$126&lt;&gt;"")*($J$2:$J$126))</f>
        <v>0</v>
      </c>
      <c r="CO133" s="79" cm="1">
        <f t="array" ref="CO133">SUMPRODUCT(($B$2:$B$126=1)*(CO$2:CO$126&gt;=18)*(CO$2:CO$126&lt;=22)*(CO$2:CO$126&lt;&gt;"")*($J$2:$J$126))</f>
        <v>0</v>
      </c>
      <c r="CP133" s="79" cm="1">
        <f t="array" ref="CP133">SUMPRODUCT(($B$2:$B$126=1)*(CP$2:CP$126&gt;=18)*(CP$2:CP$126&lt;=22)*(CP$2:CP$126&lt;&gt;"")*($J$2:$J$126))</f>
        <v>0</v>
      </c>
      <c r="CQ133" s="79" cm="1">
        <f t="array" ref="CQ133">SUMPRODUCT(($B$2:$B$126=1)*(CQ$2:CQ$126&gt;=18)*(CQ$2:CQ$126&lt;=22)*(CQ$2:CQ$126&lt;&gt;"")*($J$2:$J$126))</f>
        <v>0</v>
      </c>
      <c r="CR133" s="79" cm="1">
        <f t="array" ref="CR133">SUMPRODUCT(($B$2:$B$126=1)*(CR$2:CR$126&gt;=18)*(CR$2:CR$126&lt;=22)*(CR$2:CR$126&lt;&gt;"")*($J$2:$J$126))</f>
        <v>0</v>
      </c>
      <c r="CS133" s="79" cm="1">
        <f t="array" ref="CS133">SUMPRODUCT(($B$2:$B$126=1)*(CS$2:CS$126&gt;=18)*(CS$2:CS$126&lt;=22)*(CS$2:CS$126&lt;&gt;"")*($J$2:$J$126))</f>
        <v>0</v>
      </c>
      <c r="CT133" s="79" cm="1">
        <f t="array" ref="CT133">SUMPRODUCT(($B$2:$B$126=1)*(CT$2:CT$126&gt;=18)*(CT$2:CT$126&lt;=22)*(CT$2:CT$126&lt;&gt;"")*($J$2:$J$126))</f>
        <v>0</v>
      </c>
      <c r="CU133" s="79" cm="1">
        <f t="array" ref="CU133">SUMPRODUCT(($B$2:$B$126=1)*(CU$2:CU$126&gt;=18)*(CU$2:CU$126&lt;=22)*(CU$2:CU$126&lt;&gt;"")*($J$2:$J$126))</f>
        <v>0</v>
      </c>
      <c r="CV133" s="79" cm="1">
        <f t="array" ref="CV133">SUMPRODUCT(($B$2:$B$126=1)*(CV$2:CV$126&gt;=18)*(CV$2:CV$126&lt;=22)*(CV$2:CV$126&lt;&gt;"")*($J$2:$J$126))</f>
        <v>0</v>
      </c>
      <c r="CW133" s="79" cm="1">
        <f t="array" ref="CW133">SUMPRODUCT(($B$2:$B$126=1)*(CW$2:CW$126&gt;=18)*(CW$2:CW$126&lt;=22)*(CW$2:CW$126&lt;&gt;"")*($J$2:$J$126))</f>
        <v>0</v>
      </c>
      <c r="CX133" s="79" cm="1">
        <f t="array" ref="CX133">SUMPRODUCT(($B$2:$B$126=1)*(CX$2:CX$126&gt;=18)*(CX$2:CX$126&lt;=22)*(CX$2:CX$126&lt;&gt;"")*($J$2:$J$126))</f>
        <v>0</v>
      </c>
      <c r="CY133" s="79" cm="1">
        <f t="array" ref="CY133">SUMPRODUCT(($B$2:$B$126=1)*(CY$2:CY$126&gt;=18)*(CY$2:CY$126&lt;=22)*(CY$2:CY$126&lt;&gt;"")*($J$2:$J$126))</f>
        <v>0</v>
      </c>
      <c r="CZ133" s="79" cm="1">
        <f t="array" ref="CZ133">SUMPRODUCT(($B$2:$B$126=1)*(CZ$2:CZ$126&gt;=18)*(CZ$2:CZ$126&lt;=22)*(CZ$2:CZ$126&lt;&gt;"")*($J$2:$J$126))</f>
        <v>0</v>
      </c>
      <c r="DA133" s="79" cm="1">
        <f t="array" ref="DA133">SUMPRODUCT(($B$2:$B$126=1)*(DA$2:DA$126&gt;=18)*(DA$2:DA$126&lt;=22)*(DA$2:DA$126&lt;&gt;"")*($J$2:$J$126))</f>
        <v>0</v>
      </c>
      <c r="DB133" s="79" cm="1">
        <f t="array" ref="DB133">SUMPRODUCT(($B$2:$B$126=1)*(DB$2:DB$126&gt;=18)*(DB$2:DB$126&lt;=22)*(DB$2:DB$126&lt;&gt;"")*($J$2:$J$126))</f>
        <v>0</v>
      </c>
      <c r="DC133" s="79" cm="1">
        <f t="array" ref="DC133">SUMPRODUCT(($B$2:$B$126=1)*(DC$2:DC$126&gt;=18)*(DC$2:DC$126&lt;=22)*(DC$2:DC$126&lt;&gt;"")*($J$2:$J$126))</f>
        <v>0</v>
      </c>
      <c r="DD133" s="79" cm="1">
        <f t="array" ref="DD133">SUMPRODUCT(($B$2:$B$126=1)*(DD$2:DD$126&gt;=18)*(DD$2:DD$126&lt;=22)*(DD$2:DD$126&lt;&gt;"")*($J$2:$J$126))</f>
        <v>0</v>
      </c>
      <c r="DE133" s="79" cm="1">
        <f t="array" ref="DE133">SUMPRODUCT(($B$2:$B$126=1)*(DE$2:DE$126&gt;=18)*(DE$2:DE$126&lt;=22)*(DE$2:DE$126&lt;&gt;"")*($J$2:$J$126))</f>
        <v>0</v>
      </c>
      <c r="DF133" s="79" cm="1">
        <f t="array" ref="DF133">SUMPRODUCT(($B$2:$B$126=1)*(DF$2:DF$126&gt;=18)*(DF$2:DF$126&lt;=22)*(DF$2:DF$126&lt;&gt;"")*($J$2:$J$126))</f>
        <v>0</v>
      </c>
      <c r="DG133" s="79" cm="1">
        <f t="array" ref="DG133">SUMPRODUCT(($B$2:$B$126=1)*(DG$2:DG$126&gt;=18)*(DG$2:DG$126&lt;=22)*(DG$2:DG$126&lt;&gt;"")*($J$2:$J$126))</f>
        <v>0</v>
      </c>
      <c r="DH133" s="79" cm="1">
        <f t="array" ref="DH133">SUMPRODUCT(($B$2:$B$126=1)*(DH$2:DH$126&gt;=18)*(DH$2:DH$126&lt;=22)*(DH$2:DH$126&lt;&gt;"")*($J$2:$J$126))</f>
        <v>0</v>
      </c>
      <c r="DI133" s="79" cm="1">
        <f t="array" ref="DI133">SUMPRODUCT(($B$2:$B$126=1)*(DI$2:DI$126&gt;=18)*(DI$2:DI$126&lt;=22)*(DI$2:DI$126&lt;&gt;"")*($J$2:$J$126))</f>
        <v>0</v>
      </c>
      <c r="DJ133" s="79" cm="1">
        <f t="array" ref="DJ133">SUMPRODUCT(($B$2:$B$126=1)*(DJ$2:DJ$126&gt;=18)*(DJ$2:DJ$126&lt;=22)*(DJ$2:DJ$126&lt;&gt;"")*($J$2:$J$126))</f>
        <v>0</v>
      </c>
      <c r="DK133" s="79" cm="1">
        <f t="array" ref="DK133">SUMPRODUCT(($B$2:$B$126=1)*(DK$2:DK$126&gt;=18)*(DK$2:DK$126&lt;=22)*(DK$2:DK$126&lt;&gt;"")*($J$2:$J$126))</f>
        <v>0</v>
      </c>
      <c r="DL133" s="79" cm="1">
        <f t="array" ref="DL133">SUMPRODUCT(($B$2:$B$126=1)*(DL$2:DL$126&gt;=18)*(DL$2:DL$126&lt;=22)*(DL$2:DL$126&lt;&gt;"")*($J$2:$J$126))</f>
        <v>0</v>
      </c>
      <c r="DM133" s="79" cm="1">
        <f t="array" ref="DM133">SUMPRODUCT(($B$2:$B$126=1)*(DM$2:DM$126&gt;=18)*(DM$2:DM$126&lt;=22)*(DM$2:DM$126&lt;&gt;"")*($J$2:$J$126))</f>
        <v>0</v>
      </c>
      <c r="DN133" s="79" cm="1">
        <f t="array" ref="DN133">SUMPRODUCT(($B$2:$B$126=1)*(DN$2:DN$126&gt;=18)*(DN$2:DN$126&lt;=22)*(DN$2:DN$126&lt;&gt;"")*($J$2:$J$126))</f>
        <v>0</v>
      </c>
      <c r="DO133" s="79" cm="1">
        <f t="array" ref="DO133">SUMPRODUCT(($B$2:$B$126=1)*(DO$2:DO$126&gt;=18)*(DO$2:DO$126&lt;=22)*(DO$2:DO$126&lt;&gt;"")*($J$2:$J$126))</f>
        <v>0</v>
      </c>
      <c r="DP133" s="79" cm="1">
        <f t="array" ref="DP133">SUMPRODUCT(($B$2:$B$126=1)*(DP$2:DP$126&gt;=18)*(DP$2:DP$126&lt;=22)*(DP$2:DP$126&lt;&gt;"")*($J$2:$J$126))</f>
        <v>0</v>
      </c>
      <c r="DQ133" s="79" cm="1">
        <f t="array" ref="DQ133">SUMPRODUCT(($B$2:$B$126=1)*(DQ$2:DQ$126&gt;=18)*(DQ$2:DQ$126&lt;=22)*(DQ$2:DQ$126&lt;&gt;"")*($J$2:$J$126))</f>
        <v>0</v>
      </c>
      <c r="DR133" s="79" cm="1">
        <f t="array" ref="DR133">SUMPRODUCT(($B$2:$B$126=1)*(DR$2:DR$126&gt;=18)*(DR$2:DR$126&lt;=22)*(DR$2:DR$126&lt;&gt;"")*($J$2:$J$126))</f>
        <v>0</v>
      </c>
      <c r="DS133" s="79" cm="1">
        <f t="array" ref="DS133">SUMPRODUCT(($B$2:$B$126=1)*(DS$2:DS$126&gt;=18)*(DS$2:DS$126&lt;=22)*(DS$2:DS$126&lt;&gt;"")*($J$2:$J$126))</f>
        <v>0</v>
      </c>
      <c r="DT133" s="79" cm="1">
        <f t="array" ref="DT133">SUMPRODUCT(($B$2:$B$126=1)*(DT$2:DT$126&gt;=18)*(DT$2:DT$126&lt;=22)*(DT$2:DT$126&lt;&gt;"")*($J$2:$J$126))</f>
        <v>0</v>
      </c>
      <c r="DU133" s="79" cm="1">
        <f t="array" ref="DU133">SUMPRODUCT(($B$2:$B$126=1)*(DU$2:DU$126&gt;=18)*(DU$2:DU$126&lt;=22)*(DU$2:DU$126&lt;&gt;"")*($J$2:$J$126))</f>
        <v>0</v>
      </c>
      <c r="DV133" s="79" cm="1">
        <f t="array" ref="DV133">SUMPRODUCT(($B$2:$B$126=1)*(DV$2:DV$126&gt;=18)*(DV$2:DV$126&lt;=22)*(DV$2:DV$126&lt;&gt;"")*($J$2:$J$126))</f>
        <v>0</v>
      </c>
      <c r="DW133" s="79" cm="1">
        <f t="array" ref="DW133">SUMPRODUCT(($B$2:$B$126=1)*(DW$2:DW$126&gt;=18)*(DW$2:DW$126&lt;=22)*(DW$2:DW$126&lt;&gt;"")*($J$2:$J$126))</f>
        <v>0</v>
      </c>
      <c r="DX133" s="79" cm="1">
        <f t="array" ref="DX133">SUMPRODUCT(($B$2:$B$126=1)*(DX$2:DX$126&gt;=18)*(DX$2:DX$126&lt;=22)*(DX$2:DX$126&lt;&gt;"")*($J$2:$J$126))</f>
        <v>0</v>
      </c>
      <c r="DY133" s="79" cm="1">
        <f t="array" ref="DY133">SUMPRODUCT(($B$2:$B$126=1)*(DY$2:DY$126&gt;=18)*(DY$2:DY$126&lt;=22)*(DY$2:DY$126&lt;&gt;"")*($J$2:$J$126))</f>
        <v>0</v>
      </c>
      <c r="DZ133" s="79" cm="1">
        <f t="array" ref="DZ133">SUMPRODUCT(($B$2:$B$126=1)*(DZ$2:DZ$126&gt;=18)*(DZ$2:DZ$126&lt;=22)*(DZ$2:DZ$126&lt;&gt;"")*($J$2:$J$126))</f>
        <v>0</v>
      </c>
      <c r="EA133" s="79" cm="1">
        <f t="array" ref="EA133">SUMPRODUCT(($B$2:$B$126=1)*(EA$2:EA$126&gt;=18)*(EA$2:EA$126&lt;=22)*(EA$2:EA$126&lt;&gt;"")*($J$2:$J$126))</f>
        <v>0</v>
      </c>
      <c r="EB133" s="79" cm="1">
        <f t="array" ref="EB133">SUMPRODUCT(($B$2:$B$126=1)*(EB$2:EB$126&gt;=18)*(EB$2:EB$126&lt;=22)*(EB$2:EB$126&lt;&gt;"")*($J$2:$J$126))</f>
        <v>0</v>
      </c>
      <c r="EC133" s="79" cm="1">
        <f t="array" ref="EC133">SUMPRODUCT(($B$2:$B$126=1)*(EC$2:EC$126&gt;=18)*(EC$2:EC$126&lt;=22)*(EC$2:EC$126&lt;&gt;"")*($J$2:$J$126))</f>
        <v>0</v>
      </c>
      <c r="ED133" s="79" cm="1">
        <f t="array" ref="ED133">SUMPRODUCT(($B$2:$B$126=1)*(ED$2:ED$126&gt;=18)*(ED$2:ED$126&lt;=22)*(ED$2:ED$126&lt;&gt;"")*($J$2:$J$126))</f>
        <v>0</v>
      </c>
      <c r="EE133" s="79" cm="1">
        <f t="array" ref="EE133">SUMPRODUCT(($B$2:$B$126=1)*(EE$2:EE$126&gt;=18)*(EE$2:EE$126&lt;=22)*(EE$2:EE$126&lt;&gt;"")*($J$2:$J$126))</f>
        <v>0</v>
      </c>
      <c r="EF133" s="79" cm="1">
        <f t="array" ref="EF133">SUMPRODUCT(($B$2:$B$126=1)*(EF$2:EF$126&gt;=18)*(EF$2:EF$126&lt;=22)*(EF$2:EF$126&lt;&gt;"")*($J$2:$J$126))</f>
        <v>0</v>
      </c>
      <c r="EG133" s="79" cm="1">
        <f t="array" ref="EG133">SUMPRODUCT(($B$2:$B$126=1)*(EG$2:EG$126&gt;=18)*(EG$2:EG$126&lt;=22)*(EG$2:EG$126&lt;&gt;"")*($J$2:$J$126))</f>
        <v>0</v>
      </c>
      <c r="EH133" s="79" cm="1">
        <f t="array" ref="EH133">SUMPRODUCT(($B$2:$B$126=1)*(EH$2:EH$126&gt;=18)*(EH$2:EH$126&lt;=22)*(EH$2:EH$126&lt;&gt;"")*($J$2:$J$126))</f>
        <v>0</v>
      </c>
      <c r="EI133" s="79" cm="1">
        <f t="array" ref="EI133">SUMPRODUCT(($B$2:$B$126=1)*(EI$2:EI$126&gt;=18)*(EI$2:EI$126&lt;=22)*(EI$2:EI$126&lt;&gt;"")*($J$2:$J$126))</f>
        <v>0</v>
      </c>
      <c r="EJ133" s="79" cm="1">
        <f t="array" ref="EJ133">SUMPRODUCT(($B$2:$B$126=1)*(EJ$2:EJ$126&gt;=18)*(EJ$2:EJ$126&lt;=22)*(EJ$2:EJ$126&lt;&gt;"")*($J$2:$J$126))</f>
        <v>0</v>
      </c>
      <c r="EK133" s="79" cm="1">
        <f t="array" ref="EK133">SUMPRODUCT(($B$2:$B$126=1)*(EK$2:EK$126&gt;=18)*(EK$2:EK$126&lt;=22)*(EK$2:EK$126&lt;&gt;"")*($J$2:$J$126))</f>
        <v>0</v>
      </c>
      <c r="EL133" s="79" cm="1">
        <f t="array" ref="EL133">SUMPRODUCT(($B$2:$B$126=1)*(EL$2:EL$126&gt;=18)*(EL$2:EL$126&lt;=22)*(EL$2:EL$126&lt;&gt;"")*($J$2:$J$126))</f>
        <v>0</v>
      </c>
      <c r="EM133" s="79" cm="1">
        <f t="array" ref="EM133">SUMPRODUCT(($B$2:$B$126=1)*(EM$2:EM$126&gt;=18)*(EM$2:EM$126&lt;=22)*(EM$2:EM$126&lt;&gt;"")*($J$2:$J$126))</f>
        <v>0</v>
      </c>
      <c r="EN133" s="79" cm="1">
        <f t="array" ref="EN133">SUMPRODUCT(($B$2:$B$126=1)*(EN$2:EN$126&gt;=18)*(EN$2:EN$126&lt;=22)*(EN$2:EN$126&lt;&gt;"")*($J$2:$J$126))</f>
        <v>0</v>
      </c>
      <c r="EO133" s="79" cm="1">
        <f t="array" ref="EO133">SUMPRODUCT(($B$2:$B$126=1)*(EO$2:EO$126&gt;=18)*(EO$2:EO$126&lt;=22)*(EO$2:EO$126&lt;&gt;"")*($J$2:$J$126))</f>
        <v>0</v>
      </c>
      <c r="EP133" s="79" cm="1">
        <f t="array" ref="EP133">SUMPRODUCT(($B$2:$B$126=1)*(EP$2:EP$126&gt;=18)*(EP$2:EP$126&lt;=22)*(EP$2:EP$126&lt;&gt;"")*($J$2:$J$126))</f>
        <v>0</v>
      </c>
      <c r="EQ133" s="79" cm="1">
        <f t="array" ref="EQ133">SUMPRODUCT(($B$2:$B$126=1)*(EQ$2:EQ$126&gt;=18)*(EQ$2:EQ$126&lt;=22)*(EQ$2:EQ$126&lt;&gt;"")*($J$2:$J$126))</f>
        <v>0</v>
      </c>
      <c r="ER133" s="79" cm="1">
        <f t="array" ref="ER133">SUMPRODUCT(($B$2:$B$126=1)*(ER$2:ER$126&gt;=18)*(ER$2:ER$126&lt;=22)*(ER$2:ER$126&lt;&gt;"")*($J$2:$J$126))</f>
        <v>0</v>
      </c>
      <c r="ES133" s="79" cm="1">
        <f t="array" ref="ES133">SUMPRODUCT(($B$2:$B$126=1)*(ES$2:ES$126&gt;=18)*(ES$2:ES$126&lt;=22)*(ES$2:ES$126&lt;&gt;"")*($J$2:$J$126))</f>
        <v>0</v>
      </c>
      <c r="ET133" s="79" cm="1">
        <f t="array" ref="ET133">SUMPRODUCT(($B$2:$B$126=1)*(ET$2:ET$126&gt;=18)*(ET$2:ET$126&lt;=22)*(ET$2:ET$126&lt;&gt;"")*($J$2:$J$126))</f>
        <v>0</v>
      </c>
      <c r="EU133" s="79" cm="1">
        <f t="array" ref="EU133">SUMPRODUCT(($B$2:$B$126=1)*(EU$2:EU$126&gt;=18)*(EU$2:EU$126&lt;=22)*(EU$2:EU$126&lt;&gt;"")*($J$2:$J$126))</f>
        <v>0</v>
      </c>
      <c r="EV133" s="79" cm="1">
        <f t="array" ref="EV133">SUMPRODUCT(($B$2:$B$126=1)*(EV$2:EV$126&gt;=18)*(EV$2:EV$126&lt;=22)*(EV$2:EV$126&lt;&gt;"")*($J$2:$J$126))</f>
        <v>0</v>
      </c>
      <c r="EW133" s="79" cm="1">
        <f t="array" ref="EW133">SUMPRODUCT(($B$2:$B$126=1)*(EW$2:EW$126&gt;=18)*(EW$2:EW$126&lt;=22)*(EW$2:EW$126&lt;&gt;"")*($J$2:$J$126))</f>
        <v>0</v>
      </c>
      <c r="EX133" s="79" cm="1">
        <f t="array" ref="EX133">SUMPRODUCT(($B$2:$B$126=1)*(EX$2:EX$126&gt;=18)*(EX$2:EX$126&lt;=22)*(EX$2:EX$126&lt;&gt;"")*($J$2:$J$126))</f>
        <v>0</v>
      </c>
      <c r="EY133" s="79" cm="1">
        <f t="array" ref="EY133">SUMPRODUCT(($B$2:$B$126=1)*(EY$2:EY$126&gt;=18)*(EY$2:EY$126&lt;=22)*(EY$2:EY$126&lt;&gt;"")*($J$2:$J$126))</f>
        <v>0</v>
      </c>
      <c r="EZ133" s="79" cm="1">
        <f t="array" ref="EZ133">SUMPRODUCT(($B$2:$B$126=1)*(EZ$2:EZ$126&gt;=18)*(EZ$2:EZ$126&lt;=22)*(EZ$2:EZ$126&lt;&gt;"")*($J$2:$J$126))</f>
        <v>0</v>
      </c>
      <c r="FA133" s="79" cm="1">
        <f t="array" ref="FA133">SUMPRODUCT(($B$2:$B$126=1)*(FA$2:FA$126&gt;=18)*(FA$2:FA$126&lt;=22)*(FA$2:FA$126&lt;&gt;"")*($J$2:$J$126))</f>
        <v>0</v>
      </c>
      <c r="FB133" s="79" cm="1">
        <f t="array" ref="FB133">SUMPRODUCT(($B$2:$B$126=1)*(FB$2:FB$126&gt;=18)*(FB$2:FB$126&lt;=22)*(FB$2:FB$126&lt;&gt;"")*($J$2:$J$126))</f>
        <v>0</v>
      </c>
      <c r="FC133" s="79" cm="1">
        <f t="array" ref="FC133">SUMPRODUCT(($B$2:$B$126=1)*(FC$2:FC$126&gt;=18)*(FC$2:FC$126&lt;=22)*(FC$2:FC$126&lt;&gt;"")*($J$2:$J$126))</f>
        <v>0</v>
      </c>
      <c r="FD133" s="79" cm="1">
        <f t="array" ref="FD133">SUMPRODUCT(($B$2:$B$126=1)*(FD$2:FD$126&gt;=18)*(FD$2:FD$126&lt;=22)*(FD$2:FD$126&lt;&gt;"")*($J$2:$J$126))</f>
        <v>0</v>
      </c>
      <c r="FE133" s="79" cm="1">
        <f t="array" ref="FE133">SUMPRODUCT(($B$2:$B$126=1)*(FE$2:FE$126&gt;=18)*(FE$2:FE$126&lt;=22)*(FE$2:FE$126&lt;&gt;"")*($J$2:$J$126))</f>
        <v>0</v>
      </c>
      <c r="FF133" s="79" cm="1">
        <f t="array" ref="FF133">SUMPRODUCT(($B$2:$B$126=1)*(FF$2:FF$126&gt;=18)*(FF$2:FF$126&lt;=22)*(FF$2:FF$126&lt;&gt;"")*($J$2:$J$126))</f>
        <v>0</v>
      </c>
      <c r="FG133" s="79" cm="1">
        <f t="array" ref="FG133">SUMPRODUCT(($B$2:$B$126=1)*(FG$2:FG$126&gt;=18)*(FG$2:FG$126&lt;=22)*(FG$2:FG$126&lt;&gt;"")*($J$2:$J$126))</f>
        <v>0</v>
      </c>
      <c r="FH133" s="79" cm="1">
        <f t="array" ref="FH133">SUMPRODUCT(($B$2:$B$126=1)*(FH$2:FH$126&gt;=18)*(FH$2:FH$126&lt;=22)*(FH$2:FH$126&lt;&gt;"")*($J$2:$J$126))</f>
        <v>0</v>
      </c>
      <c r="FI133" s="79" cm="1">
        <f t="array" ref="FI133">SUMPRODUCT(($B$2:$B$126=1)*(FI$2:FI$126&gt;=18)*(FI$2:FI$126&lt;=22)*(FI$2:FI$126&lt;&gt;"")*($J$2:$J$126))</f>
        <v>0</v>
      </c>
      <c r="FJ133" s="79" cm="1">
        <f t="array" ref="FJ133">SUMPRODUCT(($B$2:$B$126=1)*(FJ$2:FJ$126&gt;=18)*(FJ$2:FJ$126&lt;=22)*(FJ$2:FJ$126&lt;&gt;"")*($J$2:$J$126))</f>
        <v>0</v>
      </c>
      <c r="FK133" s="79" cm="1">
        <f t="array" ref="FK133">SUMPRODUCT(($B$2:$B$126=1)*(FK$2:FK$126&gt;=18)*(FK$2:FK$126&lt;=22)*(FK$2:FK$126&lt;&gt;"")*($J$2:$J$126))</f>
        <v>0</v>
      </c>
      <c r="FL133" s="79" cm="1">
        <f t="array" ref="FL133">SUMPRODUCT(($B$2:$B$126=1)*(FL$2:FL$126&gt;=18)*(FL$2:FL$126&lt;=22)*(FL$2:FL$126&lt;&gt;"")*($J$2:$J$126))</f>
        <v>0</v>
      </c>
      <c r="FM133" s="79" cm="1">
        <f t="array" ref="FM133">SUMPRODUCT(($B$2:$B$126=1)*(FM$2:FM$126&gt;=18)*(FM$2:FM$126&lt;=22)*(FM$2:FM$126&lt;&gt;"")*($J$2:$J$126))</f>
        <v>0</v>
      </c>
      <c r="FN133" s="79" cm="1">
        <f t="array" ref="FN133">SUMPRODUCT(($B$2:$B$126=1)*(FN$2:FN$126&gt;=18)*(FN$2:FN$126&lt;=22)*(FN$2:FN$126&lt;&gt;"")*($J$2:$J$126))</f>
        <v>0</v>
      </c>
      <c r="FO133" s="79" cm="1">
        <f t="array" ref="FO133">SUMPRODUCT(($B$2:$B$126=1)*(FO$2:FO$126&gt;=18)*(FO$2:FO$126&lt;=22)*(FO$2:FO$126&lt;&gt;"")*($J$2:$J$126))</f>
        <v>0</v>
      </c>
      <c r="FP133" s="79" cm="1">
        <f t="array" ref="FP133">SUMPRODUCT(($B$2:$B$126=1)*(FP$2:FP$126&gt;=18)*(FP$2:FP$126&lt;=22)*(FP$2:FP$126&lt;&gt;"")*($J$2:$J$126))</f>
        <v>0</v>
      </c>
      <c r="FQ133" s="79" cm="1">
        <f t="array" ref="FQ133">SUMPRODUCT(($B$2:$B$126=1)*(FQ$2:FQ$126&gt;=18)*(FQ$2:FQ$126&lt;=22)*(FQ$2:FQ$126&lt;&gt;"")*($J$2:$J$126))</f>
        <v>0</v>
      </c>
      <c r="FR133" s="79" cm="1">
        <f t="array" ref="FR133">SUMPRODUCT(($B$2:$B$126=1)*(FR$2:FR$126&gt;=18)*(FR$2:FR$126&lt;=22)*(FR$2:FR$126&lt;&gt;"")*($J$2:$J$126))</f>
        <v>0</v>
      </c>
      <c r="FS133" s="79" cm="1">
        <f t="array" ref="FS133">SUMPRODUCT(($B$2:$B$126=1)*(FS$2:FS$126&gt;=18)*(FS$2:FS$126&lt;=22)*(FS$2:FS$126&lt;&gt;"")*($J$2:$J$126))</f>
        <v>0</v>
      </c>
      <c r="FT133" s="79" cm="1">
        <f t="array" ref="FT133">SUMPRODUCT(($B$2:$B$126=1)*(FT$2:FT$126&gt;=18)*(FT$2:FT$126&lt;=22)*(FT$2:FT$126&lt;&gt;"")*($J$2:$J$126))</f>
        <v>0</v>
      </c>
      <c r="FU133" s="79" cm="1">
        <f t="array" ref="FU133">SUMPRODUCT(($B$2:$B$126=1)*(FU$2:FU$126&gt;=18)*(FU$2:FU$126&lt;=22)*(FU$2:FU$126&lt;&gt;"")*($J$2:$J$126))</f>
        <v>0</v>
      </c>
      <c r="FV133" s="79" cm="1">
        <f t="array" ref="FV133">SUMPRODUCT(($B$2:$B$126=1)*(FV$2:FV$126&gt;=18)*(FV$2:FV$126&lt;=22)*(FV$2:FV$126&lt;&gt;"")*($J$2:$J$126))</f>
        <v>0</v>
      </c>
      <c r="FW133" s="79" cm="1">
        <f t="array" ref="FW133">SUMPRODUCT(($B$2:$B$126=1)*(FW$2:FW$126&gt;=18)*(FW$2:FW$126&lt;=22)*(FW$2:FW$126&lt;&gt;"")*($J$2:$J$126))</f>
        <v>0</v>
      </c>
      <c r="FX133" s="79" cm="1">
        <f t="array" ref="FX133">SUMPRODUCT(($B$2:$B$126=1)*(FX$2:FX$126&gt;=18)*(FX$2:FX$126&lt;=22)*(FX$2:FX$126&lt;&gt;"")*($J$2:$J$126))</f>
        <v>0</v>
      </c>
      <c r="FY133" s="79" cm="1">
        <f t="array" ref="FY133">SUMPRODUCT(($B$2:$B$126=1)*(FY$2:FY$126&gt;=18)*(FY$2:FY$126&lt;=22)*(FY$2:FY$126&lt;&gt;"")*($J$2:$J$126))</f>
        <v>0</v>
      </c>
      <c r="FZ133" s="79" cm="1">
        <f t="array" ref="FZ133">SUMPRODUCT(($B$2:$B$126=1)*(FZ$2:FZ$126&gt;=18)*(FZ$2:FZ$126&lt;=22)*(FZ$2:FZ$126&lt;&gt;"")*($J$2:$J$126))</f>
        <v>0</v>
      </c>
      <c r="GA133" s="79" cm="1">
        <f t="array" ref="GA133">SUMPRODUCT(($B$2:$B$126=1)*(GA$2:GA$126&gt;=18)*(GA$2:GA$126&lt;=22)*(GA$2:GA$126&lt;&gt;"")*($J$2:$J$126))</f>
        <v>0</v>
      </c>
      <c r="GB133" s="79" cm="1">
        <f t="array" ref="GB133">SUMPRODUCT(($B$2:$B$126=1)*(GB$2:GB$126&gt;=18)*(GB$2:GB$126&lt;=22)*(GB$2:GB$126&lt;&gt;"")*($J$2:$J$126))</f>
        <v>0</v>
      </c>
      <c r="GC133" s="79" cm="1">
        <f t="array" ref="GC133">SUMPRODUCT(($B$2:$B$126=1)*(GC$2:GC$126&gt;=18)*(GC$2:GC$126&lt;=22)*(GC$2:GC$126&lt;&gt;"")*($J$2:$J$126))</f>
        <v>0</v>
      </c>
      <c r="GD133" s="79" cm="1">
        <f t="array" ref="GD133">SUMPRODUCT(($B$2:$B$126=1)*(GD$2:GD$126&gt;=18)*(GD$2:GD$126&lt;=22)*(GD$2:GD$126&lt;&gt;"")*($J$2:$J$126))</f>
        <v>0</v>
      </c>
      <c r="GE133" s="79" cm="1">
        <f t="array" ref="GE133">SUMPRODUCT(($B$2:$B$126=1)*(GE$2:GE$126&gt;=18)*(GE$2:GE$126&lt;=22)*(GE$2:GE$126&lt;&gt;"")*($J$2:$J$126))</f>
        <v>0</v>
      </c>
      <c r="GF133" s="79" cm="1">
        <f t="array" ref="GF133">SUMPRODUCT(($B$2:$B$126=1)*(GF$2:GF$126&gt;=18)*(GF$2:GF$126&lt;=22)*(GF$2:GF$126&lt;&gt;"")*($J$2:$J$126))</f>
        <v>0</v>
      </c>
      <c r="GG133" s="79" cm="1">
        <f t="array" ref="GG133">SUMPRODUCT(($B$2:$B$126=1)*(GG$2:GG$126&gt;=18)*(GG$2:GG$126&lt;=22)*(GG$2:GG$126&lt;&gt;"")*($J$2:$J$126))</f>
        <v>0</v>
      </c>
      <c r="GH133" s="79" cm="1">
        <f t="array" ref="GH133">SUMPRODUCT(($B$2:$B$126=1)*(GH$2:GH$126&gt;=18)*(GH$2:GH$126&lt;=22)*(GH$2:GH$126&lt;&gt;"")*($J$2:$J$126))</f>
        <v>0</v>
      </c>
      <c r="GI133" s="79" cm="1">
        <f t="array" ref="GI133">SUMPRODUCT(($B$2:$B$126=1)*(GI$2:GI$126&gt;=18)*(GI$2:GI$126&lt;=22)*(GI$2:GI$126&lt;&gt;"")*($J$2:$J$126))</f>
        <v>0</v>
      </c>
      <c r="GJ133" s="79" cm="1">
        <f t="array" ref="GJ133">SUMPRODUCT(($B$2:$B$126=1)*(GJ$2:GJ$126&gt;=18)*(GJ$2:GJ$126&lt;=22)*(GJ$2:GJ$126&lt;&gt;"")*($J$2:$J$126))</f>
        <v>0</v>
      </c>
      <c r="GK133" s="79" cm="1">
        <f t="array" ref="GK133">SUMPRODUCT(($B$2:$B$126=1)*(GK$2:GK$126&gt;=18)*(GK$2:GK$126&lt;=22)*(GK$2:GK$126&lt;&gt;"")*($J$2:$J$126))</f>
        <v>0</v>
      </c>
      <c r="GL133" s="79" cm="1">
        <f t="array" ref="GL133">SUMPRODUCT(($B$2:$B$126=1)*(GL$2:GL$126&gt;=18)*(GL$2:GL$126&lt;=22)*(GL$2:GL$126&lt;&gt;"")*($J$2:$J$126))</f>
        <v>0</v>
      </c>
      <c r="GM133" s="79" cm="1">
        <f t="array" ref="GM133">SUMPRODUCT(($B$2:$B$126=1)*(GM$2:GM$126&gt;=18)*(GM$2:GM$126&lt;=22)*(GM$2:GM$126&lt;&gt;"")*($J$2:$J$126))</f>
        <v>0</v>
      </c>
      <c r="GN133" s="79" cm="1">
        <f t="array" ref="GN133">SUMPRODUCT(($B$2:$B$126=1)*(GN$2:GN$126&gt;=18)*(GN$2:GN$126&lt;=22)*(GN$2:GN$126&lt;&gt;"")*($J$2:$J$126))</f>
        <v>0</v>
      </c>
      <c r="GO133" s="79" cm="1">
        <f t="array" ref="GO133">SUMPRODUCT(($B$2:$B$126=1)*(GO$2:GO$126&gt;=18)*(GO$2:GO$126&lt;=22)*(GO$2:GO$126&lt;&gt;"")*($J$2:$J$126))</f>
        <v>0</v>
      </c>
      <c r="GP133" s="79" cm="1">
        <f t="array" ref="GP133">SUMPRODUCT(($B$2:$B$126=1)*(GP$2:GP$126&gt;=18)*(GP$2:GP$126&lt;=22)*(GP$2:GP$126&lt;&gt;"")*($J$2:$J$126))</f>
        <v>0</v>
      </c>
      <c r="GQ133" s="79" cm="1">
        <f t="array" ref="GQ133">SUMPRODUCT(($B$2:$B$126=1)*(GQ$2:GQ$126&gt;=18)*(GQ$2:GQ$126&lt;=22)*(GQ$2:GQ$126&lt;&gt;"")*($J$2:$J$126))</f>
        <v>0</v>
      </c>
      <c r="GR133" s="79" cm="1">
        <f t="array" ref="GR133">SUMPRODUCT(($B$2:$B$126=1)*(GR$2:GR$126&gt;=18)*(GR$2:GR$126&lt;=22)*(GR$2:GR$126&lt;&gt;"")*($J$2:$J$126))</f>
        <v>0</v>
      </c>
      <c r="GS133" s="79" cm="1">
        <f t="array" ref="GS133">SUMPRODUCT(($B$2:$B$126=1)*(GS$2:GS$126&gt;=18)*(GS$2:GS$126&lt;=22)*(GS$2:GS$126&lt;&gt;"")*($J$2:$J$126))</f>
        <v>0</v>
      </c>
      <c r="GT133" s="79" cm="1">
        <f t="array" ref="GT133">SUMPRODUCT(($B$2:$B$126=1)*(GT$2:GT$126&gt;=18)*(GT$2:GT$126&lt;=22)*(GT$2:GT$126&lt;&gt;"")*($J$2:$J$126))</f>
        <v>0</v>
      </c>
      <c r="GU133" s="79" cm="1">
        <f t="array" ref="GU133">SUMPRODUCT(($B$2:$B$126=1)*(GU$2:GU$126&gt;=18)*(GU$2:GU$126&lt;=22)*(GU$2:GU$126&lt;&gt;"")*($J$2:$J$126))</f>
        <v>0</v>
      </c>
      <c r="GV133" s="79" cm="1">
        <f t="array" ref="GV133">SUMPRODUCT(($B$2:$B$126=1)*(GV$2:GV$126&gt;=18)*(GV$2:GV$126&lt;=22)*(GV$2:GV$126&lt;&gt;"")*($J$2:$J$126))</f>
        <v>0</v>
      </c>
      <c r="GW133" s="79" cm="1">
        <f t="array" ref="GW133">SUMPRODUCT(($B$2:$B$126=1)*(GW$2:GW$126&gt;=18)*(GW$2:GW$126&lt;=22)*(GW$2:GW$126&lt;&gt;"")*($J$2:$J$126))</f>
        <v>0</v>
      </c>
      <c r="GX133" s="79" cm="1">
        <f t="array" ref="GX133">SUMPRODUCT(($B$2:$B$126=1)*(GX$2:GX$126&gt;=18)*(GX$2:GX$126&lt;=22)*(GX$2:GX$126&lt;&gt;"")*($J$2:$J$126))</f>
        <v>0</v>
      </c>
    </row>
    <row r="134" spans="1:206" x14ac:dyDescent="0.2">
      <c r="A134" s="84">
        <v>1</v>
      </c>
      <c r="B134" s="84" t="s">
        <v>257</v>
      </c>
      <c r="T134" s="105" t="s">
        <v>258</v>
      </c>
      <c r="U134" s="106">
        <v>56000000</v>
      </c>
      <c r="W134" s="79" cm="1">
        <f t="array" ref="W134">SUMPRODUCT(($B$2:$B$126=1)*(W$2:W$126&gt;=23)*(W$2:W$126&lt;=27)*(W$2:W$126&lt;&gt;"")*($J$2:$J$126))</f>
        <v>0</v>
      </c>
      <c r="X134" s="79" cm="1">
        <f t="array" ref="X134">SUMPRODUCT(($B$2:$B$126=1)*(X$2:X$126&gt;=23)*(X$2:X$126&lt;=27)*(X$2:X$126&lt;&gt;"")*($J$2:$J$126))</f>
        <v>48.81</v>
      </c>
      <c r="Y134" s="79" cm="1">
        <f t="array" ref="Y134">SUMPRODUCT(($B$2:$B$126=1)*(Y$2:Y$126&gt;=23)*(Y$2:Y$126&lt;=27)*(Y$2:Y$126&lt;&gt;"")*($J$2:$J$126))</f>
        <v>91.89</v>
      </c>
      <c r="Z134" s="79" cm="1">
        <f t="array" ref="Z134">SUMPRODUCT(($B$2:$B$126=1)*(Z$2:Z$126&gt;=23)*(Z$2:Z$126&lt;=27)*(Z$2:Z$126&lt;&gt;"")*($J$2:$J$126))</f>
        <v>131.56</v>
      </c>
      <c r="AA134" s="79" cm="1">
        <f t="array" ref="AA134">SUMPRODUCT(($B$2:$B$126=1)*(AA$2:AA$126&gt;=23)*(AA$2:AA$126&lt;=27)*(AA$2:AA$126&lt;&gt;"")*($J$2:$J$126))</f>
        <v>131.56</v>
      </c>
      <c r="AB134" s="79" cm="1">
        <f t="array" ref="AB134">SUMPRODUCT(($B$2:$B$126=1)*(AB$2:AB$126&gt;=23)*(AB$2:AB$126&lt;=27)*(AB$2:AB$126&lt;&gt;"")*($J$2:$J$126))</f>
        <v>214.94</v>
      </c>
      <c r="AC134" s="79" cm="1">
        <f t="array" ref="AC134">SUMPRODUCT(($B$2:$B$126=1)*(AC$2:AC$126&gt;=23)*(AC$2:AC$126&lt;=27)*(AC$2:AC$126&lt;&gt;"")*($J$2:$J$126))</f>
        <v>166.13</v>
      </c>
      <c r="AD134" s="79" cm="1">
        <f t="array" ref="AD134">SUMPRODUCT(($B$2:$B$126=1)*(AD$2:AD$126&gt;=23)*(AD$2:AD$126&lt;=27)*(AD$2:AD$126&lt;&gt;"")*($J$2:$J$126))</f>
        <v>123.05</v>
      </c>
      <c r="AE134" s="79" cm="1">
        <f t="array" ref="AE134">SUMPRODUCT(($B$2:$B$126=1)*(AE$2:AE$126&gt;=23)*(AE$2:AE$126&lt;=27)*(AE$2:AE$126&lt;&gt;"")*($J$2:$J$126))</f>
        <v>83.38</v>
      </c>
      <c r="AF134" s="79" cm="1">
        <f t="array" ref="AF134">SUMPRODUCT(($B$2:$B$126=1)*(AF$2:AF$126&gt;=23)*(AF$2:AF$126&lt;=27)*(AF$2:AF$126&lt;&gt;"")*($J$2:$J$126))</f>
        <v>129.69</v>
      </c>
      <c r="AG134" s="79" cm="1">
        <f t="array" ref="AG134">SUMPRODUCT(($B$2:$B$126=1)*(AG$2:AG$126&gt;=23)*(AG$2:AG$126&lt;=27)*(AG$2:AG$126&lt;&gt;"")*($J$2:$J$126))</f>
        <v>46.31</v>
      </c>
      <c r="AH134" s="79" cm="1">
        <f t="array" ref="AH134">SUMPRODUCT(($B$2:$B$126=1)*(AH$2:AH$126&gt;=23)*(AH$2:AH$126&lt;=27)*(AH$2:AH$126&lt;&gt;"")*($J$2:$J$126))</f>
        <v>46.31</v>
      </c>
      <c r="AI134" s="79" cm="1">
        <f t="array" ref="AI134">SUMPRODUCT(($B$2:$B$126=1)*(AI$2:AI$126&gt;=23)*(AI$2:AI$126&lt;=27)*(AI$2:AI$126&lt;&gt;"")*($J$2:$J$126))</f>
        <v>96.41</v>
      </c>
      <c r="AJ134" s="79" cm="1">
        <f t="array" ref="AJ134">SUMPRODUCT(($B$2:$B$126=1)*(AJ$2:AJ$126&gt;=23)*(AJ$2:AJ$126&lt;=27)*(AJ$2:AJ$126&lt;&gt;"")*($J$2:$J$126))</f>
        <v>96.41</v>
      </c>
      <c r="AK134" s="79" cm="1">
        <f t="array" ref="AK134">SUMPRODUCT(($B$2:$B$126=1)*(AK$2:AK$126&gt;=23)*(AK$2:AK$126&lt;=27)*(AK$2:AK$126&lt;&gt;"")*($J$2:$J$126))</f>
        <v>50.1</v>
      </c>
      <c r="AL134" s="79" cm="1">
        <f t="array" ref="AL134">SUMPRODUCT(($B$2:$B$126=1)*(AL$2:AL$126&gt;=23)*(AL$2:AL$126&lt;=27)*(AL$2:AL$126&lt;&gt;"")*($J$2:$J$126))</f>
        <v>86.6</v>
      </c>
      <c r="AM134" s="79" cm="1">
        <f t="array" ref="AM134">SUMPRODUCT(($B$2:$B$126=1)*(AM$2:AM$126&gt;=23)*(AM$2:AM$126&lt;=27)*(AM$2:AM$126&lt;&gt;"")*($J$2:$J$126))</f>
        <v>86.6</v>
      </c>
      <c r="AN134" s="79" cm="1">
        <f t="array" ref="AN134">SUMPRODUCT(($B$2:$B$126=1)*(AN$2:AN$126&gt;=23)*(AN$2:AN$126&lt;=27)*(AN$2:AN$126&lt;&gt;"")*($J$2:$J$126))</f>
        <v>36.5</v>
      </c>
      <c r="AO134" s="79" cm="1">
        <f t="array" ref="AO134">SUMPRODUCT(($B$2:$B$126=1)*(AO$2:AO$126&gt;=23)*(AO$2:AO$126&lt;=27)*(AO$2:AO$126&lt;&gt;"")*($J$2:$J$126))</f>
        <v>55.39</v>
      </c>
      <c r="AP134" s="79" cm="1">
        <f t="array" ref="AP134">SUMPRODUCT(($B$2:$B$126=1)*(AP$2:AP$126&gt;=23)*(AP$2:AP$126&lt;=27)*(AP$2:AP$126&lt;&gt;"")*($J$2:$J$126))</f>
        <v>55.39</v>
      </c>
      <c r="AQ134" s="79" cm="1">
        <f t="array" ref="AQ134">SUMPRODUCT(($B$2:$B$126=1)*(AQ$2:AQ$126&gt;=23)*(AQ$2:AQ$126&lt;=27)*(AQ$2:AQ$126&lt;&gt;"")*($J$2:$J$126))</f>
        <v>18.89</v>
      </c>
      <c r="AR134" s="79" cm="1">
        <f t="array" ref="AR134">SUMPRODUCT(($B$2:$B$126=1)*(AR$2:AR$126&gt;=23)*(AR$2:AR$126&lt;=27)*(AR$2:AR$126&lt;&gt;"")*($J$2:$J$126))</f>
        <v>65.150000000000006</v>
      </c>
      <c r="AS134" s="79" cm="1">
        <f t="array" ref="AS134">SUMPRODUCT(($B$2:$B$126=1)*(AS$2:AS$126&gt;=23)*(AS$2:AS$126&lt;=27)*(AS$2:AS$126&lt;&gt;"")*($J$2:$J$126))</f>
        <v>65.150000000000006</v>
      </c>
      <c r="AT134" s="79" cm="1">
        <f t="array" ref="AT134">SUMPRODUCT(($B$2:$B$126=1)*(AT$2:AT$126&gt;=23)*(AT$2:AT$126&lt;=27)*(AT$2:AT$126&lt;&gt;"")*($J$2:$J$126))</f>
        <v>46.26</v>
      </c>
      <c r="AU134" s="79" cm="1">
        <f t="array" ref="AU134">SUMPRODUCT(($B$2:$B$126=1)*(AU$2:AU$126&gt;=23)*(AU$2:AU$126&lt;=27)*(AU$2:AU$126&lt;&gt;"")*($J$2:$J$126))</f>
        <v>46.26</v>
      </c>
      <c r="AV134" s="79" cm="1">
        <f t="array" ref="AV134">SUMPRODUCT(($B$2:$B$126=1)*(AV$2:AV$126&gt;=23)*(AV$2:AV$126&lt;=27)*(AV$2:AV$126&lt;&gt;"")*($J$2:$J$126))</f>
        <v>46.26</v>
      </c>
      <c r="AW134" s="79" cm="1">
        <f t="array" ref="AW134">SUMPRODUCT(($B$2:$B$126=1)*(AW$2:AW$126&gt;=23)*(AW$2:AW$126&lt;=27)*(AW$2:AW$126&lt;&gt;"")*($J$2:$J$126))</f>
        <v>0</v>
      </c>
      <c r="AX134" s="79" cm="1">
        <f t="array" ref="AX134">SUMPRODUCT(($B$2:$B$126=1)*(AX$2:AX$126&gt;=23)*(AX$2:AX$126&lt;=27)*(AX$2:AX$126&lt;&gt;"")*($J$2:$J$126))</f>
        <v>0</v>
      </c>
      <c r="AY134" s="79" cm="1">
        <f t="array" ref="AY134">SUMPRODUCT(($B$2:$B$126=1)*(AY$2:AY$126&gt;=23)*(AY$2:AY$126&lt;=27)*(AY$2:AY$126&lt;&gt;"")*($J$2:$J$126))</f>
        <v>0</v>
      </c>
      <c r="AZ134" s="79" cm="1">
        <f t="array" ref="AZ134">SUMPRODUCT(($B$2:$B$126=1)*(AZ$2:AZ$126&gt;=23)*(AZ$2:AZ$126&lt;=27)*(AZ$2:AZ$126&lt;&gt;"")*($J$2:$J$126))</f>
        <v>0</v>
      </c>
      <c r="BA134" s="79" cm="1">
        <f t="array" ref="BA134">SUMPRODUCT(($B$2:$B$126=1)*(BA$2:BA$126&gt;=23)*(BA$2:BA$126&lt;=27)*(BA$2:BA$126&lt;&gt;"")*($J$2:$J$126))</f>
        <v>0</v>
      </c>
      <c r="BB134" s="79" cm="1">
        <f t="array" ref="BB134">SUMPRODUCT(($B$2:$B$126=1)*(BB$2:BB$126&gt;=23)*(BB$2:BB$126&lt;=27)*(BB$2:BB$126&lt;&gt;"")*($J$2:$J$126))</f>
        <v>0</v>
      </c>
      <c r="BC134" s="79" cm="1">
        <f t="array" ref="BC134">SUMPRODUCT(($B$2:$B$126=1)*(BC$2:BC$126&gt;=23)*(BC$2:BC$126&lt;=27)*(BC$2:BC$126&lt;&gt;"")*($J$2:$J$126))</f>
        <v>0</v>
      </c>
      <c r="BD134" s="79" cm="1">
        <f t="array" ref="BD134">SUMPRODUCT(($B$2:$B$126=1)*(BD$2:BD$126&gt;=23)*(BD$2:BD$126&lt;=27)*(BD$2:BD$126&lt;&gt;"")*($J$2:$J$126))</f>
        <v>0</v>
      </c>
      <c r="BE134" s="79" cm="1">
        <f t="array" ref="BE134">SUMPRODUCT(($B$2:$B$126=1)*(BE$2:BE$126&gt;=23)*(BE$2:BE$126&lt;=27)*(BE$2:BE$126&lt;&gt;"")*($J$2:$J$126))</f>
        <v>0</v>
      </c>
      <c r="BF134" s="79" cm="1">
        <f t="array" ref="BF134">SUMPRODUCT(($B$2:$B$126=1)*(BF$2:BF$126&gt;=23)*(BF$2:BF$126&lt;=27)*(BF$2:BF$126&lt;&gt;"")*($J$2:$J$126))</f>
        <v>0</v>
      </c>
      <c r="BG134" s="79" cm="1">
        <f t="array" ref="BG134">SUMPRODUCT(($B$2:$B$126=1)*(BG$2:BG$126&gt;=23)*(BG$2:BG$126&lt;=27)*(BG$2:BG$126&lt;&gt;"")*($J$2:$J$126))</f>
        <v>0</v>
      </c>
      <c r="BH134" s="79" cm="1">
        <f t="array" ref="BH134">SUMPRODUCT(($B$2:$B$126=1)*(BH$2:BH$126&gt;=23)*(BH$2:BH$126&lt;=27)*(BH$2:BH$126&lt;&gt;"")*($J$2:$J$126))</f>
        <v>0</v>
      </c>
      <c r="BI134" s="79" cm="1">
        <f t="array" ref="BI134">SUMPRODUCT(($B$2:$B$126=1)*(BI$2:BI$126&gt;=23)*(BI$2:BI$126&lt;=27)*(BI$2:BI$126&lt;&gt;"")*($J$2:$J$126))</f>
        <v>0</v>
      </c>
      <c r="BJ134" s="79" cm="1">
        <f t="array" ref="BJ134">SUMPRODUCT(($B$2:$B$126=1)*(BJ$2:BJ$126&gt;=23)*(BJ$2:BJ$126&lt;=27)*(BJ$2:BJ$126&lt;&gt;"")*($J$2:$J$126))</f>
        <v>0</v>
      </c>
      <c r="BK134" s="79" cm="1">
        <f t="array" ref="BK134">SUMPRODUCT(($B$2:$B$126=1)*(BK$2:BK$126&gt;=23)*(BK$2:BK$126&lt;=27)*(BK$2:BK$126&lt;&gt;"")*($J$2:$J$126))</f>
        <v>0</v>
      </c>
      <c r="BL134" s="79" cm="1">
        <f t="array" ref="BL134">SUMPRODUCT(($B$2:$B$126=1)*(BL$2:BL$126&gt;=23)*(BL$2:BL$126&lt;=27)*(BL$2:BL$126&lt;&gt;"")*($J$2:$J$126))</f>
        <v>0</v>
      </c>
      <c r="BM134" s="79" cm="1">
        <f t="array" ref="BM134">SUMPRODUCT(($B$2:$B$126=1)*(BM$2:BM$126&gt;=23)*(BM$2:BM$126&lt;=27)*(BM$2:BM$126&lt;&gt;"")*($J$2:$J$126))</f>
        <v>0</v>
      </c>
      <c r="BN134" s="79" cm="1">
        <f t="array" ref="BN134">SUMPRODUCT(($B$2:$B$126=1)*(BN$2:BN$126&gt;=23)*(BN$2:BN$126&lt;=27)*(BN$2:BN$126&lt;&gt;"")*($J$2:$J$126))</f>
        <v>0</v>
      </c>
      <c r="BO134" s="79" cm="1">
        <f t="array" ref="BO134">SUMPRODUCT(($B$2:$B$126=1)*(BO$2:BO$126&gt;=23)*(BO$2:BO$126&lt;=27)*(BO$2:BO$126&lt;&gt;"")*($J$2:$J$126))</f>
        <v>0</v>
      </c>
      <c r="BP134" s="79" cm="1">
        <f t="array" ref="BP134">SUMPRODUCT(($B$2:$B$126=1)*(BP$2:BP$126&gt;=23)*(BP$2:BP$126&lt;=27)*(BP$2:BP$126&lt;&gt;"")*($J$2:$J$126))</f>
        <v>0</v>
      </c>
      <c r="BQ134" s="79" cm="1">
        <f t="array" ref="BQ134">SUMPRODUCT(($B$2:$B$126=1)*(BQ$2:BQ$126&gt;=23)*(BQ$2:BQ$126&lt;=27)*(BQ$2:BQ$126&lt;&gt;"")*($J$2:$J$126))</f>
        <v>0</v>
      </c>
      <c r="BR134" s="79" cm="1">
        <f t="array" ref="BR134">SUMPRODUCT(($B$2:$B$126=1)*(BR$2:BR$126&gt;=23)*(BR$2:BR$126&lt;=27)*(BR$2:BR$126&lt;&gt;"")*($J$2:$J$126))</f>
        <v>0</v>
      </c>
      <c r="BS134" s="79" cm="1">
        <f t="array" ref="BS134">SUMPRODUCT(($B$2:$B$126=1)*(BS$2:BS$126&gt;=23)*(BS$2:BS$126&lt;=27)*(BS$2:BS$126&lt;&gt;"")*($J$2:$J$126))</f>
        <v>0</v>
      </c>
      <c r="BT134" s="79" cm="1">
        <f t="array" ref="BT134">SUMPRODUCT(($B$2:$B$126=1)*(BT$2:BT$126&gt;=23)*(BT$2:BT$126&lt;=27)*(BT$2:BT$126&lt;&gt;"")*($J$2:$J$126))</f>
        <v>65.150000000000006</v>
      </c>
      <c r="BU134" s="79" cm="1">
        <f t="array" ref="BU134">SUMPRODUCT(($B$2:$B$126=1)*(BU$2:BU$126&gt;=23)*(BU$2:BU$126&lt;=27)*(BU$2:BU$126&lt;&gt;"")*($J$2:$J$126))</f>
        <v>104.53</v>
      </c>
      <c r="BV134" s="79" cm="1">
        <f t="array" ref="BV134">SUMPRODUCT(($B$2:$B$126=1)*(BV$2:BV$126&gt;=23)*(BV$2:BV$126&lt;=27)*(BV$2:BV$126&lt;&gt;"")*($J$2:$J$126))</f>
        <v>159.78</v>
      </c>
      <c r="BW134" s="79" cm="1">
        <f t="array" ref="BW134">SUMPRODUCT(($B$2:$B$126=1)*(BW$2:BW$126&gt;=23)*(BW$2:BW$126&lt;=27)*(BW$2:BW$126&lt;&gt;"")*($J$2:$J$126))</f>
        <v>197.70999999999998</v>
      </c>
      <c r="BX134" s="79" cm="1">
        <f t="array" ref="BX134">SUMPRODUCT(($B$2:$B$126=1)*(BX$2:BX$126&gt;=23)*(BX$2:BX$126&lt;=27)*(BX$2:BX$126&lt;&gt;"")*($J$2:$J$126))</f>
        <v>289.59999999999997</v>
      </c>
      <c r="BY134" s="79" cm="1">
        <f t="array" ref="BY134">SUMPRODUCT(($B$2:$B$126=1)*(BY$2:BY$126&gt;=23)*(BY$2:BY$126&lt;=27)*(BY$2:BY$126&lt;&gt;"")*($J$2:$J$126))</f>
        <v>264.12</v>
      </c>
      <c r="BZ134" s="79" cm="1">
        <f t="array" ref="BZ134">SUMPRODUCT(($B$2:$B$126=1)*(BZ$2:BZ$126&gt;=23)*(BZ$2:BZ$126&lt;=27)*(BZ$2:BZ$126&lt;&gt;"")*($J$2:$J$126))</f>
        <v>224.74</v>
      </c>
      <c r="CA134" s="79" cm="1">
        <f t="array" ref="CA134">SUMPRODUCT(($B$2:$B$126=1)*(CA$2:CA$126&gt;=23)*(CA$2:CA$126&lt;=27)*(CA$2:CA$126&lt;&gt;"")*($J$2:$J$126))</f>
        <v>191.01000000000002</v>
      </c>
      <c r="CB134" s="79" cm="1">
        <f t="array" ref="CB134">SUMPRODUCT(($B$2:$B$126=1)*(CB$2:CB$126&gt;=23)*(CB$2:CB$126&lt;=27)*(CB$2:CB$126&lt;&gt;"")*($J$2:$J$126))</f>
        <v>153.08000000000001</v>
      </c>
      <c r="CC134" s="79" cm="1">
        <f t="array" ref="CC134">SUMPRODUCT(($B$2:$B$126=1)*(CC$2:CC$126&gt;=23)*(CC$2:CC$126&lt;=27)*(CC$2:CC$126&lt;&gt;"")*($J$2:$J$126))</f>
        <v>61.19</v>
      </c>
      <c r="CD134" s="79" cm="1">
        <f t="array" ref="CD134">SUMPRODUCT(($B$2:$B$126=1)*(CD$2:CD$126&gt;=23)*(CD$2:CD$126&lt;=27)*(CD$2:CD$126&lt;&gt;"")*($J$2:$J$126))</f>
        <v>21.52</v>
      </c>
      <c r="CE134" s="79" cm="1">
        <f t="array" ref="CE134">SUMPRODUCT(($B$2:$B$126=1)*(CE$2:CE$126&gt;=23)*(CE$2:CE$126&lt;=27)*(CE$2:CE$126&lt;&gt;"")*($J$2:$J$126))</f>
        <v>21.52</v>
      </c>
      <c r="CF134" s="79" cm="1">
        <f t="array" ref="CF134">SUMPRODUCT(($B$2:$B$126=1)*(CF$2:CF$126&gt;=23)*(CF$2:CF$126&lt;=27)*(CF$2:CF$126&lt;&gt;"")*($J$2:$J$126))</f>
        <v>0</v>
      </c>
      <c r="CG134" s="79" cm="1">
        <f t="array" ref="CG134">SUMPRODUCT(($B$2:$B$126=1)*(CG$2:CG$126&gt;=23)*(CG$2:CG$126&lt;=27)*(CG$2:CG$126&lt;&gt;"")*($J$2:$J$126))</f>
        <v>0</v>
      </c>
      <c r="CH134" s="79" cm="1">
        <f t="array" ref="CH134">SUMPRODUCT(($B$2:$B$126=1)*(CH$2:CH$126&gt;=23)*(CH$2:CH$126&lt;=27)*(CH$2:CH$126&lt;&gt;"")*($J$2:$J$126))</f>
        <v>61.86</v>
      </c>
      <c r="CI134" s="79" cm="1">
        <f t="array" ref="CI134">SUMPRODUCT(($B$2:$B$126=1)*(CI$2:CI$126&gt;=23)*(CI$2:CI$126&lt;=27)*(CI$2:CI$126&lt;&gt;"")*($J$2:$J$126))</f>
        <v>108.17</v>
      </c>
      <c r="CJ134" s="79" cm="1">
        <f t="array" ref="CJ134">SUMPRODUCT(($B$2:$B$126=1)*(CJ$2:CJ$126&gt;=23)*(CJ$2:CJ$126&lt;=27)*(CJ$2:CJ$126&lt;&gt;"")*($J$2:$J$126))</f>
        <v>158.27000000000001</v>
      </c>
      <c r="CK134" s="79" cm="1">
        <f t="array" ref="CK134">SUMPRODUCT(($B$2:$B$126=1)*(CK$2:CK$126&gt;=23)*(CK$2:CK$126&lt;=27)*(CK$2:CK$126&lt;&gt;"")*($J$2:$J$126))</f>
        <v>158.27000000000001</v>
      </c>
      <c r="CL134" s="79" cm="1">
        <f t="array" ref="CL134">SUMPRODUCT(($B$2:$B$126=1)*(CL$2:CL$126&gt;=23)*(CL$2:CL$126&lt;=27)*(CL$2:CL$126&lt;&gt;"")*($J$2:$J$126))</f>
        <v>194.77</v>
      </c>
      <c r="CM134" s="79" cm="1">
        <f t="array" ref="CM134">SUMPRODUCT(($B$2:$B$126=1)*(CM$2:CM$126&gt;=23)*(CM$2:CM$126&lt;=27)*(CM$2:CM$126&lt;&gt;"")*($J$2:$J$126))</f>
        <v>132.91</v>
      </c>
      <c r="CN134" s="79" cm="1">
        <f t="array" ref="CN134">SUMPRODUCT(($B$2:$B$126=1)*(CN$2:CN$126&gt;=23)*(CN$2:CN$126&lt;=27)*(CN$2:CN$126&lt;&gt;"")*($J$2:$J$126))</f>
        <v>86.6</v>
      </c>
      <c r="CO134" s="79" cm="1">
        <f t="array" ref="CO134">SUMPRODUCT(($B$2:$B$126=1)*(CO$2:CO$126&gt;=23)*(CO$2:CO$126&lt;=27)*(CO$2:CO$126&lt;&gt;"")*($J$2:$J$126))</f>
        <v>36.5</v>
      </c>
      <c r="CP134" s="79" cm="1">
        <f t="array" ref="CP134">SUMPRODUCT(($B$2:$B$126=1)*(CP$2:CP$126&gt;=23)*(CP$2:CP$126&lt;=27)*(CP$2:CP$126&lt;&gt;"")*($J$2:$J$126))</f>
        <v>36.5</v>
      </c>
      <c r="CQ134" s="79" cm="1">
        <f t="array" ref="CQ134">SUMPRODUCT(($B$2:$B$126=1)*(CQ$2:CQ$126&gt;=23)*(CQ$2:CQ$126&lt;=27)*(CQ$2:CQ$126&lt;&gt;"")*($J$2:$J$126))</f>
        <v>0</v>
      </c>
      <c r="CR134" s="79" cm="1">
        <f t="array" ref="CR134">SUMPRODUCT(($B$2:$B$126=1)*(CR$2:CR$126&gt;=23)*(CR$2:CR$126&lt;=27)*(CR$2:CR$126&lt;&gt;"")*($J$2:$J$126))</f>
        <v>0</v>
      </c>
      <c r="CS134" s="79" cm="1">
        <f t="array" ref="CS134">SUMPRODUCT(($B$2:$B$126=1)*(CS$2:CS$126&gt;=23)*(CS$2:CS$126&lt;=27)*(CS$2:CS$126&lt;&gt;"")*($J$2:$J$126))</f>
        <v>0</v>
      </c>
      <c r="CT134" s="79" cm="1">
        <f t="array" ref="CT134">SUMPRODUCT(($B$2:$B$126=1)*(CT$2:CT$126&gt;=23)*(CT$2:CT$126&lt;=27)*(CT$2:CT$126&lt;&gt;"")*($J$2:$J$126))</f>
        <v>0</v>
      </c>
      <c r="CU134" s="79" cm="1">
        <f t="array" ref="CU134">SUMPRODUCT(($B$2:$B$126=1)*(CU$2:CU$126&gt;=23)*(CU$2:CU$126&lt;=27)*(CU$2:CU$126&lt;&gt;"")*($J$2:$J$126))</f>
        <v>0</v>
      </c>
      <c r="CV134" s="79" cm="1">
        <f t="array" ref="CV134">SUMPRODUCT(($B$2:$B$126=1)*(CV$2:CV$126&gt;=23)*(CV$2:CV$126&lt;=27)*(CV$2:CV$126&lt;&gt;"")*($J$2:$J$126))</f>
        <v>0</v>
      </c>
      <c r="CW134" s="79" cm="1">
        <f t="array" ref="CW134">SUMPRODUCT(($B$2:$B$126=1)*(CW$2:CW$126&gt;=23)*(CW$2:CW$126&lt;=27)*(CW$2:CW$126&lt;&gt;"")*($J$2:$J$126))</f>
        <v>0</v>
      </c>
      <c r="CX134" s="79" cm="1">
        <f t="array" ref="CX134">SUMPRODUCT(($B$2:$B$126=1)*(CX$2:CX$126&gt;=23)*(CX$2:CX$126&lt;=27)*(CX$2:CX$126&lt;&gt;"")*($J$2:$J$126))</f>
        <v>0</v>
      </c>
      <c r="CY134" s="79" cm="1">
        <f t="array" ref="CY134">SUMPRODUCT(($B$2:$B$126=1)*(CY$2:CY$126&gt;=23)*(CY$2:CY$126&lt;=27)*(CY$2:CY$126&lt;&gt;"")*($J$2:$J$126))</f>
        <v>0</v>
      </c>
      <c r="CZ134" s="79" cm="1">
        <f t="array" ref="CZ134">SUMPRODUCT(($B$2:$B$126=1)*(CZ$2:CZ$126&gt;=23)*(CZ$2:CZ$126&lt;=27)*(CZ$2:CZ$126&lt;&gt;"")*($J$2:$J$126))</f>
        <v>0</v>
      </c>
      <c r="DA134" s="79" cm="1">
        <f t="array" ref="DA134">SUMPRODUCT(($B$2:$B$126=1)*(DA$2:DA$126&gt;=23)*(DA$2:DA$126&lt;=27)*(DA$2:DA$126&lt;&gt;"")*($J$2:$J$126))</f>
        <v>0</v>
      </c>
      <c r="DB134" s="79" cm="1">
        <f t="array" ref="DB134">SUMPRODUCT(($B$2:$B$126=1)*(DB$2:DB$126&gt;=23)*(DB$2:DB$126&lt;=27)*(DB$2:DB$126&lt;&gt;"")*($J$2:$J$126))</f>
        <v>0</v>
      </c>
      <c r="DC134" s="79" cm="1">
        <f t="array" ref="DC134">SUMPRODUCT(($B$2:$B$126=1)*(DC$2:DC$126&gt;=23)*(DC$2:DC$126&lt;=27)*(DC$2:DC$126&lt;&gt;"")*($J$2:$J$126))</f>
        <v>0</v>
      </c>
      <c r="DD134" s="79" cm="1">
        <f t="array" ref="DD134">SUMPRODUCT(($B$2:$B$126=1)*(DD$2:DD$126&gt;=23)*(DD$2:DD$126&lt;=27)*(DD$2:DD$126&lt;&gt;"")*($J$2:$J$126))</f>
        <v>0</v>
      </c>
      <c r="DE134" s="79" cm="1">
        <f t="array" ref="DE134">SUMPRODUCT(($B$2:$B$126=1)*(DE$2:DE$126&gt;=23)*(DE$2:DE$126&lt;=27)*(DE$2:DE$126&lt;&gt;"")*($J$2:$J$126))</f>
        <v>0</v>
      </c>
      <c r="DF134" s="79" cm="1">
        <f t="array" ref="DF134">SUMPRODUCT(($B$2:$B$126=1)*(DF$2:DF$126&gt;=23)*(DF$2:DF$126&lt;=27)*(DF$2:DF$126&lt;&gt;"")*($J$2:$J$126))</f>
        <v>0</v>
      </c>
      <c r="DG134" s="79" cm="1">
        <f t="array" ref="DG134">SUMPRODUCT(($B$2:$B$126=1)*(DG$2:DG$126&gt;=23)*(DG$2:DG$126&lt;=27)*(DG$2:DG$126&lt;&gt;"")*($J$2:$J$126))</f>
        <v>0</v>
      </c>
      <c r="DH134" s="79" cm="1">
        <f t="array" ref="DH134">SUMPRODUCT(($B$2:$B$126=1)*(DH$2:DH$126&gt;=23)*(DH$2:DH$126&lt;=27)*(DH$2:DH$126&lt;&gt;"")*($J$2:$J$126))</f>
        <v>0</v>
      </c>
      <c r="DI134" s="79" cm="1">
        <f t="array" ref="DI134">SUMPRODUCT(($B$2:$B$126=1)*(DI$2:DI$126&gt;=23)*(DI$2:DI$126&lt;=27)*(DI$2:DI$126&lt;&gt;"")*($J$2:$J$126))</f>
        <v>0</v>
      </c>
      <c r="DJ134" s="79" cm="1">
        <f t="array" ref="DJ134">SUMPRODUCT(($B$2:$B$126=1)*(DJ$2:DJ$126&gt;=23)*(DJ$2:DJ$126&lt;=27)*(DJ$2:DJ$126&lt;&gt;"")*($J$2:$J$126))</f>
        <v>0</v>
      </c>
      <c r="DK134" s="79" cm="1">
        <f t="array" ref="DK134">SUMPRODUCT(($B$2:$B$126=1)*(DK$2:DK$126&gt;=23)*(DK$2:DK$126&lt;=27)*(DK$2:DK$126&lt;&gt;"")*($J$2:$J$126))</f>
        <v>0</v>
      </c>
      <c r="DL134" s="79" cm="1">
        <f t="array" ref="DL134">SUMPRODUCT(($B$2:$B$126=1)*(DL$2:DL$126&gt;=23)*(DL$2:DL$126&lt;=27)*(DL$2:DL$126&lt;&gt;"")*($J$2:$J$126))</f>
        <v>0</v>
      </c>
      <c r="DM134" s="79" cm="1">
        <f t="array" ref="DM134">SUMPRODUCT(($B$2:$B$126=1)*(DM$2:DM$126&gt;=23)*(DM$2:DM$126&lt;=27)*(DM$2:DM$126&lt;&gt;"")*($J$2:$J$126))</f>
        <v>0</v>
      </c>
      <c r="DN134" s="79" cm="1">
        <f t="array" ref="DN134">SUMPRODUCT(($B$2:$B$126=1)*(DN$2:DN$126&gt;=23)*(DN$2:DN$126&lt;=27)*(DN$2:DN$126&lt;&gt;"")*($J$2:$J$126))</f>
        <v>0</v>
      </c>
      <c r="DO134" s="79" cm="1">
        <f t="array" ref="DO134">SUMPRODUCT(($B$2:$B$126=1)*(DO$2:DO$126&gt;=23)*(DO$2:DO$126&lt;=27)*(DO$2:DO$126&lt;&gt;"")*($J$2:$J$126))</f>
        <v>0</v>
      </c>
      <c r="DP134" s="79" cm="1">
        <f t="array" ref="DP134">SUMPRODUCT(($B$2:$B$126=1)*(DP$2:DP$126&gt;=23)*(DP$2:DP$126&lt;=27)*(DP$2:DP$126&lt;&gt;"")*($J$2:$J$126))</f>
        <v>0</v>
      </c>
      <c r="DQ134" s="79" cm="1">
        <f t="array" ref="DQ134">SUMPRODUCT(($B$2:$B$126=1)*(DQ$2:DQ$126&gt;=23)*(DQ$2:DQ$126&lt;=27)*(DQ$2:DQ$126&lt;&gt;"")*($J$2:$J$126))</f>
        <v>0</v>
      </c>
      <c r="DR134" s="79" cm="1">
        <f t="array" ref="DR134">SUMPRODUCT(($B$2:$B$126=1)*(DR$2:DR$126&gt;=23)*(DR$2:DR$126&lt;=27)*(DR$2:DR$126&lt;&gt;"")*($J$2:$J$126))</f>
        <v>0</v>
      </c>
      <c r="DS134" s="79" cm="1">
        <f t="array" ref="DS134">SUMPRODUCT(($B$2:$B$126=1)*(DS$2:DS$126&gt;=23)*(DS$2:DS$126&lt;=27)*(DS$2:DS$126&lt;&gt;"")*($J$2:$J$126))</f>
        <v>0</v>
      </c>
      <c r="DT134" s="79" cm="1">
        <f t="array" ref="DT134">SUMPRODUCT(($B$2:$B$126=1)*(DT$2:DT$126&gt;=23)*(DT$2:DT$126&lt;=27)*(DT$2:DT$126&lt;&gt;"")*($J$2:$J$126))</f>
        <v>0</v>
      </c>
      <c r="DU134" s="79" cm="1">
        <f t="array" ref="DU134">SUMPRODUCT(($B$2:$B$126=1)*(DU$2:DU$126&gt;=23)*(DU$2:DU$126&lt;=27)*(DU$2:DU$126&lt;&gt;"")*($J$2:$J$126))</f>
        <v>0</v>
      </c>
      <c r="DV134" s="79" cm="1">
        <f t="array" ref="DV134">SUMPRODUCT(($B$2:$B$126=1)*(DV$2:DV$126&gt;=23)*(DV$2:DV$126&lt;=27)*(DV$2:DV$126&lt;&gt;"")*($J$2:$J$126))</f>
        <v>0</v>
      </c>
      <c r="DW134" s="79" cm="1">
        <f t="array" ref="DW134">SUMPRODUCT(($B$2:$B$126=1)*(DW$2:DW$126&gt;=23)*(DW$2:DW$126&lt;=27)*(DW$2:DW$126&lt;&gt;"")*($J$2:$J$126))</f>
        <v>0</v>
      </c>
      <c r="DX134" s="79" cm="1">
        <f t="array" ref="DX134">SUMPRODUCT(($B$2:$B$126=1)*(DX$2:DX$126&gt;=23)*(DX$2:DX$126&lt;=27)*(DX$2:DX$126&lt;&gt;"")*($J$2:$J$126))</f>
        <v>0</v>
      </c>
      <c r="DY134" s="79" cm="1">
        <f t="array" ref="DY134">SUMPRODUCT(($B$2:$B$126=1)*(DY$2:DY$126&gt;=23)*(DY$2:DY$126&lt;=27)*(DY$2:DY$126&lt;&gt;"")*($J$2:$J$126))</f>
        <v>0</v>
      </c>
      <c r="DZ134" s="79" cm="1">
        <f t="array" ref="DZ134">SUMPRODUCT(($B$2:$B$126=1)*(DZ$2:DZ$126&gt;=23)*(DZ$2:DZ$126&lt;=27)*(DZ$2:DZ$126&lt;&gt;"")*($J$2:$J$126))</f>
        <v>0</v>
      </c>
      <c r="EA134" s="79" cm="1">
        <f t="array" ref="EA134">SUMPRODUCT(($B$2:$B$126=1)*(EA$2:EA$126&gt;=23)*(EA$2:EA$126&lt;=27)*(EA$2:EA$126&lt;&gt;"")*($J$2:$J$126))</f>
        <v>0</v>
      </c>
      <c r="EB134" s="79" cm="1">
        <f t="array" ref="EB134">SUMPRODUCT(($B$2:$B$126=1)*(EB$2:EB$126&gt;=23)*(EB$2:EB$126&lt;=27)*(EB$2:EB$126&lt;&gt;"")*($J$2:$J$126))</f>
        <v>0</v>
      </c>
      <c r="EC134" s="79" cm="1">
        <f t="array" ref="EC134">SUMPRODUCT(($B$2:$B$126=1)*(EC$2:EC$126&gt;=23)*(EC$2:EC$126&lt;=27)*(EC$2:EC$126&lt;&gt;"")*($J$2:$J$126))</f>
        <v>0</v>
      </c>
      <c r="ED134" s="79" cm="1">
        <f t="array" ref="ED134">SUMPRODUCT(($B$2:$B$126=1)*(ED$2:ED$126&gt;=23)*(ED$2:ED$126&lt;=27)*(ED$2:ED$126&lt;&gt;"")*($J$2:$J$126))</f>
        <v>0</v>
      </c>
      <c r="EE134" s="79" cm="1">
        <f t="array" ref="EE134">SUMPRODUCT(($B$2:$B$126=1)*(EE$2:EE$126&gt;=23)*(EE$2:EE$126&lt;=27)*(EE$2:EE$126&lt;&gt;"")*($J$2:$J$126))</f>
        <v>0</v>
      </c>
      <c r="EF134" s="79" cm="1">
        <f t="array" ref="EF134">SUMPRODUCT(($B$2:$B$126=1)*(EF$2:EF$126&gt;=23)*(EF$2:EF$126&lt;=27)*(EF$2:EF$126&lt;&gt;"")*($J$2:$J$126))</f>
        <v>0</v>
      </c>
      <c r="EG134" s="79" cm="1">
        <f t="array" ref="EG134">SUMPRODUCT(($B$2:$B$126=1)*(EG$2:EG$126&gt;=23)*(EG$2:EG$126&lt;=27)*(EG$2:EG$126&lt;&gt;"")*($J$2:$J$126))</f>
        <v>0</v>
      </c>
      <c r="EH134" s="79" cm="1">
        <f t="array" ref="EH134">SUMPRODUCT(($B$2:$B$126=1)*(EH$2:EH$126&gt;=23)*(EH$2:EH$126&lt;=27)*(EH$2:EH$126&lt;&gt;"")*($J$2:$J$126))</f>
        <v>0</v>
      </c>
      <c r="EI134" s="79" cm="1">
        <f t="array" ref="EI134">SUMPRODUCT(($B$2:$B$126=1)*(EI$2:EI$126&gt;=23)*(EI$2:EI$126&lt;=27)*(EI$2:EI$126&lt;&gt;"")*($J$2:$J$126))</f>
        <v>0</v>
      </c>
      <c r="EJ134" s="79" cm="1">
        <f t="array" ref="EJ134">SUMPRODUCT(($B$2:$B$126=1)*(EJ$2:EJ$126&gt;=23)*(EJ$2:EJ$126&lt;=27)*(EJ$2:EJ$126&lt;&gt;"")*($J$2:$J$126))</f>
        <v>0</v>
      </c>
      <c r="EK134" s="79" cm="1">
        <f t="array" ref="EK134">SUMPRODUCT(($B$2:$B$126=1)*(EK$2:EK$126&gt;=23)*(EK$2:EK$126&lt;=27)*(EK$2:EK$126&lt;&gt;"")*($J$2:$J$126))</f>
        <v>0</v>
      </c>
      <c r="EL134" s="79" cm="1">
        <f t="array" ref="EL134">SUMPRODUCT(($B$2:$B$126=1)*(EL$2:EL$126&gt;=23)*(EL$2:EL$126&lt;=27)*(EL$2:EL$126&lt;&gt;"")*($J$2:$J$126))</f>
        <v>0</v>
      </c>
      <c r="EM134" s="79" cm="1">
        <f t="array" ref="EM134">SUMPRODUCT(($B$2:$B$126=1)*(EM$2:EM$126&gt;=23)*(EM$2:EM$126&lt;=27)*(EM$2:EM$126&lt;&gt;"")*($J$2:$J$126))</f>
        <v>0</v>
      </c>
      <c r="EN134" s="79" cm="1">
        <f t="array" ref="EN134">SUMPRODUCT(($B$2:$B$126=1)*(EN$2:EN$126&gt;=23)*(EN$2:EN$126&lt;=27)*(EN$2:EN$126&lt;&gt;"")*($J$2:$J$126))</f>
        <v>0</v>
      </c>
      <c r="EO134" s="79" cm="1">
        <f t="array" ref="EO134">SUMPRODUCT(($B$2:$B$126=1)*(EO$2:EO$126&gt;=23)*(EO$2:EO$126&lt;=27)*(EO$2:EO$126&lt;&gt;"")*($J$2:$J$126))</f>
        <v>0</v>
      </c>
      <c r="EP134" s="79" cm="1">
        <f t="array" ref="EP134">SUMPRODUCT(($B$2:$B$126=1)*(EP$2:EP$126&gt;=23)*(EP$2:EP$126&lt;=27)*(EP$2:EP$126&lt;&gt;"")*($J$2:$J$126))</f>
        <v>0</v>
      </c>
      <c r="EQ134" s="79" cm="1">
        <f t="array" ref="EQ134">SUMPRODUCT(($B$2:$B$126=1)*(EQ$2:EQ$126&gt;=23)*(EQ$2:EQ$126&lt;=27)*(EQ$2:EQ$126&lt;&gt;"")*($J$2:$J$126))</f>
        <v>0</v>
      </c>
      <c r="ER134" s="79" cm="1">
        <f t="array" ref="ER134">SUMPRODUCT(($B$2:$B$126=1)*(ER$2:ER$126&gt;=23)*(ER$2:ER$126&lt;=27)*(ER$2:ER$126&lt;&gt;"")*($J$2:$J$126))</f>
        <v>0</v>
      </c>
      <c r="ES134" s="79" cm="1">
        <f t="array" ref="ES134">SUMPRODUCT(($B$2:$B$126=1)*(ES$2:ES$126&gt;=23)*(ES$2:ES$126&lt;=27)*(ES$2:ES$126&lt;&gt;"")*($J$2:$J$126))</f>
        <v>0</v>
      </c>
      <c r="ET134" s="79" cm="1">
        <f t="array" ref="ET134">SUMPRODUCT(($B$2:$B$126=1)*(ET$2:ET$126&gt;=23)*(ET$2:ET$126&lt;=27)*(ET$2:ET$126&lt;&gt;"")*($J$2:$J$126))</f>
        <v>0</v>
      </c>
      <c r="EU134" s="79" cm="1">
        <f t="array" ref="EU134">SUMPRODUCT(($B$2:$B$126=1)*(EU$2:EU$126&gt;=23)*(EU$2:EU$126&lt;=27)*(EU$2:EU$126&lt;&gt;"")*($J$2:$J$126))</f>
        <v>0</v>
      </c>
      <c r="EV134" s="79" cm="1">
        <f t="array" ref="EV134">SUMPRODUCT(($B$2:$B$126=1)*(EV$2:EV$126&gt;=23)*(EV$2:EV$126&lt;=27)*(EV$2:EV$126&lt;&gt;"")*($J$2:$J$126))</f>
        <v>0</v>
      </c>
      <c r="EW134" s="79" cm="1">
        <f t="array" ref="EW134">SUMPRODUCT(($B$2:$B$126=1)*(EW$2:EW$126&gt;=23)*(EW$2:EW$126&lt;=27)*(EW$2:EW$126&lt;&gt;"")*($J$2:$J$126))</f>
        <v>0</v>
      </c>
      <c r="EX134" s="79" cm="1">
        <f t="array" ref="EX134">SUMPRODUCT(($B$2:$B$126=1)*(EX$2:EX$126&gt;=23)*(EX$2:EX$126&lt;=27)*(EX$2:EX$126&lt;&gt;"")*($J$2:$J$126))</f>
        <v>0</v>
      </c>
      <c r="EY134" s="79" cm="1">
        <f t="array" ref="EY134">SUMPRODUCT(($B$2:$B$126=1)*(EY$2:EY$126&gt;=23)*(EY$2:EY$126&lt;=27)*(EY$2:EY$126&lt;&gt;"")*($J$2:$J$126))</f>
        <v>0</v>
      </c>
      <c r="EZ134" s="79" cm="1">
        <f t="array" ref="EZ134">SUMPRODUCT(($B$2:$B$126=1)*(EZ$2:EZ$126&gt;=23)*(EZ$2:EZ$126&lt;=27)*(EZ$2:EZ$126&lt;&gt;"")*($J$2:$J$126))</f>
        <v>0</v>
      </c>
      <c r="FA134" s="79" cm="1">
        <f t="array" ref="FA134">SUMPRODUCT(($B$2:$B$126=1)*(FA$2:FA$126&gt;=23)*(FA$2:FA$126&lt;=27)*(FA$2:FA$126&lt;&gt;"")*($J$2:$J$126))</f>
        <v>0</v>
      </c>
      <c r="FB134" s="79" cm="1">
        <f t="array" ref="FB134">SUMPRODUCT(($B$2:$B$126=1)*(FB$2:FB$126&gt;=23)*(FB$2:FB$126&lt;=27)*(FB$2:FB$126&lt;&gt;"")*($J$2:$J$126))</f>
        <v>0</v>
      </c>
      <c r="FC134" s="79" cm="1">
        <f t="array" ref="FC134">SUMPRODUCT(($B$2:$B$126=1)*(FC$2:FC$126&gt;=23)*(FC$2:FC$126&lt;=27)*(FC$2:FC$126&lt;&gt;"")*($J$2:$J$126))</f>
        <v>0</v>
      </c>
      <c r="FD134" s="79" cm="1">
        <f t="array" ref="FD134">SUMPRODUCT(($B$2:$B$126=1)*(FD$2:FD$126&gt;=23)*(FD$2:FD$126&lt;=27)*(FD$2:FD$126&lt;&gt;"")*($J$2:$J$126))</f>
        <v>0</v>
      </c>
      <c r="FE134" s="79" cm="1">
        <f t="array" ref="FE134">SUMPRODUCT(($B$2:$B$126=1)*(FE$2:FE$126&gt;=23)*(FE$2:FE$126&lt;=27)*(FE$2:FE$126&lt;&gt;"")*($J$2:$J$126))</f>
        <v>0</v>
      </c>
      <c r="FF134" s="79" cm="1">
        <f t="array" ref="FF134">SUMPRODUCT(($B$2:$B$126=1)*(FF$2:FF$126&gt;=23)*(FF$2:FF$126&lt;=27)*(FF$2:FF$126&lt;&gt;"")*($J$2:$J$126))</f>
        <v>0</v>
      </c>
      <c r="FG134" s="79" cm="1">
        <f t="array" ref="FG134">SUMPRODUCT(($B$2:$B$126=1)*(FG$2:FG$126&gt;=23)*(FG$2:FG$126&lt;=27)*(FG$2:FG$126&lt;&gt;"")*($J$2:$J$126))</f>
        <v>0</v>
      </c>
      <c r="FH134" s="79" cm="1">
        <f t="array" ref="FH134">SUMPRODUCT(($B$2:$B$126=1)*(FH$2:FH$126&gt;=23)*(FH$2:FH$126&lt;=27)*(FH$2:FH$126&lt;&gt;"")*($J$2:$J$126))</f>
        <v>0</v>
      </c>
      <c r="FI134" s="79" cm="1">
        <f t="array" ref="FI134">SUMPRODUCT(($B$2:$B$126=1)*(FI$2:FI$126&gt;=23)*(FI$2:FI$126&lt;=27)*(FI$2:FI$126&lt;&gt;"")*($J$2:$J$126))</f>
        <v>0</v>
      </c>
      <c r="FJ134" s="79" cm="1">
        <f t="array" ref="FJ134">SUMPRODUCT(($B$2:$B$126=1)*(FJ$2:FJ$126&gt;=23)*(FJ$2:FJ$126&lt;=27)*(FJ$2:FJ$126&lt;&gt;"")*($J$2:$J$126))</f>
        <v>0</v>
      </c>
      <c r="FK134" s="79" cm="1">
        <f t="array" ref="FK134">SUMPRODUCT(($B$2:$B$126=1)*(FK$2:FK$126&gt;=23)*(FK$2:FK$126&lt;=27)*(FK$2:FK$126&lt;&gt;"")*($J$2:$J$126))</f>
        <v>0</v>
      </c>
      <c r="FL134" s="79" cm="1">
        <f t="array" ref="FL134">SUMPRODUCT(($B$2:$B$126=1)*(FL$2:FL$126&gt;=23)*(FL$2:FL$126&lt;=27)*(FL$2:FL$126&lt;&gt;"")*($J$2:$J$126))</f>
        <v>0</v>
      </c>
      <c r="FM134" s="79" cm="1">
        <f t="array" ref="FM134">SUMPRODUCT(($B$2:$B$126=1)*(FM$2:FM$126&gt;=23)*(FM$2:FM$126&lt;=27)*(FM$2:FM$126&lt;&gt;"")*($J$2:$J$126))</f>
        <v>0</v>
      </c>
      <c r="FN134" s="79" cm="1">
        <f t="array" ref="FN134">SUMPRODUCT(($B$2:$B$126=1)*(FN$2:FN$126&gt;=23)*(FN$2:FN$126&lt;=27)*(FN$2:FN$126&lt;&gt;"")*($J$2:$J$126))</f>
        <v>0</v>
      </c>
      <c r="FO134" s="79" cm="1">
        <f t="array" ref="FO134">SUMPRODUCT(($B$2:$B$126=1)*(FO$2:FO$126&gt;=23)*(FO$2:FO$126&lt;=27)*(FO$2:FO$126&lt;&gt;"")*($J$2:$J$126))</f>
        <v>0</v>
      </c>
      <c r="FP134" s="79" cm="1">
        <f t="array" ref="FP134">SUMPRODUCT(($B$2:$B$126=1)*(FP$2:FP$126&gt;=23)*(FP$2:FP$126&lt;=27)*(FP$2:FP$126&lt;&gt;"")*($J$2:$J$126))</f>
        <v>0</v>
      </c>
      <c r="FQ134" s="79" cm="1">
        <f t="array" ref="FQ134">SUMPRODUCT(($B$2:$B$126=1)*(FQ$2:FQ$126&gt;=23)*(FQ$2:FQ$126&lt;=27)*(FQ$2:FQ$126&lt;&gt;"")*($J$2:$J$126))</f>
        <v>0</v>
      </c>
      <c r="FR134" s="79" cm="1">
        <f t="array" ref="FR134">SUMPRODUCT(($B$2:$B$126=1)*(FR$2:FR$126&gt;=23)*(FR$2:FR$126&lt;=27)*(FR$2:FR$126&lt;&gt;"")*($J$2:$J$126))</f>
        <v>0</v>
      </c>
      <c r="FS134" s="79" cm="1">
        <f t="array" ref="FS134">SUMPRODUCT(($B$2:$B$126=1)*(FS$2:FS$126&gt;=23)*(FS$2:FS$126&lt;=27)*(FS$2:FS$126&lt;&gt;"")*($J$2:$J$126))</f>
        <v>0</v>
      </c>
      <c r="FT134" s="79" cm="1">
        <f t="array" ref="FT134">SUMPRODUCT(($B$2:$B$126=1)*(FT$2:FT$126&gt;=23)*(FT$2:FT$126&lt;=27)*(FT$2:FT$126&lt;&gt;"")*($J$2:$J$126))</f>
        <v>0</v>
      </c>
      <c r="FU134" s="79" cm="1">
        <f t="array" ref="FU134">SUMPRODUCT(($B$2:$B$126=1)*(FU$2:FU$126&gt;=23)*(FU$2:FU$126&lt;=27)*(FU$2:FU$126&lt;&gt;"")*($J$2:$J$126))</f>
        <v>0</v>
      </c>
      <c r="FV134" s="79" cm="1">
        <f t="array" ref="FV134">SUMPRODUCT(($B$2:$B$126=1)*(FV$2:FV$126&gt;=23)*(FV$2:FV$126&lt;=27)*(FV$2:FV$126&lt;&gt;"")*($J$2:$J$126))</f>
        <v>0</v>
      </c>
      <c r="FW134" s="79" cm="1">
        <f t="array" ref="FW134">SUMPRODUCT(($B$2:$B$126=1)*(FW$2:FW$126&gt;=23)*(FW$2:FW$126&lt;=27)*(FW$2:FW$126&lt;&gt;"")*($J$2:$J$126))</f>
        <v>0</v>
      </c>
      <c r="FX134" s="79" cm="1">
        <f t="array" ref="FX134">SUMPRODUCT(($B$2:$B$126=1)*(FX$2:FX$126&gt;=23)*(FX$2:FX$126&lt;=27)*(FX$2:FX$126&lt;&gt;"")*($J$2:$J$126))</f>
        <v>0</v>
      </c>
      <c r="FY134" s="79" cm="1">
        <f t="array" ref="FY134">SUMPRODUCT(($B$2:$B$126=1)*(FY$2:FY$126&gt;=23)*(FY$2:FY$126&lt;=27)*(FY$2:FY$126&lt;&gt;"")*($J$2:$J$126))</f>
        <v>0</v>
      </c>
      <c r="FZ134" s="79" cm="1">
        <f t="array" ref="FZ134">SUMPRODUCT(($B$2:$B$126=1)*(FZ$2:FZ$126&gt;=23)*(FZ$2:FZ$126&lt;=27)*(FZ$2:FZ$126&lt;&gt;"")*($J$2:$J$126))</f>
        <v>0</v>
      </c>
      <c r="GA134" s="79" cm="1">
        <f t="array" ref="GA134">SUMPRODUCT(($B$2:$B$126=1)*(GA$2:GA$126&gt;=23)*(GA$2:GA$126&lt;=27)*(GA$2:GA$126&lt;&gt;"")*($J$2:$J$126))</f>
        <v>0</v>
      </c>
      <c r="GB134" s="79" cm="1">
        <f t="array" ref="GB134">SUMPRODUCT(($B$2:$B$126=1)*(GB$2:GB$126&gt;=23)*(GB$2:GB$126&lt;=27)*(GB$2:GB$126&lt;&gt;"")*($J$2:$J$126))</f>
        <v>0</v>
      </c>
      <c r="GC134" s="79" cm="1">
        <f t="array" ref="GC134">SUMPRODUCT(($B$2:$B$126=1)*(GC$2:GC$126&gt;=23)*(GC$2:GC$126&lt;=27)*(GC$2:GC$126&lt;&gt;"")*($J$2:$J$126))</f>
        <v>0</v>
      </c>
      <c r="GD134" s="79" cm="1">
        <f t="array" ref="GD134">SUMPRODUCT(($B$2:$B$126=1)*(GD$2:GD$126&gt;=23)*(GD$2:GD$126&lt;=27)*(GD$2:GD$126&lt;&gt;"")*($J$2:$J$126))</f>
        <v>0</v>
      </c>
      <c r="GE134" s="79" cm="1">
        <f t="array" ref="GE134">SUMPRODUCT(($B$2:$B$126=1)*(GE$2:GE$126&gt;=23)*(GE$2:GE$126&lt;=27)*(GE$2:GE$126&lt;&gt;"")*($J$2:$J$126))</f>
        <v>0</v>
      </c>
      <c r="GF134" s="79" cm="1">
        <f t="array" ref="GF134">SUMPRODUCT(($B$2:$B$126=1)*(GF$2:GF$126&gt;=23)*(GF$2:GF$126&lt;=27)*(GF$2:GF$126&lt;&gt;"")*($J$2:$J$126))</f>
        <v>0</v>
      </c>
      <c r="GG134" s="79" cm="1">
        <f t="array" ref="GG134">SUMPRODUCT(($B$2:$B$126=1)*(GG$2:GG$126&gt;=23)*(GG$2:GG$126&lt;=27)*(GG$2:GG$126&lt;&gt;"")*($J$2:$J$126))</f>
        <v>0</v>
      </c>
      <c r="GH134" s="79" cm="1">
        <f t="array" ref="GH134">SUMPRODUCT(($B$2:$B$126=1)*(GH$2:GH$126&gt;=23)*(GH$2:GH$126&lt;=27)*(GH$2:GH$126&lt;&gt;"")*($J$2:$J$126))</f>
        <v>0</v>
      </c>
      <c r="GI134" s="79" cm="1">
        <f t="array" ref="GI134">SUMPRODUCT(($B$2:$B$126=1)*(GI$2:GI$126&gt;=23)*(GI$2:GI$126&lt;=27)*(GI$2:GI$126&lt;&gt;"")*($J$2:$J$126))</f>
        <v>0</v>
      </c>
      <c r="GJ134" s="79" cm="1">
        <f t="array" ref="GJ134">SUMPRODUCT(($B$2:$B$126=1)*(GJ$2:GJ$126&gt;=23)*(GJ$2:GJ$126&lt;=27)*(GJ$2:GJ$126&lt;&gt;"")*($J$2:$J$126))</f>
        <v>0</v>
      </c>
      <c r="GK134" s="79" cm="1">
        <f t="array" ref="GK134">SUMPRODUCT(($B$2:$B$126=1)*(GK$2:GK$126&gt;=23)*(GK$2:GK$126&lt;=27)*(GK$2:GK$126&lt;&gt;"")*($J$2:$J$126))</f>
        <v>0</v>
      </c>
      <c r="GL134" s="79" cm="1">
        <f t="array" ref="GL134">SUMPRODUCT(($B$2:$B$126=1)*(GL$2:GL$126&gt;=23)*(GL$2:GL$126&lt;=27)*(GL$2:GL$126&lt;&gt;"")*($J$2:$J$126))</f>
        <v>0</v>
      </c>
      <c r="GM134" s="79" cm="1">
        <f t="array" ref="GM134">SUMPRODUCT(($B$2:$B$126=1)*(GM$2:GM$126&gt;=23)*(GM$2:GM$126&lt;=27)*(GM$2:GM$126&lt;&gt;"")*($J$2:$J$126))</f>
        <v>0</v>
      </c>
      <c r="GN134" s="79" cm="1">
        <f t="array" ref="GN134">SUMPRODUCT(($B$2:$B$126=1)*(GN$2:GN$126&gt;=23)*(GN$2:GN$126&lt;=27)*(GN$2:GN$126&lt;&gt;"")*($J$2:$J$126))</f>
        <v>0</v>
      </c>
      <c r="GO134" s="79" cm="1">
        <f t="array" ref="GO134">SUMPRODUCT(($B$2:$B$126=1)*(GO$2:GO$126&gt;=23)*(GO$2:GO$126&lt;=27)*(GO$2:GO$126&lt;&gt;"")*($J$2:$J$126))</f>
        <v>0</v>
      </c>
      <c r="GP134" s="79" cm="1">
        <f t="array" ref="GP134">SUMPRODUCT(($B$2:$B$126=1)*(GP$2:GP$126&gt;=23)*(GP$2:GP$126&lt;=27)*(GP$2:GP$126&lt;&gt;"")*($J$2:$J$126))</f>
        <v>0</v>
      </c>
      <c r="GQ134" s="79" cm="1">
        <f t="array" ref="GQ134">SUMPRODUCT(($B$2:$B$126=1)*(GQ$2:GQ$126&gt;=23)*(GQ$2:GQ$126&lt;=27)*(GQ$2:GQ$126&lt;&gt;"")*($J$2:$J$126))</f>
        <v>0</v>
      </c>
      <c r="GR134" s="79" cm="1">
        <f t="array" ref="GR134">SUMPRODUCT(($B$2:$B$126=1)*(GR$2:GR$126&gt;=23)*(GR$2:GR$126&lt;=27)*(GR$2:GR$126&lt;&gt;"")*($J$2:$J$126))</f>
        <v>0</v>
      </c>
      <c r="GS134" s="79" cm="1">
        <f t="array" ref="GS134">SUMPRODUCT(($B$2:$B$126=1)*(GS$2:GS$126&gt;=23)*(GS$2:GS$126&lt;=27)*(GS$2:GS$126&lt;&gt;"")*($J$2:$J$126))</f>
        <v>0</v>
      </c>
      <c r="GT134" s="79" cm="1">
        <f t="array" ref="GT134">SUMPRODUCT(($B$2:$B$126=1)*(GT$2:GT$126&gt;=23)*(GT$2:GT$126&lt;=27)*(GT$2:GT$126&lt;&gt;"")*($J$2:$J$126))</f>
        <v>0</v>
      </c>
      <c r="GU134" s="79" cm="1">
        <f t="array" ref="GU134">SUMPRODUCT(($B$2:$B$126=1)*(GU$2:GU$126&gt;=23)*(GU$2:GU$126&lt;=27)*(GU$2:GU$126&lt;&gt;"")*($J$2:$J$126))</f>
        <v>0</v>
      </c>
      <c r="GV134" s="79" cm="1">
        <f t="array" ref="GV134">SUMPRODUCT(($B$2:$B$126=1)*(GV$2:GV$126&gt;=23)*(GV$2:GV$126&lt;=27)*(GV$2:GV$126&lt;&gt;"")*($J$2:$J$126))</f>
        <v>0</v>
      </c>
      <c r="GW134" s="79" cm="1">
        <f t="array" ref="GW134">SUMPRODUCT(($B$2:$B$126=1)*(GW$2:GW$126&gt;=23)*(GW$2:GW$126&lt;=27)*(GW$2:GW$126&lt;&gt;"")*($J$2:$J$126))</f>
        <v>0</v>
      </c>
      <c r="GX134" s="79" cm="1">
        <f t="array" ref="GX134">SUMPRODUCT(($B$2:$B$126=1)*(GX$2:GX$126&gt;=23)*(GX$2:GX$126&lt;=27)*(GX$2:GX$126&lt;&gt;"")*($J$2:$J$126))</f>
        <v>0</v>
      </c>
    </row>
    <row r="135" spans="1:206" x14ac:dyDescent="0.2">
      <c r="A135" s="84">
        <v>1</v>
      </c>
      <c r="B135" s="84" t="s">
        <v>259</v>
      </c>
      <c r="T135" s="105" t="s">
        <v>260</v>
      </c>
      <c r="U135" s="106">
        <v>157000000</v>
      </c>
      <c r="W135" s="79" cm="1">
        <f t="array" ref="W135">SUMPRODUCT(($B$2:$B$126=1)*(W$2:W$126&gt;=28)*(W$2:W$126&lt;=999)*(W$2:W$126&lt;&gt;"")*($J$2:$J$126))</f>
        <v>132.56</v>
      </c>
      <c r="X135" s="79" cm="1">
        <f t="array" ref="X135">SUMPRODUCT(($B$2:$B$126=1)*(X$2:X$126&gt;=28)*(X$2:X$126&lt;=999)*(X$2:X$126&lt;&gt;"")*($J$2:$J$126))</f>
        <v>132.56</v>
      </c>
      <c r="Y135" s="79" cm="1">
        <f t="array" ref="Y135">SUMPRODUCT(($B$2:$B$126=1)*(Y$2:Y$126&gt;=28)*(Y$2:Y$126&lt;=999)*(Y$2:Y$126&lt;&gt;"")*($J$2:$J$126))</f>
        <v>132.56</v>
      </c>
      <c r="Z135" s="79" cm="1">
        <f t="array" ref="Z135">SUMPRODUCT(($B$2:$B$126=1)*(Z$2:Z$126&gt;=28)*(Z$2:Z$126&lt;=999)*(Z$2:Z$126&lt;&gt;"")*($J$2:$J$126))</f>
        <v>132.56</v>
      </c>
      <c r="AA135" s="79" cm="1">
        <f t="array" ref="AA135">SUMPRODUCT(($B$2:$B$126=1)*(AA$2:AA$126&gt;=28)*(AA$2:AA$126&lt;=999)*(AA$2:AA$126&lt;&gt;"")*($J$2:$J$126))</f>
        <v>132.56</v>
      </c>
      <c r="AB135" s="79" cm="1">
        <f t="array" ref="AB135">SUMPRODUCT(($B$2:$B$126=1)*(AB$2:AB$126&gt;=28)*(AB$2:AB$126&lt;=999)*(AB$2:AB$126&lt;&gt;"")*($J$2:$J$126))</f>
        <v>93.18</v>
      </c>
      <c r="AC135" s="79" cm="1">
        <f t="array" ref="AC135">SUMPRODUCT(($B$2:$B$126=1)*(AC$2:AC$126&gt;=28)*(AC$2:AC$126&lt;=999)*(AC$2:AC$126&lt;&gt;"")*($J$2:$J$126))</f>
        <v>141.99</v>
      </c>
      <c r="AD135" s="79" cm="1">
        <f t="array" ref="AD135">SUMPRODUCT(($B$2:$B$126=1)*(AD$2:AD$126&gt;=28)*(AD$2:AD$126&lt;=999)*(AD$2:AD$126&lt;&gt;"")*($J$2:$J$126))</f>
        <v>185.07</v>
      </c>
      <c r="AE135" s="79" cm="1">
        <f t="array" ref="AE135">SUMPRODUCT(($B$2:$B$126=1)*(AE$2:AE$126&gt;=28)*(AE$2:AE$126&lt;=999)*(AE$2:AE$126&lt;&gt;"")*($J$2:$J$126))</f>
        <v>169.49</v>
      </c>
      <c r="AF135" s="79" cm="1">
        <f t="array" ref="AF135">SUMPRODUCT(($B$2:$B$126=1)*(AF$2:AF$126&gt;=28)*(AF$2:AF$126&lt;=999)*(AF$2:AF$126&lt;&gt;"")*($J$2:$J$126))</f>
        <v>169.49</v>
      </c>
      <c r="AG135" s="79" cm="1">
        <f t="array" ref="AG135">SUMPRODUCT(($B$2:$B$126=1)*(AG$2:AG$126&gt;=28)*(AG$2:AG$126&lt;=999)*(AG$2:AG$126&lt;&gt;"")*($J$2:$J$126))</f>
        <v>252.87</v>
      </c>
      <c r="AH135" s="79" cm="1">
        <f t="array" ref="AH135">SUMPRODUCT(($B$2:$B$126=1)*(AH$2:AH$126&gt;=28)*(AH$2:AH$126&lt;=999)*(AH$2:AH$126&lt;&gt;"")*($J$2:$J$126))</f>
        <v>214.94</v>
      </c>
      <c r="AI135" s="79" cm="1">
        <f t="array" ref="AI135">SUMPRODUCT(($B$2:$B$126=1)*(AI$2:AI$126&gt;=28)*(AI$2:AI$126&lt;=999)*(AI$2:AI$126&lt;&gt;"")*($J$2:$J$126))</f>
        <v>166.13</v>
      </c>
      <c r="AJ135" s="79" cm="1">
        <f t="array" ref="AJ135">SUMPRODUCT(($B$2:$B$126=1)*(AJ$2:AJ$126&gt;=28)*(AJ$2:AJ$126&lt;=999)*(AJ$2:AJ$126&lt;&gt;"")*($J$2:$J$126))</f>
        <v>166.13</v>
      </c>
      <c r="AK135" s="79" cm="1">
        <f t="array" ref="AK135">SUMPRODUCT(($B$2:$B$126=1)*(AK$2:AK$126&gt;=28)*(AK$2:AK$126&lt;=999)*(AK$2:AK$126&lt;&gt;"")*($J$2:$J$126))</f>
        <v>169.36</v>
      </c>
      <c r="AL135" s="79" cm="1">
        <f t="array" ref="AL135">SUMPRODUCT(($B$2:$B$126=1)*(AL$2:AL$126&gt;=28)*(AL$2:AL$126&lt;=999)*(AL$2:AL$126&lt;&gt;"")*($J$2:$J$126))</f>
        <v>129.69</v>
      </c>
      <c r="AM135" s="79" cm="1">
        <f t="array" ref="AM135">SUMPRODUCT(($B$2:$B$126=1)*(AM$2:AM$126&gt;=28)*(AM$2:AM$126&lt;=999)*(AM$2:AM$126&lt;&gt;"")*($J$2:$J$126))</f>
        <v>108.17</v>
      </c>
      <c r="AN135" s="79" cm="1">
        <f t="array" ref="AN135">SUMPRODUCT(($B$2:$B$126=1)*(AN$2:AN$126&gt;=28)*(AN$2:AN$126&lt;=999)*(AN$2:AN$126&lt;&gt;"")*($J$2:$J$126))</f>
        <v>158.27000000000001</v>
      </c>
      <c r="AO135" s="79" cm="1">
        <f t="array" ref="AO135">SUMPRODUCT(($B$2:$B$126=1)*(AO$2:AO$126&gt;=28)*(AO$2:AO$126&lt;=999)*(AO$2:AO$126&lt;&gt;"")*($J$2:$J$126))</f>
        <v>158.27000000000001</v>
      </c>
      <c r="AP135" s="79" cm="1">
        <f t="array" ref="AP135">SUMPRODUCT(($B$2:$B$126=1)*(AP$2:AP$126&gt;=28)*(AP$2:AP$126&lt;=999)*(AP$2:AP$126&lt;&gt;"")*($J$2:$J$126))</f>
        <v>158.27000000000001</v>
      </c>
      <c r="AQ135" s="79" cm="1">
        <f t="array" ref="AQ135">SUMPRODUCT(($B$2:$B$126=1)*(AQ$2:AQ$126&gt;=28)*(AQ$2:AQ$126&lt;=999)*(AQ$2:AQ$126&lt;&gt;"")*($J$2:$J$126))</f>
        <v>132.91</v>
      </c>
      <c r="AR135" s="79" cm="1">
        <f t="array" ref="AR135">SUMPRODUCT(($B$2:$B$126=1)*(AR$2:AR$126&gt;=28)*(AR$2:AR$126&lt;=999)*(AR$2:AR$126&lt;&gt;"")*($J$2:$J$126))</f>
        <v>86.6</v>
      </c>
      <c r="AS135" s="79" cm="1">
        <f t="array" ref="AS135">SUMPRODUCT(($B$2:$B$126=1)*(AS$2:AS$126&gt;=28)*(AS$2:AS$126&lt;=999)*(AS$2:AS$126&lt;&gt;"")*($J$2:$J$126))</f>
        <v>36.5</v>
      </c>
      <c r="AT135" s="79" cm="1">
        <f t="array" ref="AT135">SUMPRODUCT(($B$2:$B$126=1)*(AT$2:AT$126&gt;=28)*(AT$2:AT$126&lt;=999)*(AT$2:AT$126&lt;&gt;"")*($J$2:$J$126))</f>
        <v>55.39</v>
      </c>
      <c r="AU135" s="79" cm="1">
        <f t="array" ref="AU135">SUMPRODUCT(($B$2:$B$126=1)*(AU$2:AU$126&gt;=28)*(AU$2:AU$126&lt;=999)*(AU$2:AU$126&lt;&gt;"")*($J$2:$J$126))</f>
        <v>18.89</v>
      </c>
      <c r="AV135" s="79" cm="1">
        <f t="array" ref="AV135">SUMPRODUCT(($B$2:$B$126=1)*(AV$2:AV$126&gt;=28)*(AV$2:AV$126&lt;=999)*(AV$2:AV$126&lt;&gt;"")*($J$2:$J$126))</f>
        <v>18.89</v>
      </c>
      <c r="AW135" s="79" cm="1">
        <f t="array" ref="AW135">SUMPRODUCT(($B$2:$B$126=1)*(AW$2:AW$126&gt;=28)*(AW$2:AW$126&lt;=999)*(AW$2:AW$126&lt;&gt;"")*($J$2:$J$126))</f>
        <v>0</v>
      </c>
      <c r="AX135" s="79" cm="1">
        <f t="array" ref="AX135">SUMPRODUCT(($B$2:$B$126=1)*(AX$2:AX$126&gt;=28)*(AX$2:AX$126&lt;=999)*(AX$2:AX$126&lt;&gt;"")*($J$2:$J$126))</f>
        <v>0</v>
      </c>
      <c r="AY135" s="79" cm="1">
        <f t="array" ref="AY135">SUMPRODUCT(($B$2:$B$126=1)*(AY$2:AY$126&gt;=28)*(AY$2:AY$126&lt;=999)*(AY$2:AY$126&lt;&gt;"")*($J$2:$J$126))</f>
        <v>0</v>
      </c>
      <c r="AZ135" s="79" cm="1">
        <f t="array" ref="AZ135">SUMPRODUCT(($B$2:$B$126=1)*(AZ$2:AZ$126&gt;=28)*(AZ$2:AZ$126&lt;=999)*(AZ$2:AZ$126&lt;&gt;"")*($J$2:$J$126))</f>
        <v>0</v>
      </c>
      <c r="BA135" s="79" cm="1">
        <f t="array" ref="BA135">SUMPRODUCT(($B$2:$B$126=1)*(BA$2:BA$126&gt;=28)*(BA$2:BA$126&lt;=999)*(BA$2:BA$126&lt;&gt;"")*($J$2:$J$126))</f>
        <v>0</v>
      </c>
      <c r="BB135" s="79" cm="1">
        <f t="array" ref="BB135">SUMPRODUCT(($B$2:$B$126=1)*(BB$2:BB$126&gt;=28)*(BB$2:BB$126&lt;=999)*(BB$2:BB$126&lt;&gt;"")*($J$2:$J$126))</f>
        <v>0</v>
      </c>
      <c r="BC135" s="79" cm="1">
        <f t="array" ref="BC135">SUMPRODUCT(($B$2:$B$126=1)*(BC$2:BC$126&gt;=28)*(BC$2:BC$126&lt;=999)*(BC$2:BC$126&lt;&gt;"")*($J$2:$J$126))</f>
        <v>0</v>
      </c>
      <c r="BD135" s="79" cm="1">
        <f t="array" ref="BD135">SUMPRODUCT(($B$2:$B$126=1)*(BD$2:BD$126&gt;=28)*(BD$2:BD$126&lt;=999)*(BD$2:BD$126&lt;&gt;"")*($J$2:$J$126))</f>
        <v>0</v>
      </c>
      <c r="BE135" s="79" cm="1">
        <f t="array" ref="BE135">SUMPRODUCT(($B$2:$B$126=1)*(BE$2:BE$126&gt;=28)*(BE$2:BE$126&lt;=999)*(BE$2:BE$126&lt;&gt;"")*($J$2:$J$126))</f>
        <v>0</v>
      </c>
      <c r="BF135" s="79" cm="1">
        <f t="array" ref="BF135">SUMPRODUCT(($B$2:$B$126=1)*(BF$2:BF$126&gt;=28)*(BF$2:BF$126&lt;=999)*(BF$2:BF$126&lt;&gt;"")*($J$2:$J$126))</f>
        <v>0</v>
      </c>
      <c r="BG135" s="79" cm="1">
        <f t="array" ref="BG135">SUMPRODUCT(($B$2:$B$126=1)*(BG$2:BG$126&gt;=28)*(BG$2:BG$126&lt;=999)*(BG$2:BG$126&lt;&gt;"")*($J$2:$J$126))</f>
        <v>0</v>
      </c>
      <c r="BH135" s="79" cm="1">
        <f t="array" ref="BH135">SUMPRODUCT(($B$2:$B$126=1)*(BH$2:BH$126&gt;=28)*(BH$2:BH$126&lt;=999)*(BH$2:BH$126&lt;&gt;"")*($J$2:$J$126))</f>
        <v>0</v>
      </c>
      <c r="BI135" s="79" cm="1">
        <f t="array" ref="BI135">SUMPRODUCT(($B$2:$B$126=1)*(BI$2:BI$126&gt;=28)*(BI$2:BI$126&lt;=999)*(BI$2:BI$126&lt;&gt;"")*($J$2:$J$126))</f>
        <v>0</v>
      </c>
      <c r="BJ135" s="79" cm="1">
        <f t="array" ref="BJ135">SUMPRODUCT(($B$2:$B$126=1)*(BJ$2:BJ$126&gt;=28)*(BJ$2:BJ$126&lt;=999)*(BJ$2:BJ$126&lt;&gt;"")*($J$2:$J$126))</f>
        <v>0</v>
      </c>
      <c r="BK135" s="79" cm="1">
        <f t="array" ref="BK135">SUMPRODUCT(($B$2:$B$126=1)*(BK$2:BK$126&gt;=28)*(BK$2:BK$126&lt;=999)*(BK$2:BK$126&lt;&gt;"")*($J$2:$J$126))</f>
        <v>0</v>
      </c>
      <c r="BL135" s="79" cm="1">
        <f t="array" ref="BL135">SUMPRODUCT(($B$2:$B$126=1)*(BL$2:BL$126&gt;=28)*(BL$2:BL$126&lt;=999)*(BL$2:BL$126&lt;&gt;"")*($J$2:$J$126))</f>
        <v>0</v>
      </c>
      <c r="BM135" s="79" cm="1">
        <f t="array" ref="BM135">SUMPRODUCT(($B$2:$B$126=1)*(BM$2:BM$126&gt;=28)*(BM$2:BM$126&lt;=999)*(BM$2:BM$126&lt;&gt;"")*($J$2:$J$126))</f>
        <v>0</v>
      </c>
      <c r="BN135" s="79" cm="1">
        <f t="array" ref="BN135">SUMPRODUCT(($B$2:$B$126=1)*(BN$2:BN$126&gt;=28)*(BN$2:BN$126&lt;=999)*(BN$2:BN$126&lt;&gt;"")*($J$2:$J$126))</f>
        <v>0</v>
      </c>
      <c r="BO135" s="79" cm="1">
        <f t="array" ref="BO135">SUMPRODUCT(($B$2:$B$126=1)*(BO$2:BO$126&gt;=28)*(BO$2:BO$126&lt;=999)*(BO$2:BO$126&lt;&gt;"")*($J$2:$J$126))</f>
        <v>0</v>
      </c>
      <c r="BP135" s="79" cm="1">
        <f t="array" ref="BP135">SUMPRODUCT(($B$2:$B$126=1)*(BP$2:BP$126&gt;=28)*(BP$2:BP$126&lt;=999)*(BP$2:BP$126&lt;&gt;"")*($J$2:$J$126))</f>
        <v>0</v>
      </c>
      <c r="BQ135" s="79" cm="1">
        <f t="array" ref="BQ135">SUMPRODUCT(($B$2:$B$126=1)*(BQ$2:BQ$126&gt;=28)*(BQ$2:BQ$126&lt;=999)*(BQ$2:BQ$126&lt;&gt;"")*($J$2:$J$126))</f>
        <v>0</v>
      </c>
      <c r="BR135" s="79" cm="1">
        <f t="array" ref="BR135">SUMPRODUCT(($B$2:$B$126=1)*(BR$2:BR$126&gt;=28)*(BR$2:BR$126&lt;=999)*(BR$2:BR$126&lt;&gt;"")*($J$2:$J$126))</f>
        <v>0</v>
      </c>
      <c r="BS135" s="79" cm="1">
        <f t="array" ref="BS135">SUMPRODUCT(($B$2:$B$126=1)*(BS$2:BS$126&gt;=28)*(BS$2:BS$126&lt;=999)*(BS$2:BS$126&lt;&gt;"")*($J$2:$J$126))</f>
        <v>0</v>
      </c>
      <c r="BT135" s="79" cm="1">
        <f t="array" ref="BT135">SUMPRODUCT(($B$2:$B$126=1)*(BT$2:BT$126&gt;=28)*(BT$2:BT$126&lt;=999)*(BT$2:BT$126&lt;&gt;"")*($J$2:$J$126))</f>
        <v>0</v>
      </c>
      <c r="BU135" s="79" cm="1">
        <f t="array" ref="BU135">SUMPRODUCT(($B$2:$B$126=1)*(BU$2:BU$126&gt;=28)*(BU$2:BU$126&lt;=999)*(BU$2:BU$126&lt;&gt;"")*($J$2:$J$126))</f>
        <v>0</v>
      </c>
      <c r="BV135" s="79" cm="1">
        <f t="array" ref="BV135">SUMPRODUCT(($B$2:$B$126=1)*(BV$2:BV$126&gt;=28)*(BV$2:BV$126&lt;=999)*(BV$2:BV$126&lt;&gt;"")*($J$2:$J$126))</f>
        <v>0</v>
      </c>
      <c r="BW135" s="79" cm="1">
        <f t="array" ref="BW135">SUMPRODUCT(($B$2:$B$126=1)*(BW$2:BW$126&gt;=28)*(BW$2:BW$126&lt;=999)*(BW$2:BW$126&lt;&gt;"")*($J$2:$J$126))</f>
        <v>0</v>
      </c>
      <c r="BX135" s="79" cm="1">
        <f t="array" ref="BX135">SUMPRODUCT(($B$2:$B$126=1)*(BX$2:BX$126&gt;=28)*(BX$2:BX$126&lt;=999)*(BX$2:BX$126&lt;&gt;"")*($J$2:$J$126))</f>
        <v>0</v>
      </c>
      <c r="BY135" s="79" cm="1">
        <f t="array" ref="BY135">SUMPRODUCT(($B$2:$B$126=1)*(BY$2:BY$126&gt;=28)*(BY$2:BY$126&lt;=999)*(BY$2:BY$126&lt;&gt;"")*($J$2:$J$126))</f>
        <v>65.150000000000006</v>
      </c>
      <c r="BZ135" s="79" cm="1">
        <f t="array" ref="BZ135">SUMPRODUCT(($B$2:$B$126=1)*(BZ$2:BZ$126&gt;=28)*(BZ$2:BZ$126&lt;=999)*(BZ$2:BZ$126&lt;&gt;"")*($J$2:$J$126))</f>
        <v>104.53</v>
      </c>
      <c r="CA135" s="79" cm="1">
        <f t="array" ref="CA135">SUMPRODUCT(($B$2:$B$126=1)*(CA$2:CA$126&gt;=28)*(CA$2:CA$126&lt;=999)*(CA$2:CA$126&lt;&gt;"")*($J$2:$J$126))</f>
        <v>159.78</v>
      </c>
      <c r="CB135" s="79" cm="1">
        <f t="array" ref="CB135">SUMPRODUCT(($B$2:$B$126=1)*(CB$2:CB$126&gt;=28)*(CB$2:CB$126&lt;=999)*(CB$2:CB$126&lt;&gt;"")*($J$2:$J$126))</f>
        <v>197.70999999999998</v>
      </c>
      <c r="CC135" s="79" cm="1">
        <f t="array" ref="CC135">SUMPRODUCT(($B$2:$B$126=1)*(CC$2:CC$126&gt;=28)*(CC$2:CC$126&lt;=999)*(CC$2:CC$126&lt;&gt;"")*($J$2:$J$126))</f>
        <v>289.59999999999997</v>
      </c>
      <c r="CD135" s="79" cm="1">
        <f t="array" ref="CD135">SUMPRODUCT(($B$2:$B$126=1)*(CD$2:CD$126&gt;=28)*(CD$2:CD$126&lt;=999)*(CD$2:CD$126&lt;&gt;"")*($J$2:$J$126))</f>
        <v>329.27</v>
      </c>
      <c r="CE135" s="79" cm="1">
        <f t="array" ref="CE135">SUMPRODUCT(($B$2:$B$126=1)*(CE$2:CE$126&gt;=28)*(CE$2:CE$126&lt;=999)*(CE$2:CE$126&lt;&gt;"")*($J$2:$J$126))</f>
        <v>329.27</v>
      </c>
      <c r="CF135" s="79" cm="1">
        <f t="array" ref="CF135">SUMPRODUCT(($B$2:$B$126=1)*(CF$2:CF$126&gt;=28)*(CF$2:CF$126&lt;=999)*(CF$2:CF$126&lt;&gt;"")*($J$2:$J$126))</f>
        <v>350.78999999999996</v>
      </c>
      <c r="CG135" s="79" cm="1">
        <f t="array" ref="CG135">SUMPRODUCT(($B$2:$B$126=1)*(CG$2:CG$126&gt;=28)*(CG$2:CG$126&lt;=999)*(CG$2:CG$126&lt;&gt;"")*($J$2:$J$126))</f>
        <v>350.78999999999996</v>
      </c>
      <c r="CH135" s="79" cm="1">
        <f t="array" ref="CH135">SUMPRODUCT(($B$2:$B$126=1)*(CH$2:CH$126&gt;=28)*(CH$2:CH$126&lt;=999)*(CH$2:CH$126&lt;&gt;"")*($J$2:$J$126))</f>
        <v>350.78999999999996</v>
      </c>
      <c r="CI135" s="79" cm="1">
        <f t="array" ref="CI135">SUMPRODUCT(($B$2:$B$126=1)*(CI$2:CI$126&gt;=28)*(CI$2:CI$126&lt;=999)*(CI$2:CI$126&lt;&gt;"")*($J$2:$J$126))</f>
        <v>350.78999999999996</v>
      </c>
      <c r="CJ135" s="79" cm="1">
        <f t="array" ref="CJ135">SUMPRODUCT(($B$2:$B$126=1)*(CJ$2:CJ$126&gt;=28)*(CJ$2:CJ$126&lt;=999)*(CJ$2:CJ$126&lt;&gt;"")*($J$2:$J$126))</f>
        <v>350.78999999999996</v>
      </c>
      <c r="CK135" s="79" cm="1">
        <f t="array" ref="CK135">SUMPRODUCT(($B$2:$B$126=1)*(CK$2:CK$126&gt;=28)*(CK$2:CK$126&lt;=999)*(CK$2:CK$126&lt;&gt;"")*($J$2:$J$126))</f>
        <v>350.78999999999996</v>
      </c>
      <c r="CL135" s="79" cm="1">
        <f t="array" ref="CL135">SUMPRODUCT(($B$2:$B$126=1)*(CL$2:CL$126&gt;=28)*(CL$2:CL$126&lt;=999)*(CL$2:CL$126&lt;&gt;"")*($J$2:$J$126))</f>
        <v>350.78999999999996</v>
      </c>
      <c r="CM135" s="79" cm="1">
        <f t="array" ref="CM135">SUMPRODUCT(($B$2:$B$126=1)*(CM$2:CM$126&gt;=28)*(CM$2:CM$126&lt;=999)*(CM$2:CM$126&lt;&gt;"")*($J$2:$J$126))</f>
        <v>412.65</v>
      </c>
      <c r="CN135" s="79" cm="1">
        <f t="array" ref="CN135">SUMPRODUCT(($B$2:$B$126=1)*(CN$2:CN$126&gt;=28)*(CN$2:CN$126&lt;=999)*(CN$2:CN$126&lt;&gt;"")*($J$2:$J$126))</f>
        <v>458.96</v>
      </c>
      <c r="CO135" s="79" cm="1">
        <f t="array" ref="CO135">SUMPRODUCT(($B$2:$B$126=1)*(CO$2:CO$126&gt;=28)*(CO$2:CO$126&lt;=999)*(CO$2:CO$126&lt;&gt;"")*($J$2:$J$126))</f>
        <v>509.06</v>
      </c>
      <c r="CP135" s="79" cm="1">
        <f t="array" ref="CP135">SUMPRODUCT(($B$2:$B$126=1)*(CP$2:CP$126&gt;=28)*(CP$2:CP$126&lt;=999)*(CP$2:CP$126&lt;&gt;"")*($J$2:$J$126))</f>
        <v>509.06</v>
      </c>
      <c r="CQ135" s="79" cm="1">
        <f t="array" ref="CQ135">SUMPRODUCT(($B$2:$B$126=1)*(CQ$2:CQ$126&gt;=28)*(CQ$2:CQ$126&lt;=999)*(CQ$2:CQ$126&lt;&gt;"")*($J$2:$J$126))</f>
        <v>545.56000000000006</v>
      </c>
      <c r="CR135" s="79" cm="1">
        <f t="array" ref="CR135">SUMPRODUCT(($B$2:$B$126=1)*(CR$2:CR$126&gt;=28)*(CR$2:CR$126&lt;=999)*(CR$2:CR$126&lt;&gt;"")*($J$2:$J$126))</f>
        <v>545.56000000000006</v>
      </c>
      <c r="CS135" s="79" cm="1">
        <f t="array" ref="CS135">SUMPRODUCT(($B$2:$B$126=1)*(CS$2:CS$126&gt;=28)*(CS$2:CS$126&lt;=999)*(CS$2:CS$126&lt;&gt;"")*($J$2:$J$126))</f>
        <v>545.56000000000006</v>
      </c>
      <c r="CT135" s="79" cm="1">
        <f t="array" ref="CT135">SUMPRODUCT(($B$2:$B$126=1)*(CT$2:CT$126&gt;=28)*(CT$2:CT$126&lt;=999)*(CT$2:CT$126&lt;&gt;"")*($J$2:$J$126))</f>
        <v>545.56000000000006</v>
      </c>
      <c r="CU135" s="79" cm="1">
        <f t="array" ref="CU135">SUMPRODUCT(($B$2:$B$126=1)*(CU$2:CU$126&gt;=28)*(CU$2:CU$126&lt;=999)*(CU$2:CU$126&lt;&gt;"")*($J$2:$J$126))</f>
        <v>545.56000000000006</v>
      </c>
      <c r="CV135" s="79" cm="1">
        <f t="array" ref="CV135">SUMPRODUCT(($B$2:$B$126=1)*(CV$2:CV$126&gt;=28)*(CV$2:CV$126&lt;=999)*(CV$2:CV$126&lt;&gt;"")*($J$2:$J$126))</f>
        <v>545.56000000000006</v>
      </c>
      <c r="CW135" s="79" cm="1">
        <f t="array" ref="CW135">SUMPRODUCT(($B$2:$B$126=1)*(CW$2:CW$126&gt;=28)*(CW$2:CW$126&lt;=999)*(CW$2:CW$126&lt;&gt;"")*($J$2:$J$126))</f>
        <v>545.56000000000006</v>
      </c>
      <c r="CX135" s="79" cm="1">
        <f t="array" ref="CX135">SUMPRODUCT(($B$2:$B$126=1)*(CX$2:CX$126&gt;=28)*(CX$2:CX$126&lt;=999)*(CX$2:CX$126&lt;&gt;"")*($J$2:$J$126))</f>
        <v>545.56000000000006</v>
      </c>
      <c r="CY135" s="79" cm="1">
        <f t="array" ref="CY135">SUMPRODUCT(($B$2:$B$126=1)*(CY$2:CY$126&gt;=28)*(CY$2:CY$126&lt;=999)*(CY$2:CY$126&lt;&gt;"")*($J$2:$J$126))</f>
        <v>545.56000000000006</v>
      </c>
      <c r="CZ135" s="79" cm="1">
        <f t="array" ref="CZ135">SUMPRODUCT(($B$2:$B$126=1)*(CZ$2:CZ$126&gt;=28)*(CZ$2:CZ$126&lt;=999)*(CZ$2:CZ$126&lt;&gt;"")*($J$2:$J$126))</f>
        <v>545.56000000000006</v>
      </c>
      <c r="DA135" s="79" cm="1">
        <f t="array" ref="DA135">SUMPRODUCT(($B$2:$B$126=1)*(DA$2:DA$126&gt;=28)*(DA$2:DA$126&lt;=999)*(DA$2:DA$126&lt;&gt;"")*($J$2:$J$126))</f>
        <v>545.56000000000006</v>
      </c>
      <c r="DB135" s="79" cm="1">
        <f t="array" ref="DB135">SUMPRODUCT(($B$2:$B$126=1)*(DB$2:DB$126&gt;=28)*(DB$2:DB$126&lt;=999)*(DB$2:DB$126&lt;&gt;"")*($J$2:$J$126))</f>
        <v>545.56000000000006</v>
      </c>
      <c r="DC135" s="79" cm="1">
        <f t="array" ref="DC135">SUMPRODUCT(($B$2:$B$126=1)*(DC$2:DC$126&gt;=28)*(DC$2:DC$126&lt;=999)*(DC$2:DC$126&lt;&gt;"")*($J$2:$J$126))</f>
        <v>545.56000000000006</v>
      </c>
      <c r="DD135" s="79" cm="1">
        <f t="array" ref="DD135">SUMPRODUCT(($B$2:$B$126=1)*(DD$2:DD$126&gt;=28)*(DD$2:DD$126&lt;=999)*(DD$2:DD$126&lt;&gt;"")*($J$2:$J$126))</f>
        <v>545.56000000000006</v>
      </c>
      <c r="DE135" s="79" cm="1">
        <f t="array" ref="DE135">SUMPRODUCT(($B$2:$B$126=1)*(DE$2:DE$126&gt;=28)*(DE$2:DE$126&lt;=999)*(DE$2:DE$126&lt;&gt;"")*($J$2:$J$126))</f>
        <v>545.56000000000006</v>
      </c>
      <c r="DF135" s="79" cm="1">
        <f t="array" ref="DF135">SUMPRODUCT(($B$2:$B$126=1)*(DF$2:DF$126&gt;=28)*(DF$2:DF$126&lt;=999)*(DF$2:DF$126&lt;&gt;"")*($J$2:$J$126))</f>
        <v>545.56000000000006</v>
      </c>
      <c r="DG135" s="79" cm="1">
        <f t="array" ref="DG135">SUMPRODUCT(($B$2:$B$126=1)*(DG$2:DG$126&gt;=28)*(DG$2:DG$126&lt;=999)*(DG$2:DG$126&lt;&gt;"")*($J$2:$J$126))</f>
        <v>545.56000000000006</v>
      </c>
      <c r="DH135" s="79" cm="1">
        <f t="array" ref="DH135">SUMPRODUCT(($B$2:$B$126=1)*(DH$2:DH$126&gt;=28)*(DH$2:DH$126&lt;=999)*(DH$2:DH$126&lt;&gt;"")*($J$2:$J$126))</f>
        <v>545.56000000000006</v>
      </c>
      <c r="DI135" s="79" cm="1">
        <f t="array" ref="DI135">SUMPRODUCT(($B$2:$B$126=1)*(DI$2:DI$126&gt;=28)*(DI$2:DI$126&lt;=999)*(DI$2:DI$126&lt;&gt;"")*($J$2:$J$126))</f>
        <v>545.56000000000006</v>
      </c>
      <c r="DJ135" s="79" cm="1">
        <f t="array" ref="DJ135">SUMPRODUCT(($B$2:$B$126=1)*(DJ$2:DJ$126&gt;=28)*(DJ$2:DJ$126&lt;=999)*(DJ$2:DJ$126&lt;&gt;"")*($J$2:$J$126))</f>
        <v>545.56000000000006</v>
      </c>
      <c r="DK135" s="79" cm="1">
        <f t="array" ref="DK135">SUMPRODUCT(($B$2:$B$126=1)*(DK$2:DK$126&gt;=28)*(DK$2:DK$126&lt;=999)*(DK$2:DK$126&lt;&gt;"")*($J$2:$J$126))</f>
        <v>545.56000000000006</v>
      </c>
      <c r="DL135" s="79" cm="1">
        <f t="array" ref="DL135">SUMPRODUCT(($B$2:$B$126=1)*(DL$2:DL$126&gt;=28)*(DL$2:DL$126&lt;=999)*(DL$2:DL$126&lt;&gt;"")*($J$2:$J$126))</f>
        <v>545.56000000000006</v>
      </c>
      <c r="DM135" s="79" cm="1">
        <f t="array" ref="DM135">SUMPRODUCT(($B$2:$B$126=1)*(DM$2:DM$126&gt;=28)*(DM$2:DM$126&lt;=999)*(DM$2:DM$126&lt;&gt;"")*($J$2:$J$126))</f>
        <v>545.56000000000006</v>
      </c>
      <c r="DN135" s="79" cm="1">
        <f t="array" ref="DN135">SUMPRODUCT(($B$2:$B$126=1)*(DN$2:DN$126&gt;=28)*(DN$2:DN$126&lt;=999)*(DN$2:DN$126&lt;&gt;"")*($J$2:$J$126))</f>
        <v>545.56000000000006</v>
      </c>
      <c r="DO135" s="79" cm="1">
        <f t="array" ref="DO135">SUMPRODUCT(($B$2:$B$126=1)*(DO$2:DO$126&gt;=28)*(DO$2:DO$126&lt;=999)*(DO$2:DO$126&lt;&gt;"")*($J$2:$J$126))</f>
        <v>545.56000000000006</v>
      </c>
      <c r="DP135" s="79" cm="1">
        <f t="array" ref="DP135">SUMPRODUCT(($B$2:$B$126=1)*(DP$2:DP$126&gt;=28)*(DP$2:DP$126&lt;=999)*(DP$2:DP$126&lt;&gt;"")*($J$2:$J$126))</f>
        <v>545.56000000000006</v>
      </c>
      <c r="DQ135" s="79" cm="1">
        <f t="array" ref="DQ135">SUMPRODUCT(($B$2:$B$126=1)*(DQ$2:DQ$126&gt;=28)*(DQ$2:DQ$126&lt;=999)*(DQ$2:DQ$126&lt;&gt;"")*($J$2:$J$126))</f>
        <v>545.56000000000006</v>
      </c>
      <c r="DR135" s="79" cm="1">
        <f t="array" ref="DR135">SUMPRODUCT(($B$2:$B$126=1)*(DR$2:DR$126&gt;=28)*(DR$2:DR$126&lt;=999)*(DR$2:DR$126&lt;&gt;"")*($J$2:$J$126))</f>
        <v>545.56000000000006</v>
      </c>
      <c r="DS135" s="79" cm="1">
        <f t="array" ref="DS135">SUMPRODUCT(($B$2:$B$126=1)*(DS$2:DS$126&gt;=28)*(DS$2:DS$126&lt;=999)*(DS$2:DS$126&lt;&gt;"")*($J$2:$J$126))</f>
        <v>545.56000000000006</v>
      </c>
      <c r="DT135" s="79" cm="1">
        <f t="array" ref="DT135">SUMPRODUCT(($B$2:$B$126=1)*(DT$2:DT$126&gt;=28)*(DT$2:DT$126&lt;=999)*(DT$2:DT$126&lt;&gt;"")*($J$2:$J$126))</f>
        <v>545.56000000000006</v>
      </c>
      <c r="DU135" s="79" cm="1">
        <f t="array" ref="DU135">SUMPRODUCT(($B$2:$B$126=1)*(DU$2:DU$126&gt;=28)*(DU$2:DU$126&lt;=999)*(DU$2:DU$126&lt;&gt;"")*($J$2:$J$126))</f>
        <v>545.56000000000006</v>
      </c>
      <c r="DV135" s="79" cm="1">
        <f t="array" ref="DV135">SUMPRODUCT(($B$2:$B$126=1)*(DV$2:DV$126&gt;=28)*(DV$2:DV$126&lt;=999)*(DV$2:DV$126&lt;&gt;"")*($J$2:$J$126))</f>
        <v>545.56000000000006</v>
      </c>
      <c r="DW135" s="79" cm="1">
        <f t="array" ref="DW135">SUMPRODUCT(($B$2:$B$126=1)*(DW$2:DW$126&gt;=28)*(DW$2:DW$126&lt;=999)*(DW$2:DW$126&lt;&gt;"")*($J$2:$J$126))</f>
        <v>545.56000000000006</v>
      </c>
      <c r="DX135" s="79" cm="1">
        <f t="array" ref="DX135">SUMPRODUCT(($B$2:$B$126=1)*(DX$2:DX$126&gt;=28)*(DX$2:DX$126&lt;=999)*(DX$2:DX$126&lt;&gt;"")*($J$2:$J$126))</f>
        <v>545.56000000000006</v>
      </c>
      <c r="DY135" s="79" cm="1">
        <f t="array" ref="DY135">SUMPRODUCT(($B$2:$B$126=1)*(DY$2:DY$126&gt;=28)*(DY$2:DY$126&lt;=999)*(DY$2:DY$126&lt;&gt;"")*($J$2:$J$126))</f>
        <v>545.56000000000006</v>
      </c>
      <c r="DZ135" s="79" cm="1">
        <f t="array" ref="DZ135">SUMPRODUCT(($B$2:$B$126=1)*(DZ$2:DZ$126&gt;=28)*(DZ$2:DZ$126&lt;=999)*(DZ$2:DZ$126&lt;&gt;"")*($J$2:$J$126))</f>
        <v>545.56000000000006</v>
      </c>
      <c r="EA135" s="79" cm="1">
        <f t="array" ref="EA135">SUMPRODUCT(($B$2:$B$126=1)*(EA$2:EA$126&gt;=28)*(EA$2:EA$126&lt;=999)*(EA$2:EA$126&lt;&gt;"")*($J$2:$J$126))</f>
        <v>545.56000000000006</v>
      </c>
      <c r="EB135" s="79" cm="1">
        <f t="array" ref="EB135">SUMPRODUCT(($B$2:$B$126=1)*(EB$2:EB$126&gt;=28)*(EB$2:EB$126&lt;=999)*(EB$2:EB$126&lt;&gt;"")*($J$2:$J$126))</f>
        <v>545.56000000000006</v>
      </c>
      <c r="EC135" s="79" cm="1">
        <f t="array" ref="EC135">SUMPRODUCT(($B$2:$B$126=1)*(EC$2:EC$126&gt;=28)*(EC$2:EC$126&lt;=999)*(EC$2:EC$126&lt;&gt;"")*($J$2:$J$126))</f>
        <v>545.56000000000006</v>
      </c>
      <c r="ED135" s="79" cm="1">
        <f t="array" ref="ED135">SUMPRODUCT(($B$2:$B$126=1)*(ED$2:ED$126&gt;=28)*(ED$2:ED$126&lt;=999)*(ED$2:ED$126&lt;&gt;"")*($J$2:$J$126))</f>
        <v>545.56000000000006</v>
      </c>
      <c r="EE135" s="79" cm="1">
        <f t="array" ref="EE135">SUMPRODUCT(($B$2:$B$126=1)*(EE$2:EE$126&gt;=28)*(EE$2:EE$126&lt;=999)*(EE$2:EE$126&lt;&gt;"")*($J$2:$J$126))</f>
        <v>545.56000000000006</v>
      </c>
      <c r="EF135" s="79" cm="1">
        <f t="array" ref="EF135">SUMPRODUCT(($B$2:$B$126=1)*(EF$2:EF$126&gt;=28)*(EF$2:EF$126&lt;=999)*(EF$2:EF$126&lt;&gt;"")*($J$2:$J$126))</f>
        <v>545.56000000000006</v>
      </c>
      <c r="EG135" s="79" cm="1">
        <f t="array" ref="EG135">SUMPRODUCT(($B$2:$B$126=1)*(EG$2:EG$126&gt;=28)*(EG$2:EG$126&lt;=999)*(EG$2:EG$126&lt;&gt;"")*($J$2:$J$126))</f>
        <v>545.56000000000006</v>
      </c>
      <c r="EH135" s="79" cm="1">
        <f t="array" ref="EH135">SUMPRODUCT(($B$2:$B$126=1)*(EH$2:EH$126&gt;=28)*(EH$2:EH$126&lt;=999)*(EH$2:EH$126&lt;&gt;"")*($J$2:$J$126))</f>
        <v>545.56000000000006</v>
      </c>
      <c r="EI135" s="79" cm="1">
        <f t="array" ref="EI135">SUMPRODUCT(($B$2:$B$126=1)*(EI$2:EI$126&gt;=28)*(EI$2:EI$126&lt;=999)*(EI$2:EI$126&lt;&gt;"")*($J$2:$J$126))</f>
        <v>545.56000000000006</v>
      </c>
      <c r="EJ135" s="79" cm="1">
        <f t="array" ref="EJ135">SUMPRODUCT(($B$2:$B$126=1)*(EJ$2:EJ$126&gt;=28)*(EJ$2:EJ$126&lt;=999)*(EJ$2:EJ$126&lt;&gt;"")*($J$2:$J$126))</f>
        <v>545.56000000000006</v>
      </c>
      <c r="EK135" s="79" cm="1">
        <f t="array" ref="EK135">SUMPRODUCT(($B$2:$B$126=1)*(EK$2:EK$126&gt;=28)*(EK$2:EK$126&lt;=999)*(EK$2:EK$126&lt;&gt;"")*($J$2:$J$126))</f>
        <v>545.56000000000006</v>
      </c>
      <c r="EL135" s="79" cm="1">
        <f t="array" ref="EL135">SUMPRODUCT(($B$2:$B$126=1)*(EL$2:EL$126&gt;=28)*(EL$2:EL$126&lt;=999)*(EL$2:EL$126&lt;&gt;"")*($J$2:$J$126))</f>
        <v>545.56000000000006</v>
      </c>
      <c r="EM135" s="79" cm="1">
        <f t="array" ref="EM135">SUMPRODUCT(($B$2:$B$126=1)*(EM$2:EM$126&gt;=28)*(EM$2:EM$126&lt;=999)*(EM$2:EM$126&lt;&gt;"")*($J$2:$J$126))</f>
        <v>545.56000000000006</v>
      </c>
      <c r="EN135" s="79" cm="1">
        <f t="array" ref="EN135">SUMPRODUCT(($B$2:$B$126=1)*(EN$2:EN$126&gt;=28)*(EN$2:EN$126&lt;=999)*(EN$2:EN$126&lt;&gt;"")*($J$2:$J$126))</f>
        <v>545.56000000000006</v>
      </c>
      <c r="EO135" s="79" cm="1">
        <f t="array" ref="EO135">SUMPRODUCT(($B$2:$B$126=1)*(EO$2:EO$126&gt;=28)*(EO$2:EO$126&lt;=999)*(EO$2:EO$126&lt;&gt;"")*($J$2:$J$126))</f>
        <v>545.56000000000006</v>
      </c>
      <c r="EP135" s="79" cm="1">
        <f t="array" ref="EP135">SUMPRODUCT(($B$2:$B$126=1)*(EP$2:EP$126&gt;=28)*(EP$2:EP$126&lt;=999)*(EP$2:EP$126&lt;&gt;"")*($J$2:$J$126))</f>
        <v>545.56000000000006</v>
      </c>
      <c r="EQ135" s="79" cm="1">
        <f t="array" ref="EQ135">SUMPRODUCT(($B$2:$B$126=1)*(EQ$2:EQ$126&gt;=28)*(EQ$2:EQ$126&lt;=999)*(EQ$2:EQ$126&lt;&gt;"")*($J$2:$J$126))</f>
        <v>545.56000000000006</v>
      </c>
      <c r="ER135" s="79" cm="1">
        <f t="array" ref="ER135">SUMPRODUCT(($B$2:$B$126=1)*(ER$2:ER$126&gt;=28)*(ER$2:ER$126&lt;=999)*(ER$2:ER$126&lt;&gt;"")*($J$2:$J$126))</f>
        <v>545.56000000000006</v>
      </c>
      <c r="ES135" s="79" cm="1">
        <f t="array" ref="ES135">SUMPRODUCT(($B$2:$B$126=1)*(ES$2:ES$126&gt;=28)*(ES$2:ES$126&lt;=999)*(ES$2:ES$126&lt;&gt;"")*($J$2:$J$126))</f>
        <v>545.56000000000006</v>
      </c>
      <c r="ET135" s="79" cm="1">
        <f t="array" ref="ET135">SUMPRODUCT(($B$2:$B$126=1)*(ET$2:ET$126&gt;=28)*(ET$2:ET$126&lt;=999)*(ET$2:ET$126&lt;&gt;"")*($J$2:$J$126))</f>
        <v>545.56000000000006</v>
      </c>
      <c r="EU135" s="79" cm="1">
        <f t="array" ref="EU135">SUMPRODUCT(($B$2:$B$126=1)*(EU$2:EU$126&gt;=28)*(EU$2:EU$126&lt;=999)*(EU$2:EU$126&lt;&gt;"")*($J$2:$J$126))</f>
        <v>545.56000000000006</v>
      </c>
      <c r="EV135" s="79" cm="1">
        <f t="array" ref="EV135">SUMPRODUCT(($B$2:$B$126=1)*(EV$2:EV$126&gt;=28)*(EV$2:EV$126&lt;=999)*(EV$2:EV$126&lt;&gt;"")*($J$2:$J$126))</f>
        <v>545.56000000000006</v>
      </c>
      <c r="EW135" s="79" cm="1">
        <f t="array" ref="EW135">SUMPRODUCT(($B$2:$B$126=1)*(EW$2:EW$126&gt;=28)*(EW$2:EW$126&lt;=999)*(EW$2:EW$126&lt;&gt;"")*($J$2:$J$126))</f>
        <v>545.56000000000006</v>
      </c>
      <c r="EX135" s="79" cm="1">
        <f t="array" ref="EX135">SUMPRODUCT(($B$2:$B$126=1)*(EX$2:EX$126&gt;=28)*(EX$2:EX$126&lt;=999)*(EX$2:EX$126&lt;&gt;"")*($J$2:$J$126))</f>
        <v>545.56000000000006</v>
      </c>
      <c r="EY135" s="79" cm="1">
        <f t="array" ref="EY135">SUMPRODUCT(($B$2:$B$126=1)*(EY$2:EY$126&gt;=28)*(EY$2:EY$126&lt;=999)*(EY$2:EY$126&lt;&gt;"")*($J$2:$J$126))</f>
        <v>545.56000000000006</v>
      </c>
      <c r="EZ135" s="79" cm="1">
        <f t="array" ref="EZ135">SUMPRODUCT(($B$2:$B$126=1)*(EZ$2:EZ$126&gt;=28)*(EZ$2:EZ$126&lt;=999)*(EZ$2:EZ$126&lt;&gt;"")*($J$2:$J$126))</f>
        <v>545.56000000000006</v>
      </c>
      <c r="FA135" s="79" cm="1">
        <f t="array" ref="FA135">SUMPRODUCT(($B$2:$B$126=1)*(FA$2:FA$126&gt;=28)*(FA$2:FA$126&lt;=999)*(FA$2:FA$126&lt;&gt;"")*($J$2:$J$126))</f>
        <v>545.56000000000006</v>
      </c>
      <c r="FB135" s="79" cm="1">
        <f t="array" ref="FB135">SUMPRODUCT(($B$2:$B$126=1)*(FB$2:FB$126&gt;=28)*(FB$2:FB$126&lt;=999)*(FB$2:FB$126&lt;&gt;"")*($J$2:$J$126))</f>
        <v>545.56000000000006</v>
      </c>
      <c r="FC135" s="79" cm="1">
        <f t="array" ref="FC135">SUMPRODUCT(($B$2:$B$126=1)*(FC$2:FC$126&gt;=28)*(FC$2:FC$126&lt;=999)*(FC$2:FC$126&lt;&gt;"")*($J$2:$J$126))</f>
        <v>545.56000000000006</v>
      </c>
      <c r="FD135" s="79" cm="1">
        <f t="array" ref="FD135">SUMPRODUCT(($B$2:$B$126=1)*(FD$2:FD$126&gt;=28)*(FD$2:FD$126&lt;=999)*(FD$2:FD$126&lt;&gt;"")*($J$2:$J$126))</f>
        <v>545.56000000000006</v>
      </c>
      <c r="FE135" s="79" cm="1">
        <f t="array" ref="FE135">SUMPRODUCT(($B$2:$B$126=1)*(FE$2:FE$126&gt;=28)*(FE$2:FE$126&lt;=999)*(FE$2:FE$126&lt;&gt;"")*($J$2:$J$126))</f>
        <v>545.56000000000006</v>
      </c>
      <c r="FF135" s="79" cm="1">
        <f t="array" ref="FF135">SUMPRODUCT(($B$2:$B$126=1)*(FF$2:FF$126&gt;=28)*(FF$2:FF$126&lt;=999)*(FF$2:FF$126&lt;&gt;"")*($J$2:$J$126))</f>
        <v>545.56000000000006</v>
      </c>
      <c r="FG135" s="79" cm="1">
        <f t="array" ref="FG135">SUMPRODUCT(($B$2:$B$126=1)*(FG$2:FG$126&gt;=28)*(FG$2:FG$126&lt;=999)*(FG$2:FG$126&lt;&gt;"")*($J$2:$J$126))</f>
        <v>545.56000000000006</v>
      </c>
      <c r="FH135" s="79" cm="1">
        <f t="array" ref="FH135">SUMPRODUCT(($B$2:$B$126=1)*(FH$2:FH$126&gt;=28)*(FH$2:FH$126&lt;=999)*(FH$2:FH$126&lt;&gt;"")*($J$2:$J$126))</f>
        <v>545.56000000000006</v>
      </c>
      <c r="FI135" s="79" cm="1">
        <f t="array" ref="FI135">SUMPRODUCT(($B$2:$B$126=1)*(FI$2:FI$126&gt;=28)*(FI$2:FI$126&lt;=999)*(FI$2:FI$126&lt;&gt;"")*($J$2:$J$126))</f>
        <v>545.56000000000006</v>
      </c>
      <c r="FJ135" s="79" cm="1">
        <f t="array" ref="FJ135">SUMPRODUCT(($B$2:$B$126=1)*(FJ$2:FJ$126&gt;=28)*(FJ$2:FJ$126&lt;=999)*(FJ$2:FJ$126&lt;&gt;"")*($J$2:$J$126))</f>
        <v>545.56000000000006</v>
      </c>
      <c r="FK135" s="79" cm="1">
        <f t="array" ref="FK135">SUMPRODUCT(($B$2:$B$126=1)*(FK$2:FK$126&gt;=28)*(FK$2:FK$126&lt;=999)*(FK$2:FK$126&lt;&gt;"")*($J$2:$J$126))</f>
        <v>545.56000000000006</v>
      </c>
      <c r="FL135" s="79" cm="1">
        <f t="array" ref="FL135">SUMPRODUCT(($B$2:$B$126=1)*(FL$2:FL$126&gt;=28)*(FL$2:FL$126&lt;=999)*(FL$2:FL$126&lt;&gt;"")*($J$2:$J$126))</f>
        <v>545.56000000000006</v>
      </c>
      <c r="FM135" s="79" cm="1">
        <f t="array" ref="FM135">SUMPRODUCT(($B$2:$B$126=1)*(FM$2:FM$126&gt;=28)*(FM$2:FM$126&lt;=999)*(FM$2:FM$126&lt;&gt;"")*($J$2:$J$126))</f>
        <v>545.56000000000006</v>
      </c>
      <c r="FN135" s="79" cm="1">
        <f t="array" ref="FN135">SUMPRODUCT(($B$2:$B$126=1)*(FN$2:FN$126&gt;=28)*(FN$2:FN$126&lt;=999)*(FN$2:FN$126&lt;&gt;"")*($J$2:$J$126))</f>
        <v>545.56000000000006</v>
      </c>
      <c r="FO135" s="79" cm="1">
        <f t="array" ref="FO135">SUMPRODUCT(($B$2:$B$126=1)*(FO$2:FO$126&gt;=28)*(FO$2:FO$126&lt;=999)*(FO$2:FO$126&lt;&gt;"")*($J$2:$J$126))</f>
        <v>545.56000000000006</v>
      </c>
      <c r="FP135" s="79" cm="1">
        <f t="array" ref="FP135">SUMPRODUCT(($B$2:$B$126=1)*(FP$2:FP$126&gt;=28)*(FP$2:FP$126&lt;=999)*(FP$2:FP$126&lt;&gt;"")*($J$2:$J$126))</f>
        <v>545.56000000000006</v>
      </c>
      <c r="FQ135" s="79" cm="1">
        <f t="array" ref="FQ135">SUMPRODUCT(($B$2:$B$126=1)*(FQ$2:FQ$126&gt;=28)*(FQ$2:FQ$126&lt;=999)*(FQ$2:FQ$126&lt;&gt;"")*($J$2:$J$126))</f>
        <v>545.56000000000006</v>
      </c>
      <c r="FR135" s="79" cm="1">
        <f t="array" ref="FR135">SUMPRODUCT(($B$2:$B$126=1)*(FR$2:FR$126&gt;=28)*(FR$2:FR$126&lt;=999)*(FR$2:FR$126&lt;&gt;"")*($J$2:$J$126))</f>
        <v>545.56000000000006</v>
      </c>
      <c r="FS135" s="79" cm="1">
        <f t="array" ref="FS135">SUMPRODUCT(($B$2:$B$126=1)*(FS$2:FS$126&gt;=28)*(FS$2:FS$126&lt;=999)*(FS$2:FS$126&lt;&gt;"")*($J$2:$J$126))</f>
        <v>545.56000000000006</v>
      </c>
      <c r="FT135" s="79" cm="1">
        <f t="array" ref="FT135">SUMPRODUCT(($B$2:$B$126=1)*(FT$2:FT$126&gt;=28)*(FT$2:FT$126&lt;=999)*(FT$2:FT$126&lt;&gt;"")*($J$2:$J$126))</f>
        <v>545.56000000000006</v>
      </c>
      <c r="FU135" s="79" cm="1">
        <f t="array" ref="FU135">SUMPRODUCT(($B$2:$B$126=1)*(FU$2:FU$126&gt;=28)*(FU$2:FU$126&lt;=999)*(FU$2:FU$126&lt;&gt;"")*($J$2:$J$126))</f>
        <v>545.56000000000006</v>
      </c>
      <c r="FV135" s="79" cm="1">
        <f t="array" ref="FV135">SUMPRODUCT(($B$2:$B$126=1)*(FV$2:FV$126&gt;=28)*(FV$2:FV$126&lt;=999)*(FV$2:FV$126&lt;&gt;"")*($J$2:$J$126))</f>
        <v>545.56000000000006</v>
      </c>
      <c r="FW135" s="79" cm="1">
        <f t="array" ref="FW135">SUMPRODUCT(($B$2:$B$126=1)*(FW$2:FW$126&gt;=28)*(FW$2:FW$126&lt;=999)*(FW$2:FW$126&lt;&gt;"")*($J$2:$J$126))</f>
        <v>545.56000000000006</v>
      </c>
      <c r="FX135" s="79" cm="1">
        <f t="array" ref="FX135">SUMPRODUCT(($B$2:$B$126=1)*(FX$2:FX$126&gt;=28)*(FX$2:FX$126&lt;=999)*(FX$2:FX$126&lt;&gt;"")*($J$2:$J$126))</f>
        <v>545.56000000000006</v>
      </c>
      <c r="FY135" s="79" cm="1">
        <f t="array" ref="FY135">SUMPRODUCT(($B$2:$B$126=1)*(FY$2:FY$126&gt;=28)*(FY$2:FY$126&lt;=999)*(FY$2:FY$126&lt;&gt;"")*($J$2:$J$126))</f>
        <v>545.56000000000006</v>
      </c>
      <c r="FZ135" s="79" cm="1">
        <f t="array" ref="FZ135">SUMPRODUCT(($B$2:$B$126=1)*(FZ$2:FZ$126&gt;=28)*(FZ$2:FZ$126&lt;=999)*(FZ$2:FZ$126&lt;&gt;"")*($J$2:$J$126))</f>
        <v>545.56000000000006</v>
      </c>
      <c r="GA135" s="79" cm="1">
        <f t="array" ref="GA135">SUMPRODUCT(($B$2:$B$126=1)*(GA$2:GA$126&gt;=28)*(GA$2:GA$126&lt;=999)*(GA$2:GA$126&lt;&gt;"")*($J$2:$J$126))</f>
        <v>545.56000000000006</v>
      </c>
      <c r="GB135" s="79" cm="1">
        <f t="array" ref="GB135">SUMPRODUCT(($B$2:$B$126=1)*(GB$2:GB$126&gt;=28)*(GB$2:GB$126&lt;=999)*(GB$2:GB$126&lt;&gt;"")*($J$2:$J$126))</f>
        <v>545.56000000000006</v>
      </c>
      <c r="GC135" s="79" cm="1">
        <f t="array" ref="GC135">SUMPRODUCT(($B$2:$B$126=1)*(GC$2:GC$126&gt;=28)*(GC$2:GC$126&lt;=999)*(GC$2:GC$126&lt;&gt;"")*($J$2:$J$126))</f>
        <v>545.56000000000006</v>
      </c>
      <c r="GD135" s="79" cm="1">
        <f t="array" ref="GD135">SUMPRODUCT(($B$2:$B$126=1)*(GD$2:GD$126&gt;=28)*(GD$2:GD$126&lt;=999)*(GD$2:GD$126&lt;&gt;"")*($J$2:$J$126))</f>
        <v>545.56000000000006</v>
      </c>
      <c r="GE135" s="79" cm="1">
        <f t="array" ref="GE135">SUMPRODUCT(($B$2:$B$126=1)*(GE$2:GE$126&gt;=28)*(GE$2:GE$126&lt;=999)*(GE$2:GE$126&lt;&gt;"")*($J$2:$J$126))</f>
        <v>545.56000000000006</v>
      </c>
      <c r="GF135" s="79" cm="1">
        <f t="array" ref="GF135">SUMPRODUCT(($B$2:$B$126=1)*(GF$2:GF$126&gt;=28)*(GF$2:GF$126&lt;=999)*(GF$2:GF$126&lt;&gt;"")*($J$2:$J$126))</f>
        <v>545.56000000000006</v>
      </c>
      <c r="GG135" s="79" cm="1">
        <f t="array" ref="GG135">SUMPRODUCT(($B$2:$B$126=1)*(GG$2:GG$126&gt;=28)*(GG$2:GG$126&lt;=999)*(GG$2:GG$126&lt;&gt;"")*($J$2:$J$126))</f>
        <v>545.56000000000006</v>
      </c>
      <c r="GH135" s="79" cm="1">
        <f t="array" ref="GH135">SUMPRODUCT(($B$2:$B$126=1)*(GH$2:GH$126&gt;=28)*(GH$2:GH$126&lt;=999)*(GH$2:GH$126&lt;&gt;"")*($J$2:$J$126))</f>
        <v>545.56000000000006</v>
      </c>
      <c r="GI135" s="79" cm="1">
        <f t="array" ref="GI135">SUMPRODUCT(($B$2:$B$126=1)*(GI$2:GI$126&gt;=28)*(GI$2:GI$126&lt;=999)*(GI$2:GI$126&lt;&gt;"")*($J$2:$J$126))</f>
        <v>545.56000000000006</v>
      </c>
      <c r="GJ135" s="79" cm="1">
        <f t="array" ref="GJ135">SUMPRODUCT(($B$2:$B$126=1)*(GJ$2:GJ$126&gt;=28)*(GJ$2:GJ$126&lt;=999)*(GJ$2:GJ$126&lt;&gt;"")*($J$2:$J$126))</f>
        <v>545.56000000000006</v>
      </c>
      <c r="GK135" s="79" cm="1">
        <f t="array" ref="GK135">SUMPRODUCT(($B$2:$B$126=1)*(GK$2:GK$126&gt;=28)*(GK$2:GK$126&lt;=999)*(GK$2:GK$126&lt;&gt;"")*($J$2:$J$126))</f>
        <v>545.56000000000006</v>
      </c>
      <c r="GL135" s="79" cm="1">
        <f t="array" ref="GL135">SUMPRODUCT(($B$2:$B$126=1)*(GL$2:GL$126&gt;=28)*(GL$2:GL$126&lt;=999)*(GL$2:GL$126&lt;&gt;"")*($J$2:$J$126))</f>
        <v>545.56000000000006</v>
      </c>
      <c r="GM135" s="79" cm="1">
        <f t="array" ref="GM135">SUMPRODUCT(($B$2:$B$126=1)*(GM$2:GM$126&gt;=28)*(GM$2:GM$126&lt;=999)*(GM$2:GM$126&lt;&gt;"")*($J$2:$J$126))</f>
        <v>545.56000000000006</v>
      </c>
      <c r="GN135" s="79" cm="1">
        <f t="array" ref="GN135">SUMPRODUCT(($B$2:$B$126=1)*(GN$2:GN$126&gt;=28)*(GN$2:GN$126&lt;=999)*(GN$2:GN$126&lt;&gt;"")*($J$2:$J$126))</f>
        <v>545.56000000000006</v>
      </c>
      <c r="GO135" s="79" cm="1">
        <f t="array" ref="GO135">SUMPRODUCT(($B$2:$B$126=1)*(GO$2:GO$126&gt;=28)*(GO$2:GO$126&lt;=999)*(GO$2:GO$126&lt;&gt;"")*($J$2:$J$126))</f>
        <v>545.56000000000006</v>
      </c>
      <c r="GP135" s="79" cm="1">
        <f t="array" ref="GP135">SUMPRODUCT(($B$2:$B$126=1)*(GP$2:GP$126&gt;=28)*(GP$2:GP$126&lt;=999)*(GP$2:GP$126&lt;&gt;"")*($J$2:$J$126))</f>
        <v>545.56000000000006</v>
      </c>
      <c r="GQ135" s="79" cm="1">
        <f t="array" ref="GQ135">SUMPRODUCT(($B$2:$B$126=1)*(GQ$2:GQ$126&gt;=28)*(GQ$2:GQ$126&lt;=999)*(GQ$2:GQ$126&lt;&gt;"")*($J$2:$J$126))</f>
        <v>545.56000000000006</v>
      </c>
      <c r="GR135" s="79" cm="1">
        <f t="array" ref="GR135">SUMPRODUCT(($B$2:$B$126=1)*(GR$2:GR$126&gt;=28)*(GR$2:GR$126&lt;=999)*(GR$2:GR$126&lt;&gt;"")*($J$2:$J$126))</f>
        <v>545.56000000000006</v>
      </c>
      <c r="GS135" s="79" cm="1">
        <f t="array" ref="GS135">SUMPRODUCT(($B$2:$B$126=1)*(GS$2:GS$126&gt;=28)*(GS$2:GS$126&lt;=999)*(GS$2:GS$126&lt;&gt;"")*($J$2:$J$126))</f>
        <v>545.56000000000006</v>
      </c>
      <c r="GT135" s="79" cm="1">
        <f t="array" ref="GT135">SUMPRODUCT(($B$2:$B$126=1)*(GT$2:GT$126&gt;=28)*(GT$2:GT$126&lt;=999)*(GT$2:GT$126&lt;&gt;"")*($J$2:$J$126))</f>
        <v>545.56000000000006</v>
      </c>
      <c r="GU135" s="79" cm="1">
        <f t="array" ref="GU135">SUMPRODUCT(($B$2:$B$126=1)*(GU$2:GU$126&gt;=28)*(GU$2:GU$126&lt;=999)*(GU$2:GU$126&lt;&gt;"")*($J$2:$J$126))</f>
        <v>545.56000000000006</v>
      </c>
      <c r="GV135" s="79" cm="1">
        <f t="array" ref="GV135">SUMPRODUCT(($B$2:$B$126=1)*(GV$2:GV$126&gt;=28)*(GV$2:GV$126&lt;=999)*(GV$2:GV$126&lt;&gt;"")*($J$2:$J$126))</f>
        <v>545.56000000000006</v>
      </c>
      <c r="GW135" s="79" cm="1">
        <f t="array" ref="GW135">SUMPRODUCT(($B$2:$B$126=1)*(GW$2:GW$126&gt;=28)*(GW$2:GW$126&lt;=999)*(GW$2:GW$126&lt;&gt;"")*($J$2:$J$126))</f>
        <v>545.56000000000006</v>
      </c>
      <c r="GX135" s="79" cm="1">
        <f t="array" ref="GX135">SUMPRODUCT(($B$2:$B$126=1)*(GX$2:GX$126&gt;=28)*(GX$2:GX$126&lt;=999)*(GX$2:GX$126&lt;&gt;"")*($J$2:$J$126))</f>
        <v>545.56000000000006</v>
      </c>
    </row>
    <row r="136" spans="1:206" s="102" customFormat="1" x14ac:dyDescent="0.2">
      <c r="A136" s="101"/>
      <c r="B136" s="101" t="s">
        <v>261</v>
      </c>
      <c r="W136" s="103">
        <f>SUM(W131:W135)</f>
        <v>545.55999999999995</v>
      </c>
      <c r="X136" s="103">
        <f t="shared" ref="X136:CI136" si="162">SUM(X131:X135)</f>
        <v>545.55999999999995</v>
      </c>
      <c r="Y136" s="103">
        <f t="shared" si="162"/>
        <v>545.55999999999995</v>
      </c>
      <c r="Z136" s="103">
        <f t="shared" si="162"/>
        <v>545.55999999999995</v>
      </c>
      <c r="AA136" s="103">
        <f t="shared" si="162"/>
        <v>545.55999999999995</v>
      </c>
      <c r="AB136" s="103">
        <f t="shared" si="162"/>
        <v>545.55999999999995</v>
      </c>
      <c r="AC136" s="103">
        <f t="shared" si="162"/>
        <v>545.55999999999995</v>
      </c>
      <c r="AD136" s="103">
        <f t="shared" si="162"/>
        <v>545.55999999999995</v>
      </c>
      <c r="AE136" s="103">
        <f t="shared" si="162"/>
        <v>545.55999999999995</v>
      </c>
      <c r="AF136" s="103">
        <f t="shared" si="162"/>
        <v>545.55999999999995</v>
      </c>
      <c r="AG136" s="103">
        <f t="shared" si="162"/>
        <v>545.55999999999995</v>
      </c>
      <c r="AH136" s="103">
        <f t="shared" si="162"/>
        <v>545.55999999999995</v>
      </c>
      <c r="AI136" s="103">
        <f t="shared" si="162"/>
        <v>545.55999999999995</v>
      </c>
      <c r="AJ136" s="103">
        <f t="shared" si="162"/>
        <v>545.55999999999995</v>
      </c>
      <c r="AK136" s="103">
        <f t="shared" si="162"/>
        <v>545.55999999999995</v>
      </c>
      <c r="AL136" s="103">
        <f t="shared" si="162"/>
        <v>545.55999999999995</v>
      </c>
      <c r="AM136" s="103">
        <f t="shared" si="162"/>
        <v>545.55999999999995</v>
      </c>
      <c r="AN136" s="103">
        <f t="shared" si="162"/>
        <v>545.55999999999995</v>
      </c>
      <c r="AO136" s="103">
        <f t="shared" si="162"/>
        <v>545.56000000000006</v>
      </c>
      <c r="AP136" s="103">
        <f t="shared" si="162"/>
        <v>545.56000000000006</v>
      </c>
      <c r="AQ136" s="103">
        <f t="shared" si="162"/>
        <v>545.55999999999995</v>
      </c>
      <c r="AR136" s="103">
        <f t="shared" si="162"/>
        <v>545.56000000000006</v>
      </c>
      <c r="AS136" s="103">
        <f t="shared" si="162"/>
        <v>545.56000000000006</v>
      </c>
      <c r="AT136" s="103">
        <f t="shared" si="162"/>
        <v>545.56000000000006</v>
      </c>
      <c r="AU136" s="103">
        <f t="shared" si="162"/>
        <v>545.56000000000006</v>
      </c>
      <c r="AV136" s="103">
        <f t="shared" si="162"/>
        <v>545.56000000000006</v>
      </c>
      <c r="AW136" s="103">
        <f t="shared" si="162"/>
        <v>545.55999999999995</v>
      </c>
      <c r="AX136" s="103">
        <f t="shared" si="162"/>
        <v>545.55999999999995</v>
      </c>
      <c r="AY136" s="103">
        <f t="shared" si="162"/>
        <v>545.55999999999995</v>
      </c>
      <c r="AZ136" s="103">
        <f t="shared" si="162"/>
        <v>545.56000000000006</v>
      </c>
      <c r="BA136" s="103">
        <f t="shared" si="162"/>
        <v>545.55999999999995</v>
      </c>
      <c r="BB136" s="103">
        <f t="shared" si="162"/>
        <v>545.56000000000006</v>
      </c>
      <c r="BC136" s="103">
        <f t="shared" si="162"/>
        <v>545.56000000000006</v>
      </c>
      <c r="BD136" s="103">
        <f t="shared" si="162"/>
        <v>545.55999999999995</v>
      </c>
      <c r="BE136" s="103">
        <f t="shared" si="162"/>
        <v>545.55999999999995</v>
      </c>
      <c r="BF136" s="103">
        <f t="shared" si="162"/>
        <v>545.55999999999995</v>
      </c>
      <c r="BG136" s="103">
        <f t="shared" si="162"/>
        <v>545.55999999999995</v>
      </c>
      <c r="BH136" s="103">
        <f t="shared" si="162"/>
        <v>545.55999999999995</v>
      </c>
      <c r="BI136" s="103">
        <f t="shared" si="162"/>
        <v>545.55999999999995</v>
      </c>
      <c r="BJ136" s="103">
        <f t="shared" si="162"/>
        <v>545.55999999999995</v>
      </c>
      <c r="BK136" s="103">
        <f t="shared" si="162"/>
        <v>545.55999999999995</v>
      </c>
      <c r="BL136" s="103">
        <f t="shared" si="162"/>
        <v>545.55999999999995</v>
      </c>
      <c r="BM136" s="103">
        <f t="shared" si="162"/>
        <v>545.55999999999995</v>
      </c>
      <c r="BN136" s="103">
        <f t="shared" si="162"/>
        <v>545.55999999999995</v>
      </c>
      <c r="BO136" s="103">
        <f t="shared" si="162"/>
        <v>545.55999999999995</v>
      </c>
      <c r="BP136" s="103">
        <f t="shared" si="162"/>
        <v>545.55999999999995</v>
      </c>
      <c r="BQ136" s="103">
        <f t="shared" si="162"/>
        <v>545.56000000000006</v>
      </c>
      <c r="BR136" s="103">
        <f t="shared" si="162"/>
        <v>545.55999999999995</v>
      </c>
      <c r="BS136" s="103">
        <f t="shared" si="162"/>
        <v>545.55999999999995</v>
      </c>
      <c r="BT136" s="103">
        <f t="shared" si="162"/>
        <v>545.56000000000006</v>
      </c>
      <c r="BU136" s="103">
        <f t="shared" si="162"/>
        <v>545.56000000000006</v>
      </c>
      <c r="BV136" s="103">
        <f t="shared" si="162"/>
        <v>545.56000000000006</v>
      </c>
      <c r="BW136" s="103">
        <f t="shared" si="162"/>
        <v>545.55999999999995</v>
      </c>
      <c r="BX136" s="103">
        <f t="shared" si="162"/>
        <v>545.55999999999995</v>
      </c>
      <c r="BY136" s="103">
        <f t="shared" si="162"/>
        <v>545.55999999999995</v>
      </c>
      <c r="BZ136" s="103">
        <f t="shared" si="162"/>
        <v>545.56000000000006</v>
      </c>
      <c r="CA136" s="103">
        <f t="shared" si="162"/>
        <v>545.56000000000006</v>
      </c>
      <c r="CB136" s="103">
        <f t="shared" si="162"/>
        <v>545.55999999999995</v>
      </c>
      <c r="CC136" s="103">
        <f t="shared" si="162"/>
        <v>545.55999999999995</v>
      </c>
      <c r="CD136" s="103">
        <f t="shared" si="162"/>
        <v>545.55999999999995</v>
      </c>
      <c r="CE136" s="103">
        <f t="shared" si="162"/>
        <v>545.55999999999995</v>
      </c>
      <c r="CF136" s="103">
        <f t="shared" si="162"/>
        <v>545.55999999999995</v>
      </c>
      <c r="CG136" s="103">
        <f t="shared" si="162"/>
        <v>545.55999999999995</v>
      </c>
      <c r="CH136" s="103">
        <f t="shared" si="162"/>
        <v>545.55999999999995</v>
      </c>
      <c r="CI136" s="103">
        <f t="shared" si="162"/>
        <v>545.55999999999995</v>
      </c>
      <c r="CJ136" s="103">
        <f t="shared" ref="CJ136:EU136" si="163">SUM(CJ131:CJ135)</f>
        <v>545.55999999999995</v>
      </c>
      <c r="CK136" s="103">
        <f t="shared" si="163"/>
        <v>545.55999999999995</v>
      </c>
      <c r="CL136" s="103">
        <f t="shared" si="163"/>
        <v>545.55999999999995</v>
      </c>
      <c r="CM136" s="103">
        <f t="shared" si="163"/>
        <v>545.55999999999995</v>
      </c>
      <c r="CN136" s="103">
        <f t="shared" si="163"/>
        <v>545.55999999999995</v>
      </c>
      <c r="CO136" s="103">
        <f t="shared" si="163"/>
        <v>545.55999999999995</v>
      </c>
      <c r="CP136" s="103">
        <f t="shared" si="163"/>
        <v>545.55999999999995</v>
      </c>
      <c r="CQ136" s="103">
        <f t="shared" si="163"/>
        <v>545.56000000000006</v>
      </c>
      <c r="CR136" s="103">
        <f t="shared" si="163"/>
        <v>545.56000000000006</v>
      </c>
      <c r="CS136" s="103">
        <f t="shared" si="163"/>
        <v>545.56000000000006</v>
      </c>
      <c r="CT136" s="103">
        <f t="shared" si="163"/>
        <v>545.56000000000006</v>
      </c>
      <c r="CU136" s="103">
        <f t="shared" si="163"/>
        <v>545.56000000000006</v>
      </c>
      <c r="CV136" s="103">
        <f t="shared" si="163"/>
        <v>545.56000000000006</v>
      </c>
      <c r="CW136" s="103">
        <f t="shared" si="163"/>
        <v>545.56000000000006</v>
      </c>
      <c r="CX136" s="103">
        <f t="shared" si="163"/>
        <v>545.56000000000006</v>
      </c>
      <c r="CY136" s="103">
        <f t="shared" si="163"/>
        <v>545.56000000000006</v>
      </c>
      <c r="CZ136" s="103">
        <f t="shared" si="163"/>
        <v>545.56000000000006</v>
      </c>
      <c r="DA136" s="103">
        <f t="shared" si="163"/>
        <v>545.56000000000006</v>
      </c>
      <c r="DB136" s="103">
        <f t="shared" si="163"/>
        <v>545.56000000000006</v>
      </c>
      <c r="DC136" s="103">
        <f t="shared" si="163"/>
        <v>545.56000000000006</v>
      </c>
      <c r="DD136" s="103">
        <f t="shared" si="163"/>
        <v>545.56000000000006</v>
      </c>
      <c r="DE136" s="103">
        <f t="shared" si="163"/>
        <v>545.56000000000006</v>
      </c>
      <c r="DF136" s="103">
        <f t="shared" si="163"/>
        <v>545.56000000000006</v>
      </c>
      <c r="DG136" s="103">
        <f t="shared" si="163"/>
        <v>545.56000000000006</v>
      </c>
      <c r="DH136" s="103">
        <f t="shared" si="163"/>
        <v>545.56000000000006</v>
      </c>
      <c r="DI136" s="103">
        <f t="shared" si="163"/>
        <v>545.56000000000006</v>
      </c>
      <c r="DJ136" s="103">
        <f t="shared" si="163"/>
        <v>545.56000000000006</v>
      </c>
      <c r="DK136" s="103">
        <f t="shared" si="163"/>
        <v>545.56000000000006</v>
      </c>
      <c r="DL136" s="103">
        <f t="shared" si="163"/>
        <v>545.56000000000006</v>
      </c>
      <c r="DM136" s="103">
        <f t="shared" si="163"/>
        <v>545.56000000000006</v>
      </c>
      <c r="DN136" s="103">
        <f t="shared" si="163"/>
        <v>545.56000000000006</v>
      </c>
      <c r="DO136" s="103">
        <f t="shared" si="163"/>
        <v>545.56000000000006</v>
      </c>
      <c r="DP136" s="103">
        <f t="shared" si="163"/>
        <v>545.56000000000006</v>
      </c>
      <c r="DQ136" s="103">
        <f t="shared" si="163"/>
        <v>545.56000000000006</v>
      </c>
      <c r="DR136" s="103">
        <f t="shared" si="163"/>
        <v>545.56000000000006</v>
      </c>
      <c r="DS136" s="103">
        <f t="shared" si="163"/>
        <v>545.56000000000006</v>
      </c>
      <c r="DT136" s="103">
        <f t="shared" si="163"/>
        <v>545.56000000000006</v>
      </c>
      <c r="DU136" s="103">
        <f t="shared" si="163"/>
        <v>545.56000000000006</v>
      </c>
      <c r="DV136" s="103">
        <f t="shared" si="163"/>
        <v>545.56000000000006</v>
      </c>
      <c r="DW136" s="103">
        <f t="shared" si="163"/>
        <v>545.56000000000006</v>
      </c>
      <c r="DX136" s="103">
        <f t="shared" si="163"/>
        <v>545.56000000000006</v>
      </c>
      <c r="DY136" s="103">
        <f t="shared" si="163"/>
        <v>545.56000000000006</v>
      </c>
      <c r="DZ136" s="103">
        <f t="shared" si="163"/>
        <v>545.56000000000006</v>
      </c>
      <c r="EA136" s="103">
        <f t="shared" si="163"/>
        <v>545.56000000000006</v>
      </c>
      <c r="EB136" s="103">
        <f t="shared" si="163"/>
        <v>545.56000000000006</v>
      </c>
      <c r="EC136" s="103">
        <f t="shared" si="163"/>
        <v>545.56000000000006</v>
      </c>
      <c r="ED136" s="103">
        <f t="shared" si="163"/>
        <v>545.56000000000006</v>
      </c>
      <c r="EE136" s="103">
        <f t="shared" si="163"/>
        <v>545.56000000000006</v>
      </c>
      <c r="EF136" s="103">
        <f t="shared" si="163"/>
        <v>545.56000000000006</v>
      </c>
      <c r="EG136" s="103">
        <f t="shared" si="163"/>
        <v>545.56000000000006</v>
      </c>
      <c r="EH136" s="103">
        <f t="shared" si="163"/>
        <v>545.56000000000006</v>
      </c>
      <c r="EI136" s="103">
        <f t="shared" si="163"/>
        <v>545.56000000000006</v>
      </c>
      <c r="EJ136" s="103">
        <f t="shared" si="163"/>
        <v>545.56000000000006</v>
      </c>
      <c r="EK136" s="103">
        <f t="shared" si="163"/>
        <v>545.56000000000006</v>
      </c>
      <c r="EL136" s="103">
        <f t="shared" si="163"/>
        <v>545.56000000000006</v>
      </c>
      <c r="EM136" s="103">
        <f t="shared" si="163"/>
        <v>545.56000000000006</v>
      </c>
      <c r="EN136" s="103">
        <f t="shared" si="163"/>
        <v>545.56000000000006</v>
      </c>
      <c r="EO136" s="103">
        <f t="shared" si="163"/>
        <v>545.56000000000006</v>
      </c>
      <c r="EP136" s="103">
        <f t="shared" si="163"/>
        <v>545.56000000000006</v>
      </c>
      <c r="EQ136" s="103">
        <f t="shared" si="163"/>
        <v>545.56000000000006</v>
      </c>
      <c r="ER136" s="103">
        <f t="shared" si="163"/>
        <v>545.56000000000006</v>
      </c>
      <c r="ES136" s="103">
        <f t="shared" si="163"/>
        <v>545.56000000000006</v>
      </c>
      <c r="ET136" s="103">
        <f t="shared" si="163"/>
        <v>545.56000000000006</v>
      </c>
      <c r="EU136" s="103">
        <f t="shared" si="163"/>
        <v>545.56000000000006</v>
      </c>
      <c r="EV136" s="103">
        <f t="shared" ref="EV136:GX136" si="164">SUM(EV131:EV135)</f>
        <v>545.56000000000006</v>
      </c>
      <c r="EW136" s="103">
        <f t="shared" si="164"/>
        <v>545.56000000000006</v>
      </c>
      <c r="EX136" s="103">
        <f t="shared" si="164"/>
        <v>545.56000000000006</v>
      </c>
      <c r="EY136" s="103">
        <f t="shared" si="164"/>
        <v>545.56000000000006</v>
      </c>
      <c r="EZ136" s="103">
        <f t="shared" si="164"/>
        <v>545.56000000000006</v>
      </c>
      <c r="FA136" s="103">
        <f t="shared" si="164"/>
        <v>545.56000000000006</v>
      </c>
      <c r="FB136" s="103">
        <f t="shared" si="164"/>
        <v>545.56000000000006</v>
      </c>
      <c r="FC136" s="103">
        <f t="shared" si="164"/>
        <v>545.56000000000006</v>
      </c>
      <c r="FD136" s="103">
        <f t="shared" si="164"/>
        <v>545.56000000000006</v>
      </c>
      <c r="FE136" s="103">
        <f t="shared" si="164"/>
        <v>545.56000000000006</v>
      </c>
      <c r="FF136" s="103">
        <f t="shared" si="164"/>
        <v>545.56000000000006</v>
      </c>
      <c r="FG136" s="103">
        <f t="shared" si="164"/>
        <v>545.56000000000006</v>
      </c>
      <c r="FH136" s="103">
        <f t="shared" si="164"/>
        <v>545.56000000000006</v>
      </c>
      <c r="FI136" s="103">
        <f t="shared" si="164"/>
        <v>545.56000000000006</v>
      </c>
      <c r="FJ136" s="103">
        <f t="shared" si="164"/>
        <v>545.56000000000006</v>
      </c>
      <c r="FK136" s="103">
        <f t="shared" si="164"/>
        <v>545.56000000000006</v>
      </c>
      <c r="FL136" s="103">
        <f t="shared" si="164"/>
        <v>545.56000000000006</v>
      </c>
      <c r="FM136" s="103">
        <f t="shared" si="164"/>
        <v>545.56000000000006</v>
      </c>
      <c r="FN136" s="103">
        <f t="shared" si="164"/>
        <v>545.56000000000006</v>
      </c>
      <c r="FO136" s="103">
        <f t="shared" si="164"/>
        <v>545.56000000000006</v>
      </c>
      <c r="FP136" s="103">
        <f t="shared" si="164"/>
        <v>545.56000000000006</v>
      </c>
      <c r="FQ136" s="103">
        <f t="shared" si="164"/>
        <v>545.56000000000006</v>
      </c>
      <c r="FR136" s="103">
        <f t="shared" si="164"/>
        <v>545.56000000000006</v>
      </c>
      <c r="FS136" s="103">
        <f t="shared" si="164"/>
        <v>545.56000000000006</v>
      </c>
      <c r="FT136" s="103">
        <f t="shared" si="164"/>
        <v>545.56000000000006</v>
      </c>
      <c r="FU136" s="103">
        <f t="shared" si="164"/>
        <v>545.56000000000006</v>
      </c>
      <c r="FV136" s="103">
        <f t="shared" si="164"/>
        <v>545.56000000000006</v>
      </c>
      <c r="FW136" s="103">
        <f t="shared" si="164"/>
        <v>545.56000000000006</v>
      </c>
      <c r="FX136" s="103">
        <f t="shared" si="164"/>
        <v>545.56000000000006</v>
      </c>
      <c r="FY136" s="103">
        <f t="shared" si="164"/>
        <v>545.56000000000006</v>
      </c>
      <c r="FZ136" s="103">
        <f t="shared" si="164"/>
        <v>545.56000000000006</v>
      </c>
      <c r="GA136" s="103">
        <f t="shared" si="164"/>
        <v>545.56000000000006</v>
      </c>
      <c r="GB136" s="103">
        <f t="shared" si="164"/>
        <v>545.56000000000006</v>
      </c>
      <c r="GC136" s="103">
        <f t="shared" si="164"/>
        <v>545.56000000000006</v>
      </c>
      <c r="GD136" s="103">
        <f t="shared" si="164"/>
        <v>545.56000000000006</v>
      </c>
      <c r="GE136" s="103">
        <f t="shared" si="164"/>
        <v>545.56000000000006</v>
      </c>
      <c r="GF136" s="103">
        <f t="shared" si="164"/>
        <v>545.56000000000006</v>
      </c>
      <c r="GG136" s="103">
        <f t="shared" si="164"/>
        <v>545.56000000000006</v>
      </c>
      <c r="GH136" s="103">
        <f t="shared" si="164"/>
        <v>545.56000000000006</v>
      </c>
      <c r="GI136" s="103">
        <f t="shared" si="164"/>
        <v>545.56000000000006</v>
      </c>
      <c r="GJ136" s="103">
        <f t="shared" si="164"/>
        <v>545.56000000000006</v>
      </c>
      <c r="GK136" s="103">
        <f t="shared" si="164"/>
        <v>545.56000000000006</v>
      </c>
      <c r="GL136" s="103">
        <f t="shared" si="164"/>
        <v>545.56000000000006</v>
      </c>
      <c r="GM136" s="103">
        <f t="shared" si="164"/>
        <v>545.56000000000006</v>
      </c>
      <c r="GN136" s="103">
        <f t="shared" si="164"/>
        <v>545.56000000000006</v>
      </c>
      <c r="GO136" s="103">
        <f t="shared" si="164"/>
        <v>545.56000000000006</v>
      </c>
      <c r="GP136" s="103">
        <f t="shared" si="164"/>
        <v>545.56000000000006</v>
      </c>
      <c r="GQ136" s="103">
        <f t="shared" si="164"/>
        <v>545.56000000000006</v>
      </c>
      <c r="GR136" s="103">
        <f t="shared" si="164"/>
        <v>545.56000000000006</v>
      </c>
      <c r="GS136" s="103">
        <f t="shared" si="164"/>
        <v>545.56000000000006</v>
      </c>
      <c r="GT136" s="103">
        <f t="shared" si="164"/>
        <v>545.56000000000006</v>
      </c>
      <c r="GU136" s="103">
        <f t="shared" si="164"/>
        <v>545.56000000000006</v>
      </c>
      <c r="GV136" s="103">
        <f t="shared" si="164"/>
        <v>545.56000000000006</v>
      </c>
      <c r="GW136" s="103">
        <f t="shared" si="164"/>
        <v>545.56000000000006</v>
      </c>
      <c r="GX136" s="103">
        <f t="shared" si="164"/>
        <v>545.56000000000006</v>
      </c>
    </row>
    <row r="137" spans="1:206" x14ac:dyDescent="0.2">
      <c r="A137" s="84">
        <v>2</v>
      </c>
      <c r="B137" s="84" t="s">
        <v>11</v>
      </c>
      <c r="W137" s="79" cm="1">
        <f t="array" ref="W137">SUMPRODUCT(($B$2:$B$126=2)*(W$2:W$126&gt;=0)*(W$2:W$126&lt;=12)*(W$2:W$126&lt;&gt;"")*($J$2:$J$126))</f>
        <v>243.12999999999997</v>
      </c>
      <c r="X137" s="79" cm="1">
        <f t="array" ref="X137">SUMPRODUCT(($B$2:$B$126=2)*(X$2:X$126&gt;=0)*(X$2:X$126&lt;=12)*(X$2:X$126&lt;&gt;"")*($J$2:$J$126))</f>
        <v>194.79</v>
      </c>
      <c r="Y137" s="79" cm="1">
        <f t="array" ref="Y137">SUMPRODUCT(($B$2:$B$126=2)*(Y$2:Y$126&gt;=0)*(Y$2:Y$126&lt;=12)*(Y$2:Y$126&lt;&gt;"")*($J$2:$J$126))</f>
        <v>194.79</v>
      </c>
      <c r="Z137" s="79" cm="1">
        <f t="array" ref="Z137">SUMPRODUCT(($B$2:$B$126=2)*(Z$2:Z$126&gt;=0)*(Z$2:Z$126&lt;=12)*(Z$2:Z$126&lt;&gt;"")*($J$2:$J$126))</f>
        <v>201.22</v>
      </c>
      <c r="AA137" s="79" cm="1">
        <f t="array" ref="AA137">SUMPRODUCT(($B$2:$B$126=2)*(AA$2:AA$126&gt;=0)*(AA$2:AA$126&lt;=12)*(AA$2:AA$126&lt;&gt;"")*($J$2:$J$126))</f>
        <v>201.22</v>
      </c>
      <c r="AB137" s="79" cm="1">
        <f t="array" ref="AB137">SUMPRODUCT(($B$2:$B$126=2)*(AB$2:AB$126&gt;=0)*(AB$2:AB$126&lt;=12)*(AB$2:AB$126&lt;&gt;"")*($J$2:$J$126))</f>
        <v>172.98</v>
      </c>
      <c r="AC137" s="79" cm="1">
        <f t="array" ref="AC137">SUMPRODUCT(($B$2:$B$126=2)*(AC$2:AC$126&gt;=0)*(AC$2:AC$126&lt;=12)*(AC$2:AC$126&lt;&gt;"")*($J$2:$J$126))</f>
        <v>172.98</v>
      </c>
      <c r="AD137" s="79" cm="1">
        <f t="array" ref="AD137">SUMPRODUCT(($B$2:$B$126=2)*(AD$2:AD$126&gt;=0)*(AD$2:AD$126&lt;=12)*(AD$2:AD$126&lt;&gt;"")*($J$2:$J$126))</f>
        <v>104.55000000000001</v>
      </c>
      <c r="AE137" s="79" cm="1">
        <f t="array" ref="AE137">SUMPRODUCT(($B$2:$B$126=2)*(AE$2:AE$126&gt;=0)*(AE$2:AE$126&lt;=12)*(AE$2:AE$126&lt;&gt;"")*($J$2:$J$126))</f>
        <v>138.28</v>
      </c>
      <c r="AF137" s="79" cm="1">
        <f t="array" ref="AF137">SUMPRODUCT(($B$2:$B$126=2)*(AF$2:AF$126&gt;=0)*(AF$2:AF$126&lt;=12)*(AF$2:AF$126&lt;&gt;"")*($J$2:$J$126))</f>
        <v>127.15</v>
      </c>
      <c r="AG137" s="79" cm="1">
        <f t="array" ref="AG137">SUMPRODUCT(($B$2:$B$126=2)*(AG$2:AG$126&gt;=0)*(AG$2:AG$126&lt;=12)*(AG$2:AG$126&lt;&gt;"")*($J$2:$J$126))</f>
        <v>127.15</v>
      </c>
      <c r="AH137" s="79" cm="1">
        <f t="array" ref="AH137">SUMPRODUCT(($B$2:$B$126=2)*(AH$2:AH$126&gt;=0)*(AH$2:AH$126&lt;=12)*(AH$2:AH$126&lt;&gt;"")*($J$2:$J$126))</f>
        <v>109.28</v>
      </c>
      <c r="AI137" s="79" cm="1">
        <f t="array" ref="AI137">SUMPRODUCT(($B$2:$B$126=2)*(AI$2:AI$126&gt;=0)*(AI$2:AI$126&lt;=12)*(AI$2:AI$126&lt;&gt;"")*($J$2:$J$126))</f>
        <v>109.28</v>
      </c>
      <c r="AJ137" s="79" cm="1">
        <f t="array" ref="AJ137">SUMPRODUCT(($B$2:$B$126=2)*(AJ$2:AJ$126&gt;=0)*(AJ$2:AJ$126&lt;=12)*(AJ$2:AJ$126&lt;&gt;"")*($J$2:$J$126))</f>
        <v>109.28</v>
      </c>
      <c r="AK137" s="79" cm="1">
        <f t="array" ref="AK137">SUMPRODUCT(($B$2:$B$126=2)*(AK$2:AK$126&gt;=0)*(AK$2:AK$126&lt;=12)*(AK$2:AK$126&lt;&gt;"")*($J$2:$J$126))</f>
        <v>74.02</v>
      </c>
      <c r="AL137" s="79" cm="1">
        <f t="array" ref="AL137">SUMPRODUCT(($B$2:$B$126=2)*(AL$2:AL$126&gt;=0)*(AL$2:AL$126&lt;=12)*(AL$2:AL$126&lt;&gt;"")*($J$2:$J$126))</f>
        <v>74.02</v>
      </c>
      <c r="AM137" s="79" cm="1">
        <f t="array" ref="AM137">SUMPRODUCT(($B$2:$B$126=2)*(AM$2:AM$126&gt;=0)*(AM$2:AM$126&lt;=12)*(AM$2:AM$126&lt;&gt;"")*($J$2:$J$126))</f>
        <v>77.069999999999993</v>
      </c>
      <c r="AN137" s="79" cm="1">
        <f t="array" ref="AN137">SUMPRODUCT(($B$2:$B$126=2)*(AN$2:AN$126&gt;=0)*(AN$2:AN$126&lt;=12)*(AN$2:AN$126&lt;&gt;"")*($J$2:$J$126))</f>
        <v>104.50999999999999</v>
      </c>
      <c r="AO137" s="79" cm="1">
        <f t="array" ref="AO137">SUMPRODUCT(($B$2:$B$126=2)*(AO$2:AO$126&gt;=0)*(AO$2:AO$126&lt;=12)*(AO$2:AO$126&lt;&gt;"")*($J$2:$J$126))</f>
        <v>104.50999999999999</v>
      </c>
      <c r="AP137" s="79" cm="1">
        <f t="array" ref="AP137">SUMPRODUCT(($B$2:$B$126=2)*(AP$2:AP$126&gt;=0)*(AP$2:AP$126&lt;=12)*(AP$2:AP$126&lt;&gt;"")*($J$2:$J$126))</f>
        <v>117.62</v>
      </c>
      <c r="AQ137" s="79" cm="1">
        <f t="array" ref="AQ137">SUMPRODUCT(($B$2:$B$126=2)*(AQ$2:AQ$126&gt;=0)*(AQ$2:AQ$126&lt;=12)*(AQ$2:AQ$126&lt;&gt;"")*($J$2:$J$126))</f>
        <v>124.61</v>
      </c>
      <c r="AR137" s="79" cm="1">
        <f t="array" ref="AR137">SUMPRODUCT(($B$2:$B$126=2)*(AR$2:AR$126&gt;=0)*(AR$2:AR$126&lt;=12)*(AR$2:AR$126&lt;&gt;"")*($J$2:$J$126))</f>
        <v>176.04000000000002</v>
      </c>
      <c r="AS137" s="79" cm="1">
        <f t="array" ref="AS137">SUMPRODUCT(($B$2:$B$126=2)*(AS$2:AS$126&gt;=0)*(AS$2:AS$126&lt;=12)*(AS$2:AS$126&lt;&gt;"")*($J$2:$J$126))</f>
        <v>259.64</v>
      </c>
      <c r="AT137" s="79" cm="1">
        <f t="array" ref="AT137">SUMPRODUCT(($B$2:$B$126=2)*(AT$2:AT$126&gt;=0)*(AT$2:AT$126&lt;=12)*(AT$2:AT$126&lt;&gt;"")*($J$2:$J$126))</f>
        <v>259.64</v>
      </c>
      <c r="AU137" s="79" cm="1">
        <f t="array" ref="AU137">SUMPRODUCT(($B$2:$B$126=2)*(AU$2:AU$126&gt;=0)*(AU$2:AU$126&lt;=12)*(AU$2:AU$126&lt;&gt;"")*($J$2:$J$126))</f>
        <v>281.61</v>
      </c>
      <c r="AV137" s="79" cm="1">
        <f t="array" ref="AV137">SUMPRODUCT(($B$2:$B$126=2)*(AV$2:AV$126&gt;=0)*(AV$2:AV$126&lt;=12)*(AV$2:AV$126&lt;&gt;"")*($J$2:$J$126))</f>
        <v>281.61</v>
      </c>
      <c r="AW137" s="79" cm="1">
        <f t="array" ref="AW137">SUMPRODUCT(($B$2:$B$126=2)*(AW$2:AW$126&gt;=0)*(AW$2:AW$126&lt;=12)*(AW$2:AW$126&lt;&gt;"")*($J$2:$J$126))</f>
        <v>281.61</v>
      </c>
      <c r="AX137" s="79" cm="1">
        <f t="array" ref="AX137">SUMPRODUCT(($B$2:$B$126=2)*(AX$2:AX$126&gt;=0)*(AX$2:AX$126&lt;=12)*(AX$2:AX$126&lt;&gt;"")*($J$2:$J$126))</f>
        <v>293.50000000000006</v>
      </c>
      <c r="AY137" s="79" cm="1">
        <f t="array" ref="AY137">SUMPRODUCT(($B$2:$B$126=2)*(AY$2:AY$126&gt;=0)*(AY$2:AY$126&lt;=12)*(AY$2:AY$126&lt;&gt;"")*($J$2:$J$126))</f>
        <v>307.68000000000006</v>
      </c>
      <c r="AZ137" s="79" cm="1">
        <f t="array" ref="AZ137">SUMPRODUCT(($B$2:$B$126=2)*(AZ$2:AZ$126&gt;=0)*(AZ$2:AZ$126&lt;=12)*(AZ$2:AZ$126&lt;&gt;"")*($J$2:$J$126))</f>
        <v>264.34000000000003</v>
      </c>
      <c r="BA137" s="79" cm="1">
        <f t="array" ref="BA137">SUMPRODUCT(($B$2:$B$126=2)*(BA$2:BA$126&gt;=0)*(BA$2:BA$126&lt;=12)*(BA$2:BA$126&lt;&gt;"")*($J$2:$J$126))</f>
        <v>284.69</v>
      </c>
      <c r="BB137" s="79" cm="1">
        <f t="array" ref="BB137">SUMPRODUCT(($B$2:$B$126=2)*(BB$2:BB$126&gt;=0)*(BB$2:BB$126&lt;=12)*(BB$2:BB$126&lt;&gt;"")*($J$2:$J$126))</f>
        <v>284.69</v>
      </c>
      <c r="BC137" s="79" cm="1">
        <f t="array" ref="BC137">SUMPRODUCT(($B$2:$B$126=2)*(BC$2:BC$126&gt;=0)*(BC$2:BC$126&lt;=12)*(BC$2:BC$126&lt;&gt;"")*($J$2:$J$126))</f>
        <v>271.58</v>
      </c>
      <c r="BD137" s="79" cm="1">
        <f t="array" ref="BD137">SUMPRODUCT(($B$2:$B$126=2)*(BD$2:BD$126&gt;=0)*(BD$2:BD$126&lt;=12)*(BD$2:BD$126&lt;&gt;"")*($J$2:$J$126))</f>
        <v>264.58999999999997</v>
      </c>
      <c r="BE137" s="79" cm="1">
        <f t="array" ref="BE137">SUMPRODUCT(($B$2:$B$126=2)*(BE$2:BE$126&gt;=0)*(BE$2:BE$126&lt;=12)*(BE$2:BE$126&lt;&gt;"")*($J$2:$J$126))</f>
        <v>262.33</v>
      </c>
      <c r="BF137" s="79" cm="1">
        <f t="array" ref="BF137">SUMPRODUCT(($B$2:$B$126=2)*(BF$2:BF$126&gt;=0)*(BF$2:BF$126&lt;=12)*(BF$2:BF$126&lt;&gt;"")*($J$2:$J$126))</f>
        <v>295.12</v>
      </c>
      <c r="BG137" s="79" cm="1">
        <f t="array" ref="BG137">SUMPRODUCT(($B$2:$B$126=2)*(BG$2:BG$126&gt;=0)*(BG$2:BG$126&lt;=12)*(BG$2:BG$126&lt;&gt;"")*($J$2:$J$126))</f>
        <v>391.69</v>
      </c>
      <c r="BH137" s="79" cm="1">
        <f t="array" ref="BH137">SUMPRODUCT(($B$2:$B$126=2)*(BH$2:BH$126&gt;=0)*(BH$2:BH$126&lt;=12)*(BH$2:BH$126&lt;&gt;"")*($J$2:$J$126))</f>
        <v>413.06000000000006</v>
      </c>
      <c r="BI137" s="79" cm="1">
        <f t="array" ref="BI137">SUMPRODUCT(($B$2:$B$126=2)*(BI$2:BI$126&gt;=0)*(BI$2:BI$126&lt;=12)*(BI$2:BI$126&lt;&gt;"")*($J$2:$J$126))</f>
        <v>430.93000000000006</v>
      </c>
      <c r="BJ137" s="79" cm="1">
        <f t="array" ref="BJ137">SUMPRODUCT(($B$2:$B$126=2)*(BJ$2:BJ$126&gt;=0)*(BJ$2:BJ$126&lt;=12)*(BJ$2:BJ$126&lt;&gt;"")*($J$2:$J$126))</f>
        <v>430.93000000000006</v>
      </c>
      <c r="BK137" s="79" cm="1">
        <f t="array" ref="BK137">SUMPRODUCT(($B$2:$B$126=2)*(BK$2:BK$126&gt;=0)*(BK$2:BK$126&lt;=12)*(BK$2:BK$126&lt;&gt;"")*($J$2:$J$126))</f>
        <v>419.04000000000008</v>
      </c>
      <c r="BL137" s="79" cm="1">
        <f t="array" ref="BL137">SUMPRODUCT(($B$2:$B$126=2)*(BL$2:BL$126&gt;=0)*(BL$2:BL$126&lt;=12)*(BL$2:BL$126&lt;&gt;"")*($J$2:$J$126))</f>
        <v>404.86000000000007</v>
      </c>
      <c r="BM137" s="79" cm="1">
        <f t="array" ref="BM137">SUMPRODUCT(($B$2:$B$126=2)*(BM$2:BM$126&gt;=0)*(BM$2:BM$126&lt;=12)*(BM$2:BM$126&lt;&gt;"")*($J$2:$J$126))</f>
        <v>480.41000000000008</v>
      </c>
      <c r="BN137" s="79" cm="1">
        <f t="array" ref="BN137">SUMPRODUCT(($B$2:$B$126=2)*(BN$2:BN$126&gt;=0)*(BN$2:BN$126&lt;=12)*(BN$2:BN$126&lt;&gt;"")*($J$2:$J$126))</f>
        <v>454.59000000000003</v>
      </c>
      <c r="BO137" s="79" cm="1">
        <f t="array" ref="BO137">SUMPRODUCT(($B$2:$B$126=2)*(BO$2:BO$126&gt;=0)*(BO$2:BO$126&lt;=12)*(BO$2:BO$126&lt;&gt;"")*($J$2:$J$126))</f>
        <v>480.66000000000008</v>
      </c>
      <c r="BP137" s="79" cm="1">
        <f t="array" ref="BP137">SUMPRODUCT(($B$2:$B$126=2)*(BP$2:BP$126&gt;=0)*(BP$2:BP$126&lt;=12)*(BP$2:BP$126&lt;&gt;"")*($J$2:$J$126))</f>
        <v>480.66000000000008</v>
      </c>
      <c r="BQ137" s="79" cm="1">
        <f t="array" ref="BQ137">SUMPRODUCT(($B$2:$B$126=2)*(BQ$2:BQ$126&gt;=0)*(BQ$2:BQ$126&lt;=12)*(BQ$2:BQ$126&lt;&gt;"")*($J$2:$J$126))</f>
        <v>480.66000000000008</v>
      </c>
      <c r="BR137" s="79" cm="1">
        <f t="array" ref="BR137">SUMPRODUCT(($B$2:$B$126=2)*(BR$2:BR$126&gt;=0)*(BR$2:BR$126&lt;=12)*(BR$2:BR$126&lt;&gt;"")*($J$2:$J$126))</f>
        <v>397.76000000000005</v>
      </c>
      <c r="BS137" s="79" cm="1">
        <f t="array" ref="BS137">SUMPRODUCT(($B$2:$B$126=2)*(BS$2:BS$126&gt;=0)*(BS$2:BS$126&lt;=12)*(BS$2:BS$126&lt;&gt;"")*($J$2:$J$126))</f>
        <v>281.37</v>
      </c>
      <c r="BT137" s="79" cm="1">
        <f t="array" ref="BT137">SUMPRODUCT(($B$2:$B$126=2)*(BT$2:BT$126&gt;=0)*(BT$2:BT$126&lt;=12)*(BT$2:BT$126&lt;&gt;"")*($J$2:$J$126))</f>
        <v>184.79999999999998</v>
      </c>
      <c r="BU137" s="79" cm="1">
        <f t="array" ref="BU137">SUMPRODUCT(($B$2:$B$126=2)*(BU$2:BU$126&gt;=0)*(BU$2:BU$126&lt;=12)*(BU$2:BU$126&lt;&gt;"")*($J$2:$J$126))</f>
        <v>141.46</v>
      </c>
      <c r="BV137" s="79" cm="1">
        <f t="array" ref="BV137">SUMPRODUCT(($B$2:$B$126=2)*(BV$2:BV$126&gt;=0)*(BV$2:BV$126&lt;=12)*(BV$2:BV$126&lt;&gt;"")*($J$2:$J$126))</f>
        <v>123.59</v>
      </c>
      <c r="BW137" s="79" cm="1">
        <f t="array" ref="BW137">SUMPRODUCT(($B$2:$B$126=2)*(BW$2:BW$126&gt;=0)*(BW$2:BW$126&lt;=12)*(BW$2:BW$126&lt;&gt;"")*($J$2:$J$126))</f>
        <v>123.59</v>
      </c>
      <c r="BX137" s="79" cm="1">
        <f t="array" ref="BX137">SUMPRODUCT(($B$2:$B$126=2)*(BX$2:BX$126&gt;=0)*(BX$2:BX$126&lt;=12)*(BX$2:BX$126&lt;&gt;"")*($J$2:$J$126))</f>
        <v>123.59</v>
      </c>
      <c r="BY137" s="79" cm="1">
        <f t="array" ref="BY137">SUMPRODUCT(($B$2:$B$126=2)*(BY$2:BY$126&gt;=0)*(BY$2:BY$126&lt;=12)*(BY$2:BY$126&lt;&gt;"")*($J$2:$J$126))</f>
        <v>123.59</v>
      </c>
      <c r="BZ137" s="79" cm="1">
        <f t="array" ref="BZ137">SUMPRODUCT(($B$2:$B$126=2)*(BZ$2:BZ$126&gt;=0)*(BZ$2:BZ$126&lt;=12)*(BZ$2:BZ$126&lt;&gt;"")*($J$2:$J$126))</f>
        <v>48.04</v>
      </c>
      <c r="CA137" s="79" cm="1">
        <f t="array" ref="CA137">SUMPRODUCT(($B$2:$B$126=2)*(CA$2:CA$126&gt;=0)*(CA$2:CA$126&lt;=12)*(CA$2:CA$126&lt;&gt;"")*($J$2:$J$126))</f>
        <v>26.07</v>
      </c>
      <c r="CB137" s="79" cm="1">
        <f t="array" ref="CB137">SUMPRODUCT(($B$2:$B$126=2)*(CB$2:CB$126&gt;=0)*(CB$2:CB$126&lt;=12)*(CB$2:CB$126&lt;&gt;"")*($J$2:$J$126))</f>
        <v>0</v>
      </c>
      <c r="CC137" s="79" cm="1">
        <f t="array" ref="CC137">SUMPRODUCT(($B$2:$B$126=2)*(CC$2:CC$126&gt;=0)*(CC$2:CC$126&lt;=12)*(CC$2:CC$126&lt;&gt;"")*($J$2:$J$126))</f>
        <v>0</v>
      </c>
      <c r="CD137" s="79" cm="1">
        <f t="array" ref="CD137">SUMPRODUCT(($B$2:$B$126=2)*(CD$2:CD$126&gt;=0)*(CD$2:CD$126&lt;=12)*(CD$2:CD$126&lt;&gt;"")*($J$2:$J$126))</f>
        <v>0</v>
      </c>
      <c r="CE137" s="79" cm="1">
        <f t="array" ref="CE137">SUMPRODUCT(($B$2:$B$126=2)*(CE$2:CE$126&gt;=0)*(CE$2:CE$126&lt;=12)*(CE$2:CE$126&lt;&gt;"")*($J$2:$J$126))</f>
        <v>0</v>
      </c>
      <c r="CF137" s="79" cm="1">
        <f t="array" ref="CF137">SUMPRODUCT(($B$2:$B$126=2)*(CF$2:CF$126&gt;=0)*(CF$2:CF$126&lt;=12)*(CF$2:CF$126&lt;&gt;"")*($J$2:$J$126))</f>
        <v>0</v>
      </c>
      <c r="CG137" s="79" cm="1">
        <f t="array" ref="CG137">SUMPRODUCT(($B$2:$B$126=2)*(CG$2:CG$126&gt;=0)*(CG$2:CG$126&lt;=12)*(CG$2:CG$126&lt;&gt;"")*($J$2:$J$126))</f>
        <v>0</v>
      </c>
      <c r="CH137" s="79" cm="1">
        <f t="array" ref="CH137">SUMPRODUCT(($B$2:$B$126=2)*(CH$2:CH$126&gt;=0)*(CH$2:CH$126&lt;=12)*(CH$2:CH$126&lt;&gt;"")*($J$2:$J$126))</f>
        <v>0</v>
      </c>
      <c r="CI137" s="79" cm="1">
        <f t="array" ref="CI137">SUMPRODUCT(($B$2:$B$126=2)*(CI$2:CI$126&gt;=0)*(CI$2:CI$126&lt;=12)*(CI$2:CI$126&lt;&gt;"")*($J$2:$J$126))</f>
        <v>0</v>
      </c>
      <c r="CJ137" s="79" cm="1">
        <f t="array" ref="CJ137">SUMPRODUCT(($B$2:$B$126=2)*(CJ$2:CJ$126&gt;=0)*(CJ$2:CJ$126&lt;=12)*(CJ$2:CJ$126&lt;&gt;"")*($J$2:$J$126))</f>
        <v>0</v>
      </c>
      <c r="CK137" s="79" cm="1">
        <f t="array" ref="CK137">SUMPRODUCT(($B$2:$B$126=2)*(CK$2:CK$126&gt;=0)*(CK$2:CK$126&lt;=12)*(CK$2:CK$126&lt;&gt;"")*($J$2:$J$126))</f>
        <v>0</v>
      </c>
      <c r="CL137" s="79" cm="1">
        <f t="array" ref="CL137">SUMPRODUCT(($B$2:$B$126=2)*(CL$2:CL$126&gt;=0)*(CL$2:CL$126&lt;=12)*(CL$2:CL$126&lt;&gt;"")*($J$2:$J$126))</f>
        <v>0</v>
      </c>
      <c r="CM137" s="79" cm="1">
        <f t="array" ref="CM137">SUMPRODUCT(($B$2:$B$126=2)*(CM$2:CM$126&gt;=0)*(CM$2:CM$126&lt;=12)*(CM$2:CM$126&lt;&gt;"")*($J$2:$J$126))</f>
        <v>0</v>
      </c>
      <c r="CN137" s="79" cm="1">
        <f t="array" ref="CN137">SUMPRODUCT(($B$2:$B$126=2)*(CN$2:CN$126&gt;=0)*(CN$2:CN$126&lt;=12)*(CN$2:CN$126&lt;&gt;"")*($J$2:$J$126))</f>
        <v>0</v>
      </c>
      <c r="CO137" s="79" cm="1">
        <f t="array" ref="CO137">SUMPRODUCT(($B$2:$B$126=2)*(CO$2:CO$126&gt;=0)*(CO$2:CO$126&lt;=12)*(CO$2:CO$126&lt;&gt;"")*($J$2:$J$126))</f>
        <v>0</v>
      </c>
      <c r="CP137" s="79" cm="1">
        <f t="array" ref="CP137">SUMPRODUCT(($B$2:$B$126=2)*(CP$2:CP$126&gt;=0)*(CP$2:CP$126&lt;=12)*(CP$2:CP$126&lt;&gt;"")*($J$2:$J$126))</f>
        <v>0</v>
      </c>
      <c r="CQ137" s="79" cm="1">
        <f t="array" ref="CQ137">SUMPRODUCT(($B$2:$B$126=2)*(CQ$2:CQ$126&gt;=0)*(CQ$2:CQ$126&lt;=12)*(CQ$2:CQ$126&lt;&gt;"")*($J$2:$J$126))</f>
        <v>0</v>
      </c>
      <c r="CR137" s="79" cm="1">
        <f t="array" ref="CR137">SUMPRODUCT(($B$2:$B$126=2)*(CR$2:CR$126&gt;=0)*(CR$2:CR$126&lt;=12)*(CR$2:CR$126&lt;&gt;"")*($J$2:$J$126))</f>
        <v>0</v>
      </c>
      <c r="CS137" s="79" cm="1">
        <f t="array" ref="CS137">SUMPRODUCT(($B$2:$B$126=2)*(CS$2:CS$126&gt;=0)*(CS$2:CS$126&lt;=12)*(CS$2:CS$126&lt;&gt;"")*($J$2:$J$126))</f>
        <v>0</v>
      </c>
      <c r="CT137" s="79" cm="1">
        <f t="array" ref="CT137">SUMPRODUCT(($B$2:$B$126=2)*(CT$2:CT$126&gt;=0)*(CT$2:CT$126&lt;=12)*(CT$2:CT$126&lt;&gt;"")*($J$2:$J$126))</f>
        <v>0</v>
      </c>
      <c r="CU137" s="79" cm="1">
        <f t="array" ref="CU137">SUMPRODUCT(($B$2:$B$126=2)*(CU$2:CU$126&gt;=0)*(CU$2:CU$126&lt;=12)*(CU$2:CU$126&lt;&gt;"")*($J$2:$J$126))</f>
        <v>0</v>
      </c>
      <c r="CV137" s="79" cm="1">
        <f t="array" ref="CV137">SUMPRODUCT(($B$2:$B$126=2)*(CV$2:CV$126&gt;=0)*(CV$2:CV$126&lt;=12)*(CV$2:CV$126&lt;&gt;"")*($J$2:$J$126))</f>
        <v>0</v>
      </c>
      <c r="CW137" s="79" cm="1">
        <f t="array" ref="CW137">SUMPRODUCT(($B$2:$B$126=2)*(CW$2:CW$126&gt;=0)*(CW$2:CW$126&lt;=12)*(CW$2:CW$126&lt;&gt;"")*($J$2:$J$126))</f>
        <v>0</v>
      </c>
      <c r="CX137" s="79" cm="1">
        <f t="array" ref="CX137">SUMPRODUCT(($B$2:$B$126=2)*(CX$2:CX$126&gt;=0)*(CX$2:CX$126&lt;=12)*(CX$2:CX$126&lt;&gt;"")*($J$2:$J$126))</f>
        <v>0</v>
      </c>
      <c r="CY137" s="79" cm="1">
        <f t="array" ref="CY137">SUMPRODUCT(($B$2:$B$126=2)*(CY$2:CY$126&gt;=0)*(CY$2:CY$126&lt;=12)*(CY$2:CY$126&lt;&gt;"")*($J$2:$J$126))</f>
        <v>0</v>
      </c>
      <c r="CZ137" s="79" cm="1">
        <f t="array" ref="CZ137">SUMPRODUCT(($B$2:$B$126=2)*(CZ$2:CZ$126&gt;=0)*(CZ$2:CZ$126&lt;=12)*(CZ$2:CZ$126&lt;&gt;"")*($J$2:$J$126))</f>
        <v>0</v>
      </c>
      <c r="DA137" s="79" cm="1">
        <f t="array" ref="DA137">SUMPRODUCT(($B$2:$B$126=2)*(DA$2:DA$126&gt;=0)*(DA$2:DA$126&lt;=12)*(DA$2:DA$126&lt;&gt;"")*($J$2:$J$126))</f>
        <v>0</v>
      </c>
      <c r="DB137" s="79" cm="1">
        <f t="array" ref="DB137">SUMPRODUCT(($B$2:$B$126=2)*(DB$2:DB$126&gt;=0)*(DB$2:DB$126&lt;=12)*(DB$2:DB$126&lt;&gt;"")*($J$2:$J$126))</f>
        <v>0</v>
      </c>
      <c r="DC137" s="79" cm="1">
        <f t="array" ref="DC137">SUMPRODUCT(($B$2:$B$126=2)*(DC$2:DC$126&gt;=0)*(DC$2:DC$126&lt;=12)*(DC$2:DC$126&lt;&gt;"")*($J$2:$J$126))</f>
        <v>0</v>
      </c>
      <c r="DD137" s="79" cm="1">
        <f t="array" ref="DD137">SUMPRODUCT(($B$2:$B$126=2)*(DD$2:DD$126&gt;=0)*(DD$2:DD$126&lt;=12)*(DD$2:DD$126&lt;&gt;"")*($J$2:$J$126))</f>
        <v>0</v>
      </c>
      <c r="DE137" s="79" cm="1">
        <f t="array" ref="DE137">SUMPRODUCT(($B$2:$B$126=2)*(DE$2:DE$126&gt;=0)*(DE$2:DE$126&lt;=12)*(DE$2:DE$126&lt;&gt;"")*($J$2:$J$126))</f>
        <v>0</v>
      </c>
      <c r="DF137" s="79" cm="1">
        <f t="array" ref="DF137">SUMPRODUCT(($B$2:$B$126=2)*(DF$2:DF$126&gt;=0)*(DF$2:DF$126&lt;=12)*(DF$2:DF$126&lt;&gt;"")*($J$2:$J$126))</f>
        <v>0</v>
      </c>
      <c r="DG137" s="79" cm="1">
        <f t="array" ref="DG137">SUMPRODUCT(($B$2:$B$126=2)*(DG$2:DG$126&gt;=0)*(DG$2:DG$126&lt;=12)*(DG$2:DG$126&lt;&gt;"")*($J$2:$J$126))</f>
        <v>0</v>
      </c>
      <c r="DH137" s="79" cm="1">
        <f t="array" ref="DH137">SUMPRODUCT(($B$2:$B$126=2)*(DH$2:DH$126&gt;=0)*(DH$2:DH$126&lt;=12)*(DH$2:DH$126&lt;&gt;"")*($J$2:$J$126))</f>
        <v>0</v>
      </c>
      <c r="DI137" s="79" cm="1">
        <f t="array" ref="DI137">SUMPRODUCT(($B$2:$B$126=2)*(DI$2:DI$126&gt;=0)*(DI$2:DI$126&lt;=12)*(DI$2:DI$126&lt;&gt;"")*($J$2:$J$126))</f>
        <v>0</v>
      </c>
      <c r="DJ137" s="79" cm="1">
        <f t="array" ref="DJ137">SUMPRODUCT(($B$2:$B$126=2)*(DJ$2:DJ$126&gt;=0)*(DJ$2:DJ$126&lt;=12)*(DJ$2:DJ$126&lt;&gt;"")*($J$2:$J$126))</f>
        <v>0</v>
      </c>
      <c r="DK137" s="79" cm="1">
        <f t="array" ref="DK137">SUMPRODUCT(($B$2:$B$126=2)*(DK$2:DK$126&gt;=0)*(DK$2:DK$126&lt;=12)*(DK$2:DK$126&lt;&gt;"")*($J$2:$J$126))</f>
        <v>0</v>
      </c>
      <c r="DL137" s="79" cm="1">
        <f t="array" ref="DL137">SUMPRODUCT(($B$2:$B$126=2)*(DL$2:DL$126&gt;=0)*(DL$2:DL$126&lt;=12)*(DL$2:DL$126&lt;&gt;"")*($J$2:$J$126))</f>
        <v>0</v>
      </c>
      <c r="DM137" s="79" cm="1">
        <f t="array" ref="DM137">SUMPRODUCT(($B$2:$B$126=2)*(DM$2:DM$126&gt;=0)*(DM$2:DM$126&lt;=12)*(DM$2:DM$126&lt;&gt;"")*($J$2:$J$126))</f>
        <v>0</v>
      </c>
      <c r="DN137" s="79" cm="1">
        <f t="array" ref="DN137">SUMPRODUCT(($B$2:$B$126=2)*(DN$2:DN$126&gt;=0)*(DN$2:DN$126&lt;=12)*(DN$2:DN$126&lt;&gt;"")*($J$2:$J$126))</f>
        <v>0</v>
      </c>
      <c r="DO137" s="79" cm="1">
        <f t="array" ref="DO137">SUMPRODUCT(($B$2:$B$126=2)*(DO$2:DO$126&gt;=0)*(DO$2:DO$126&lt;=12)*(DO$2:DO$126&lt;&gt;"")*($J$2:$J$126))</f>
        <v>0</v>
      </c>
      <c r="DP137" s="79" cm="1">
        <f t="array" ref="DP137">SUMPRODUCT(($B$2:$B$126=2)*(DP$2:DP$126&gt;=0)*(DP$2:DP$126&lt;=12)*(DP$2:DP$126&lt;&gt;"")*($J$2:$J$126))</f>
        <v>0</v>
      </c>
      <c r="DQ137" s="79" cm="1">
        <f t="array" ref="DQ137">SUMPRODUCT(($B$2:$B$126=2)*(DQ$2:DQ$126&gt;=0)*(DQ$2:DQ$126&lt;=12)*(DQ$2:DQ$126&lt;&gt;"")*($J$2:$J$126))</f>
        <v>0</v>
      </c>
      <c r="DR137" s="79" cm="1">
        <f t="array" ref="DR137">SUMPRODUCT(($B$2:$B$126=2)*(DR$2:DR$126&gt;=0)*(DR$2:DR$126&lt;=12)*(DR$2:DR$126&lt;&gt;"")*($J$2:$J$126))</f>
        <v>0</v>
      </c>
      <c r="DS137" s="79" cm="1">
        <f t="array" ref="DS137">SUMPRODUCT(($B$2:$B$126=2)*(DS$2:DS$126&gt;=0)*(DS$2:DS$126&lt;=12)*(DS$2:DS$126&lt;&gt;"")*($J$2:$J$126))</f>
        <v>0</v>
      </c>
      <c r="DT137" s="79" cm="1">
        <f t="array" ref="DT137">SUMPRODUCT(($B$2:$B$126=2)*(DT$2:DT$126&gt;=0)*(DT$2:DT$126&lt;=12)*(DT$2:DT$126&lt;&gt;"")*($J$2:$J$126))</f>
        <v>0</v>
      </c>
      <c r="DU137" s="79" cm="1">
        <f t="array" ref="DU137">SUMPRODUCT(($B$2:$B$126=2)*(DU$2:DU$126&gt;=0)*(DU$2:DU$126&lt;=12)*(DU$2:DU$126&lt;&gt;"")*($J$2:$J$126))</f>
        <v>0</v>
      </c>
      <c r="DV137" s="79" cm="1">
        <f t="array" ref="DV137">SUMPRODUCT(($B$2:$B$126=2)*(DV$2:DV$126&gt;=0)*(DV$2:DV$126&lt;=12)*(DV$2:DV$126&lt;&gt;"")*($J$2:$J$126))</f>
        <v>0</v>
      </c>
      <c r="DW137" s="79" cm="1">
        <f t="array" ref="DW137">SUMPRODUCT(($B$2:$B$126=2)*(DW$2:DW$126&gt;=0)*(DW$2:DW$126&lt;=12)*(DW$2:DW$126&lt;&gt;"")*($J$2:$J$126))</f>
        <v>0</v>
      </c>
      <c r="DX137" s="79" cm="1">
        <f t="array" ref="DX137">SUMPRODUCT(($B$2:$B$126=2)*(DX$2:DX$126&gt;=0)*(DX$2:DX$126&lt;=12)*(DX$2:DX$126&lt;&gt;"")*($J$2:$J$126))</f>
        <v>0</v>
      </c>
      <c r="DY137" s="79" cm="1">
        <f t="array" ref="DY137">SUMPRODUCT(($B$2:$B$126=2)*(DY$2:DY$126&gt;=0)*(DY$2:DY$126&lt;=12)*(DY$2:DY$126&lt;&gt;"")*($J$2:$J$126))</f>
        <v>0</v>
      </c>
      <c r="DZ137" s="79" cm="1">
        <f t="array" ref="DZ137">SUMPRODUCT(($B$2:$B$126=2)*(DZ$2:DZ$126&gt;=0)*(DZ$2:DZ$126&lt;=12)*(DZ$2:DZ$126&lt;&gt;"")*($J$2:$J$126))</f>
        <v>0</v>
      </c>
      <c r="EA137" s="79" cm="1">
        <f t="array" ref="EA137">SUMPRODUCT(($B$2:$B$126=2)*(EA$2:EA$126&gt;=0)*(EA$2:EA$126&lt;=12)*(EA$2:EA$126&lt;&gt;"")*($J$2:$J$126))</f>
        <v>0</v>
      </c>
      <c r="EB137" s="79" cm="1">
        <f t="array" ref="EB137">SUMPRODUCT(($B$2:$B$126=2)*(EB$2:EB$126&gt;=0)*(EB$2:EB$126&lt;=12)*(EB$2:EB$126&lt;&gt;"")*($J$2:$J$126))</f>
        <v>0</v>
      </c>
      <c r="EC137" s="79" cm="1">
        <f t="array" ref="EC137">SUMPRODUCT(($B$2:$B$126=2)*(EC$2:EC$126&gt;=0)*(EC$2:EC$126&lt;=12)*(EC$2:EC$126&lt;&gt;"")*($J$2:$J$126))</f>
        <v>0</v>
      </c>
      <c r="ED137" s="79" cm="1">
        <f t="array" ref="ED137">SUMPRODUCT(($B$2:$B$126=2)*(ED$2:ED$126&gt;=0)*(ED$2:ED$126&lt;=12)*(ED$2:ED$126&lt;&gt;"")*($J$2:$J$126))</f>
        <v>0</v>
      </c>
      <c r="EE137" s="79" cm="1">
        <f t="array" ref="EE137">SUMPRODUCT(($B$2:$B$126=2)*(EE$2:EE$126&gt;=0)*(EE$2:EE$126&lt;=12)*(EE$2:EE$126&lt;&gt;"")*($J$2:$J$126))</f>
        <v>0</v>
      </c>
      <c r="EF137" s="79" cm="1">
        <f t="array" ref="EF137">SUMPRODUCT(($B$2:$B$126=2)*(EF$2:EF$126&gt;=0)*(EF$2:EF$126&lt;=12)*(EF$2:EF$126&lt;&gt;"")*($J$2:$J$126))</f>
        <v>0</v>
      </c>
      <c r="EG137" s="79" cm="1">
        <f t="array" ref="EG137">SUMPRODUCT(($B$2:$B$126=2)*(EG$2:EG$126&gt;=0)*(EG$2:EG$126&lt;=12)*(EG$2:EG$126&lt;&gt;"")*($J$2:$J$126))</f>
        <v>0</v>
      </c>
      <c r="EH137" s="79" cm="1">
        <f t="array" ref="EH137">SUMPRODUCT(($B$2:$B$126=2)*(EH$2:EH$126&gt;=0)*(EH$2:EH$126&lt;=12)*(EH$2:EH$126&lt;&gt;"")*($J$2:$J$126))</f>
        <v>0</v>
      </c>
      <c r="EI137" s="79" cm="1">
        <f t="array" ref="EI137">SUMPRODUCT(($B$2:$B$126=2)*(EI$2:EI$126&gt;=0)*(EI$2:EI$126&lt;=12)*(EI$2:EI$126&lt;&gt;"")*($J$2:$J$126))</f>
        <v>0</v>
      </c>
      <c r="EJ137" s="79" cm="1">
        <f t="array" ref="EJ137">SUMPRODUCT(($B$2:$B$126=2)*(EJ$2:EJ$126&gt;=0)*(EJ$2:EJ$126&lt;=12)*(EJ$2:EJ$126&lt;&gt;"")*($J$2:$J$126))</f>
        <v>0</v>
      </c>
      <c r="EK137" s="79" cm="1">
        <f t="array" ref="EK137">SUMPRODUCT(($B$2:$B$126=2)*(EK$2:EK$126&gt;=0)*(EK$2:EK$126&lt;=12)*(EK$2:EK$126&lt;&gt;"")*($J$2:$J$126))</f>
        <v>0</v>
      </c>
      <c r="EL137" s="79" cm="1">
        <f t="array" ref="EL137">SUMPRODUCT(($B$2:$B$126=2)*(EL$2:EL$126&gt;=0)*(EL$2:EL$126&lt;=12)*(EL$2:EL$126&lt;&gt;"")*($J$2:$J$126))</f>
        <v>0</v>
      </c>
      <c r="EM137" s="79" cm="1">
        <f t="array" ref="EM137">SUMPRODUCT(($B$2:$B$126=2)*(EM$2:EM$126&gt;=0)*(EM$2:EM$126&lt;=12)*(EM$2:EM$126&lt;&gt;"")*($J$2:$J$126))</f>
        <v>0</v>
      </c>
      <c r="EN137" s="79" cm="1">
        <f t="array" ref="EN137">SUMPRODUCT(($B$2:$B$126=2)*(EN$2:EN$126&gt;=0)*(EN$2:EN$126&lt;=12)*(EN$2:EN$126&lt;&gt;"")*($J$2:$J$126))</f>
        <v>0</v>
      </c>
      <c r="EO137" s="79" cm="1">
        <f t="array" ref="EO137">SUMPRODUCT(($B$2:$B$126=2)*(EO$2:EO$126&gt;=0)*(EO$2:EO$126&lt;=12)*(EO$2:EO$126&lt;&gt;"")*($J$2:$J$126))</f>
        <v>0</v>
      </c>
      <c r="EP137" s="79" cm="1">
        <f t="array" ref="EP137">SUMPRODUCT(($B$2:$B$126=2)*(EP$2:EP$126&gt;=0)*(EP$2:EP$126&lt;=12)*(EP$2:EP$126&lt;&gt;"")*($J$2:$J$126))</f>
        <v>0</v>
      </c>
      <c r="EQ137" s="79" cm="1">
        <f t="array" ref="EQ137">SUMPRODUCT(($B$2:$B$126=2)*(EQ$2:EQ$126&gt;=0)*(EQ$2:EQ$126&lt;=12)*(EQ$2:EQ$126&lt;&gt;"")*($J$2:$J$126))</f>
        <v>0</v>
      </c>
      <c r="ER137" s="79" cm="1">
        <f t="array" ref="ER137">SUMPRODUCT(($B$2:$B$126=2)*(ER$2:ER$126&gt;=0)*(ER$2:ER$126&lt;=12)*(ER$2:ER$126&lt;&gt;"")*($J$2:$J$126))</f>
        <v>0</v>
      </c>
      <c r="ES137" s="79" cm="1">
        <f t="array" ref="ES137">SUMPRODUCT(($B$2:$B$126=2)*(ES$2:ES$126&gt;=0)*(ES$2:ES$126&lt;=12)*(ES$2:ES$126&lt;&gt;"")*($J$2:$J$126))</f>
        <v>0</v>
      </c>
      <c r="ET137" s="79" cm="1">
        <f t="array" ref="ET137">SUMPRODUCT(($B$2:$B$126=2)*(ET$2:ET$126&gt;=0)*(ET$2:ET$126&lt;=12)*(ET$2:ET$126&lt;&gt;"")*($J$2:$J$126))</f>
        <v>0</v>
      </c>
      <c r="EU137" s="79" cm="1">
        <f t="array" ref="EU137">SUMPRODUCT(($B$2:$B$126=2)*(EU$2:EU$126&gt;=0)*(EU$2:EU$126&lt;=12)*(EU$2:EU$126&lt;&gt;"")*($J$2:$J$126))</f>
        <v>0</v>
      </c>
      <c r="EV137" s="79" cm="1">
        <f t="array" ref="EV137">SUMPRODUCT(($B$2:$B$126=2)*(EV$2:EV$126&gt;=0)*(EV$2:EV$126&lt;=12)*(EV$2:EV$126&lt;&gt;"")*($J$2:$J$126))</f>
        <v>0</v>
      </c>
      <c r="EW137" s="79" cm="1">
        <f t="array" ref="EW137">SUMPRODUCT(($B$2:$B$126=2)*(EW$2:EW$126&gt;=0)*(EW$2:EW$126&lt;=12)*(EW$2:EW$126&lt;&gt;"")*($J$2:$J$126))</f>
        <v>0</v>
      </c>
      <c r="EX137" s="79" cm="1">
        <f t="array" ref="EX137">SUMPRODUCT(($B$2:$B$126=2)*(EX$2:EX$126&gt;=0)*(EX$2:EX$126&lt;=12)*(EX$2:EX$126&lt;&gt;"")*($J$2:$J$126))</f>
        <v>0</v>
      </c>
      <c r="EY137" s="79" cm="1">
        <f t="array" ref="EY137">SUMPRODUCT(($B$2:$B$126=2)*(EY$2:EY$126&gt;=0)*(EY$2:EY$126&lt;=12)*(EY$2:EY$126&lt;&gt;"")*($J$2:$J$126))</f>
        <v>0</v>
      </c>
      <c r="EZ137" s="79" cm="1">
        <f t="array" ref="EZ137">SUMPRODUCT(($B$2:$B$126=2)*(EZ$2:EZ$126&gt;=0)*(EZ$2:EZ$126&lt;=12)*(EZ$2:EZ$126&lt;&gt;"")*($J$2:$J$126))</f>
        <v>0</v>
      </c>
      <c r="FA137" s="79" cm="1">
        <f t="array" ref="FA137">SUMPRODUCT(($B$2:$B$126=2)*(FA$2:FA$126&gt;=0)*(FA$2:FA$126&lt;=12)*(FA$2:FA$126&lt;&gt;"")*($J$2:$J$126))</f>
        <v>0</v>
      </c>
      <c r="FB137" s="79" cm="1">
        <f t="array" ref="FB137">SUMPRODUCT(($B$2:$B$126=2)*(FB$2:FB$126&gt;=0)*(FB$2:FB$126&lt;=12)*(FB$2:FB$126&lt;&gt;"")*($J$2:$J$126))</f>
        <v>0</v>
      </c>
      <c r="FC137" s="79" cm="1">
        <f t="array" ref="FC137">SUMPRODUCT(($B$2:$B$126=2)*(FC$2:FC$126&gt;=0)*(FC$2:FC$126&lt;=12)*(FC$2:FC$126&lt;&gt;"")*($J$2:$J$126))</f>
        <v>0</v>
      </c>
      <c r="FD137" s="79" cm="1">
        <f t="array" ref="FD137">SUMPRODUCT(($B$2:$B$126=2)*(FD$2:FD$126&gt;=0)*(FD$2:FD$126&lt;=12)*(FD$2:FD$126&lt;&gt;"")*($J$2:$J$126))</f>
        <v>0</v>
      </c>
      <c r="FE137" s="79" cm="1">
        <f t="array" ref="FE137">SUMPRODUCT(($B$2:$B$126=2)*(FE$2:FE$126&gt;=0)*(FE$2:FE$126&lt;=12)*(FE$2:FE$126&lt;&gt;"")*($J$2:$J$126))</f>
        <v>0</v>
      </c>
      <c r="FF137" s="79" cm="1">
        <f t="array" ref="FF137">SUMPRODUCT(($B$2:$B$126=2)*(FF$2:FF$126&gt;=0)*(FF$2:FF$126&lt;=12)*(FF$2:FF$126&lt;&gt;"")*($J$2:$J$126))</f>
        <v>0</v>
      </c>
      <c r="FG137" s="79" cm="1">
        <f t="array" ref="FG137">SUMPRODUCT(($B$2:$B$126=2)*(FG$2:FG$126&gt;=0)*(FG$2:FG$126&lt;=12)*(FG$2:FG$126&lt;&gt;"")*($J$2:$J$126))</f>
        <v>0</v>
      </c>
      <c r="FH137" s="79" cm="1">
        <f t="array" ref="FH137">SUMPRODUCT(($B$2:$B$126=2)*(FH$2:FH$126&gt;=0)*(FH$2:FH$126&lt;=12)*(FH$2:FH$126&lt;&gt;"")*($J$2:$J$126))</f>
        <v>0</v>
      </c>
      <c r="FI137" s="79" cm="1">
        <f t="array" ref="FI137">SUMPRODUCT(($B$2:$B$126=2)*(FI$2:FI$126&gt;=0)*(FI$2:FI$126&lt;=12)*(FI$2:FI$126&lt;&gt;"")*($J$2:$J$126))</f>
        <v>0</v>
      </c>
      <c r="FJ137" s="79" cm="1">
        <f t="array" ref="FJ137">SUMPRODUCT(($B$2:$B$126=2)*(FJ$2:FJ$126&gt;=0)*(FJ$2:FJ$126&lt;=12)*(FJ$2:FJ$126&lt;&gt;"")*($J$2:$J$126))</f>
        <v>0</v>
      </c>
      <c r="FK137" s="79" cm="1">
        <f t="array" ref="FK137">SUMPRODUCT(($B$2:$B$126=2)*(FK$2:FK$126&gt;=0)*(FK$2:FK$126&lt;=12)*(FK$2:FK$126&lt;&gt;"")*($J$2:$J$126))</f>
        <v>0</v>
      </c>
      <c r="FL137" s="79" cm="1">
        <f t="array" ref="FL137">SUMPRODUCT(($B$2:$B$126=2)*(FL$2:FL$126&gt;=0)*(FL$2:FL$126&lt;=12)*(FL$2:FL$126&lt;&gt;"")*($J$2:$J$126))</f>
        <v>0</v>
      </c>
      <c r="FM137" s="79" cm="1">
        <f t="array" ref="FM137">SUMPRODUCT(($B$2:$B$126=2)*(FM$2:FM$126&gt;=0)*(FM$2:FM$126&lt;=12)*(FM$2:FM$126&lt;&gt;"")*($J$2:$J$126))</f>
        <v>0</v>
      </c>
      <c r="FN137" s="79" cm="1">
        <f t="array" ref="FN137">SUMPRODUCT(($B$2:$B$126=2)*(FN$2:FN$126&gt;=0)*(FN$2:FN$126&lt;=12)*(FN$2:FN$126&lt;&gt;"")*($J$2:$J$126))</f>
        <v>0</v>
      </c>
      <c r="FO137" s="79" cm="1">
        <f t="array" ref="FO137">SUMPRODUCT(($B$2:$B$126=2)*(FO$2:FO$126&gt;=0)*(FO$2:FO$126&lt;=12)*(FO$2:FO$126&lt;&gt;"")*($J$2:$J$126))</f>
        <v>0</v>
      </c>
      <c r="FP137" s="79" cm="1">
        <f t="array" ref="FP137">SUMPRODUCT(($B$2:$B$126=2)*(FP$2:FP$126&gt;=0)*(FP$2:FP$126&lt;=12)*(FP$2:FP$126&lt;&gt;"")*($J$2:$J$126))</f>
        <v>0</v>
      </c>
      <c r="FQ137" s="79" cm="1">
        <f t="array" ref="FQ137">SUMPRODUCT(($B$2:$B$126=2)*(FQ$2:FQ$126&gt;=0)*(FQ$2:FQ$126&lt;=12)*(FQ$2:FQ$126&lt;&gt;"")*($J$2:$J$126))</f>
        <v>0</v>
      </c>
      <c r="FR137" s="79" cm="1">
        <f t="array" ref="FR137">SUMPRODUCT(($B$2:$B$126=2)*(FR$2:FR$126&gt;=0)*(FR$2:FR$126&lt;=12)*(FR$2:FR$126&lt;&gt;"")*($J$2:$J$126))</f>
        <v>0</v>
      </c>
      <c r="FS137" s="79" cm="1">
        <f t="array" ref="FS137">SUMPRODUCT(($B$2:$B$126=2)*(FS$2:FS$126&gt;=0)*(FS$2:FS$126&lt;=12)*(FS$2:FS$126&lt;&gt;"")*($J$2:$J$126))</f>
        <v>0</v>
      </c>
      <c r="FT137" s="79" cm="1">
        <f t="array" ref="FT137">SUMPRODUCT(($B$2:$B$126=2)*(FT$2:FT$126&gt;=0)*(FT$2:FT$126&lt;=12)*(FT$2:FT$126&lt;&gt;"")*($J$2:$J$126))</f>
        <v>0</v>
      </c>
      <c r="FU137" s="79" cm="1">
        <f t="array" ref="FU137">SUMPRODUCT(($B$2:$B$126=2)*(FU$2:FU$126&gt;=0)*(FU$2:FU$126&lt;=12)*(FU$2:FU$126&lt;&gt;"")*($J$2:$J$126))</f>
        <v>0</v>
      </c>
      <c r="FV137" s="79" cm="1">
        <f t="array" ref="FV137">SUMPRODUCT(($B$2:$B$126=2)*(FV$2:FV$126&gt;=0)*(FV$2:FV$126&lt;=12)*(FV$2:FV$126&lt;&gt;"")*($J$2:$J$126))</f>
        <v>0</v>
      </c>
      <c r="FW137" s="79" cm="1">
        <f t="array" ref="FW137">SUMPRODUCT(($B$2:$B$126=2)*(FW$2:FW$126&gt;=0)*(FW$2:FW$126&lt;=12)*(FW$2:FW$126&lt;&gt;"")*($J$2:$J$126))</f>
        <v>0</v>
      </c>
      <c r="FX137" s="79" cm="1">
        <f t="array" ref="FX137">SUMPRODUCT(($B$2:$B$126=2)*(FX$2:FX$126&gt;=0)*(FX$2:FX$126&lt;=12)*(FX$2:FX$126&lt;&gt;"")*($J$2:$J$126))</f>
        <v>0</v>
      </c>
      <c r="FY137" s="79" cm="1">
        <f t="array" ref="FY137">SUMPRODUCT(($B$2:$B$126=2)*(FY$2:FY$126&gt;=0)*(FY$2:FY$126&lt;=12)*(FY$2:FY$126&lt;&gt;"")*($J$2:$J$126))</f>
        <v>0</v>
      </c>
      <c r="FZ137" s="79" cm="1">
        <f t="array" ref="FZ137">SUMPRODUCT(($B$2:$B$126=2)*(FZ$2:FZ$126&gt;=0)*(FZ$2:FZ$126&lt;=12)*(FZ$2:FZ$126&lt;&gt;"")*($J$2:$J$126))</f>
        <v>0</v>
      </c>
      <c r="GA137" s="79" cm="1">
        <f t="array" ref="GA137">SUMPRODUCT(($B$2:$B$126=2)*(GA$2:GA$126&gt;=0)*(GA$2:GA$126&lt;=12)*(GA$2:GA$126&lt;&gt;"")*($J$2:$J$126))</f>
        <v>0</v>
      </c>
      <c r="GB137" s="79" cm="1">
        <f t="array" ref="GB137">SUMPRODUCT(($B$2:$B$126=2)*(GB$2:GB$126&gt;=0)*(GB$2:GB$126&lt;=12)*(GB$2:GB$126&lt;&gt;"")*($J$2:$J$126))</f>
        <v>0</v>
      </c>
      <c r="GC137" s="79" cm="1">
        <f t="array" ref="GC137">SUMPRODUCT(($B$2:$B$126=2)*(GC$2:GC$126&gt;=0)*(GC$2:GC$126&lt;=12)*(GC$2:GC$126&lt;&gt;"")*($J$2:$J$126))</f>
        <v>0</v>
      </c>
      <c r="GD137" s="79" cm="1">
        <f t="array" ref="GD137">SUMPRODUCT(($B$2:$B$126=2)*(GD$2:GD$126&gt;=0)*(GD$2:GD$126&lt;=12)*(GD$2:GD$126&lt;&gt;"")*($J$2:$J$126))</f>
        <v>0</v>
      </c>
      <c r="GE137" s="79" cm="1">
        <f t="array" ref="GE137">SUMPRODUCT(($B$2:$B$126=2)*(GE$2:GE$126&gt;=0)*(GE$2:GE$126&lt;=12)*(GE$2:GE$126&lt;&gt;"")*($J$2:$J$126))</f>
        <v>0</v>
      </c>
      <c r="GF137" s="79" cm="1">
        <f t="array" ref="GF137">SUMPRODUCT(($B$2:$B$126=2)*(GF$2:GF$126&gt;=0)*(GF$2:GF$126&lt;=12)*(GF$2:GF$126&lt;&gt;"")*($J$2:$J$126))</f>
        <v>0</v>
      </c>
      <c r="GG137" s="79" cm="1">
        <f t="array" ref="GG137">SUMPRODUCT(($B$2:$B$126=2)*(GG$2:GG$126&gt;=0)*(GG$2:GG$126&lt;=12)*(GG$2:GG$126&lt;&gt;"")*($J$2:$J$126))</f>
        <v>0</v>
      </c>
      <c r="GH137" s="79" cm="1">
        <f t="array" ref="GH137">SUMPRODUCT(($B$2:$B$126=2)*(GH$2:GH$126&gt;=0)*(GH$2:GH$126&lt;=12)*(GH$2:GH$126&lt;&gt;"")*($J$2:$J$126))</f>
        <v>0</v>
      </c>
      <c r="GI137" s="79" cm="1">
        <f t="array" ref="GI137">SUMPRODUCT(($B$2:$B$126=2)*(GI$2:GI$126&gt;=0)*(GI$2:GI$126&lt;=12)*(GI$2:GI$126&lt;&gt;"")*($J$2:$J$126))</f>
        <v>0</v>
      </c>
      <c r="GJ137" s="79" cm="1">
        <f t="array" ref="GJ137">SUMPRODUCT(($B$2:$B$126=2)*(GJ$2:GJ$126&gt;=0)*(GJ$2:GJ$126&lt;=12)*(GJ$2:GJ$126&lt;&gt;"")*($J$2:$J$126))</f>
        <v>0</v>
      </c>
      <c r="GK137" s="79" cm="1">
        <f t="array" ref="GK137">SUMPRODUCT(($B$2:$B$126=2)*(GK$2:GK$126&gt;=0)*(GK$2:GK$126&lt;=12)*(GK$2:GK$126&lt;&gt;"")*($J$2:$J$126))</f>
        <v>0</v>
      </c>
      <c r="GL137" s="79" cm="1">
        <f t="array" ref="GL137">SUMPRODUCT(($B$2:$B$126=2)*(GL$2:GL$126&gt;=0)*(GL$2:GL$126&lt;=12)*(GL$2:GL$126&lt;&gt;"")*($J$2:$J$126))</f>
        <v>0</v>
      </c>
      <c r="GM137" s="79" cm="1">
        <f t="array" ref="GM137">SUMPRODUCT(($B$2:$B$126=2)*(GM$2:GM$126&gt;=0)*(GM$2:GM$126&lt;=12)*(GM$2:GM$126&lt;&gt;"")*($J$2:$J$126))</f>
        <v>0</v>
      </c>
      <c r="GN137" s="79" cm="1">
        <f t="array" ref="GN137">SUMPRODUCT(($B$2:$B$126=2)*(GN$2:GN$126&gt;=0)*(GN$2:GN$126&lt;=12)*(GN$2:GN$126&lt;&gt;"")*($J$2:$J$126))</f>
        <v>0</v>
      </c>
      <c r="GO137" s="79" cm="1">
        <f t="array" ref="GO137">SUMPRODUCT(($B$2:$B$126=2)*(GO$2:GO$126&gt;=0)*(GO$2:GO$126&lt;=12)*(GO$2:GO$126&lt;&gt;"")*($J$2:$J$126))</f>
        <v>0</v>
      </c>
      <c r="GP137" s="79" cm="1">
        <f t="array" ref="GP137">SUMPRODUCT(($B$2:$B$126=2)*(GP$2:GP$126&gt;=0)*(GP$2:GP$126&lt;=12)*(GP$2:GP$126&lt;&gt;"")*($J$2:$J$126))</f>
        <v>0</v>
      </c>
      <c r="GQ137" s="79" cm="1">
        <f t="array" ref="GQ137">SUMPRODUCT(($B$2:$B$126=2)*(GQ$2:GQ$126&gt;=0)*(GQ$2:GQ$126&lt;=12)*(GQ$2:GQ$126&lt;&gt;"")*($J$2:$J$126))</f>
        <v>0</v>
      </c>
      <c r="GR137" s="79" cm="1">
        <f t="array" ref="GR137">SUMPRODUCT(($B$2:$B$126=2)*(GR$2:GR$126&gt;=0)*(GR$2:GR$126&lt;=12)*(GR$2:GR$126&lt;&gt;"")*($J$2:$J$126))</f>
        <v>0</v>
      </c>
      <c r="GS137" s="79" cm="1">
        <f t="array" ref="GS137">SUMPRODUCT(($B$2:$B$126=2)*(GS$2:GS$126&gt;=0)*(GS$2:GS$126&lt;=12)*(GS$2:GS$126&lt;&gt;"")*($J$2:$J$126))</f>
        <v>0</v>
      </c>
      <c r="GT137" s="79" cm="1">
        <f t="array" ref="GT137">SUMPRODUCT(($B$2:$B$126=2)*(GT$2:GT$126&gt;=0)*(GT$2:GT$126&lt;=12)*(GT$2:GT$126&lt;&gt;"")*($J$2:$J$126))</f>
        <v>0</v>
      </c>
      <c r="GU137" s="79" cm="1">
        <f t="array" ref="GU137">SUMPRODUCT(($B$2:$B$126=2)*(GU$2:GU$126&gt;=0)*(GU$2:GU$126&lt;=12)*(GU$2:GU$126&lt;&gt;"")*($J$2:$J$126))</f>
        <v>0</v>
      </c>
      <c r="GV137" s="79" cm="1">
        <f t="array" ref="GV137">SUMPRODUCT(($B$2:$B$126=2)*(GV$2:GV$126&gt;=0)*(GV$2:GV$126&lt;=12)*(GV$2:GV$126&lt;&gt;"")*($J$2:$J$126))</f>
        <v>0</v>
      </c>
      <c r="GW137" s="79" cm="1">
        <f t="array" ref="GW137">SUMPRODUCT(($B$2:$B$126=2)*(GW$2:GW$126&gt;=0)*(GW$2:GW$126&lt;=12)*(GW$2:GW$126&lt;&gt;"")*($J$2:$J$126))</f>
        <v>0</v>
      </c>
      <c r="GX137" s="79" cm="1">
        <f t="array" ref="GX137">SUMPRODUCT(($B$2:$B$126=2)*(GX$2:GX$126&gt;=0)*(GX$2:GX$126&lt;=12)*(GX$2:GX$126&lt;&gt;"")*($J$2:$J$126))</f>
        <v>0</v>
      </c>
    </row>
    <row r="138" spans="1:206" x14ac:dyDescent="0.2">
      <c r="A138" s="84">
        <v>2</v>
      </c>
      <c r="B138" s="84" t="s">
        <v>255</v>
      </c>
      <c r="W138" s="79" cm="1">
        <f t="array" ref="W138">SUMPRODUCT(($B$2:$B$126=2)*(W$2:W$126&gt;=13)*(W$2:W$126&lt;=17)*(W$2:W$126&lt;&gt;"")*($J$2:$J$126))</f>
        <v>105.25999999999999</v>
      </c>
      <c r="X138" s="79" cm="1">
        <f t="array" ref="X138">SUMPRODUCT(($B$2:$B$126=2)*(X$2:X$126&gt;=13)*(X$2:X$126&lt;=17)*(X$2:X$126&lt;&gt;"")*($J$2:$J$126))</f>
        <v>188.86</v>
      </c>
      <c r="Y138" s="79" cm="1">
        <f t="array" ref="Y138">SUMPRODUCT(($B$2:$B$126=2)*(Y$2:Y$126&gt;=13)*(Y$2:Y$126&lt;=17)*(Y$2:Y$126&lt;&gt;"")*($J$2:$J$126))</f>
        <v>188.86</v>
      </c>
      <c r="Z138" s="79" cm="1">
        <f t="array" ref="Z138">SUMPRODUCT(($B$2:$B$126=2)*(Z$2:Z$126&gt;=13)*(Z$2:Z$126&lt;=17)*(Z$2:Z$126&lt;&gt;"")*($J$2:$J$126))</f>
        <v>222.72000000000003</v>
      </c>
      <c r="AA138" s="79" cm="1">
        <f t="array" ref="AA138">SUMPRODUCT(($B$2:$B$126=2)*(AA$2:AA$126&gt;=13)*(AA$2:AA$126&lt;=17)*(AA$2:AA$126&lt;&gt;"")*($J$2:$J$126))</f>
        <v>162.64000000000001</v>
      </c>
      <c r="AB138" s="79" cm="1">
        <f t="array" ref="AB138">SUMPRODUCT(($B$2:$B$126=2)*(AB$2:AB$126&gt;=13)*(AB$2:AB$126&lt;=17)*(AB$2:AB$126&lt;&gt;"")*($J$2:$J$126))</f>
        <v>145.69999999999999</v>
      </c>
      <c r="AC138" s="79" cm="1">
        <f t="array" ref="AC138">SUMPRODUCT(($B$2:$B$126=2)*(AC$2:AC$126&gt;=13)*(AC$2:AC$126&lt;=17)*(AC$2:AC$126&lt;&gt;"")*($J$2:$J$126))</f>
        <v>62.1</v>
      </c>
      <c r="AD138" s="79" cm="1">
        <f t="array" ref="AD138">SUMPRODUCT(($B$2:$B$126=2)*(AD$2:AD$126&gt;=13)*(AD$2:AD$126&lt;=17)*(AD$2:AD$126&lt;&gt;"")*($J$2:$J$126))</f>
        <v>130.53</v>
      </c>
      <c r="AE138" s="79" cm="1">
        <f t="array" ref="AE138">SUMPRODUCT(($B$2:$B$126=2)*(AE$2:AE$126&gt;=13)*(AE$2:AE$126&lt;=17)*(AE$2:AE$126&lt;&gt;"")*($J$2:$J$126))</f>
        <v>96.67</v>
      </c>
      <c r="AF138" s="79" cm="1">
        <f t="array" ref="AF138">SUMPRODUCT(($B$2:$B$126=2)*(AF$2:AF$126&gt;=13)*(AF$2:AF$126&lt;=17)*(AF$2:AF$126&lt;&gt;"")*($J$2:$J$126))</f>
        <v>107.8</v>
      </c>
      <c r="AG138" s="79" cm="1">
        <f t="array" ref="AG138">SUMPRODUCT(($B$2:$B$126=2)*(AG$2:AG$126&gt;=13)*(AG$2:AG$126&lt;=17)*(AG$2:AG$126&lt;&gt;"")*($J$2:$J$126))</f>
        <v>79.559999999999988</v>
      </c>
      <c r="AH138" s="79" cm="1">
        <f t="array" ref="AH138">SUMPRODUCT(($B$2:$B$126=2)*(AH$2:AH$126&gt;=13)*(AH$2:AH$126&lt;=17)*(AH$2:AH$126&lt;&gt;"")*($J$2:$J$126))</f>
        <v>97.429999999999993</v>
      </c>
      <c r="AI138" s="79" cm="1">
        <f t="array" ref="AI138">SUMPRODUCT(($B$2:$B$126=2)*(AI$2:AI$126&gt;=13)*(AI$2:AI$126&lt;=17)*(AI$2:AI$126&lt;&gt;"")*($J$2:$J$126))</f>
        <v>29</v>
      </c>
      <c r="AJ138" s="79" cm="1">
        <f t="array" ref="AJ138">SUMPRODUCT(($B$2:$B$126=2)*(AJ$2:AJ$126&gt;=13)*(AJ$2:AJ$126&lt;=17)*(AJ$2:AJ$126&lt;&gt;"")*($J$2:$J$126))</f>
        <v>29</v>
      </c>
      <c r="AK138" s="79" cm="1">
        <f t="array" ref="AK138">SUMPRODUCT(($B$2:$B$126=2)*(AK$2:AK$126&gt;=13)*(AK$2:AK$126&lt;=17)*(AK$2:AK$126&lt;&gt;"")*($J$2:$J$126))</f>
        <v>53.13000000000001</v>
      </c>
      <c r="AL138" s="79" cm="1">
        <f t="array" ref="AL138">SUMPRODUCT(($B$2:$B$126=2)*(AL$2:AL$126&gt;=13)*(AL$2:AL$126&lt;=17)*(AL$2:AL$126&lt;&gt;"")*($J$2:$J$126))</f>
        <v>53.13000000000001</v>
      </c>
      <c r="AM138" s="79" cm="1">
        <f t="array" ref="AM138">SUMPRODUCT(($B$2:$B$126=2)*(AM$2:AM$126&gt;=13)*(AM$2:AM$126&lt;=17)*(AM$2:AM$126&lt;&gt;"")*($J$2:$J$126))</f>
        <v>75.550000000000011</v>
      </c>
      <c r="AN138" s="79" cm="1">
        <f t="array" ref="AN138">SUMPRODUCT(($B$2:$B$126=2)*(AN$2:AN$126&gt;=13)*(AN$2:AN$126&lt;=17)*(AN$2:AN$126&lt;&gt;"")*($J$2:$J$126))</f>
        <v>75.550000000000011</v>
      </c>
      <c r="AO138" s="79" cm="1">
        <f t="array" ref="AO138">SUMPRODUCT(($B$2:$B$126=2)*(AO$2:AO$126&gt;=13)*(AO$2:AO$126&lt;=17)*(AO$2:AO$126&lt;&gt;"")*($J$2:$J$126))</f>
        <v>75.550000000000011</v>
      </c>
      <c r="AP138" s="79" cm="1">
        <f t="array" ref="AP138">SUMPRODUCT(($B$2:$B$126=2)*(AP$2:AP$126&gt;=13)*(AP$2:AP$126&lt;=17)*(AP$2:AP$126&lt;&gt;"")*($J$2:$J$126))</f>
        <v>40.29</v>
      </c>
      <c r="AQ138" s="79" cm="1">
        <f t="array" ref="AQ138">SUMPRODUCT(($B$2:$B$126=2)*(AQ$2:AQ$126&gt;=13)*(AQ$2:AQ$126&lt;=17)*(AQ$2:AQ$126&lt;&gt;"")*($J$2:$J$126))</f>
        <v>40.29</v>
      </c>
      <c r="AR138" s="79" cm="1">
        <f t="array" ref="AR138">SUMPRODUCT(($B$2:$B$126=2)*(AR$2:AR$126&gt;=13)*(AR$2:AR$126&lt;=17)*(AR$2:AR$126&lt;&gt;"")*($J$2:$J$126))</f>
        <v>33.729999999999997</v>
      </c>
      <c r="AS138" s="79" cm="1">
        <f t="array" ref="AS138">SUMPRODUCT(($B$2:$B$126=2)*(AS$2:AS$126&gt;=13)*(AS$2:AS$126&lt;=17)*(AS$2:AS$126&lt;&gt;"")*($J$2:$J$126))</f>
        <v>33.729999999999997</v>
      </c>
      <c r="AT138" s="79" cm="1">
        <f t="array" ref="AT138">SUMPRODUCT(($B$2:$B$126=2)*(AT$2:AT$126&gt;=13)*(AT$2:AT$126&lt;=17)*(AT$2:AT$126&lt;&gt;"")*($J$2:$J$126))</f>
        <v>33.729999999999997</v>
      </c>
      <c r="AU138" s="79" cm="1">
        <f t="array" ref="AU138">SUMPRODUCT(($B$2:$B$126=2)*(AU$2:AU$126&gt;=13)*(AU$2:AU$126&lt;=17)*(AU$2:AU$126&lt;&gt;"")*($J$2:$J$126))</f>
        <v>33.729999999999997</v>
      </c>
      <c r="AV138" s="79" cm="1">
        <f t="array" ref="AV138">SUMPRODUCT(($B$2:$B$126=2)*(AV$2:AV$126&gt;=13)*(AV$2:AV$126&lt;=17)*(AV$2:AV$126&lt;&gt;"")*($J$2:$J$126))</f>
        <v>33.729999999999997</v>
      </c>
      <c r="AW138" s="79" cm="1">
        <f t="array" ref="AW138">SUMPRODUCT(($B$2:$B$126=2)*(AW$2:AW$126&gt;=13)*(AW$2:AW$126&lt;=17)*(AW$2:AW$126&lt;&gt;"")*($J$2:$J$126))</f>
        <v>0</v>
      </c>
      <c r="AX138" s="79" cm="1">
        <f t="array" ref="AX138">SUMPRODUCT(($B$2:$B$126=2)*(AX$2:AX$126&gt;=13)*(AX$2:AX$126&lt;=17)*(AX$2:AX$126&lt;&gt;"")*($J$2:$J$126))</f>
        <v>0</v>
      </c>
      <c r="AY138" s="79" cm="1">
        <f t="array" ref="AY138">SUMPRODUCT(($B$2:$B$126=2)*(AY$2:AY$126&gt;=13)*(AY$2:AY$126&lt;=17)*(AY$2:AY$126&lt;&gt;"")*($J$2:$J$126))</f>
        <v>0</v>
      </c>
      <c r="AZ138" s="79" cm="1">
        <f t="array" ref="AZ138">SUMPRODUCT(($B$2:$B$126=2)*(AZ$2:AZ$126&gt;=13)*(AZ$2:AZ$126&lt;=17)*(AZ$2:AZ$126&lt;&gt;"")*($J$2:$J$126))</f>
        <v>43.34</v>
      </c>
      <c r="BA138" s="79" cm="1">
        <f t="array" ref="BA138">SUMPRODUCT(($B$2:$B$126=2)*(BA$2:BA$126&gt;=13)*(BA$2:BA$126&lt;=17)*(BA$2:BA$126&lt;&gt;"")*($J$2:$J$126))</f>
        <v>70.78</v>
      </c>
      <c r="BB138" s="79" cm="1">
        <f t="array" ref="BB138">SUMPRODUCT(($B$2:$B$126=2)*(BB$2:BB$126&gt;=13)*(BB$2:BB$126&lt;=17)*(BB$2:BB$126&lt;&gt;"")*($J$2:$J$126))</f>
        <v>70.78</v>
      </c>
      <c r="BC138" s="79" cm="1">
        <f t="array" ref="BC138">SUMPRODUCT(($B$2:$B$126=2)*(BC$2:BC$126&gt;=13)*(BC$2:BC$126&lt;=17)*(BC$2:BC$126&lt;&gt;"")*($J$2:$J$126))</f>
        <v>83.89</v>
      </c>
      <c r="BD138" s="79" cm="1">
        <f t="array" ref="BD138">SUMPRODUCT(($B$2:$B$126=2)*(BD$2:BD$126&gt;=13)*(BD$2:BD$126&lt;=17)*(BD$2:BD$126&lt;&gt;"")*($J$2:$J$126))</f>
        <v>90.88</v>
      </c>
      <c r="BE138" s="79" cm="1">
        <f t="array" ref="BE138">SUMPRODUCT(($B$2:$B$126=2)*(BE$2:BE$126&gt;=13)*(BE$2:BE$126&lt;=17)*(BE$2:BE$126&lt;&gt;"")*($J$2:$J$126))</f>
        <v>105.25999999999999</v>
      </c>
      <c r="BF138" s="79" cm="1">
        <f t="array" ref="BF138">SUMPRODUCT(($B$2:$B$126=2)*(BF$2:BF$126&gt;=13)*(BF$2:BF$126&lt;=17)*(BF$2:BF$126&lt;&gt;"")*($J$2:$J$126))</f>
        <v>83.6</v>
      </c>
      <c r="BG138" s="79" cm="1">
        <f t="array" ref="BG138">SUMPRODUCT(($B$2:$B$126=2)*(BG$2:BG$126&gt;=13)*(BG$2:BG$126&lt;=17)*(BG$2:BG$126&lt;&gt;"")*($J$2:$J$126))</f>
        <v>0</v>
      </c>
      <c r="BH138" s="79" cm="1">
        <f t="array" ref="BH138">SUMPRODUCT(($B$2:$B$126=2)*(BH$2:BH$126&gt;=13)*(BH$2:BH$126&lt;=17)*(BH$2:BH$126&lt;&gt;"")*($J$2:$J$126))</f>
        <v>21.97</v>
      </c>
      <c r="BI138" s="79" cm="1">
        <f t="array" ref="BI138">SUMPRODUCT(($B$2:$B$126=2)*(BI$2:BI$126&gt;=13)*(BI$2:BI$126&lt;=17)*(BI$2:BI$126&lt;&gt;"")*($J$2:$J$126))</f>
        <v>21.97</v>
      </c>
      <c r="BJ138" s="79" cm="1">
        <f t="array" ref="BJ138">SUMPRODUCT(($B$2:$B$126=2)*(BJ$2:BJ$126&gt;=13)*(BJ$2:BJ$126&lt;=17)*(BJ$2:BJ$126&lt;&gt;"")*($J$2:$J$126))</f>
        <v>21.97</v>
      </c>
      <c r="BK138" s="79" cm="1">
        <f t="array" ref="BK138">SUMPRODUCT(($B$2:$B$126=2)*(BK$2:BK$126&gt;=13)*(BK$2:BK$126&lt;=17)*(BK$2:BK$126&lt;&gt;"")*($J$2:$J$126))</f>
        <v>33.86</v>
      </c>
      <c r="BL138" s="79" cm="1">
        <f t="array" ref="BL138">SUMPRODUCT(($B$2:$B$126=2)*(BL$2:BL$126&gt;=13)*(BL$2:BL$126&lt;=17)*(BL$2:BL$126&lt;&gt;"")*($J$2:$J$126))</f>
        <v>48.04</v>
      </c>
      <c r="BM138" s="79" cm="1">
        <f t="array" ref="BM138">SUMPRODUCT(($B$2:$B$126=2)*(BM$2:BM$126&gt;=13)*(BM$2:BM$126&lt;=17)*(BM$2:BM$126&lt;&gt;"")*($J$2:$J$126))</f>
        <v>26.07</v>
      </c>
      <c r="BN138" s="79" cm="1">
        <f t="array" ref="BN138">SUMPRODUCT(($B$2:$B$126=2)*(BN$2:BN$126&gt;=13)*(BN$2:BN$126&lt;=17)*(BN$2:BN$126&lt;&gt;"")*($J$2:$J$126))</f>
        <v>73.86</v>
      </c>
      <c r="BO138" s="79" cm="1">
        <f t="array" ref="BO138">SUMPRODUCT(($B$2:$B$126=2)*(BO$2:BO$126&gt;=13)*(BO$2:BO$126&lt;=17)*(BO$2:BO$126&lt;&gt;"")*($J$2:$J$126))</f>
        <v>47.79</v>
      </c>
      <c r="BP138" s="79" cm="1">
        <f t="array" ref="BP138">SUMPRODUCT(($B$2:$B$126=2)*(BP$2:BP$126&gt;=13)*(BP$2:BP$126&lt;=17)*(BP$2:BP$126&lt;&gt;"")*($J$2:$J$126))</f>
        <v>47.79</v>
      </c>
      <c r="BQ138" s="79" cm="1">
        <f t="array" ref="BQ138">SUMPRODUCT(($B$2:$B$126=2)*(BQ$2:BQ$126&gt;=13)*(BQ$2:BQ$126&lt;=17)*(BQ$2:BQ$126&lt;&gt;"")*($J$2:$J$126))</f>
        <v>47.79</v>
      </c>
      <c r="BR138" s="79" cm="1">
        <f t="array" ref="BR138">SUMPRODUCT(($B$2:$B$126=2)*(BR$2:BR$126&gt;=13)*(BR$2:BR$126&lt;=17)*(BR$2:BR$126&lt;&gt;"")*($J$2:$J$126))</f>
        <v>130.69</v>
      </c>
      <c r="BS138" s="79" cm="1">
        <f t="array" ref="BS138">SUMPRODUCT(($B$2:$B$126=2)*(BS$2:BS$126&gt;=13)*(BS$2:BS$126&lt;=17)*(BS$2:BS$126&lt;&gt;"")*($J$2:$J$126))</f>
        <v>199.28999999999996</v>
      </c>
      <c r="BT138" s="79" cm="1">
        <f t="array" ref="BT138">SUMPRODUCT(($B$2:$B$126=2)*(BT$2:BT$126&gt;=13)*(BT$2:BT$126&lt;=17)*(BT$2:BT$126&lt;&gt;"")*($J$2:$J$126))</f>
        <v>295.86</v>
      </c>
      <c r="BU138" s="79" cm="1">
        <f t="array" ref="BU138">SUMPRODUCT(($B$2:$B$126=2)*(BU$2:BU$126&gt;=13)*(BU$2:BU$126&lt;=17)*(BU$2:BU$126&lt;&gt;"")*($J$2:$J$126))</f>
        <v>339.2</v>
      </c>
      <c r="BV138" s="79" cm="1">
        <f t="array" ref="BV138">SUMPRODUCT(($B$2:$B$126=2)*(BV$2:BV$126&gt;=13)*(BV$2:BV$126&lt;=17)*(BV$2:BV$126&lt;&gt;"")*($J$2:$J$126))</f>
        <v>357.07</v>
      </c>
      <c r="BW138" s="79" cm="1">
        <f t="array" ref="BW138">SUMPRODUCT(($B$2:$B$126=2)*(BW$2:BW$126&gt;=13)*(BW$2:BW$126&lt;=17)*(BW$2:BW$126&lt;&gt;"")*($J$2:$J$126))</f>
        <v>274.17</v>
      </c>
      <c r="BX138" s="79" cm="1">
        <f t="array" ref="BX138">SUMPRODUCT(($B$2:$B$126=2)*(BX$2:BX$126&gt;=13)*(BX$2:BX$126&lt;=17)*(BX$2:BX$126&lt;&gt;"")*($J$2:$J$126))</f>
        <v>157.78</v>
      </c>
      <c r="BY138" s="79" cm="1">
        <f t="array" ref="BY138">SUMPRODUCT(($B$2:$B$126=2)*(BY$2:BY$126&gt;=13)*(BY$2:BY$126&lt;=17)*(BY$2:BY$126&lt;&gt;"")*($J$2:$J$126))</f>
        <v>61.210000000000008</v>
      </c>
      <c r="BZ138" s="79" cm="1">
        <f t="array" ref="BZ138">SUMPRODUCT(($B$2:$B$126=2)*(BZ$2:BZ$126&gt;=13)*(BZ$2:BZ$126&lt;=17)*(BZ$2:BZ$126&lt;&gt;"")*($J$2:$J$126))</f>
        <v>93.420000000000016</v>
      </c>
      <c r="CA138" s="79" cm="1">
        <f t="array" ref="CA138">SUMPRODUCT(($B$2:$B$126=2)*(CA$2:CA$126&gt;=13)*(CA$2:CA$126&lt;=17)*(CA$2:CA$126&lt;&gt;"")*($J$2:$J$126))</f>
        <v>97.52000000000001</v>
      </c>
      <c r="CB138" s="79" cm="1">
        <f t="array" ref="CB138">SUMPRODUCT(($B$2:$B$126=2)*(CB$2:CB$126&gt;=13)*(CB$2:CB$126&lt;=17)*(CB$2:CB$126&lt;&gt;"")*($J$2:$J$126))</f>
        <v>123.59</v>
      </c>
      <c r="CC138" s="79" cm="1">
        <f t="array" ref="CC138">SUMPRODUCT(($B$2:$B$126=2)*(CC$2:CC$126&gt;=13)*(CC$2:CC$126&lt;=17)*(CC$2:CC$126&lt;&gt;"")*($J$2:$J$126))</f>
        <v>123.59</v>
      </c>
      <c r="CD138" s="79" cm="1">
        <f t="array" ref="CD138">SUMPRODUCT(($B$2:$B$126=2)*(CD$2:CD$126&gt;=13)*(CD$2:CD$126&lt;=17)*(CD$2:CD$126&lt;&gt;"")*($J$2:$J$126))</f>
        <v>123.59</v>
      </c>
      <c r="CE138" s="79" cm="1">
        <f t="array" ref="CE138">SUMPRODUCT(($B$2:$B$126=2)*(CE$2:CE$126&gt;=13)*(CE$2:CE$126&lt;=17)*(CE$2:CE$126&lt;&gt;"")*($J$2:$J$126))</f>
        <v>48.04</v>
      </c>
      <c r="CF138" s="79" cm="1">
        <f t="array" ref="CF138">SUMPRODUCT(($B$2:$B$126=2)*(CF$2:CF$126&gt;=13)*(CF$2:CF$126&lt;=17)*(CF$2:CF$126&lt;&gt;"")*($J$2:$J$126))</f>
        <v>26.07</v>
      </c>
      <c r="CG138" s="79" cm="1">
        <f t="array" ref="CG138">SUMPRODUCT(($B$2:$B$126=2)*(CG$2:CG$126&gt;=13)*(CG$2:CG$126&lt;=17)*(CG$2:CG$126&lt;&gt;"")*($J$2:$J$126))</f>
        <v>0</v>
      </c>
      <c r="CH138" s="79" cm="1">
        <f t="array" ref="CH138">SUMPRODUCT(($B$2:$B$126=2)*(CH$2:CH$126&gt;=13)*(CH$2:CH$126&lt;=17)*(CH$2:CH$126&lt;&gt;"")*($J$2:$J$126))</f>
        <v>0</v>
      </c>
      <c r="CI138" s="79" cm="1">
        <f t="array" ref="CI138">SUMPRODUCT(($B$2:$B$126=2)*(CI$2:CI$126&gt;=13)*(CI$2:CI$126&lt;=17)*(CI$2:CI$126&lt;&gt;"")*($J$2:$J$126))</f>
        <v>0</v>
      </c>
      <c r="CJ138" s="79" cm="1">
        <f t="array" ref="CJ138">SUMPRODUCT(($B$2:$B$126=2)*(CJ$2:CJ$126&gt;=13)*(CJ$2:CJ$126&lt;=17)*(CJ$2:CJ$126&lt;&gt;"")*($J$2:$J$126))</f>
        <v>0</v>
      </c>
      <c r="CK138" s="79" cm="1">
        <f t="array" ref="CK138">SUMPRODUCT(($B$2:$B$126=2)*(CK$2:CK$126&gt;=13)*(CK$2:CK$126&lt;=17)*(CK$2:CK$126&lt;&gt;"")*($J$2:$J$126))</f>
        <v>0</v>
      </c>
      <c r="CL138" s="79" cm="1">
        <f t="array" ref="CL138">SUMPRODUCT(($B$2:$B$126=2)*(CL$2:CL$126&gt;=13)*(CL$2:CL$126&lt;=17)*(CL$2:CL$126&lt;&gt;"")*($J$2:$J$126))</f>
        <v>0</v>
      </c>
      <c r="CM138" s="79" cm="1">
        <f t="array" ref="CM138">SUMPRODUCT(($B$2:$B$126=2)*(CM$2:CM$126&gt;=13)*(CM$2:CM$126&lt;=17)*(CM$2:CM$126&lt;&gt;"")*($J$2:$J$126))</f>
        <v>0</v>
      </c>
      <c r="CN138" s="79" cm="1">
        <f t="array" ref="CN138">SUMPRODUCT(($B$2:$B$126=2)*(CN$2:CN$126&gt;=13)*(CN$2:CN$126&lt;=17)*(CN$2:CN$126&lt;&gt;"")*($J$2:$J$126))</f>
        <v>0</v>
      </c>
      <c r="CO138" s="79" cm="1">
        <f t="array" ref="CO138">SUMPRODUCT(($B$2:$B$126=2)*(CO$2:CO$126&gt;=13)*(CO$2:CO$126&lt;=17)*(CO$2:CO$126&lt;&gt;"")*($J$2:$J$126))</f>
        <v>0</v>
      </c>
      <c r="CP138" s="79" cm="1">
        <f t="array" ref="CP138">SUMPRODUCT(($B$2:$B$126=2)*(CP$2:CP$126&gt;=13)*(CP$2:CP$126&lt;=17)*(CP$2:CP$126&lt;&gt;"")*($J$2:$J$126))</f>
        <v>0</v>
      </c>
      <c r="CQ138" s="79" cm="1">
        <f t="array" ref="CQ138">SUMPRODUCT(($B$2:$B$126=2)*(CQ$2:CQ$126&gt;=13)*(CQ$2:CQ$126&lt;=17)*(CQ$2:CQ$126&lt;&gt;"")*($J$2:$J$126))</f>
        <v>0</v>
      </c>
      <c r="CR138" s="79" cm="1">
        <f t="array" ref="CR138">SUMPRODUCT(($B$2:$B$126=2)*(CR$2:CR$126&gt;=13)*(CR$2:CR$126&lt;=17)*(CR$2:CR$126&lt;&gt;"")*($J$2:$J$126))</f>
        <v>0</v>
      </c>
      <c r="CS138" s="79" cm="1">
        <f t="array" ref="CS138">SUMPRODUCT(($B$2:$B$126=2)*(CS$2:CS$126&gt;=13)*(CS$2:CS$126&lt;=17)*(CS$2:CS$126&lt;&gt;"")*($J$2:$J$126))</f>
        <v>0</v>
      </c>
      <c r="CT138" s="79" cm="1">
        <f t="array" ref="CT138">SUMPRODUCT(($B$2:$B$126=2)*(CT$2:CT$126&gt;=13)*(CT$2:CT$126&lt;=17)*(CT$2:CT$126&lt;&gt;"")*($J$2:$J$126))</f>
        <v>0</v>
      </c>
      <c r="CU138" s="79" cm="1">
        <f t="array" ref="CU138">SUMPRODUCT(($B$2:$B$126=2)*(CU$2:CU$126&gt;=13)*(CU$2:CU$126&lt;=17)*(CU$2:CU$126&lt;&gt;"")*($J$2:$J$126))</f>
        <v>0</v>
      </c>
      <c r="CV138" s="79" cm="1">
        <f t="array" ref="CV138">SUMPRODUCT(($B$2:$B$126=2)*(CV$2:CV$126&gt;=13)*(CV$2:CV$126&lt;=17)*(CV$2:CV$126&lt;&gt;"")*($J$2:$J$126))</f>
        <v>0</v>
      </c>
      <c r="CW138" s="79" cm="1">
        <f t="array" ref="CW138">SUMPRODUCT(($B$2:$B$126=2)*(CW$2:CW$126&gt;=13)*(CW$2:CW$126&lt;=17)*(CW$2:CW$126&lt;&gt;"")*($J$2:$J$126))</f>
        <v>0</v>
      </c>
      <c r="CX138" s="79" cm="1">
        <f t="array" ref="CX138">SUMPRODUCT(($B$2:$B$126=2)*(CX$2:CX$126&gt;=13)*(CX$2:CX$126&lt;=17)*(CX$2:CX$126&lt;&gt;"")*($J$2:$J$126))</f>
        <v>0</v>
      </c>
      <c r="CY138" s="79" cm="1">
        <f t="array" ref="CY138">SUMPRODUCT(($B$2:$B$126=2)*(CY$2:CY$126&gt;=13)*(CY$2:CY$126&lt;=17)*(CY$2:CY$126&lt;&gt;"")*($J$2:$J$126))</f>
        <v>0</v>
      </c>
      <c r="CZ138" s="79" cm="1">
        <f t="array" ref="CZ138">SUMPRODUCT(($B$2:$B$126=2)*(CZ$2:CZ$126&gt;=13)*(CZ$2:CZ$126&lt;=17)*(CZ$2:CZ$126&lt;&gt;"")*($J$2:$J$126))</f>
        <v>0</v>
      </c>
      <c r="DA138" s="79" cm="1">
        <f t="array" ref="DA138">SUMPRODUCT(($B$2:$B$126=2)*(DA$2:DA$126&gt;=13)*(DA$2:DA$126&lt;=17)*(DA$2:DA$126&lt;&gt;"")*($J$2:$J$126))</f>
        <v>0</v>
      </c>
      <c r="DB138" s="79" cm="1">
        <f t="array" ref="DB138">SUMPRODUCT(($B$2:$B$126=2)*(DB$2:DB$126&gt;=13)*(DB$2:DB$126&lt;=17)*(DB$2:DB$126&lt;&gt;"")*($J$2:$J$126))</f>
        <v>0</v>
      </c>
      <c r="DC138" s="79" cm="1">
        <f t="array" ref="DC138">SUMPRODUCT(($B$2:$B$126=2)*(DC$2:DC$126&gt;=13)*(DC$2:DC$126&lt;=17)*(DC$2:DC$126&lt;&gt;"")*($J$2:$J$126))</f>
        <v>0</v>
      </c>
      <c r="DD138" s="79" cm="1">
        <f t="array" ref="DD138">SUMPRODUCT(($B$2:$B$126=2)*(DD$2:DD$126&gt;=13)*(DD$2:DD$126&lt;=17)*(DD$2:DD$126&lt;&gt;"")*($J$2:$J$126))</f>
        <v>0</v>
      </c>
      <c r="DE138" s="79" cm="1">
        <f t="array" ref="DE138">SUMPRODUCT(($B$2:$B$126=2)*(DE$2:DE$126&gt;=13)*(DE$2:DE$126&lt;=17)*(DE$2:DE$126&lt;&gt;"")*($J$2:$J$126))</f>
        <v>0</v>
      </c>
      <c r="DF138" s="79" cm="1">
        <f t="array" ref="DF138">SUMPRODUCT(($B$2:$B$126=2)*(DF$2:DF$126&gt;=13)*(DF$2:DF$126&lt;=17)*(DF$2:DF$126&lt;&gt;"")*($J$2:$J$126))</f>
        <v>0</v>
      </c>
      <c r="DG138" s="79" cm="1">
        <f t="array" ref="DG138">SUMPRODUCT(($B$2:$B$126=2)*(DG$2:DG$126&gt;=13)*(DG$2:DG$126&lt;=17)*(DG$2:DG$126&lt;&gt;"")*($J$2:$J$126))</f>
        <v>0</v>
      </c>
      <c r="DH138" s="79" cm="1">
        <f t="array" ref="DH138">SUMPRODUCT(($B$2:$B$126=2)*(DH$2:DH$126&gt;=13)*(DH$2:DH$126&lt;=17)*(DH$2:DH$126&lt;&gt;"")*($J$2:$J$126))</f>
        <v>0</v>
      </c>
      <c r="DI138" s="79" cm="1">
        <f t="array" ref="DI138">SUMPRODUCT(($B$2:$B$126=2)*(DI$2:DI$126&gt;=13)*(DI$2:DI$126&lt;=17)*(DI$2:DI$126&lt;&gt;"")*($J$2:$J$126))</f>
        <v>0</v>
      </c>
      <c r="DJ138" s="79" cm="1">
        <f t="array" ref="DJ138">SUMPRODUCT(($B$2:$B$126=2)*(DJ$2:DJ$126&gt;=13)*(DJ$2:DJ$126&lt;=17)*(DJ$2:DJ$126&lt;&gt;"")*($J$2:$J$126))</f>
        <v>0</v>
      </c>
      <c r="DK138" s="79" cm="1">
        <f t="array" ref="DK138">SUMPRODUCT(($B$2:$B$126=2)*(DK$2:DK$126&gt;=13)*(DK$2:DK$126&lt;=17)*(DK$2:DK$126&lt;&gt;"")*($J$2:$J$126))</f>
        <v>0</v>
      </c>
      <c r="DL138" s="79" cm="1">
        <f t="array" ref="DL138">SUMPRODUCT(($B$2:$B$126=2)*(DL$2:DL$126&gt;=13)*(DL$2:DL$126&lt;=17)*(DL$2:DL$126&lt;&gt;"")*($J$2:$J$126))</f>
        <v>0</v>
      </c>
      <c r="DM138" s="79" cm="1">
        <f t="array" ref="DM138">SUMPRODUCT(($B$2:$B$126=2)*(DM$2:DM$126&gt;=13)*(DM$2:DM$126&lt;=17)*(DM$2:DM$126&lt;&gt;"")*($J$2:$J$126))</f>
        <v>0</v>
      </c>
      <c r="DN138" s="79" cm="1">
        <f t="array" ref="DN138">SUMPRODUCT(($B$2:$B$126=2)*(DN$2:DN$126&gt;=13)*(DN$2:DN$126&lt;=17)*(DN$2:DN$126&lt;&gt;"")*($J$2:$J$126))</f>
        <v>0</v>
      </c>
      <c r="DO138" s="79" cm="1">
        <f t="array" ref="DO138">SUMPRODUCT(($B$2:$B$126=2)*(DO$2:DO$126&gt;=13)*(DO$2:DO$126&lt;=17)*(DO$2:DO$126&lt;&gt;"")*($J$2:$J$126))</f>
        <v>0</v>
      </c>
      <c r="DP138" s="79" cm="1">
        <f t="array" ref="DP138">SUMPRODUCT(($B$2:$B$126=2)*(DP$2:DP$126&gt;=13)*(DP$2:DP$126&lt;=17)*(DP$2:DP$126&lt;&gt;"")*($J$2:$J$126))</f>
        <v>0</v>
      </c>
      <c r="DQ138" s="79" cm="1">
        <f t="array" ref="DQ138">SUMPRODUCT(($B$2:$B$126=2)*(DQ$2:DQ$126&gt;=13)*(DQ$2:DQ$126&lt;=17)*(DQ$2:DQ$126&lt;&gt;"")*($J$2:$J$126))</f>
        <v>0</v>
      </c>
      <c r="DR138" s="79" cm="1">
        <f t="array" ref="DR138">SUMPRODUCT(($B$2:$B$126=2)*(DR$2:DR$126&gt;=13)*(DR$2:DR$126&lt;=17)*(DR$2:DR$126&lt;&gt;"")*($J$2:$J$126))</f>
        <v>0</v>
      </c>
      <c r="DS138" s="79" cm="1">
        <f t="array" ref="DS138">SUMPRODUCT(($B$2:$B$126=2)*(DS$2:DS$126&gt;=13)*(DS$2:DS$126&lt;=17)*(DS$2:DS$126&lt;&gt;"")*($J$2:$J$126))</f>
        <v>0</v>
      </c>
      <c r="DT138" s="79" cm="1">
        <f t="array" ref="DT138">SUMPRODUCT(($B$2:$B$126=2)*(DT$2:DT$126&gt;=13)*(DT$2:DT$126&lt;=17)*(DT$2:DT$126&lt;&gt;"")*($J$2:$J$126))</f>
        <v>0</v>
      </c>
      <c r="DU138" s="79" cm="1">
        <f t="array" ref="DU138">SUMPRODUCT(($B$2:$B$126=2)*(DU$2:DU$126&gt;=13)*(DU$2:DU$126&lt;=17)*(DU$2:DU$126&lt;&gt;"")*($J$2:$J$126))</f>
        <v>0</v>
      </c>
      <c r="DV138" s="79" cm="1">
        <f t="array" ref="DV138">SUMPRODUCT(($B$2:$B$126=2)*(DV$2:DV$126&gt;=13)*(DV$2:DV$126&lt;=17)*(DV$2:DV$126&lt;&gt;"")*($J$2:$J$126))</f>
        <v>0</v>
      </c>
      <c r="DW138" s="79" cm="1">
        <f t="array" ref="DW138">SUMPRODUCT(($B$2:$B$126=2)*(DW$2:DW$126&gt;=13)*(DW$2:DW$126&lt;=17)*(DW$2:DW$126&lt;&gt;"")*($J$2:$J$126))</f>
        <v>0</v>
      </c>
      <c r="DX138" s="79" cm="1">
        <f t="array" ref="DX138">SUMPRODUCT(($B$2:$B$126=2)*(DX$2:DX$126&gt;=13)*(DX$2:DX$126&lt;=17)*(DX$2:DX$126&lt;&gt;"")*($J$2:$J$126))</f>
        <v>0</v>
      </c>
      <c r="DY138" s="79" cm="1">
        <f t="array" ref="DY138">SUMPRODUCT(($B$2:$B$126=2)*(DY$2:DY$126&gt;=13)*(DY$2:DY$126&lt;=17)*(DY$2:DY$126&lt;&gt;"")*($J$2:$J$126))</f>
        <v>0</v>
      </c>
      <c r="DZ138" s="79" cm="1">
        <f t="array" ref="DZ138">SUMPRODUCT(($B$2:$B$126=2)*(DZ$2:DZ$126&gt;=13)*(DZ$2:DZ$126&lt;=17)*(DZ$2:DZ$126&lt;&gt;"")*($J$2:$J$126))</f>
        <v>0</v>
      </c>
      <c r="EA138" s="79" cm="1">
        <f t="array" ref="EA138">SUMPRODUCT(($B$2:$B$126=2)*(EA$2:EA$126&gt;=13)*(EA$2:EA$126&lt;=17)*(EA$2:EA$126&lt;&gt;"")*($J$2:$J$126))</f>
        <v>0</v>
      </c>
      <c r="EB138" s="79" cm="1">
        <f t="array" ref="EB138">SUMPRODUCT(($B$2:$B$126=2)*(EB$2:EB$126&gt;=13)*(EB$2:EB$126&lt;=17)*(EB$2:EB$126&lt;&gt;"")*($J$2:$J$126))</f>
        <v>0</v>
      </c>
      <c r="EC138" s="79" cm="1">
        <f t="array" ref="EC138">SUMPRODUCT(($B$2:$B$126=2)*(EC$2:EC$126&gt;=13)*(EC$2:EC$126&lt;=17)*(EC$2:EC$126&lt;&gt;"")*($J$2:$J$126))</f>
        <v>0</v>
      </c>
      <c r="ED138" s="79" cm="1">
        <f t="array" ref="ED138">SUMPRODUCT(($B$2:$B$126=2)*(ED$2:ED$126&gt;=13)*(ED$2:ED$126&lt;=17)*(ED$2:ED$126&lt;&gt;"")*($J$2:$J$126))</f>
        <v>0</v>
      </c>
      <c r="EE138" s="79" cm="1">
        <f t="array" ref="EE138">SUMPRODUCT(($B$2:$B$126=2)*(EE$2:EE$126&gt;=13)*(EE$2:EE$126&lt;=17)*(EE$2:EE$126&lt;&gt;"")*($J$2:$J$126))</f>
        <v>0</v>
      </c>
      <c r="EF138" s="79" cm="1">
        <f t="array" ref="EF138">SUMPRODUCT(($B$2:$B$126=2)*(EF$2:EF$126&gt;=13)*(EF$2:EF$126&lt;=17)*(EF$2:EF$126&lt;&gt;"")*($J$2:$J$126))</f>
        <v>0</v>
      </c>
      <c r="EG138" s="79" cm="1">
        <f t="array" ref="EG138">SUMPRODUCT(($B$2:$B$126=2)*(EG$2:EG$126&gt;=13)*(EG$2:EG$126&lt;=17)*(EG$2:EG$126&lt;&gt;"")*($J$2:$J$126))</f>
        <v>0</v>
      </c>
      <c r="EH138" s="79" cm="1">
        <f t="array" ref="EH138">SUMPRODUCT(($B$2:$B$126=2)*(EH$2:EH$126&gt;=13)*(EH$2:EH$126&lt;=17)*(EH$2:EH$126&lt;&gt;"")*($J$2:$J$126))</f>
        <v>0</v>
      </c>
      <c r="EI138" s="79" cm="1">
        <f t="array" ref="EI138">SUMPRODUCT(($B$2:$B$126=2)*(EI$2:EI$126&gt;=13)*(EI$2:EI$126&lt;=17)*(EI$2:EI$126&lt;&gt;"")*($J$2:$J$126))</f>
        <v>0</v>
      </c>
      <c r="EJ138" s="79" cm="1">
        <f t="array" ref="EJ138">SUMPRODUCT(($B$2:$B$126=2)*(EJ$2:EJ$126&gt;=13)*(EJ$2:EJ$126&lt;=17)*(EJ$2:EJ$126&lt;&gt;"")*($J$2:$J$126))</f>
        <v>0</v>
      </c>
      <c r="EK138" s="79" cm="1">
        <f t="array" ref="EK138">SUMPRODUCT(($B$2:$B$126=2)*(EK$2:EK$126&gt;=13)*(EK$2:EK$126&lt;=17)*(EK$2:EK$126&lt;&gt;"")*($J$2:$J$126))</f>
        <v>0</v>
      </c>
      <c r="EL138" s="79" cm="1">
        <f t="array" ref="EL138">SUMPRODUCT(($B$2:$B$126=2)*(EL$2:EL$126&gt;=13)*(EL$2:EL$126&lt;=17)*(EL$2:EL$126&lt;&gt;"")*($J$2:$J$126))</f>
        <v>0</v>
      </c>
      <c r="EM138" s="79" cm="1">
        <f t="array" ref="EM138">SUMPRODUCT(($B$2:$B$126=2)*(EM$2:EM$126&gt;=13)*(EM$2:EM$126&lt;=17)*(EM$2:EM$126&lt;&gt;"")*($J$2:$J$126))</f>
        <v>0</v>
      </c>
      <c r="EN138" s="79" cm="1">
        <f t="array" ref="EN138">SUMPRODUCT(($B$2:$B$126=2)*(EN$2:EN$126&gt;=13)*(EN$2:EN$126&lt;=17)*(EN$2:EN$126&lt;&gt;"")*($J$2:$J$126))</f>
        <v>0</v>
      </c>
      <c r="EO138" s="79" cm="1">
        <f t="array" ref="EO138">SUMPRODUCT(($B$2:$B$126=2)*(EO$2:EO$126&gt;=13)*(EO$2:EO$126&lt;=17)*(EO$2:EO$126&lt;&gt;"")*($J$2:$J$126))</f>
        <v>0</v>
      </c>
      <c r="EP138" s="79" cm="1">
        <f t="array" ref="EP138">SUMPRODUCT(($B$2:$B$126=2)*(EP$2:EP$126&gt;=13)*(EP$2:EP$126&lt;=17)*(EP$2:EP$126&lt;&gt;"")*($J$2:$J$126))</f>
        <v>0</v>
      </c>
      <c r="EQ138" s="79" cm="1">
        <f t="array" ref="EQ138">SUMPRODUCT(($B$2:$B$126=2)*(EQ$2:EQ$126&gt;=13)*(EQ$2:EQ$126&lt;=17)*(EQ$2:EQ$126&lt;&gt;"")*($J$2:$J$126))</f>
        <v>0</v>
      </c>
      <c r="ER138" s="79" cm="1">
        <f t="array" ref="ER138">SUMPRODUCT(($B$2:$B$126=2)*(ER$2:ER$126&gt;=13)*(ER$2:ER$126&lt;=17)*(ER$2:ER$126&lt;&gt;"")*($J$2:$J$126))</f>
        <v>0</v>
      </c>
      <c r="ES138" s="79" cm="1">
        <f t="array" ref="ES138">SUMPRODUCT(($B$2:$B$126=2)*(ES$2:ES$126&gt;=13)*(ES$2:ES$126&lt;=17)*(ES$2:ES$126&lt;&gt;"")*($J$2:$J$126))</f>
        <v>0</v>
      </c>
      <c r="ET138" s="79" cm="1">
        <f t="array" ref="ET138">SUMPRODUCT(($B$2:$B$126=2)*(ET$2:ET$126&gt;=13)*(ET$2:ET$126&lt;=17)*(ET$2:ET$126&lt;&gt;"")*($J$2:$J$126))</f>
        <v>0</v>
      </c>
      <c r="EU138" s="79" cm="1">
        <f t="array" ref="EU138">SUMPRODUCT(($B$2:$B$126=2)*(EU$2:EU$126&gt;=13)*(EU$2:EU$126&lt;=17)*(EU$2:EU$126&lt;&gt;"")*($J$2:$J$126))</f>
        <v>0</v>
      </c>
      <c r="EV138" s="79" cm="1">
        <f t="array" ref="EV138">SUMPRODUCT(($B$2:$B$126=2)*(EV$2:EV$126&gt;=13)*(EV$2:EV$126&lt;=17)*(EV$2:EV$126&lt;&gt;"")*($J$2:$J$126))</f>
        <v>0</v>
      </c>
      <c r="EW138" s="79" cm="1">
        <f t="array" ref="EW138">SUMPRODUCT(($B$2:$B$126=2)*(EW$2:EW$126&gt;=13)*(EW$2:EW$126&lt;=17)*(EW$2:EW$126&lt;&gt;"")*($J$2:$J$126))</f>
        <v>0</v>
      </c>
      <c r="EX138" s="79" cm="1">
        <f t="array" ref="EX138">SUMPRODUCT(($B$2:$B$126=2)*(EX$2:EX$126&gt;=13)*(EX$2:EX$126&lt;=17)*(EX$2:EX$126&lt;&gt;"")*($J$2:$J$126))</f>
        <v>0</v>
      </c>
      <c r="EY138" s="79" cm="1">
        <f t="array" ref="EY138">SUMPRODUCT(($B$2:$B$126=2)*(EY$2:EY$126&gt;=13)*(EY$2:EY$126&lt;=17)*(EY$2:EY$126&lt;&gt;"")*($J$2:$J$126))</f>
        <v>0</v>
      </c>
      <c r="EZ138" s="79" cm="1">
        <f t="array" ref="EZ138">SUMPRODUCT(($B$2:$B$126=2)*(EZ$2:EZ$126&gt;=13)*(EZ$2:EZ$126&lt;=17)*(EZ$2:EZ$126&lt;&gt;"")*($J$2:$J$126))</f>
        <v>0</v>
      </c>
      <c r="FA138" s="79" cm="1">
        <f t="array" ref="FA138">SUMPRODUCT(($B$2:$B$126=2)*(FA$2:FA$126&gt;=13)*(FA$2:FA$126&lt;=17)*(FA$2:FA$126&lt;&gt;"")*($J$2:$J$126))</f>
        <v>0</v>
      </c>
      <c r="FB138" s="79" cm="1">
        <f t="array" ref="FB138">SUMPRODUCT(($B$2:$B$126=2)*(FB$2:FB$126&gt;=13)*(FB$2:FB$126&lt;=17)*(FB$2:FB$126&lt;&gt;"")*($J$2:$J$126))</f>
        <v>0</v>
      </c>
      <c r="FC138" s="79" cm="1">
        <f t="array" ref="FC138">SUMPRODUCT(($B$2:$B$126=2)*(FC$2:FC$126&gt;=13)*(FC$2:FC$126&lt;=17)*(FC$2:FC$126&lt;&gt;"")*($J$2:$J$126))</f>
        <v>0</v>
      </c>
      <c r="FD138" s="79" cm="1">
        <f t="array" ref="FD138">SUMPRODUCT(($B$2:$B$126=2)*(FD$2:FD$126&gt;=13)*(FD$2:FD$126&lt;=17)*(FD$2:FD$126&lt;&gt;"")*($J$2:$J$126))</f>
        <v>0</v>
      </c>
      <c r="FE138" s="79" cm="1">
        <f t="array" ref="FE138">SUMPRODUCT(($B$2:$B$126=2)*(FE$2:FE$126&gt;=13)*(FE$2:FE$126&lt;=17)*(FE$2:FE$126&lt;&gt;"")*($J$2:$J$126))</f>
        <v>0</v>
      </c>
      <c r="FF138" s="79" cm="1">
        <f t="array" ref="FF138">SUMPRODUCT(($B$2:$B$126=2)*(FF$2:FF$126&gt;=13)*(FF$2:FF$126&lt;=17)*(FF$2:FF$126&lt;&gt;"")*($J$2:$J$126))</f>
        <v>0</v>
      </c>
      <c r="FG138" s="79" cm="1">
        <f t="array" ref="FG138">SUMPRODUCT(($B$2:$B$126=2)*(FG$2:FG$126&gt;=13)*(FG$2:FG$126&lt;=17)*(FG$2:FG$126&lt;&gt;"")*($J$2:$J$126))</f>
        <v>0</v>
      </c>
      <c r="FH138" s="79" cm="1">
        <f t="array" ref="FH138">SUMPRODUCT(($B$2:$B$126=2)*(FH$2:FH$126&gt;=13)*(FH$2:FH$126&lt;=17)*(FH$2:FH$126&lt;&gt;"")*($J$2:$J$126))</f>
        <v>0</v>
      </c>
      <c r="FI138" s="79" cm="1">
        <f t="array" ref="FI138">SUMPRODUCT(($B$2:$B$126=2)*(FI$2:FI$126&gt;=13)*(FI$2:FI$126&lt;=17)*(FI$2:FI$126&lt;&gt;"")*($J$2:$J$126))</f>
        <v>0</v>
      </c>
      <c r="FJ138" s="79" cm="1">
        <f t="array" ref="FJ138">SUMPRODUCT(($B$2:$B$126=2)*(FJ$2:FJ$126&gt;=13)*(FJ$2:FJ$126&lt;=17)*(FJ$2:FJ$126&lt;&gt;"")*($J$2:$J$126))</f>
        <v>0</v>
      </c>
      <c r="FK138" s="79" cm="1">
        <f t="array" ref="FK138">SUMPRODUCT(($B$2:$B$126=2)*(FK$2:FK$126&gt;=13)*(FK$2:FK$126&lt;=17)*(FK$2:FK$126&lt;&gt;"")*($J$2:$J$126))</f>
        <v>0</v>
      </c>
      <c r="FL138" s="79" cm="1">
        <f t="array" ref="FL138">SUMPRODUCT(($B$2:$B$126=2)*(FL$2:FL$126&gt;=13)*(FL$2:FL$126&lt;=17)*(FL$2:FL$126&lt;&gt;"")*($J$2:$J$126))</f>
        <v>0</v>
      </c>
      <c r="FM138" s="79" cm="1">
        <f t="array" ref="FM138">SUMPRODUCT(($B$2:$B$126=2)*(FM$2:FM$126&gt;=13)*(FM$2:FM$126&lt;=17)*(FM$2:FM$126&lt;&gt;"")*($J$2:$J$126))</f>
        <v>0</v>
      </c>
      <c r="FN138" s="79" cm="1">
        <f t="array" ref="FN138">SUMPRODUCT(($B$2:$B$126=2)*(FN$2:FN$126&gt;=13)*(FN$2:FN$126&lt;=17)*(FN$2:FN$126&lt;&gt;"")*($J$2:$J$126))</f>
        <v>0</v>
      </c>
      <c r="FO138" s="79" cm="1">
        <f t="array" ref="FO138">SUMPRODUCT(($B$2:$B$126=2)*(FO$2:FO$126&gt;=13)*(FO$2:FO$126&lt;=17)*(FO$2:FO$126&lt;&gt;"")*($J$2:$J$126))</f>
        <v>0</v>
      </c>
      <c r="FP138" s="79" cm="1">
        <f t="array" ref="FP138">SUMPRODUCT(($B$2:$B$126=2)*(FP$2:FP$126&gt;=13)*(FP$2:FP$126&lt;=17)*(FP$2:FP$126&lt;&gt;"")*($J$2:$J$126))</f>
        <v>0</v>
      </c>
      <c r="FQ138" s="79" cm="1">
        <f t="array" ref="FQ138">SUMPRODUCT(($B$2:$B$126=2)*(FQ$2:FQ$126&gt;=13)*(FQ$2:FQ$126&lt;=17)*(FQ$2:FQ$126&lt;&gt;"")*($J$2:$J$126))</f>
        <v>0</v>
      </c>
      <c r="FR138" s="79" cm="1">
        <f t="array" ref="FR138">SUMPRODUCT(($B$2:$B$126=2)*(FR$2:FR$126&gt;=13)*(FR$2:FR$126&lt;=17)*(FR$2:FR$126&lt;&gt;"")*($J$2:$J$126))</f>
        <v>0</v>
      </c>
      <c r="FS138" s="79" cm="1">
        <f t="array" ref="FS138">SUMPRODUCT(($B$2:$B$126=2)*(FS$2:FS$126&gt;=13)*(FS$2:FS$126&lt;=17)*(FS$2:FS$126&lt;&gt;"")*($J$2:$J$126))</f>
        <v>0</v>
      </c>
      <c r="FT138" s="79" cm="1">
        <f t="array" ref="FT138">SUMPRODUCT(($B$2:$B$126=2)*(FT$2:FT$126&gt;=13)*(FT$2:FT$126&lt;=17)*(FT$2:FT$126&lt;&gt;"")*($J$2:$J$126))</f>
        <v>0</v>
      </c>
      <c r="FU138" s="79" cm="1">
        <f t="array" ref="FU138">SUMPRODUCT(($B$2:$B$126=2)*(FU$2:FU$126&gt;=13)*(FU$2:FU$126&lt;=17)*(FU$2:FU$126&lt;&gt;"")*($J$2:$J$126))</f>
        <v>0</v>
      </c>
      <c r="FV138" s="79" cm="1">
        <f t="array" ref="FV138">SUMPRODUCT(($B$2:$B$126=2)*(FV$2:FV$126&gt;=13)*(FV$2:FV$126&lt;=17)*(FV$2:FV$126&lt;&gt;"")*($J$2:$J$126))</f>
        <v>0</v>
      </c>
      <c r="FW138" s="79" cm="1">
        <f t="array" ref="FW138">SUMPRODUCT(($B$2:$B$126=2)*(FW$2:FW$126&gt;=13)*(FW$2:FW$126&lt;=17)*(FW$2:FW$126&lt;&gt;"")*($J$2:$J$126))</f>
        <v>0</v>
      </c>
      <c r="FX138" s="79" cm="1">
        <f t="array" ref="FX138">SUMPRODUCT(($B$2:$B$126=2)*(FX$2:FX$126&gt;=13)*(FX$2:FX$126&lt;=17)*(FX$2:FX$126&lt;&gt;"")*($J$2:$J$126))</f>
        <v>0</v>
      </c>
      <c r="FY138" s="79" cm="1">
        <f t="array" ref="FY138">SUMPRODUCT(($B$2:$B$126=2)*(FY$2:FY$126&gt;=13)*(FY$2:FY$126&lt;=17)*(FY$2:FY$126&lt;&gt;"")*($J$2:$J$126))</f>
        <v>0</v>
      </c>
      <c r="FZ138" s="79" cm="1">
        <f t="array" ref="FZ138">SUMPRODUCT(($B$2:$B$126=2)*(FZ$2:FZ$126&gt;=13)*(FZ$2:FZ$126&lt;=17)*(FZ$2:FZ$126&lt;&gt;"")*($J$2:$J$126))</f>
        <v>0</v>
      </c>
      <c r="GA138" s="79" cm="1">
        <f t="array" ref="GA138">SUMPRODUCT(($B$2:$B$126=2)*(GA$2:GA$126&gt;=13)*(GA$2:GA$126&lt;=17)*(GA$2:GA$126&lt;&gt;"")*($J$2:$J$126))</f>
        <v>0</v>
      </c>
      <c r="GB138" s="79" cm="1">
        <f t="array" ref="GB138">SUMPRODUCT(($B$2:$B$126=2)*(GB$2:GB$126&gt;=13)*(GB$2:GB$126&lt;=17)*(GB$2:GB$126&lt;&gt;"")*($J$2:$J$126))</f>
        <v>0</v>
      </c>
      <c r="GC138" s="79" cm="1">
        <f t="array" ref="GC138">SUMPRODUCT(($B$2:$B$126=2)*(GC$2:GC$126&gt;=13)*(GC$2:GC$126&lt;=17)*(GC$2:GC$126&lt;&gt;"")*($J$2:$J$126))</f>
        <v>0</v>
      </c>
      <c r="GD138" s="79" cm="1">
        <f t="array" ref="GD138">SUMPRODUCT(($B$2:$B$126=2)*(GD$2:GD$126&gt;=13)*(GD$2:GD$126&lt;=17)*(GD$2:GD$126&lt;&gt;"")*($J$2:$J$126))</f>
        <v>0</v>
      </c>
      <c r="GE138" s="79" cm="1">
        <f t="array" ref="GE138">SUMPRODUCT(($B$2:$B$126=2)*(GE$2:GE$126&gt;=13)*(GE$2:GE$126&lt;=17)*(GE$2:GE$126&lt;&gt;"")*($J$2:$J$126))</f>
        <v>0</v>
      </c>
      <c r="GF138" s="79" cm="1">
        <f t="array" ref="GF138">SUMPRODUCT(($B$2:$B$126=2)*(GF$2:GF$126&gt;=13)*(GF$2:GF$126&lt;=17)*(GF$2:GF$126&lt;&gt;"")*($J$2:$J$126))</f>
        <v>0</v>
      </c>
      <c r="GG138" s="79" cm="1">
        <f t="array" ref="GG138">SUMPRODUCT(($B$2:$B$126=2)*(GG$2:GG$126&gt;=13)*(GG$2:GG$126&lt;=17)*(GG$2:GG$126&lt;&gt;"")*($J$2:$J$126))</f>
        <v>0</v>
      </c>
      <c r="GH138" s="79" cm="1">
        <f t="array" ref="GH138">SUMPRODUCT(($B$2:$B$126=2)*(GH$2:GH$126&gt;=13)*(GH$2:GH$126&lt;=17)*(GH$2:GH$126&lt;&gt;"")*($J$2:$J$126))</f>
        <v>0</v>
      </c>
      <c r="GI138" s="79" cm="1">
        <f t="array" ref="GI138">SUMPRODUCT(($B$2:$B$126=2)*(GI$2:GI$126&gt;=13)*(GI$2:GI$126&lt;=17)*(GI$2:GI$126&lt;&gt;"")*($J$2:$J$126))</f>
        <v>0</v>
      </c>
      <c r="GJ138" s="79" cm="1">
        <f t="array" ref="GJ138">SUMPRODUCT(($B$2:$B$126=2)*(GJ$2:GJ$126&gt;=13)*(GJ$2:GJ$126&lt;=17)*(GJ$2:GJ$126&lt;&gt;"")*($J$2:$J$126))</f>
        <v>0</v>
      </c>
      <c r="GK138" s="79" cm="1">
        <f t="array" ref="GK138">SUMPRODUCT(($B$2:$B$126=2)*(GK$2:GK$126&gt;=13)*(GK$2:GK$126&lt;=17)*(GK$2:GK$126&lt;&gt;"")*($J$2:$J$126))</f>
        <v>0</v>
      </c>
      <c r="GL138" s="79" cm="1">
        <f t="array" ref="GL138">SUMPRODUCT(($B$2:$B$126=2)*(GL$2:GL$126&gt;=13)*(GL$2:GL$126&lt;=17)*(GL$2:GL$126&lt;&gt;"")*($J$2:$J$126))</f>
        <v>0</v>
      </c>
      <c r="GM138" s="79" cm="1">
        <f t="array" ref="GM138">SUMPRODUCT(($B$2:$B$126=2)*(GM$2:GM$126&gt;=13)*(GM$2:GM$126&lt;=17)*(GM$2:GM$126&lt;&gt;"")*($J$2:$J$126))</f>
        <v>0</v>
      </c>
      <c r="GN138" s="79" cm="1">
        <f t="array" ref="GN138">SUMPRODUCT(($B$2:$B$126=2)*(GN$2:GN$126&gt;=13)*(GN$2:GN$126&lt;=17)*(GN$2:GN$126&lt;&gt;"")*($J$2:$J$126))</f>
        <v>0</v>
      </c>
      <c r="GO138" s="79" cm="1">
        <f t="array" ref="GO138">SUMPRODUCT(($B$2:$B$126=2)*(GO$2:GO$126&gt;=13)*(GO$2:GO$126&lt;=17)*(GO$2:GO$126&lt;&gt;"")*($J$2:$J$126))</f>
        <v>0</v>
      </c>
      <c r="GP138" s="79" cm="1">
        <f t="array" ref="GP138">SUMPRODUCT(($B$2:$B$126=2)*(GP$2:GP$126&gt;=13)*(GP$2:GP$126&lt;=17)*(GP$2:GP$126&lt;&gt;"")*($J$2:$J$126))</f>
        <v>0</v>
      </c>
      <c r="GQ138" s="79" cm="1">
        <f t="array" ref="GQ138">SUMPRODUCT(($B$2:$B$126=2)*(GQ$2:GQ$126&gt;=13)*(GQ$2:GQ$126&lt;=17)*(GQ$2:GQ$126&lt;&gt;"")*($J$2:$J$126))</f>
        <v>0</v>
      </c>
      <c r="GR138" s="79" cm="1">
        <f t="array" ref="GR138">SUMPRODUCT(($B$2:$B$126=2)*(GR$2:GR$126&gt;=13)*(GR$2:GR$126&lt;=17)*(GR$2:GR$126&lt;&gt;"")*($J$2:$J$126))</f>
        <v>0</v>
      </c>
      <c r="GS138" s="79" cm="1">
        <f t="array" ref="GS138">SUMPRODUCT(($B$2:$B$126=2)*(GS$2:GS$126&gt;=13)*(GS$2:GS$126&lt;=17)*(GS$2:GS$126&lt;&gt;"")*($J$2:$J$126))</f>
        <v>0</v>
      </c>
      <c r="GT138" s="79" cm="1">
        <f t="array" ref="GT138">SUMPRODUCT(($B$2:$B$126=2)*(GT$2:GT$126&gt;=13)*(GT$2:GT$126&lt;=17)*(GT$2:GT$126&lt;&gt;"")*($J$2:$J$126))</f>
        <v>0</v>
      </c>
      <c r="GU138" s="79" cm="1">
        <f t="array" ref="GU138">SUMPRODUCT(($B$2:$B$126=2)*(GU$2:GU$126&gt;=13)*(GU$2:GU$126&lt;=17)*(GU$2:GU$126&lt;&gt;"")*($J$2:$J$126))</f>
        <v>0</v>
      </c>
      <c r="GV138" s="79" cm="1">
        <f t="array" ref="GV138">SUMPRODUCT(($B$2:$B$126=2)*(GV$2:GV$126&gt;=13)*(GV$2:GV$126&lt;=17)*(GV$2:GV$126&lt;&gt;"")*($J$2:$J$126))</f>
        <v>0</v>
      </c>
      <c r="GW138" s="79" cm="1">
        <f t="array" ref="GW138">SUMPRODUCT(($B$2:$B$126=2)*(GW$2:GW$126&gt;=13)*(GW$2:GW$126&lt;=17)*(GW$2:GW$126&lt;&gt;"")*($J$2:$J$126))</f>
        <v>0</v>
      </c>
      <c r="GX138" s="79" cm="1">
        <f t="array" ref="GX138">SUMPRODUCT(($B$2:$B$126=2)*(GX$2:GX$126&gt;=13)*(GX$2:GX$126&lt;=17)*(GX$2:GX$126&lt;&gt;"")*($J$2:$J$126))</f>
        <v>0</v>
      </c>
    </row>
    <row r="139" spans="1:206" x14ac:dyDescent="0.2">
      <c r="A139" s="84">
        <v>2</v>
      </c>
      <c r="B139" s="84" t="s">
        <v>256</v>
      </c>
      <c r="W139" s="79" cm="1">
        <f t="array" ref="W139">SUMPRODUCT(($B$2:$B$126=2)*(W$2:W$126&gt;=18)*(W$2:W$126&lt;=22)*(W$2:W$126&lt;&gt;"")*($J$2:$J$126))</f>
        <v>70.78</v>
      </c>
      <c r="X139" s="79" cm="1">
        <f t="array" ref="X139">SUMPRODUCT(($B$2:$B$126=2)*(X$2:X$126&gt;=18)*(X$2:X$126&lt;=22)*(X$2:X$126&lt;&gt;"")*($J$2:$J$126))</f>
        <v>70.78</v>
      </c>
      <c r="Y139" s="79" cm="1">
        <f t="array" ref="Y139">SUMPRODUCT(($B$2:$B$126=2)*(Y$2:Y$126&gt;=18)*(Y$2:Y$126&lt;=22)*(Y$2:Y$126&lt;&gt;"")*($J$2:$J$126))</f>
        <v>70.78</v>
      </c>
      <c r="Z139" s="79" cm="1">
        <f t="array" ref="Z139">SUMPRODUCT(($B$2:$B$126=2)*(Z$2:Z$126&gt;=18)*(Z$2:Z$126&lt;=22)*(Z$2:Z$126&lt;&gt;"")*($J$2:$J$126))</f>
        <v>70.78</v>
      </c>
      <c r="AA139" s="79" cm="1">
        <f t="array" ref="AA139">SUMPRODUCT(($B$2:$B$126=2)*(AA$2:AA$126&gt;=18)*(AA$2:AA$126&lt;=22)*(AA$2:AA$126&lt;&gt;"")*($J$2:$J$126))</f>
        <v>130.86000000000001</v>
      </c>
      <c r="AB139" s="79" cm="1">
        <f t="array" ref="AB139">SUMPRODUCT(($B$2:$B$126=2)*(AB$2:AB$126&gt;=18)*(AB$2:AB$126&lt;=22)*(AB$2:AB$126&lt;&gt;"")*($J$2:$J$126))</f>
        <v>105.25999999999999</v>
      </c>
      <c r="AC139" s="79" cm="1">
        <f t="array" ref="AC139">SUMPRODUCT(($B$2:$B$126=2)*(AC$2:AC$126&gt;=18)*(AC$2:AC$126&lt;=22)*(AC$2:AC$126&lt;&gt;"")*($J$2:$J$126))</f>
        <v>188.86</v>
      </c>
      <c r="AD139" s="79" cm="1">
        <f t="array" ref="AD139">SUMPRODUCT(($B$2:$B$126=2)*(AD$2:AD$126&gt;=18)*(AD$2:AD$126&lt;=22)*(AD$2:AD$126&lt;&gt;"")*($J$2:$J$126))</f>
        <v>188.86</v>
      </c>
      <c r="AE139" s="79" cm="1">
        <f t="array" ref="AE139">SUMPRODUCT(($B$2:$B$126=2)*(AE$2:AE$126&gt;=18)*(AE$2:AE$126&lt;=22)*(AE$2:AE$126&lt;&gt;"")*($J$2:$J$126))</f>
        <v>222.72000000000003</v>
      </c>
      <c r="AF139" s="79" cm="1">
        <f t="array" ref="AF139">SUMPRODUCT(($B$2:$B$126=2)*(AF$2:AF$126&gt;=18)*(AF$2:AF$126&lt;=22)*(AF$2:AF$126&lt;&gt;"")*($J$2:$J$126))</f>
        <v>162.64000000000001</v>
      </c>
      <c r="AG139" s="79" cm="1">
        <f t="array" ref="AG139">SUMPRODUCT(($B$2:$B$126=2)*(AG$2:AG$126&gt;=18)*(AG$2:AG$126&lt;=22)*(AG$2:AG$126&lt;&gt;"")*($J$2:$J$126))</f>
        <v>145.69999999999999</v>
      </c>
      <c r="AH139" s="79" cm="1">
        <f t="array" ref="AH139">SUMPRODUCT(($B$2:$B$126=2)*(AH$2:AH$126&gt;=18)*(AH$2:AH$126&lt;=22)*(AH$2:AH$126&lt;&gt;"")*($J$2:$J$126))</f>
        <v>62.1</v>
      </c>
      <c r="AI139" s="79" cm="1">
        <f t="array" ref="AI139">SUMPRODUCT(($B$2:$B$126=2)*(AI$2:AI$126&gt;=18)*(AI$2:AI$126&lt;=22)*(AI$2:AI$126&lt;&gt;"")*($J$2:$J$126))</f>
        <v>130.53</v>
      </c>
      <c r="AJ139" s="79" cm="1">
        <f t="array" ref="AJ139">SUMPRODUCT(($B$2:$B$126=2)*(AJ$2:AJ$126&gt;=18)*(AJ$2:AJ$126&lt;=22)*(AJ$2:AJ$126&lt;&gt;"")*($J$2:$J$126))</f>
        <v>96.67</v>
      </c>
      <c r="AK139" s="79" cm="1">
        <f t="array" ref="AK139">SUMPRODUCT(($B$2:$B$126=2)*(AK$2:AK$126&gt;=18)*(AK$2:AK$126&lt;=22)*(AK$2:AK$126&lt;&gt;"")*($J$2:$J$126))</f>
        <v>107.8</v>
      </c>
      <c r="AL139" s="79" cm="1">
        <f t="array" ref="AL139">SUMPRODUCT(($B$2:$B$126=2)*(AL$2:AL$126&gt;=18)*(AL$2:AL$126&lt;=22)*(AL$2:AL$126&lt;&gt;"")*($J$2:$J$126))</f>
        <v>79.559999999999988</v>
      </c>
      <c r="AM139" s="79" cm="1">
        <f t="array" ref="AM139">SUMPRODUCT(($B$2:$B$126=2)*(AM$2:AM$126&gt;=18)*(AM$2:AM$126&lt;=22)*(AM$2:AM$126&lt;&gt;"")*($J$2:$J$126))</f>
        <v>97.429999999999993</v>
      </c>
      <c r="AN139" s="79" cm="1">
        <f t="array" ref="AN139">SUMPRODUCT(($B$2:$B$126=2)*(AN$2:AN$126&gt;=18)*(AN$2:AN$126&lt;=22)*(AN$2:AN$126&lt;&gt;"")*($J$2:$J$126))</f>
        <v>29</v>
      </c>
      <c r="AO139" s="79" cm="1">
        <f t="array" ref="AO139">SUMPRODUCT(($B$2:$B$126=2)*(AO$2:AO$126&gt;=18)*(AO$2:AO$126&lt;=22)*(AO$2:AO$126&lt;&gt;"")*($J$2:$J$126))</f>
        <v>29</v>
      </c>
      <c r="AP139" s="79" cm="1">
        <f t="array" ref="AP139">SUMPRODUCT(($B$2:$B$126=2)*(AP$2:AP$126&gt;=18)*(AP$2:AP$126&lt;=22)*(AP$2:AP$126&lt;&gt;"")*($J$2:$J$126))</f>
        <v>53.13000000000001</v>
      </c>
      <c r="AQ139" s="79" cm="1">
        <f t="array" ref="AQ139">SUMPRODUCT(($B$2:$B$126=2)*(AQ$2:AQ$126&gt;=18)*(AQ$2:AQ$126&lt;=22)*(AQ$2:AQ$126&lt;&gt;"")*($J$2:$J$126))</f>
        <v>53.13000000000001</v>
      </c>
      <c r="AR139" s="79" cm="1">
        <f t="array" ref="AR139">SUMPRODUCT(($B$2:$B$126=2)*(AR$2:AR$126&gt;=18)*(AR$2:AR$126&lt;=22)*(AR$2:AR$126&lt;&gt;"")*($J$2:$J$126))</f>
        <v>75.550000000000011</v>
      </c>
      <c r="AS139" s="79" cm="1">
        <f t="array" ref="AS139">SUMPRODUCT(($B$2:$B$126=2)*(AS$2:AS$126&gt;=18)*(AS$2:AS$126&lt;=22)*(AS$2:AS$126&lt;&gt;"")*($J$2:$J$126))</f>
        <v>75.550000000000011</v>
      </c>
      <c r="AT139" s="79" cm="1">
        <f t="array" ref="AT139">SUMPRODUCT(($B$2:$B$126=2)*(AT$2:AT$126&gt;=18)*(AT$2:AT$126&lt;=22)*(AT$2:AT$126&lt;&gt;"")*($J$2:$J$126))</f>
        <v>75.550000000000011</v>
      </c>
      <c r="AU139" s="79" cm="1">
        <f t="array" ref="AU139">SUMPRODUCT(($B$2:$B$126=2)*(AU$2:AU$126&gt;=18)*(AU$2:AU$126&lt;=22)*(AU$2:AU$126&lt;&gt;"")*($J$2:$J$126))</f>
        <v>40.29</v>
      </c>
      <c r="AV139" s="79" cm="1">
        <f t="array" ref="AV139">SUMPRODUCT(($B$2:$B$126=2)*(AV$2:AV$126&gt;=18)*(AV$2:AV$126&lt;=22)*(AV$2:AV$126&lt;&gt;"")*($J$2:$J$126))</f>
        <v>40.29</v>
      </c>
      <c r="AW139" s="79" cm="1">
        <f t="array" ref="AW139">SUMPRODUCT(($B$2:$B$126=2)*(AW$2:AW$126&gt;=18)*(AW$2:AW$126&lt;=22)*(AW$2:AW$126&lt;&gt;"")*($J$2:$J$126))</f>
        <v>33.729999999999997</v>
      </c>
      <c r="AX139" s="79" cm="1">
        <f t="array" ref="AX139">SUMPRODUCT(($B$2:$B$126=2)*(AX$2:AX$126&gt;=18)*(AX$2:AX$126&lt;=22)*(AX$2:AX$126&lt;&gt;"")*($J$2:$J$126))</f>
        <v>33.729999999999997</v>
      </c>
      <c r="AY139" s="79" cm="1">
        <f t="array" ref="AY139">SUMPRODUCT(($B$2:$B$126=2)*(AY$2:AY$126&gt;=18)*(AY$2:AY$126&lt;=22)*(AY$2:AY$126&lt;&gt;"")*($J$2:$J$126))</f>
        <v>33.729999999999997</v>
      </c>
      <c r="AZ139" s="79" cm="1">
        <f t="array" ref="AZ139">SUMPRODUCT(($B$2:$B$126=2)*(AZ$2:AZ$126&gt;=18)*(AZ$2:AZ$126&lt;=22)*(AZ$2:AZ$126&lt;&gt;"")*($J$2:$J$126))</f>
        <v>33.729999999999997</v>
      </c>
      <c r="BA139" s="79" cm="1">
        <f t="array" ref="BA139">SUMPRODUCT(($B$2:$B$126=2)*(BA$2:BA$126&gt;=18)*(BA$2:BA$126&lt;=22)*(BA$2:BA$126&lt;&gt;"")*($J$2:$J$126))</f>
        <v>0</v>
      </c>
      <c r="BB139" s="79" cm="1">
        <f t="array" ref="BB139">SUMPRODUCT(($B$2:$B$126=2)*(BB$2:BB$126&gt;=18)*(BB$2:BB$126&lt;=22)*(BB$2:BB$126&lt;&gt;"")*($J$2:$J$126))</f>
        <v>0</v>
      </c>
      <c r="BC139" s="79" cm="1">
        <f t="array" ref="BC139">SUMPRODUCT(($B$2:$B$126=2)*(BC$2:BC$126&gt;=18)*(BC$2:BC$126&lt;=22)*(BC$2:BC$126&lt;&gt;"")*($J$2:$J$126))</f>
        <v>0</v>
      </c>
      <c r="BD139" s="79" cm="1">
        <f t="array" ref="BD139">SUMPRODUCT(($B$2:$B$126=2)*(BD$2:BD$126&gt;=18)*(BD$2:BD$126&lt;=22)*(BD$2:BD$126&lt;&gt;"")*($J$2:$J$126))</f>
        <v>0</v>
      </c>
      <c r="BE139" s="79" cm="1">
        <f t="array" ref="BE139">SUMPRODUCT(($B$2:$B$126=2)*(BE$2:BE$126&gt;=18)*(BE$2:BE$126&lt;=22)*(BE$2:BE$126&lt;&gt;"")*($J$2:$J$126))</f>
        <v>43.34</v>
      </c>
      <c r="BF139" s="79" cm="1">
        <f t="array" ref="BF139">SUMPRODUCT(($B$2:$B$126=2)*(BF$2:BF$126&gt;=18)*(BF$2:BF$126&lt;=22)*(BF$2:BF$126&lt;&gt;"")*($J$2:$J$126))</f>
        <v>43.34</v>
      </c>
      <c r="BG139" s="79" cm="1">
        <f t="array" ref="BG139">SUMPRODUCT(($B$2:$B$126=2)*(BG$2:BG$126&gt;=18)*(BG$2:BG$126&lt;=22)*(BG$2:BG$126&lt;&gt;"")*($J$2:$J$126))</f>
        <v>43.34</v>
      </c>
      <c r="BH139" s="79" cm="1">
        <f t="array" ref="BH139">SUMPRODUCT(($B$2:$B$126=2)*(BH$2:BH$126&gt;=18)*(BH$2:BH$126&lt;=22)*(BH$2:BH$126&lt;&gt;"")*($J$2:$J$126))</f>
        <v>0</v>
      </c>
      <c r="BI139" s="79" cm="1">
        <f t="array" ref="BI139">SUMPRODUCT(($B$2:$B$126=2)*(BI$2:BI$126&gt;=18)*(BI$2:BI$126&lt;=22)*(BI$2:BI$126&lt;&gt;"")*($J$2:$J$126))</f>
        <v>0</v>
      </c>
      <c r="BJ139" s="79" cm="1">
        <f t="array" ref="BJ139">SUMPRODUCT(($B$2:$B$126=2)*(BJ$2:BJ$126&gt;=18)*(BJ$2:BJ$126&lt;=22)*(BJ$2:BJ$126&lt;&gt;"")*($J$2:$J$126))</f>
        <v>0</v>
      </c>
      <c r="BK139" s="79" cm="1">
        <f t="array" ref="BK139">SUMPRODUCT(($B$2:$B$126=2)*(BK$2:BK$126&gt;=18)*(BK$2:BK$126&lt;=22)*(BK$2:BK$126&lt;&gt;"")*($J$2:$J$126))</f>
        <v>0</v>
      </c>
      <c r="BL139" s="79" cm="1">
        <f t="array" ref="BL139">SUMPRODUCT(($B$2:$B$126=2)*(BL$2:BL$126&gt;=18)*(BL$2:BL$126&lt;=22)*(BL$2:BL$126&lt;&gt;"")*($J$2:$J$126))</f>
        <v>0</v>
      </c>
      <c r="BM139" s="79" cm="1">
        <f t="array" ref="BM139">SUMPRODUCT(($B$2:$B$126=2)*(BM$2:BM$126&gt;=18)*(BM$2:BM$126&lt;=22)*(BM$2:BM$126&lt;&gt;"")*($J$2:$J$126))</f>
        <v>21.97</v>
      </c>
      <c r="BN139" s="79" cm="1">
        <f t="array" ref="BN139">SUMPRODUCT(($B$2:$B$126=2)*(BN$2:BN$126&gt;=18)*(BN$2:BN$126&lt;=22)*(BN$2:BN$126&lt;&gt;"")*($J$2:$J$126))</f>
        <v>0</v>
      </c>
      <c r="BO139" s="79" cm="1">
        <f t="array" ref="BO139">SUMPRODUCT(($B$2:$B$126=2)*(BO$2:BO$126&gt;=18)*(BO$2:BO$126&lt;=22)*(BO$2:BO$126&lt;&gt;"")*($J$2:$J$126))</f>
        <v>0</v>
      </c>
      <c r="BP139" s="79" cm="1">
        <f t="array" ref="BP139">SUMPRODUCT(($B$2:$B$126=2)*(BP$2:BP$126&gt;=18)*(BP$2:BP$126&lt;=22)*(BP$2:BP$126&lt;&gt;"")*($J$2:$J$126))</f>
        <v>0</v>
      </c>
      <c r="BQ139" s="79" cm="1">
        <f t="array" ref="BQ139">SUMPRODUCT(($B$2:$B$126=2)*(BQ$2:BQ$126&gt;=18)*(BQ$2:BQ$126&lt;=22)*(BQ$2:BQ$126&lt;&gt;"")*($J$2:$J$126))</f>
        <v>0</v>
      </c>
      <c r="BR139" s="79" cm="1">
        <f t="array" ref="BR139">SUMPRODUCT(($B$2:$B$126=2)*(BR$2:BR$126&gt;=18)*(BR$2:BR$126&lt;=22)*(BR$2:BR$126&lt;&gt;"")*($J$2:$J$126))</f>
        <v>0</v>
      </c>
      <c r="BS139" s="79" cm="1">
        <f t="array" ref="BS139">SUMPRODUCT(($B$2:$B$126=2)*(BS$2:BS$126&gt;=18)*(BS$2:BS$126&lt;=22)*(BS$2:BS$126&lt;&gt;"")*($J$2:$J$126))</f>
        <v>47.79</v>
      </c>
      <c r="BT139" s="79" cm="1">
        <f t="array" ref="BT139">SUMPRODUCT(($B$2:$B$126=2)*(BT$2:BT$126&gt;=18)*(BT$2:BT$126&lt;=22)*(BT$2:BT$126&lt;&gt;"")*($J$2:$J$126))</f>
        <v>47.79</v>
      </c>
      <c r="BU139" s="79" cm="1">
        <f t="array" ref="BU139">SUMPRODUCT(($B$2:$B$126=2)*(BU$2:BU$126&gt;=18)*(BU$2:BU$126&lt;=22)*(BU$2:BU$126&lt;&gt;"")*($J$2:$J$126))</f>
        <v>47.79</v>
      </c>
      <c r="BV139" s="79" cm="1">
        <f t="array" ref="BV139">SUMPRODUCT(($B$2:$B$126=2)*(BV$2:BV$126&gt;=18)*(BV$2:BV$126&lt;=22)*(BV$2:BV$126&lt;&gt;"")*($J$2:$J$126))</f>
        <v>47.79</v>
      </c>
      <c r="BW139" s="79" cm="1">
        <f t="array" ref="BW139">SUMPRODUCT(($B$2:$B$126=2)*(BW$2:BW$126&gt;=18)*(BW$2:BW$126&lt;=22)*(BW$2:BW$126&lt;&gt;"")*($J$2:$J$126))</f>
        <v>130.69</v>
      </c>
      <c r="BX139" s="79" cm="1">
        <f t="array" ref="BX139">SUMPRODUCT(($B$2:$B$126=2)*(BX$2:BX$126&gt;=18)*(BX$2:BX$126&lt;=22)*(BX$2:BX$126&lt;&gt;"")*($J$2:$J$126))</f>
        <v>199.28999999999996</v>
      </c>
      <c r="BY139" s="79" cm="1">
        <f t="array" ref="BY139">SUMPRODUCT(($B$2:$B$126=2)*(BY$2:BY$126&gt;=18)*(BY$2:BY$126&lt;=22)*(BY$2:BY$126&lt;&gt;"")*($J$2:$J$126))</f>
        <v>295.86</v>
      </c>
      <c r="BZ139" s="79" cm="1">
        <f t="array" ref="BZ139">SUMPRODUCT(($B$2:$B$126=2)*(BZ$2:BZ$126&gt;=18)*(BZ$2:BZ$126&lt;=22)*(BZ$2:BZ$126&lt;&gt;"")*($J$2:$J$126))</f>
        <v>339.2</v>
      </c>
      <c r="CA139" s="79" cm="1">
        <f t="array" ref="CA139">SUMPRODUCT(($B$2:$B$126=2)*(CA$2:CA$126&gt;=18)*(CA$2:CA$126&lt;=22)*(CA$2:CA$126&lt;&gt;"")*($J$2:$J$126))</f>
        <v>357.07</v>
      </c>
      <c r="CB139" s="79" cm="1">
        <f t="array" ref="CB139">SUMPRODUCT(($B$2:$B$126=2)*(CB$2:CB$126&gt;=18)*(CB$2:CB$126&lt;=22)*(CB$2:CB$126&lt;&gt;"")*($J$2:$J$126))</f>
        <v>274.17</v>
      </c>
      <c r="CC139" s="79" cm="1">
        <f t="array" ref="CC139">SUMPRODUCT(($B$2:$B$126=2)*(CC$2:CC$126&gt;=18)*(CC$2:CC$126&lt;=22)*(CC$2:CC$126&lt;&gt;"")*($J$2:$J$126))</f>
        <v>157.78</v>
      </c>
      <c r="CD139" s="79" cm="1">
        <f t="array" ref="CD139">SUMPRODUCT(($B$2:$B$126=2)*(CD$2:CD$126&gt;=18)*(CD$2:CD$126&lt;=22)*(CD$2:CD$126&lt;&gt;"")*($J$2:$J$126))</f>
        <v>61.210000000000008</v>
      </c>
      <c r="CE139" s="79" cm="1">
        <f t="array" ref="CE139">SUMPRODUCT(($B$2:$B$126=2)*(CE$2:CE$126&gt;=18)*(CE$2:CE$126&lt;=22)*(CE$2:CE$126&lt;&gt;"")*($J$2:$J$126))</f>
        <v>93.420000000000016</v>
      </c>
      <c r="CF139" s="79" cm="1">
        <f t="array" ref="CF139">SUMPRODUCT(($B$2:$B$126=2)*(CF$2:CF$126&gt;=18)*(CF$2:CF$126&lt;=22)*(CF$2:CF$126&lt;&gt;"")*($J$2:$J$126))</f>
        <v>97.52000000000001</v>
      </c>
      <c r="CG139" s="79" cm="1">
        <f t="array" ref="CG139">SUMPRODUCT(($B$2:$B$126=2)*(CG$2:CG$126&gt;=18)*(CG$2:CG$126&lt;=22)*(CG$2:CG$126&lt;&gt;"")*($J$2:$J$126))</f>
        <v>123.59</v>
      </c>
      <c r="CH139" s="79" cm="1">
        <f t="array" ref="CH139">SUMPRODUCT(($B$2:$B$126=2)*(CH$2:CH$126&gt;=18)*(CH$2:CH$126&lt;=22)*(CH$2:CH$126&lt;&gt;"")*($J$2:$J$126))</f>
        <v>123.59</v>
      </c>
      <c r="CI139" s="79" cm="1">
        <f t="array" ref="CI139">SUMPRODUCT(($B$2:$B$126=2)*(CI$2:CI$126&gt;=18)*(CI$2:CI$126&lt;=22)*(CI$2:CI$126&lt;&gt;"")*($J$2:$J$126))</f>
        <v>123.59</v>
      </c>
      <c r="CJ139" s="79" cm="1">
        <f t="array" ref="CJ139">SUMPRODUCT(($B$2:$B$126=2)*(CJ$2:CJ$126&gt;=18)*(CJ$2:CJ$126&lt;=22)*(CJ$2:CJ$126&lt;&gt;"")*($J$2:$J$126))</f>
        <v>48.04</v>
      </c>
      <c r="CK139" s="79" cm="1">
        <f t="array" ref="CK139">SUMPRODUCT(($B$2:$B$126=2)*(CK$2:CK$126&gt;=18)*(CK$2:CK$126&lt;=22)*(CK$2:CK$126&lt;&gt;"")*($J$2:$J$126))</f>
        <v>26.07</v>
      </c>
      <c r="CL139" s="79" cm="1">
        <f t="array" ref="CL139">SUMPRODUCT(($B$2:$B$126=2)*(CL$2:CL$126&gt;=18)*(CL$2:CL$126&lt;=22)*(CL$2:CL$126&lt;&gt;"")*($J$2:$J$126))</f>
        <v>0</v>
      </c>
      <c r="CM139" s="79" cm="1">
        <f t="array" ref="CM139">SUMPRODUCT(($B$2:$B$126=2)*(CM$2:CM$126&gt;=18)*(CM$2:CM$126&lt;=22)*(CM$2:CM$126&lt;&gt;"")*($J$2:$J$126))</f>
        <v>0</v>
      </c>
      <c r="CN139" s="79" cm="1">
        <f t="array" ref="CN139">SUMPRODUCT(($B$2:$B$126=2)*(CN$2:CN$126&gt;=18)*(CN$2:CN$126&lt;=22)*(CN$2:CN$126&lt;&gt;"")*($J$2:$J$126))</f>
        <v>0</v>
      </c>
      <c r="CO139" s="79" cm="1">
        <f t="array" ref="CO139">SUMPRODUCT(($B$2:$B$126=2)*(CO$2:CO$126&gt;=18)*(CO$2:CO$126&lt;=22)*(CO$2:CO$126&lt;&gt;"")*($J$2:$J$126))</f>
        <v>0</v>
      </c>
      <c r="CP139" s="79" cm="1">
        <f t="array" ref="CP139">SUMPRODUCT(($B$2:$B$126=2)*(CP$2:CP$126&gt;=18)*(CP$2:CP$126&lt;=22)*(CP$2:CP$126&lt;&gt;"")*($J$2:$J$126))</f>
        <v>0</v>
      </c>
      <c r="CQ139" s="79" cm="1">
        <f t="array" ref="CQ139">SUMPRODUCT(($B$2:$B$126=2)*(CQ$2:CQ$126&gt;=18)*(CQ$2:CQ$126&lt;=22)*(CQ$2:CQ$126&lt;&gt;"")*($J$2:$J$126))</f>
        <v>0</v>
      </c>
      <c r="CR139" s="79" cm="1">
        <f t="array" ref="CR139">SUMPRODUCT(($B$2:$B$126=2)*(CR$2:CR$126&gt;=18)*(CR$2:CR$126&lt;=22)*(CR$2:CR$126&lt;&gt;"")*($J$2:$J$126))</f>
        <v>0</v>
      </c>
      <c r="CS139" s="79" cm="1">
        <f t="array" ref="CS139">SUMPRODUCT(($B$2:$B$126=2)*(CS$2:CS$126&gt;=18)*(CS$2:CS$126&lt;=22)*(CS$2:CS$126&lt;&gt;"")*($J$2:$J$126))</f>
        <v>0</v>
      </c>
      <c r="CT139" s="79" cm="1">
        <f t="array" ref="CT139">SUMPRODUCT(($B$2:$B$126=2)*(CT$2:CT$126&gt;=18)*(CT$2:CT$126&lt;=22)*(CT$2:CT$126&lt;&gt;"")*($J$2:$J$126))</f>
        <v>0</v>
      </c>
      <c r="CU139" s="79" cm="1">
        <f t="array" ref="CU139">SUMPRODUCT(($B$2:$B$126=2)*(CU$2:CU$126&gt;=18)*(CU$2:CU$126&lt;=22)*(CU$2:CU$126&lt;&gt;"")*($J$2:$J$126))</f>
        <v>0</v>
      </c>
      <c r="CV139" s="79" cm="1">
        <f t="array" ref="CV139">SUMPRODUCT(($B$2:$B$126=2)*(CV$2:CV$126&gt;=18)*(CV$2:CV$126&lt;=22)*(CV$2:CV$126&lt;&gt;"")*($J$2:$J$126))</f>
        <v>0</v>
      </c>
      <c r="CW139" s="79" cm="1">
        <f t="array" ref="CW139">SUMPRODUCT(($B$2:$B$126=2)*(CW$2:CW$126&gt;=18)*(CW$2:CW$126&lt;=22)*(CW$2:CW$126&lt;&gt;"")*($J$2:$J$126))</f>
        <v>0</v>
      </c>
      <c r="CX139" s="79" cm="1">
        <f t="array" ref="CX139">SUMPRODUCT(($B$2:$B$126=2)*(CX$2:CX$126&gt;=18)*(CX$2:CX$126&lt;=22)*(CX$2:CX$126&lt;&gt;"")*($J$2:$J$126))</f>
        <v>0</v>
      </c>
      <c r="CY139" s="79" cm="1">
        <f t="array" ref="CY139">SUMPRODUCT(($B$2:$B$126=2)*(CY$2:CY$126&gt;=18)*(CY$2:CY$126&lt;=22)*(CY$2:CY$126&lt;&gt;"")*($J$2:$J$126))</f>
        <v>0</v>
      </c>
      <c r="CZ139" s="79" cm="1">
        <f t="array" ref="CZ139">SUMPRODUCT(($B$2:$B$126=2)*(CZ$2:CZ$126&gt;=18)*(CZ$2:CZ$126&lt;=22)*(CZ$2:CZ$126&lt;&gt;"")*($J$2:$J$126))</f>
        <v>0</v>
      </c>
      <c r="DA139" s="79" cm="1">
        <f t="array" ref="DA139">SUMPRODUCT(($B$2:$B$126=2)*(DA$2:DA$126&gt;=18)*(DA$2:DA$126&lt;=22)*(DA$2:DA$126&lt;&gt;"")*($J$2:$J$126))</f>
        <v>0</v>
      </c>
      <c r="DB139" s="79" cm="1">
        <f t="array" ref="DB139">SUMPRODUCT(($B$2:$B$126=2)*(DB$2:DB$126&gt;=18)*(DB$2:DB$126&lt;=22)*(DB$2:DB$126&lt;&gt;"")*($J$2:$J$126))</f>
        <v>0</v>
      </c>
      <c r="DC139" s="79" cm="1">
        <f t="array" ref="DC139">SUMPRODUCT(($B$2:$B$126=2)*(DC$2:DC$126&gt;=18)*(DC$2:DC$126&lt;=22)*(DC$2:DC$126&lt;&gt;"")*($J$2:$J$126))</f>
        <v>0</v>
      </c>
      <c r="DD139" s="79" cm="1">
        <f t="array" ref="DD139">SUMPRODUCT(($B$2:$B$126=2)*(DD$2:DD$126&gt;=18)*(DD$2:DD$126&lt;=22)*(DD$2:DD$126&lt;&gt;"")*($J$2:$J$126))</f>
        <v>0</v>
      </c>
      <c r="DE139" s="79" cm="1">
        <f t="array" ref="DE139">SUMPRODUCT(($B$2:$B$126=2)*(DE$2:DE$126&gt;=18)*(DE$2:DE$126&lt;=22)*(DE$2:DE$126&lt;&gt;"")*($J$2:$J$126))</f>
        <v>0</v>
      </c>
      <c r="DF139" s="79" cm="1">
        <f t="array" ref="DF139">SUMPRODUCT(($B$2:$B$126=2)*(DF$2:DF$126&gt;=18)*(DF$2:DF$126&lt;=22)*(DF$2:DF$126&lt;&gt;"")*($J$2:$J$126))</f>
        <v>0</v>
      </c>
      <c r="DG139" s="79" cm="1">
        <f t="array" ref="DG139">SUMPRODUCT(($B$2:$B$126=2)*(DG$2:DG$126&gt;=18)*(DG$2:DG$126&lt;=22)*(DG$2:DG$126&lt;&gt;"")*($J$2:$J$126))</f>
        <v>0</v>
      </c>
      <c r="DH139" s="79" cm="1">
        <f t="array" ref="DH139">SUMPRODUCT(($B$2:$B$126=2)*(DH$2:DH$126&gt;=18)*(DH$2:DH$126&lt;=22)*(DH$2:DH$126&lt;&gt;"")*($J$2:$J$126))</f>
        <v>0</v>
      </c>
      <c r="DI139" s="79" cm="1">
        <f t="array" ref="DI139">SUMPRODUCT(($B$2:$B$126=2)*(DI$2:DI$126&gt;=18)*(DI$2:DI$126&lt;=22)*(DI$2:DI$126&lt;&gt;"")*($J$2:$J$126))</f>
        <v>0</v>
      </c>
      <c r="DJ139" s="79" cm="1">
        <f t="array" ref="DJ139">SUMPRODUCT(($B$2:$B$126=2)*(DJ$2:DJ$126&gt;=18)*(DJ$2:DJ$126&lt;=22)*(DJ$2:DJ$126&lt;&gt;"")*($J$2:$J$126))</f>
        <v>0</v>
      </c>
      <c r="DK139" s="79" cm="1">
        <f t="array" ref="DK139">SUMPRODUCT(($B$2:$B$126=2)*(DK$2:DK$126&gt;=18)*(DK$2:DK$126&lt;=22)*(DK$2:DK$126&lt;&gt;"")*($J$2:$J$126))</f>
        <v>0</v>
      </c>
      <c r="DL139" s="79" cm="1">
        <f t="array" ref="DL139">SUMPRODUCT(($B$2:$B$126=2)*(DL$2:DL$126&gt;=18)*(DL$2:DL$126&lt;=22)*(DL$2:DL$126&lt;&gt;"")*($J$2:$J$126))</f>
        <v>0</v>
      </c>
      <c r="DM139" s="79" cm="1">
        <f t="array" ref="DM139">SUMPRODUCT(($B$2:$B$126=2)*(DM$2:DM$126&gt;=18)*(DM$2:DM$126&lt;=22)*(DM$2:DM$126&lt;&gt;"")*($J$2:$J$126))</f>
        <v>0</v>
      </c>
      <c r="DN139" s="79" cm="1">
        <f t="array" ref="DN139">SUMPRODUCT(($B$2:$B$126=2)*(DN$2:DN$126&gt;=18)*(DN$2:DN$126&lt;=22)*(DN$2:DN$126&lt;&gt;"")*($J$2:$J$126))</f>
        <v>0</v>
      </c>
      <c r="DO139" s="79" cm="1">
        <f t="array" ref="DO139">SUMPRODUCT(($B$2:$B$126=2)*(DO$2:DO$126&gt;=18)*(DO$2:DO$126&lt;=22)*(DO$2:DO$126&lt;&gt;"")*($J$2:$J$126))</f>
        <v>0</v>
      </c>
      <c r="DP139" s="79" cm="1">
        <f t="array" ref="DP139">SUMPRODUCT(($B$2:$B$126=2)*(DP$2:DP$126&gt;=18)*(DP$2:DP$126&lt;=22)*(DP$2:DP$126&lt;&gt;"")*($J$2:$J$126))</f>
        <v>0</v>
      </c>
      <c r="DQ139" s="79" cm="1">
        <f t="array" ref="DQ139">SUMPRODUCT(($B$2:$B$126=2)*(DQ$2:DQ$126&gt;=18)*(DQ$2:DQ$126&lt;=22)*(DQ$2:DQ$126&lt;&gt;"")*($J$2:$J$126))</f>
        <v>0</v>
      </c>
      <c r="DR139" s="79" cm="1">
        <f t="array" ref="DR139">SUMPRODUCT(($B$2:$B$126=2)*(DR$2:DR$126&gt;=18)*(DR$2:DR$126&lt;=22)*(DR$2:DR$126&lt;&gt;"")*($J$2:$J$126))</f>
        <v>0</v>
      </c>
      <c r="DS139" s="79" cm="1">
        <f t="array" ref="DS139">SUMPRODUCT(($B$2:$B$126=2)*(DS$2:DS$126&gt;=18)*(DS$2:DS$126&lt;=22)*(DS$2:DS$126&lt;&gt;"")*($J$2:$J$126))</f>
        <v>0</v>
      </c>
      <c r="DT139" s="79" cm="1">
        <f t="array" ref="DT139">SUMPRODUCT(($B$2:$B$126=2)*(DT$2:DT$126&gt;=18)*(DT$2:DT$126&lt;=22)*(DT$2:DT$126&lt;&gt;"")*($J$2:$J$126))</f>
        <v>0</v>
      </c>
      <c r="DU139" s="79" cm="1">
        <f t="array" ref="DU139">SUMPRODUCT(($B$2:$B$126=2)*(DU$2:DU$126&gt;=18)*(DU$2:DU$126&lt;=22)*(DU$2:DU$126&lt;&gt;"")*($J$2:$J$126))</f>
        <v>0</v>
      </c>
      <c r="DV139" s="79" cm="1">
        <f t="array" ref="DV139">SUMPRODUCT(($B$2:$B$126=2)*(DV$2:DV$126&gt;=18)*(DV$2:DV$126&lt;=22)*(DV$2:DV$126&lt;&gt;"")*($J$2:$J$126))</f>
        <v>0</v>
      </c>
      <c r="DW139" s="79" cm="1">
        <f t="array" ref="DW139">SUMPRODUCT(($B$2:$B$126=2)*(DW$2:DW$126&gt;=18)*(DW$2:DW$126&lt;=22)*(DW$2:DW$126&lt;&gt;"")*($J$2:$J$126))</f>
        <v>0</v>
      </c>
      <c r="DX139" s="79" cm="1">
        <f t="array" ref="DX139">SUMPRODUCT(($B$2:$B$126=2)*(DX$2:DX$126&gt;=18)*(DX$2:DX$126&lt;=22)*(DX$2:DX$126&lt;&gt;"")*($J$2:$J$126))</f>
        <v>0</v>
      </c>
      <c r="DY139" s="79" cm="1">
        <f t="array" ref="DY139">SUMPRODUCT(($B$2:$B$126=2)*(DY$2:DY$126&gt;=18)*(DY$2:DY$126&lt;=22)*(DY$2:DY$126&lt;&gt;"")*($J$2:$J$126))</f>
        <v>0</v>
      </c>
      <c r="DZ139" s="79" cm="1">
        <f t="array" ref="DZ139">SUMPRODUCT(($B$2:$B$126=2)*(DZ$2:DZ$126&gt;=18)*(DZ$2:DZ$126&lt;=22)*(DZ$2:DZ$126&lt;&gt;"")*($J$2:$J$126))</f>
        <v>0</v>
      </c>
      <c r="EA139" s="79" cm="1">
        <f t="array" ref="EA139">SUMPRODUCT(($B$2:$B$126=2)*(EA$2:EA$126&gt;=18)*(EA$2:EA$126&lt;=22)*(EA$2:EA$126&lt;&gt;"")*($J$2:$J$126))</f>
        <v>0</v>
      </c>
      <c r="EB139" s="79" cm="1">
        <f t="array" ref="EB139">SUMPRODUCT(($B$2:$B$126=2)*(EB$2:EB$126&gt;=18)*(EB$2:EB$126&lt;=22)*(EB$2:EB$126&lt;&gt;"")*($J$2:$J$126))</f>
        <v>0</v>
      </c>
      <c r="EC139" s="79" cm="1">
        <f t="array" ref="EC139">SUMPRODUCT(($B$2:$B$126=2)*(EC$2:EC$126&gt;=18)*(EC$2:EC$126&lt;=22)*(EC$2:EC$126&lt;&gt;"")*($J$2:$J$126))</f>
        <v>0</v>
      </c>
      <c r="ED139" s="79" cm="1">
        <f t="array" ref="ED139">SUMPRODUCT(($B$2:$B$126=2)*(ED$2:ED$126&gt;=18)*(ED$2:ED$126&lt;=22)*(ED$2:ED$126&lt;&gt;"")*($J$2:$J$126))</f>
        <v>0</v>
      </c>
      <c r="EE139" s="79" cm="1">
        <f t="array" ref="EE139">SUMPRODUCT(($B$2:$B$126=2)*(EE$2:EE$126&gt;=18)*(EE$2:EE$126&lt;=22)*(EE$2:EE$126&lt;&gt;"")*($J$2:$J$126))</f>
        <v>0</v>
      </c>
      <c r="EF139" s="79" cm="1">
        <f t="array" ref="EF139">SUMPRODUCT(($B$2:$B$126=2)*(EF$2:EF$126&gt;=18)*(EF$2:EF$126&lt;=22)*(EF$2:EF$126&lt;&gt;"")*($J$2:$J$126))</f>
        <v>0</v>
      </c>
      <c r="EG139" s="79" cm="1">
        <f t="array" ref="EG139">SUMPRODUCT(($B$2:$B$126=2)*(EG$2:EG$126&gt;=18)*(EG$2:EG$126&lt;=22)*(EG$2:EG$126&lt;&gt;"")*($J$2:$J$126))</f>
        <v>0</v>
      </c>
      <c r="EH139" s="79" cm="1">
        <f t="array" ref="EH139">SUMPRODUCT(($B$2:$B$126=2)*(EH$2:EH$126&gt;=18)*(EH$2:EH$126&lt;=22)*(EH$2:EH$126&lt;&gt;"")*($J$2:$J$126))</f>
        <v>0</v>
      </c>
      <c r="EI139" s="79" cm="1">
        <f t="array" ref="EI139">SUMPRODUCT(($B$2:$B$126=2)*(EI$2:EI$126&gt;=18)*(EI$2:EI$126&lt;=22)*(EI$2:EI$126&lt;&gt;"")*($J$2:$J$126))</f>
        <v>0</v>
      </c>
      <c r="EJ139" s="79" cm="1">
        <f t="array" ref="EJ139">SUMPRODUCT(($B$2:$B$126=2)*(EJ$2:EJ$126&gt;=18)*(EJ$2:EJ$126&lt;=22)*(EJ$2:EJ$126&lt;&gt;"")*($J$2:$J$126))</f>
        <v>0</v>
      </c>
      <c r="EK139" s="79" cm="1">
        <f t="array" ref="EK139">SUMPRODUCT(($B$2:$B$126=2)*(EK$2:EK$126&gt;=18)*(EK$2:EK$126&lt;=22)*(EK$2:EK$126&lt;&gt;"")*($J$2:$J$126))</f>
        <v>0</v>
      </c>
      <c r="EL139" s="79" cm="1">
        <f t="array" ref="EL139">SUMPRODUCT(($B$2:$B$126=2)*(EL$2:EL$126&gt;=18)*(EL$2:EL$126&lt;=22)*(EL$2:EL$126&lt;&gt;"")*($J$2:$J$126))</f>
        <v>0</v>
      </c>
      <c r="EM139" s="79" cm="1">
        <f t="array" ref="EM139">SUMPRODUCT(($B$2:$B$126=2)*(EM$2:EM$126&gt;=18)*(EM$2:EM$126&lt;=22)*(EM$2:EM$126&lt;&gt;"")*($J$2:$J$126))</f>
        <v>0</v>
      </c>
      <c r="EN139" s="79" cm="1">
        <f t="array" ref="EN139">SUMPRODUCT(($B$2:$B$126=2)*(EN$2:EN$126&gt;=18)*(EN$2:EN$126&lt;=22)*(EN$2:EN$126&lt;&gt;"")*($J$2:$J$126))</f>
        <v>0</v>
      </c>
      <c r="EO139" s="79" cm="1">
        <f t="array" ref="EO139">SUMPRODUCT(($B$2:$B$126=2)*(EO$2:EO$126&gt;=18)*(EO$2:EO$126&lt;=22)*(EO$2:EO$126&lt;&gt;"")*($J$2:$J$126))</f>
        <v>0</v>
      </c>
      <c r="EP139" s="79" cm="1">
        <f t="array" ref="EP139">SUMPRODUCT(($B$2:$B$126=2)*(EP$2:EP$126&gt;=18)*(EP$2:EP$126&lt;=22)*(EP$2:EP$126&lt;&gt;"")*($J$2:$J$126))</f>
        <v>0</v>
      </c>
      <c r="EQ139" s="79" cm="1">
        <f t="array" ref="EQ139">SUMPRODUCT(($B$2:$B$126=2)*(EQ$2:EQ$126&gt;=18)*(EQ$2:EQ$126&lt;=22)*(EQ$2:EQ$126&lt;&gt;"")*($J$2:$J$126))</f>
        <v>0</v>
      </c>
      <c r="ER139" s="79" cm="1">
        <f t="array" ref="ER139">SUMPRODUCT(($B$2:$B$126=2)*(ER$2:ER$126&gt;=18)*(ER$2:ER$126&lt;=22)*(ER$2:ER$126&lt;&gt;"")*($J$2:$J$126))</f>
        <v>0</v>
      </c>
      <c r="ES139" s="79" cm="1">
        <f t="array" ref="ES139">SUMPRODUCT(($B$2:$B$126=2)*(ES$2:ES$126&gt;=18)*(ES$2:ES$126&lt;=22)*(ES$2:ES$126&lt;&gt;"")*($J$2:$J$126))</f>
        <v>0</v>
      </c>
      <c r="ET139" s="79" cm="1">
        <f t="array" ref="ET139">SUMPRODUCT(($B$2:$B$126=2)*(ET$2:ET$126&gt;=18)*(ET$2:ET$126&lt;=22)*(ET$2:ET$126&lt;&gt;"")*($J$2:$J$126))</f>
        <v>0</v>
      </c>
      <c r="EU139" s="79" cm="1">
        <f t="array" ref="EU139">SUMPRODUCT(($B$2:$B$126=2)*(EU$2:EU$126&gt;=18)*(EU$2:EU$126&lt;=22)*(EU$2:EU$126&lt;&gt;"")*($J$2:$J$126))</f>
        <v>0</v>
      </c>
      <c r="EV139" s="79" cm="1">
        <f t="array" ref="EV139">SUMPRODUCT(($B$2:$B$126=2)*(EV$2:EV$126&gt;=18)*(EV$2:EV$126&lt;=22)*(EV$2:EV$126&lt;&gt;"")*($J$2:$J$126))</f>
        <v>0</v>
      </c>
      <c r="EW139" s="79" cm="1">
        <f t="array" ref="EW139">SUMPRODUCT(($B$2:$B$126=2)*(EW$2:EW$126&gt;=18)*(EW$2:EW$126&lt;=22)*(EW$2:EW$126&lt;&gt;"")*($J$2:$J$126))</f>
        <v>0</v>
      </c>
      <c r="EX139" s="79" cm="1">
        <f t="array" ref="EX139">SUMPRODUCT(($B$2:$B$126=2)*(EX$2:EX$126&gt;=18)*(EX$2:EX$126&lt;=22)*(EX$2:EX$126&lt;&gt;"")*($J$2:$J$126))</f>
        <v>0</v>
      </c>
      <c r="EY139" s="79" cm="1">
        <f t="array" ref="EY139">SUMPRODUCT(($B$2:$B$126=2)*(EY$2:EY$126&gt;=18)*(EY$2:EY$126&lt;=22)*(EY$2:EY$126&lt;&gt;"")*($J$2:$J$126))</f>
        <v>0</v>
      </c>
      <c r="EZ139" s="79" cm="1">
        <f t="array" ref="EZ139">SUMPRODUCT(($B$2:$B$126=2)*(EZ$2:EZ$126&gt;=18)*(EZ$2:EZ$126&lt;=22)*(EZ$2:EZ$126&lt;&gt;"")*($J$2:$J$126))</f>
        <v>0</v>
      </c>
      <c r="FA139" s="79" cm="1">
        <f t="array" ref="FA139">SUMPRODUCT(($B$2:$B$126=2)*(FA$2:FA$126&gt;=18)*(FA$2:FA$126&lt;=22)*(FA$2:FA$126&lt;&gt;"")*($J$2:$J$126))</f>
        <v>0</v>
      </c>
      <c r="FB139" s="79" cm="1">
        <f t="array" ref="FB139">SUMPRODUCT(($B$2:$B$126=2)*(FB$2:FB$126&gt;=18)*(FB$2:FB$126&lt;=22)*(FB$2:FB$126&lt;&gt;"")*($J$2:$J$126))</f>
        <v>0</v>
      </c>
      <c r="FC139" s="79" cm="1">
        <f t="array" ref="FC139">SUMPRODUCT(($B$2:$B$126=2)*(FC$2:FC$126&gt;=18)*(FC$2:FC$126&lt;=22)*(FC$2:FC$126&lt;&gt;"")*($J$2:$J$126))</f>
        <v>0</v>
      </c>
      <c r="FD139" s="79" cm="1">
        <f t="array" ref="FD139">SUMPRODUCT(($B$2:$B$126=2)*(FD$2:FD$126&gt;=18)*(FD$2:FD$126&lt;=22)*(FD$2:FD$126&lt;&gt;"")*($J$2:$J$126))</f>
        <v>0</v>
      </c>
      <c r="FE139" s="79" cm="1">
        <f t="array" ref="FE139">SUMPRODUCT(($B$2:$B$126=2)*(FE$2:FE$126&gt;=18)*(FE$2:FE$126&lt;=22)*(FE$2:FE$126&lt;&gt;"")*($J$2:$J$126))</f>
        <v>0</v>
      </c>
      <c r="FF139" s="79" cm="1">
        <f t="array" ref="FF139">SUMPRODUCT(($B$2:$B$126=2)*(FF$2:FF$126&gt;=18)*(FF$2:FF$126&lt;=22)*(FF$2:FF$126&lt;&gt;"")*($J$2:$J$126))</f>
        <v>0</v>
      </c>
      <c r="FG139" s="79" cm="1">
        <f t="array" ref="FG139">SUMPRODUCT(($B$2:$B$126=2)*(FG$2:FG$126&gt;=18)*(FG$2:FG$126&lt;=22)*(FG$2:FG$126&lt;&gt;"")*($J$2:$J$126))</f>
        <v>0</v>
      </c>
      <c r="FH139" s="79" cm="1">
        <f t="array" ref="FH139">SUMPRODUCT(($B$2:$B$126=2)*(FH$2:FH$126&gt;=18)*(FH$2:FH$126&lt;=22)*(FH$2:FH$126&lt;&gt;"")*($J$2:$J$126))</f>
        <v>0</v>
      </c>
      <c r="FI139" s="79" cm="1">
        <f t="array" ref="FI139">SUMPRODUCT(($B$2:$B$126=2)*(FI$2:FI$126&gt;=18)*(FI$2:FI$126&lt;=22)*(FI$2:FI$126&lt;&gt;"")*($J$2:$J$126))</f>
        <v>0</v>
      </c>
      <c r="FJ139" s="79" cm="1">
        <f t="array" ref="FJ139">SUMPRODUCT(($B$2:$B$126=2)*(FJ$2:FJ$126&gt;=18)*(FJ$2:FJ$126&lt;=22)*(FJ$2:FJ$126&lt;&gt;"")*($J$2:$J$126))</f>
        <v>0</v>
      </c>
      <c r="FK139" s="79" cm="1">
        <f t="array" ref="FK139">SUMPRODUCT(($B$2:$B$126=2)*(FK$2:FK$126&gt;=18)*(FK$2:FK$126&lt;=22)*(FK$2:FK$126&lt;&gt;"")*($J$2:$J$126))</f>
        <v>0</v>
      </c>
      <c r="FL139" s="79" cm="1">
        <f t="array" ref="FL139">SUMPRODUCT(($B$2:$B$126=2)*(FL$2:FL$126&gt;=18)*(FL$2:FL$126&lt;=22)*(FL$2:FL$126&lt;&gt;"")*($J$2:$J$126))</f>
        <v>0</v>
      </c>
      <c r="FM139" s="79" cm="1">
        <f t="array" ref="FM139">SUMPRODUCT(($B$2:$B$126=2)*(FM$2:FM$126&gt;=18)*(FM$2:FM$126&lt;=22)*(FM$2:FM$126&lt;&gt;"")*($J$2:$J$126))</f>
        <v>0</v>
      </c>
      <c r="FN139" s="79" cm="1">
        <f t="array" ref="FN139">SUMPRODUCT(($B$2:$B$126=2)*(FN$2:FN$126&gt;=18)*(FN$2:FN$126&lt;=22)*(FN$2:FN$126&lt;&gt;"")*($J$2:$J$126))</f>
        <v>0</v>
      </c>
      <c r="FO139" s="79" cm="1">
        <f t="array" ref="FO139">SUMPRODUCT(($B$2:$B$126=2)*(FO$2:FO$126&gt;=18)*(FO$2:FO$126&lt;=22)*(FO$2:FO$126&lt;&gt;"")*($J$2:$J$126))</f>
        <v>0</v>
      </c>
      <c r="FP139" s="79" cm="1">
        <f t="array" ref="FP139">SUMPRODUCT(($B$2:$B$126=2)*(FP$2:FP$126&gt;=18)*(FP$2:FP$126&lt;=22)*(FP$2:FP$126&lt;&gt;"")*($J$2:$J$126))</f>
        <v>0</v>
      </c>
      <c r="FQ139" s="79" cm="1">
        <f t="array" ref="FQ139">SUMPRODUCT(($B$2:$B$126=2)*(FQ$2:FQ$126&gt;=18)*(FQ$2:FQ$126&lt;=22)*(FQ$2:FQ$126&lt;&gt;"")*($J$2:$J$126))</f>
        <v>0</v>
      </c>
      <c r="FR139" s="79" cm="1">
        <f t="array" ref="FR139">SUMPRODUCT(($B$2:$B$126=2)*(FR$2:FR$126&gt;=18)*(FR$2:FR$126&lt;=22)*(FR$2:FR$126&lt;&gt;"")*($J$2:$J$126))</f>
        <v>0</v>
      </c>
      <c r="FS139" s="79" cm="1">
        <f t="array" ref="FS139">SUMPRODUCT(($B$2:$B$126=2)*(FS$2:FS$126&gt;=18)*(FS$2:FS$126&lt;=22)*(FS$2:FS$126&lt;&gt;"")*($J$2:$J$126))</f>
        <v>0</v>
      </c>
      <c r="FT139" s="79" cm="1">
        <f t="array" ref="FT139">SUMPRODUCT(($B$2:$B$126=2)*(FT$2:FT$126&gt;=18)*(FT$2:FT$126&lt;=22)*(FT$2:FT$126&lt;&gt;"")*($J$2:$J$126))</f>
        <v>0</v>
      </c>
      <c r="FU139" s="79" cm="1">
        <f t="array" ref="FU139">SUMPRODUCT(($B$2:$B$126=2)*(FU$2:FU$126&gt;=18)*(FU$2:FU$126&lt;=22)*(FU$2:FU$126&lt;&gt;"")*($J$2:$J$126))</f>
        <v>0</v>
      </c>
      <c r="FV139" s="79" cm="1">
        <f t="array" ref="FV139">SUMPRODUCT(($B$2:$B$126=2)*(FV$2:FV$126&gt;=18)*(FV$2:FV$126&lt;=22)*(FV$2:FV$126&lt;&gt;"")*($J$2:$J$126))</f>
        <v>0</v>
      </c>
      <c r="FW139" s="79" cm="1">
        <f t="array" ref="FW139">SUMPRODUCT(($B$2:$B$126=2)*(FW$2:FW$126&gt;=18)*(FW$2:FW$126&lt;=22)*(FW$2:FW$126&lt;&gt;"")*($J$2:$J$126))</f>
        <v>0</v>
      </c>
      <c r="FX139" s="79" cm="1">
        <f t="array" ref="FX139">SUMPRODUCT(($B$2:$B$126=2)*(FX$2:FX$126&gt;=18)*(FX$2:FX$126&lt;=22)*(FX$2:FX$126&lt;&gt;"")*($J$2:$J$126))</f>
        <v>0</v>
      </c>
      <c r="FY139" s="79" cm="1">
        <f t="array" ref="FY139">SUMPRODUCT(($B$2:$B$126=2)*(FY$2:FY$126&gt;=18)*(FY$2:FY$126&lt;=22)*(FY$2:FY$126&lt;&gt;"")*($J$2:$J$126))</f>
        <v>0</v>
      </c>
      <c r="FZ139" s="79" cm="1">
        <f t="array" ref="FZ139">SUMPRODUCT(($B$2:$B$126=2)*(FZ$2:FZ$126&gt;=18)*(FZ$2:FZ$126&lt;=22)*(FZ$2:FZ$126&lt;&gt;"")*($J$2:$J$126))</f>
        <v>0</v>
      </c>
      <c r="GA139" s="79" cm="1">
        <f t="array" ref="GA139">SUMPRODUCT(($B$2:$B$126=2)*(GA$2:GA$126&gt;=18)*(GA$2:GA$126&lt;=22)*(GA$2:GA$126&lt;&gt;"")*($J$2:$J$126))</f>
        <v>0</v>
      </c>
      <c r="GB139" s="79" cm="1">
        <f t="array" ref="GB139">SUMPRODUCT(($B$2:$B$126=2)*(GB$2:GB$126&gt;=18)*(GB$2:GB$126&lt;=22)*(GB$2:GB$126&lt;&gt;"")*($J$2:$J$126))</f>
        <v>0</v>
      </c>
      <c r="GC139" s="79" cm="1">
        <f t="array" ref="GC139">SUMPRODUCT(($B$2:$B$126=2)*(GC$2:GC$126&gt;=18)*(GC$2:GC$126&lt;=22)*(GC$2:GC$126&lt;&gt;"")*($J$2:$J$126))</f>
        <v>0</v>
      </c>
      <c r="GD139" s="79" cm="1">
        <f t="array" ref="GD139">SUMPRODUCT(($B$2:$B$126=2)*(GD$2:GD$126&gt;=18)*(GD$2:GD$126&lt;=22)*(GD$2:GD$126&lt;&gt;"")*($J$2:$J$126))</f>
        <v>0</v>
      </c>
      <c r="GE139" s="79" cm="1">
        <f t="array" ref="GE139">SUMPRODUCT(($B$2:$B$126=2)*(GE$2:GE$126&gt;=18)*(GE$2:GE$126&lt;=22)*(GE$2:GE$126&lt;&gt;"")*($J$2:$J$126))</f>
        <v>0</v>
      </c>
      <c r="GF139" s="79" cm="1">
        <f t="array" ref="GF139">SUMPRODUCT(($B$2:$B$126=2)*(GF$2:GF$126&gt;=18)*(GF$2:GF$126&lt;=22)*(GF$2:GF$126&lt;&gt;"")*($J$2:$J$126))</f>
        <v>0</v>
      </c>
      <c r="GG139" s="79" cm="1">
        <f t="array" ref="GG139">SUMPRODUCT(($B$2:$B$126=2)*(GG$2:GG$126&gt;=18)*(GG$2:GG$126&lt;=22)*(GG$2:GG$126&lt;&gt;"")*($J$2:$J$126))</f>
        <v>0</v>
      </c>
      <c r="GH139" s="79" cm="1">
        <f t="array" ref="GH139">SUMPRODUCT(($B$2:$B$126=2)*(GH$2:GH$126&gt;=18)*(GH$2:GH$126&lt;=22)*(GH$2:GH$126&lt;&gt;"")*($J$2:$J$126))</f>
        <v>0</v>
      </c>
      <c r="GI139" s="79" cm="1">
        <f t="array" ref="GI139">SUMPRODUCT(($B$2:$B$126=2)*(GI$2:GI$126&gt;=18)*(GI$2:GI$126&lt;=22)*(GI$2:GI$126&lt;&gt;"")*($J$2:$J$126))</f>
        <v>0</v>
      </c>
      <c r="GJ139" s="79" cm="1">
        <f t="array" ref="GJ139">SUMPRODUCT(($B$2:$B$126=2)*(GJ$2:GJ$126&gt;=18)*(GJ$2:GJ$126&lt;=22)*(GJ$2:GJ$126&lt;&gt;"")*($J$2:$J$126))</f>
        <v>0</v>
      </c>
      <c r="GK139" s="79" cm="1">
        <f t="array" ref="GK139">SUMPRODUCT(($B$2:$B$126=2)*(GK$2:GK$126&gt;=18)*(GK$2:GK$126&lt;=22)*(GK$2:GK$126&lt;&gt;"")*($J$2:$J$126))</f>
        <v>0</v>
      </c>
      <c r="GL139" s="79" cm="1">
        <f t="array" ref="GL139">SUMPRODUCT(($B$2:$B$126=2)*(GL$2:GL$126&gt;=18)*(GL$2:GL$126&lt;=22)*(GL$2:GL$126&lt;&gt;"")*($J$2:$J$126))</f>
        <v>0</v>
      </c>
      <c r="GM139" s="79" cm="1">
        <f t="array" ref="GM139">SUMPRODUCT(($B$2:$B$126=2)*(GM$2:GM$126&gt;=18)*(GM$2:GM$126&lt;=22)*(GM$2:GM$126&lt;&gt;"")*($J$2:$J$126))</f>
        <v>0</v>
      </c>
      <c r="GN139" s="79" cm="1">
        <f t="array" ref="GN139">SUMPRODUCT(($B$2:$B$126=2)*(GN$2:GN$126&gt;=18)*(GN$2:GN$126&lt;=22)*(GN$2:GN$126&lt;&gt;"")*($J$2:$J$126))</f>
        <v>0</v>
      </c>
      <c r="GO139" s="79" cm="1">
        <f t="array" ref="GO139">SUMPRODUCT(($B$2:$B$126=2)*(GO$2:GO$126&gt;=18)*(GO$2:GO$126&lt;=22)*(GO$2:GO$126&lt;&gt;"")*($J$2:$J$126))</f>
        <v>0</v>
      </c>
      <c r="GP139" s="79" cm="1">
        <f t="array" ref="GP139">SUMPRODUCT(($B$2:$B$126=2)*(GP$2:GP$126&gt;=18)*(GP$2:GP$126&lt;=22)*(GP$2:GP$126&lt;&gt;"")*($J$2:$J$126))</f>
        <v>0</v>
      </c>
      <c r="GQ139" s="79" cm="1">
        <f t="array" ref="GQ139">SUMPRODUCT(($B$2:$B$126=2)*(GQ$2:GQ$126&gt;=18)*(GQ$2:GQ$126&lt;=22)*(GQ$2:GQ$126&lt;&gt;"")*($J$2:$J$126))</f>
        <v>0</v>
      </c>
      <c r="GR139" s="79" cm="1">
        <f t="array" ref="GR139">SUMPRODUCT(($B$2:$B$126=2)*(GR$2:GR$126&gt;=18)*(GR$2:GR$126&lt;=22)*(GR$2:GR$126&lt;&gt;"")*($J$2:$J$126))</f>
        <v>0</v>
      </c>
      <c r="GS139" s="79" cm="1">
        <f t="array" ref="GS139">SUMPRODUCT(($B$2:$B$126=2)*(GS$2:GS$126&gt;=18)*(GS$2:GS$126&lt;=22)*(GS$2:GS$126&lt;&gt;"")*($J$2:$J$126))</f>
        <v>0</v>
      </c>
      <c r="GT139" s="79" cm="1">
        <f t="array" ref="GT139">SUMPRODUCT(($B$2:$B$126=2)*(GT$2:GT$126&gt;=18)*(GT$2:GT$126&lt;=22)*(GT$2:GT$126&lt;&gt;"")*($J$2:$J$126))</f>
        <v>0</v>
      </c>
      <c r="GU139" s="79" cm="1">
        <f t="array" ref="GU139">SUMPRODUCT(($B$2:$B$126=2)*(GU$2:GU$126&gt;=18)*(GU$2:GU$126&lt;=22)*(GU$2:GU$126&lt;&gt;"")*($J$2:$J$126))</f>
        <v>0</v>
      </c>
      <c r="GV139" s="79" cm="1">
        <f t="array" ref="GV139">SUMPRODUCT(($B$2:$B$126=2)*(GV$2:GV$126&gt;=18)*(GV$2:GV$126&lt;=22)*(GV$2:GV$126&lt;&gt;"")*($J$2:$J$126))</f>
        <v>0</v>
      </c>
      <c r="GW139" s="79" cm="1">
        <f t="array" ref="GW139">SUMPRODUCT(($B$2:$B$126=2)*(GW$2:GW$126&gt;=18)*(GW$2:GW$126&lt;=22)*(GW$2:GW$126&lt;&gt;"")*($J$2:$J$126))</f>
        <v>0</v>
      </c>
      <c r="GX139" s="79" cm="1">
        <f t="array" ref="GX139">SUMPRODUCT(($B$2:$B$126=2)*(GX$2:GX$126&gt;=18)*(GX$2:GX$126&lt;=22)*(GX$2:GX$126&lt;&gt;"")*($J$2:$J$126))</f>
        <v>0</v>
      </c>
    </row>
    <row r="140" spans="1:206" x14ac:dyDescent="0.2">
      <c r="A140" s="84">
        <v>2</v>
      </c>
      <c r="B140" s="84" t="s">
        <v>257</v>
      </c>
      <c r="W140" s="79" cm="1">
        <f t="array" ref="W140">SUMPRODUCT(($B$2:$B$126=2)*(W$2:W$126&gt;=23)*(W$2:W$126&lt;=27)*(W$2:W$126&lt;&gt;"")*($J$2:$J$126))</f>
        <v>33.729999999999997</v>
      </c>
      <c r="X140" s="79" cm="1">
        <f t="array" ref="X140">SUMPRODUCT(($B$2:$B$126=2)*(X$2:X$126&gt;=23)*(X$2:X$126&lt;=27)*(X$2:X$126&lt;&gt;"")*($J$2:$J$126))</f>
        <v>33.729999999999997</v>
      </c>
      <c r="Y140" s="79" cm="1">
        <f t="array" ref="Y140">SUMPRODUCT(($B$2:$B$126=2)*(Y$2:Y$126&gt;=23)*(Y$2:Y$126&lt;=27)*(Y$2:Y$126&lt;&gt;"")*($J$2:$J$126))</f>
        <v>33.729999999999997</v>
      </c>
      <c r="Z140" s="79" cm="1">
        <f t="array" ref="Z140">SUMPRODUCT(($B$2:$B$126=2)*(Z$2:Z$126&gt;=23)*(Z$2:Z$126&lt;=27)*(Z$2:Z$126&lt;&gt;"")*($J$2:$J$126))</f>
        <v>0</v>
      </c>
      <c r="AA140" s="79" cm="1">
        <f t="array" ref="AA140">SUMPRODUCT(($B$2:$B$126=2)*(AA$2:AA$126&gt;=23)*(AA$2:AA$126&lt;=27)*(AA$2:AA$126&lt;&gt;"")*($J$2:$J$126))</f>
        <v>0</v>
      </c>
      <c r="AB140" s="79" cm="1">
        <f t="array" ref="AB140">SUMPRODUCT(($B$2:$B$126=2)*(AB$2:AB$126&gt;=23)*(AB$2:AB$126&lt;=27)*(AB$2:AB$126&lt;&gt;"")*($J$2:$J$126))</f>
        <v>70.78</v>
      </c>
      <c r="AC140" s="79" cm="1">
        <f t="array" ref="AC140">SUMPRODUCT(($B$2:$B$126=2)*(AC$2:AC$126&gt;=23)*(AC$2:AC$126&lt;=27)*(AC$2:AC$126&lt;&gt;"")*($J$2:$J$126))</f>
        <v>70.78</v>
      </c>
      <c r="AD140" s="79" cm="1">
        <f t="array" ref="AD140">SUMPRODUCT(($B$2:$B$126=2)*(AD$2:AD$126&gt;=23)*(AD$2:AD$126&lt;=27)*(AD$2:AD$126&lt;&gt;"")*($J$2:$J$126))</f>
        <v>70.78</v>
      </c>
      <c r="AE140" s="79" cm="1">
        <f t="array" ref="AE140">SUMPRODUCT(($B$2:$B$126=2)*(AE$2:AE$126&gt;=23)*(AE$2:AE$126&lt;=27)*(AE$2:AE$126&lt;&gt;"")*($J$2:$J$126))</f>
        <v>70.78</v>
      </c>
      <c r="AF140" s="79" cm="1">
        <f t="array" ref="AF140">SUMPRODUCT(($B$2:$B$126=2)*(AF$2:AF$126&gt;=23)*(AF$2:AF$126&lt;=27)*(AF$2:AF$126&lt;&gt;"")*($J$2:$J$126))</f>
        <v>130.86000000000001</v>
      </c>
      <c r="AG140" s="79" cm="1">
        <f t="array" ref="AG140">SUMPRODUCT(($B$2:$B$126=2)*(AG$2:AG$126&gt;=23)*(AG$2:AG$126&lt;=27)*(AG$2:AG$126&lt;&gt;"")*($J$2:$J$126))</f>
        <v>105.25999999999999</v>
      </c>
      <c r="AH140" s="79" cm="1">
        <f t="array" ref="AH140">SUMPRODUCT(($B$2:$B$126=2)*(AH$2:AH$126&gt;=23)*(AH$2:AH$126&lt;=27)*(AH$2:AH$126&lt;&gt;"")*($J$2:$J$126))</f>
        <v>188.86</v>
      </c>
      <c r="AI140" s="79" cm="1">
        <f t="array" ref="AI140">SUMPRODUCT(($B$2:$B$126=2)*(AI$2:AI$126&gt;=23)*(AI$2:AI$126&lt;=27)*(AI$2:AI$126&lt;&gt;"")*($J$2:$J$126))</f>
        <v>188.86</v>
      </c>
      <c r="AJ140" s="79" cm="1">
        <f t="array" ref="AJ140">SUMPRODUCT(($B$2:$B$126=2)*(AJ$2:AJ$126&gt;=23)*(AJ$2:AJ$126&lt;=27)*(AJ$2:AJ$126&lt;&gt;"")*($J$2:$J$126))</f>
        <v>222.72000000000003</v>
      </c>
      <c r="AK140" s="79" cm="1">
        <f t="array" ref="AK140">SUMPRODUCT(($B$2:$B$126=2)*(AK$2:AK$126&gt;=23)*(AK$2:AK$126&lt;=27)*(AK$2:AK$126&lt;&gt;"")*($J$2:$J$126))</f>
        <v>162.64000000000001</v>
      </c>
      <c r="AL140" s="79" cm="1">
        <f t="array" ref="AL140">SUMPRODUCT(($B$2:$B$126=2)*(AL$2:AL$126&gt;=23)*(AL$2:AL$126&lt;=27)*(AL$2:AL$126&lt;&gt;"")*($J$2:$J$126))</f>
        <v>145.69999999999999</v>
      </c>
      <c r="AM140" s="79" cm="1">
        <f t="array" ref="AM140">SUMPRODUCT(($B$2:$B$126=2)*(AM$2:AM$126&gt;=23)*(AM$2:AM$126&lt;=27)*(AM$2:AM$126&lt;&gt;"")*($J$2:$J$126))</f>
        <v>62.1</v>
      </c>
      <c r="AN140" s="79" cm="1">
        <f t="array" ref="AN140">SUMPRODUCT(($B$2:$B$126=2)*(AN$2:AN$126&gt;=23)*(AN$2:AN$126&lt;=27)*(AN$2:AN$126&lt;&gt;"")*($J$2:$J$126))</f>
        <v>130.53</v>
      </c>
      <c r="AO140" s="79" cm="1">
        <f t="array" ref="AO140">SUMPRODUCT(($B$2:$B$126=2)*(AO$2:AO$126&gt;=23)*(AO$2:AO$126&lt;=27)*(AO$2:AO$126&lt;&gt;"")*($J$2:$J$126))</f>
        <v>96.67</v>
      </c>
      <c r="AP140" s="79" cm="1">
        <f t="array" ref="AP140">SUMPRODUCT(($B$2:$B$126=2)*(AP$2:AP$126&gt;=23)*(AP$2:AP$126&lt;=27)*(AP$2:AP$126&lt;&gt;"")*($J$2:$J$126))</f>
        <v>107.8</v>
      </c>
      <c r="AQ140" s="79" cm="1">
        <f t="array" ref="AQ140">SUMPRODUCT(($B$2:$B$126=2)*(AQ$2:AQ$126&gt;=23)*(AQ$2:AQ$126&lt;=27)*(AQ$2:AQ$126&lt;&gt;"")*($J$2:$J$126))</f>
        <v>79.559999999999988</v>
      </c>
      <c r="AR140" s="79" cm="1">
        <f t="array" ref="AR140">SUMPRODUCT(($B$2:$B$126=2)*(AR$2:AR$126&gt;=23)*(AR$2:AR$126&lt;=27)*(AR$2:AR$126&lt;&gt;"")*($J$2:$J$126))</f>
        <v>97.429999999999993</v>
      </c>
      <c r="AS140" s="79" cm="1">
        <f t="array" ref="AS140">SUMPRODUCT(($B$2:$B$126=2)*(AS$2:AS$126&gt;=23)*(AS$2:AS$126&lt;=27)*(AS$2:AS$126&lt;&gt;"")*($J$2:$J$126))</f>
        <v>29</v>
      </c>
      <c r="AT140" s="79" cm="1">
        <f t="array" ref="AT140">SUMPRODUCT(($B$2:$B$126=2)*(AT$2:AT$126&gt;=23)*(AT$2:AT$126&lt;=27)*(AT$2:AT$126&lt;&gt;"")*($J$2:$J$126))</f>
        <v>29</v>
      </c>
      <c r="AU140" s="79" cm="1">
        <f t="array" ref="AU140">SUMPRODUCT(($B$2:$B$126=2)*(AU$2:AU$126&gt;=23)*(AU$2:AU$126&lt;=27)*(AU$2:AU$126&lt;&gt;"")*($J$2:$J$126))</f>
        <v>53.13000000000001</v>
      </c>
      <c r="AV140" s="79" cm="1">
        <f t="array" ref="AV140">SUMPRODUCT(($B$2:$B$126=2)*(AV$2:AV$126&gt;=23)*(AV$2:AV$126&lt;=27)*(AV$2:AV$126&lt;&gt;"")*($J$2:$J$126))</f>
        <v>53.13000000000001</v>
      </c>
      <c r="AW140" s="79" cm="1">
        <f t="array" ref="AW140">SUMPRODUCT(($B$2:$B$126=2)*(AW$2:AW$126&gt;=23)*(AW$2:AW$126&lt;=27)*(AW$2:AW$126&lt;&gt;"")*($J$2:$J$126))</f>
        <v>75.550000000000011</v>
      </c>
      <c r="AX140" s="79" cm="1">
        <f t="array" ref="AX140">SUMPRODUCT(($B$2:$B$126=2)*(AX$2:AX$126&gt;=23)*(AX$2:AX$126&lt;=27)*(AX$2:AX$126&lt;&gt;"")*($J$2:$J$126))</f>
        <v>75.550000000000011</v>
      </c>
      <c r="AY140" s="79" cm="1">
        <f t="array" ref="AY140">SUMPRODUCT(($B$2:$B$126=2)*(AY$2:AY$126&gt;=23)*(AY$2:AY$126&lt;=27)*(AY$2:AY$126&lt;&gt;"")*($J$2:$J$126))</f>
        <v>75.550000000000011</v>
      </c>
      <c r="AZ140" s="79" cm="1">
        <f t="array" ref="AZ140">SUMPRODUCT(($B$2:$B$126=2)*(AZ$2:AZ$126&gt;=23)*(AZ$2:AZ$126&lt;=27)*(AZ$2:AZ$126&lt;&gt;"")*($J$2:$J$126))</f>
        <v>40.29</v>
      </c>
      <c r="BA140" s="79" cm="1">
        <f t="array" ref="BA140">SUMPRODUCT(($B$2:$B$126=2)*(BA$2:BA$126&gt;=23)*(BA$2:BA$126&lt;=27)*(BA$2:BA$126&lt;&gt;"")*($J$2:$J$126))</f>
        <v>40.29</v>
      </c>
      <c r="BB140" s="79" cm="1">
        <f t="array" ref="BB140">SUMPRODUCT(($B$2:$B$126=2)*(BB$2:BB$126&gt;=23)*(BB$2:BB$126&lt;=27)*(BB$2:BB$126&lt;&gt;"")*($J$2:$J$126))</f>
        <v>0</v>
      </c>
      <c r="BC140" s="79" cm="1">
        <f t="array" ref="BC140">SUMPRODUCT(($B$2:$B$126=2)*(BC$2:BC$126&gt;=23)*(BC$2:BC$126&lt;=27)*(BC$2:BC$126&lt;&gt;"")*($J$2:$J$126))</f>
        <v>0</v>
      </c>
      <c r="BD140" s="79" cm="1">
        <f t="array" ref="BD140">SUMPRODUCT(($B$2:$B$126=2)*(BD$2:BD$126&gt;=23)*(BD$2:BD$126&lt;=27)*(BD$2:BD$126&lt;&gt;"")*($J$2:$J$126))</f>
        <v>0</v>
      </c>
      <c r="BE140" s="79" cm="1">
        <f t="array" ref="BE140">SUMPRODUCT(($B$2:$B$126=2)*(BE$2:BE$126&gt;=23)*(BE$2:BE$126&lt;=27)*(BE$2:BE$126&lt;&gt;"")*($J$2:$J$126))</f>
        <v>0</v>
      </c>
      <c r="BF140" s="79" cm="1">
        <f t="array" ref="BF140">SUMPRODUCT(($B$2:$B$126=2)*(BF$2:BF$126&gt;=23)*(BF$2:BF$126&lt;=27)*(BF$2:BF$126&lt;&gt;"")*($J$2:$J$126))</f>
        <v>0</v>
      </c>
      <c r="BG140" s="79" cm="1">
        <f t="array" ref="BG140">SUMPRODUCT(($B$2:$B$126=2)*(BG$2:BG$126&gt;=23)*(BG$2:BG$126&lt;=27)*(BG$2:BG$126&lt;&gt;"")*($J$2:$J$126))</f>
        <v>0</v>
      </c>
      <c r="BH140" s="79" cm="1">
        <f t="array" ref="BH140">SUMPRODUCT(($B$2:$B$126=2)*(BH$2:BH$126&gt;=23)*(BH$2:BH$126&lt;=27)*(BH$2:BH$126&lt;&gt;"")*($J$2:$J$126))</f>
        <v>0</v>
      </c>
      <c r="BI140" s="79" cm="1">
        <f t="array" ref="BI140">SUMPRODUCT(($B$2:$B$126=2)*(BI$2:BI$126&gt;=23)*(BI$2:BI$126&lt;=27)*(BI$2:BI$126&lt;&gt;"")*($J$2:$J$126))</f>
        <v>0</v>
      </c>
      <c r="BJ140" s="79" cm="1">
        <f t="array" ref="BJ140">SUMPRODUCT(($B$2:$B$126=2)*(BJ$2:BJ$126&gt;=23)*(BJ$2:BJ$126&lt;=27)*(BJ$2:BJ$126&lt;&gt;"")*($J$2:$J$126))</f>
        <v>0</v>
      </c>
      <c r="BK140" s="79" cm="1">
        <f t="array" ref="BK140">SUMPRODUCT(($B$2:$B$126=2)*(BK$2:BK$126&gt;=23)*(BK$2:BK$126&lt;=27)*(BK$2:BK$126&lt;&gt;"")*($J$2:$J$126))</f>
        <v>0</v>
      </c>
      <c r="BL140" s="79" cm="1">
        <f t="array" ref="BL140">SUMPRODUCT(($B$2:$B$126=2)*(BL$2:BL$126&gt;=23)*(BL$2:BL$126&lt;=27)*(BL$2:BL$126&lt;&gt;"")*($J$2:$J$126))</f>
        <v>0</v>
      </c>
      <c r="BM140" s="79" cm="1">
        <f t="array" ref="BM140">SUMPRODUCT(($B$2:$B$126=2)*(BM$2:BM$126&gt;=23)*(BM$2:BM$126&lt;=27)*(BM$2:BM$126&lt;&gt;"")*($J$2:$J$126))</f>
        <v>0</v>
      </c>
      <c r="BN140" s="79" cm="1">
        <f t="array" ref="BN140">SUMPRODUCT(($B$2:$B$126=2)*(BN$2:BN$126&gt;=23)*(BN$2:BN$126&lt;=27)*(BN$2:BN$126&lt;&gt;"")*($J$2:$J$126))</f>
        <v>0</v>
      </c>
      <c r="BO140" s="79" cm="1">
        <f t="array" ref="BO140">SUMPRODUCT(($B$2:$B$126=2)*(BO$2:BO$126&gt;=23)*(BO$2:BO$126&lt;=27)*(BO$2:BO$126&lt;&gt;"")*($J$2:$J$126))</f>
        <v>0</v>
      </c>
      <c r="BP140" s="79" cm="1">
        <f t="array" ref="BP140">SUMPRODUCT(($B$2:$B$126=2)*(BP$2:BP$126&gt;=23)*(BP$2:BP$126&lt;=27)*(BP$2:BP$126&lt;&gt;"")*($J$2:$J$126))</f>
        <v>0</v>
      </c>
      <c r="BQ140" s="79" cm="1">
        <f t="array" ref="BQ140">SUMPRODUCT(($B$2:$B$126=2)*(BQ$2:BQ$126&gt;=23)*(BQ$2:BQ$126&lt;=27)*(BQ$2:BQ$126&lt;&gt;"")*($J$2:$J$126))</f>
        <v>0</v>
      </c>
      <c r="BR140" s="79" cm="1">
        <f t="array" ref="BR140">SUMPRODUCT(($B$2:$B$126=2)*(BR$2:BR$126&gt;=23)*(BR$2:BR$126&lt;=27)*(BR$2:BR$126&lt;&gt;"")*($J$2:$J$126))</f>
        <v>0</v>
      </c>
      <c r="BS140" s="79" cm="1">
        <f t="array" ref="BS140">SUMPRODUCT(($B$2:$B$126=2)*(BS$2:BS$126&gt;=23)*(BS$2:BS$126&lt;=27)*(BS$2:BS$126&lt;&gt;"")*($J$2:$J$126))</f>
        <v>0</v>
      </c>
      <c r="BT140" s="79" cm="1">
        <f t="array" ref="BT140">SUMPRODUCT(($B$2:$B$126=2)*(BT$2:BT$126&gt;=23)*(BT$2:BT$126&lt;=27)*(BT$2:BT$126&lt;&gt;"")*($J$2:$J$126))</f>
        <v>0</v>
      </c>
      <c r="BU140" s="79" cm="1">
        <f t="array" ref="BU140">SUMPRODUCT(($B$2:$B$126=2)*(BU$2:BU$126&gt;=23)*(BU$2:BU$126&lt;=27)*(BU$2:BU$126&lt;&gt;"")*($J$2:$J$126))</f>
        <v>0</v>
      </c>
      <c r="BV140" s="79" cm="1">
        <f t="array" ref="BV140">SUMPRODUCT(($B$2:$B$126=2)*(BV$2:BV$126&gt;=23)*(BV$2:BV$126&lt;=27)*(BV$2:BV$126&lt;&gt;"")*($J$2:$J$126))</f>
        <v>0</v>
      </c>
      <c r="BW140" s="79" cm="1">
        <f t="array" ref="BW140">SUMPRODUCT(($B$2:$B$126=2)*(BW$2:BW$126&gt;=23)*(BW$2:BW$126&lt;=27)*(BW$2:BW$126&lt;&gt;"")*($J$2:$J$126))</f>
        <v>0</v>
      </c>
      <c r="BX140" s="79" cm="1">
        <f t="array" ref="BX140">SUMPRODUCT(($B$2:$B$126=2)*(BX$2:BX$126&gt;=23)*(BX$2:BX$126&lt;=27)*(BX$2:BX$126&lt;&gt;"")*($J$2:$J$126))</f>
        <v>47.79</v>
      </c>
      <c r="BY140" s="79" cm="1">
        <f t="array" ref="BY140">SUMPRODUCT(($B$2:$B$126=2)*(BY$2:BY$126&gt;=23)*(BY$2:BY$126&lt;=27)*(BY$2:BY$126&lt;&gt;"")*($J$2:$J$126))</f>
        <v>47.79</v>
      </c>
      <c r="BZ140" s="79" cm="1">
        <f t="array" ref="BZ140">SUMPRODUCT(($B$2:$B$126=2)*(BZ$2:BZ$126&gt;=23)*(BZ$2:BZ$126&lt;=27)*(BZ$2:BZ$126&lt;&gt;"")*($J$2:$J$126))</f>
        <v>47.79</v>
      </c>
      <c r="CA140" s="79" cm="1">
        <f t="array" ref="CA140">SUMPRODUCT(($B$2:$B$126=2)*(CA$2:CA$126&gt;=23)*(CA$2:CA$126&lt;=27)*(CA$2:CA$126&lt;&gt;"")*($J$2:$J$126))</f>
        <v>47.79</v>
      </c>
      <c r="CB140" s="79" cm="1">
        <f t="array" ref="CB140">SUMPRODUCT(($B$2:$B$126=2)*(CB$2:CB$126&gt;=23)*(CB$2:CB$126&lt;=27)*(CB$2:CB$126&lt;&gt;"")*($J$2:$J$126))</f>
        <v>130.69</v>
      </c>
      <c r="CC140" s="79" cm="1">
        <f t="array" ref="CC140">SUMPRODUCT(($B$2:$B$126=2)*(CC$2:CC$126&gt;=23)*(CC$2:CC$126&lt;=27)*(CC$2:CC$126&lt;&gt;"")*($J$2:$J$126))</f>
        <v>199.28999999999996</v>
      </c>
      <c r="CD140" s="79" cm="1">
        <f t="array" ref="CD140">SUMPRODUCT(($B$2:$B$126=2)*(CD$2:CD$126&gt;=23)*(CD$2:CD$126&lt;=27)*(CD$2:CD$126&lt;&gt;"")*($J$2:$J$126))</f>
        <v>295.86</v>
      </c>
      <c r="CE140" s="79" cm="1">
        <f t="array" ref="CE140">SUMPRODUCT(($B$2:$B$126=2)*(CE$2:CE$126&gt;=23)*(CE$2:CE$126&lt;=27)*(CE$2:CE$126&lt;&gt;"")*($J$2:$J$126))</f>
        <v>339.2</v>
      </c>
      <c r="CF140" s="79" cm="1">
        <f t="array" ref="CF140">SUMPRODUCT(($B$2:$B$126=2)*(CF$2:CF$126&gt;=23)*(CF$2:CF$126&lt;=27)*(CF$2:CF$126&lt;&gt;"")*($J$2:$J$126))</f>
        <v>357.07</v>
      </c>
      <c r="CG140" s="79" cm="1">
        <f t="array" ref="CG140">SUMPRODUCT(($B$2:$B$126=2)*(CG$2:CG$126&gt;=23)*(CG$2:CG$126&lt;=27)*(CG$2:CG$126&lt;&gt;"")*($J$2:$J$126))</f>
        <v>274.17</v>
      </c>
      <c r="CH140" s="79" cm="1">
        <f t="array" ref="CH140">SUMPRODUCT(($B$2:$B$126=2)*(CH$2:CH$126&gt;=23)*(CH$2:CH$126&lt;=27)*(CH$2:CH$126&lt;&gt;"")*($J$2:$J$126))</f>
        <v>157.78</v>
      </c>
      <c r="CI140" s="79" cm="1">
        <f t="array" ref="CI140">SUMPRODUCT(($B$2:$B$126=2)*(CI$2:CI$126&gt;=23)*(CI$2:CI$126&lt;=27)*(CI$2:CI$126&lt;&gt;"")*($J$2:$J$126))</f>
        <v>61.210000000000008</v>
      </c>
      <c r="CJ140" s="79" cm="1">
        <f t="array" ref="CJ140">SUMPRODUCT(($B$2:$B$126=2)*(CJ$2:CJ$126&gt;=23)*(CJ$2:CJ$126&lt;=27)*(CJ$2:CJ$126&lt;&gt;"")*($J$2:$J$126))</f>
        <v>93.420000000000016</v>
      </c>
      <c r="CK140" s="79" cm="1">
        <f t="array" ref="CK140">SUMPRODUCT(($B$2:$B$126=2)*(CK$2:CK$126&gt;=23)*(CK$2:CK$126&lt;=27)*(CK$2:CK$126&lt;&gt;"")*($J$2:$J$126))</f>
        <v>97.52000000000001</v>
      </c>
      <c r="CL140" s="79" cm="1">
        <f t="array" ref="CL140">SUMPRODUCT(($B$2:$B$126=2)*(CL$2:CL$126&gt;=23)*(CL$2:CL$126&lt;=27)*(CL$2:CL$126&lt;&gt;"")*($J$2:$J$126))</f>
        <v>123.59</v>
      </c>
      <c r="CM140" s="79" cm="1">
        <f t="array" ref="CM140">SUMPRODUCT(($B$2:$B$126=2)*(CM$2:CM$126&gt;=23)*(CM$2:CM$126&lt;=27)*(CM$2:CM$126&lt;&gt;"")*($J$2:$J$126))</f>
        <v>123.59</v>
      </c>
      <c r="CN140" s="79" cm="1">
        <f t="array" ref="CN140">SUMPRODUCT(($B$2:$B$126=2)*(CN$2:CN$126&gt;=23)*(CN$2:CN$126&lt;=27)*(CN$2:CN$126&lt;&gt;"")*($J$2:$J$126))</f>
        <v>123.59</v>
      </c>
      <c r="CO140" s="79" cm="1">
        <f t="array" ref="CO140">SUMPRODUCT(($B$2:$B$126=2)*(CO$2:CO$126&gt;=23)*(CO$2:CO$126&lt;=27)*(CO$2:CO$126&lt;&gt;"")*($J$2:$J$126))</f>
        <v>48.04</v>
      </c>
      <c r="CP140" s="79" cm="1">
        <f t="array" ref="CP140">SUMPRODUCT(($B$2:$B$126=2)*(CP$2:CP$126&gt;=23)*(CP$2:CP$126&lt;=27)*(CP$2:CP$126&lt;&gt;"")*($J$2:$J$126))</f>
        <v>26.07</v>
      </c>
      <c r="CQ140" s="79" cm="1">
        <f t="array" ref="CQ140">SUMPRODUCT(($B$2:$B$126=2)*(CQ$2:CQ$126&gt;=23)*(CQ$2:CQ$126&lt;=27)*(CQ$2:CQ$126&lt;&gt;"")*($J$2:$J$126))</f>
        <v>0</v>
      </c>
      <c r="CR140" s="79" cm="1">
        <f t="array" ref="CR140">SUMPRODUCT(($B$2:$B$126=2)*(CR$2:CR$126&gt;=23)*(CR$2:CR$126&lt;=27)*(CR$2:CR$126&lt;&gt;"")*($J$2:$J$126))</f>
        <v>0</v>
      </c>
      <c r="CS140" s="79" cm="1">
        <f t="array" ref="CS140">SUMPRODUCT(($B$2:$B$126=2)*(CS$2:CS$126&gt;=23)*(CS$2:CS$126&lt;=27)*(CS$2:CS$126&lt;&gt;"")*($J$2:$J$126))</f>
        <v>0</v>
      </c>
      <c r="CT140" s="79" cm="1">
        <f t="array" ref="CT140">SUMPRODUCT(($B$2:$B$126=2)*(CT$2:CT$126&gt;=23)*(CT$2:CT$126&lt;=27)*(CT$2:CT$126&lt;&gt;"")*($J$2:$J$126))</f>
        <v>0</v>
      </c>
      <c r="CU140" s="79" cm="1">
        <f t="array" ref="CU140">SUMPRODUCT(($B$2:$B$126=2)*(CU$2:CU$126&gt;=23)*(CU$2:CU$126&lt;=27)*(CU$2:CU$126&lt;&gt;"")*($J$2:$J$126))</f>
        <v>0</v>
      </c>
      <c r="CV140" s="79" cm="1">
        <f t="array" ref="CV140">SUMPRODUCT(($B$2:$B$126=2)*(CV$2:CV$126&gt;=23)*(CV$2:CV$126&lt;=27)*(CV$2:CV$126&lt;&gt;"")*($J$2:$J$126))</f>
        <v>0</v>
      </c>
      <c r="CW140" s="79" cm="1">
        <f t="array" ref="CW140">SUMPRODUCT(($B$2:$B$126=2)*(CW$2:CW$126&gt;=23)*(CW$2:CW$126&lt;=27)*(CW$2:CW$126&lt;&gt;"")*($J$2:$J$126))</f>
        <v>0</v>
      </c>
      <c r="CX140" s="79" cm="1">
        <f t="array" ref="CX140">SUMPRODUCT(($B$2:$B$126=2)*(CX$2:CX$126&gt;=23)*(CX$2:CX$126&lt;=27)*(CX$2:CX$126&lt;&gt;"")*($J$2:$J$126))</f>
        <v>0</v>
      </c>
      <c r="CY140" s="79" cm="1">
        <f t="array" ref="CY140">SUMPRODUCT(($B$2:$B$126=2)*(CY$2:CY$126&gt;=23)*(CY$2:CY$126&lt;=27)*(CY$2:CY$126&lt;&gt;"")*($J$2:$J$126))</f>
        <v>0</v>
      </c>
      <c r="CZ140" s="79" cm="1">
        <f t="array" ref="CZ140">SUMPRODUCT(($B$2:$B$126=2)*(CZ$2:CZ$126&gt;=23)*(CZ$2:CZ$126&lt;=27)*(CZ$2:CZ$126&lt;&gt;"")*($J$2:$J$126))</f>
        <v>0</v>
      </c>
      <c r="DA140" s="79" cm="1">
        <f t="array" ref="DA140">SUMPRODUCT(($B$2:$B$126=2)*(DA$2:DA$126&gt;=23)*(DA$2:DA$126&lt;=27)*(DA$2:DA$126&lt;&gt;"")*($J$2:$J$126))</f>
        <v>0</v>
      </c>
      <c r="DB140" s="79" cm="1">
        <f t="array" ref="DB140">SUMPRODUCT(($B$2:$B$126=2)*(DB$2:DB$126&gt;=23)*(DB$2:DB$126&lt;=27)*(DB$2:DB$126&lt;&gt;"")*($J$2:$J$126))</f>
        <v>0</v>
      </c>
      <c r="DC140" s="79" cm="1">
        <f t="array" ref="DC140">SUMPRODUCT(($B$2:$B$126=2)*(DC$2:DC$126&gt;=23)*(DC$2:DC$126&lt;=27)*(DC$2:DC$126&lt;&gt;"")*($J$2:$J$126))</f>
        <v>0</v>
      </c>
      <c r="DD140" s="79" cm="1">
        <f t="array" ref="DD140">SUMPRODUCT(($B$2:$B$126=2)*(DD$2:DD$126&gt;=23)*(DD$2:DD$126&lt;=27)*(DD$2:DD$126&lt;&gt;"")*($J$2:$J$126))</f>
        <v>0</v>
      </c>
      <c r="DE140" s="79" cm="1">
        <f t="array" ref="DE140">SUMPRODUCT(($B$2:$B$126=2)*(DE$2:DE$126&gt;=23)*(DE$2:DE$126&lt;=27)*(DE$2:DE$126&lt;&gt;"")*($J$2:$J$126))</f>
        <v>0</v>
      </c>
      <c r="DF140" s="79" cm="1">
        <f t="array" ref="DF140">SUMPRODUCT(($B$2:$B$126=2)*(DF$2:DF$126&gt;=23)*(DF$2:DF$126&lt;=27)*(DF$2:DF$126&lt;&gt;"")*($J$2:$J$126))</f>
        <v>0</v>
      </c>
      <c r="DG140" s="79" cm="1">
        <f t="array" ref="DG140">SUMPRODUCT(($B$2:$B$126=2)*(DG$2:DG$126&gt;=23)*(DG$2:DG$126&lt;=27)*(DG$2:DG$126&lt;&gt;"")*($J$2:$J$126))</f>
        <v>0</v>
      </c>
      <c r="DH140" s="79" cm="1">
        <f t="array" ref="DH140">SUMPRODUCT(($B$2:$B$126=2)*(DH$2:DH$126&gt;=23)*(DH$2:DH$126&lt;=27)*(DH$2:DH$126&lt;&gt;"")*($J$2:$J$126))</f>
        <v>0</v>
      </c>
      <c r="DI140" s="79" cm="1">
        <f t="array" ref="DI140">SUMPRODUCT(($B$2:$B$126=2)*(DI$2:DI$126&gt;=23)*(DI$2:DI$126&lt;=27)*(DI$2:DI$126&lt;&gt;"")*($J$2:$J$126))</f>
        <v>0</v>
      </c>
      <c r="DJ140" s="79" cm="1">
        <f t="array" ref="DJ140">SUMPRODUCT(($B$2:$B$126=2)*(DJ$2:DJ$126&gt;=23)*(DJ$2:DJ$126&lt;=27)*(DJ$2:DJ$126&lt;&gt;"")*($J$2:$J$126))</f>
        <v>0</v>
      </c>
      <c r="DK140" s="79" cm="1">
        <f t="array" ref="DK140">SUMPRODUCT(($B$2:$B$126=2)*(DK$2:DK$126&gt;=23)*(DK$2:DK$126&lt;=27)*(DK$2:DK$126&lt;&gt;"")*($J$2:$J$126))</f>
        <v>0</v>
      </c>
      <c r="DL140" s="79" cm="1">
        <f t="array" ref="DL140">SUMPRODUCT(($B$2:$B$126=2)*(DL$2:DL$126&gt;=23)*(DL$2:DL$126&lt;=27)*(DL$2:DL$126&lt;&gt;"")*($J$2:$J$126))</f>
        <v>0</v>
      </c>
      <c r="DM140" s="79" cm="1">
        <f t="array" ref="DM140">SUMPRODUCT(($B$2:$B$126=2)*(DM$2:DM$126&gt;=23)*(DM$2:DM$126&lt;=27)*(DM$2:DM$126&lt;&gt;"")*($J$2:$J$126))</f>
        <v>0</v>
      </c>
      <c r="DN140" s="79" cm="1">
        <f t="array" ref="DN140">SUMPRODUCT(($B$2:$B$126=2)*(DN$2:DN$126&gt;=23)*(DN$2:DN$126&lt;=27)*(DN$2:DN$126&lt;&gt;"")*($J$2:$J$126))</f>
        <v>0</v>
      </c>
      <c r="DO140" s="79" cm="1">
        <f t="array" ref="DO140">SUMPRODUCT(($B$2:$B$126=2)*(DO$2:DO$126&gt;=23)*(DO$2:DO$126&lt;=27)*(DO$2:DO$126&lt;&gt;"")*($J$2:$J$126))</f>
        <v>0</v>
      </c>
      <c r="DP140" s="79" cm="1">
        <f t="array" ref="DP140">SUMPRODUCT(($B$2:$B$126=2)*(DP$2:DP$126&gt;=23)*(DP$2:DP$126&lt;=27)*(DP$2:DP$126&lt;&gt;"")*($J$2:$J$126))</f>
        <v>0</v>
      </c>
      <c r="DQ140" s="79" cm="1">
        <f t="array" ref="DQ140">SUMPRODUCT(($B$2:$B$126=2)*(DQ$2:DQ$126&gt;=23)*(DQ$2:DQ$126&lt;=27)*(DQ$2:DQ$126&lt;&gt;"")*($J$2:$J$126))</f>
        <v>0</v>
      </c>
      <c r="DR140" s="79" cm="1">
        <f t="array" ref="DR140">SUMPRODUCT(($B$2:$B$126=2)*(DR$2:DR$126&gt;=23)*(DR$2:DR$126&lt;=27)*(DR$2:DR$126&lt;&gt;"")*($J$2:$J$126))</f>
        <v>0</v>
      </c>
      <c r="DS140" s="79" cm="1">
        <f t="array" ref="DS140">SUMPRODUCT(($B$2:$B$126=2)*(DS$2:DS$126&gt;=23)*(DS$2:DS$126&lt;=27)*(DS$2:DS$126&lt;&gt;"")*($J$2:$J$126))</f>
        <v>0</v>
      </c>
      <c r="DT140" s="79" cm="1">
        <f t="array" ref="DT140">SUMPRODUCT(($B$2:$B$126=2)*(DT$2:DT$126&gt;=23)*(DT$2:DT$126&lt;=27)*(DT$2:DT$126&lt;&gt;"")*($J$2:$J$126))</f>
        <v>0</v>
      </c>
      <c r="DU140" s="79" cm="1">
        <f t="array" ref="DU140">SUMPRODUCT(($B$2:$B$126=2)*(DU$2:DU$126&gt;=23)*(DU$2:DU$126&lt;=27)*(DU$2:DU$126&lt;&gt;"")*($J$2:$J$126))</f>
        <v>0</v>
      </c>
      <c r="DV140" s="79" cm="1">
        <f t="array" ref="DV140">SUMPRODUCT(($B$2:$B$126=2)*(DV$2:DV$126&gt;=23)*(DV$2:DV$126&lt;=27)*(DV$2:DV$126&lt;&gt;"")*($J$2:$J$126))</f>
        <v>0</v>
      </c>
      <c r="DW140" s="79" cm="1">
        <f t="array" ref="DW140">SUMPRODUCT(($B$2:$B$126=2)*(DW$2:DW$126&gt;=23)*(DW$2:DW$126&lt;=27)*(DW$2:DW$126&lt;&gt;"")*($J$2:$J$126))</f>
        <v>0</v>
      </c>
      <c r="DX140" s="79" cm="1">
        <f t="array" ref="DX140">SUMPRODUCT(($B$2:$B$126=2)*(DX$2:DX$126&gt;=23)*(DX$2:DX$126&lt;=27)*(DX$2:DX$126&lt;&gt;"")*($J$2:$J$126))</f>
        <v>0</v>
      </c>
      <c r="DY140" s="79" cm="1">
        <f t="array" ref="DY140">SUMPRODUCT(($B$2:$B$126=2)*(DY$2:DY$126&gt;=23)*(DY$2:DY$126&lt;=27)*(DY$2:DY$126&lt;&gt;"")*($J$2:$J$126))</f>
        <v>0</v>
      </c>
      <c r="DZ140" s="79" cm="1">
        <f t="array" ref="DZ140">SUMPRODUCT(($B$2:$B$126=2)*(DZ$2:DZ$126&gt;=23)*(DZ$2:DZ$126&lt;=27)*(DZ$2:DZ$126&lt;&gt;"")*($J$2:$J$126))</f>
        <v>0</v>
      </c>
      <c r="EA140" s="79" cm="1">
        <f t="array" ref="EA140">SUMPRODUCT(($B$2:$B$126=2)*(EA$2:EA$126&gt;=23)*(EA$2:EA$126&lt;=27)*(EA$2:EA$126&lt;&gt;"")*($J$2:$J$126))</f>
        <v>0</v>
      </c>
      <c r="EB140" s="79" cm="1">
        <f t="array" ref="EB140">SUMPRODUCT(($B$2:$B$126=2)*(EB$2:EB$126&gt;=23)*(EB$2:EB$126&lt;=27)*(EB$2:EB$126&lt;&gt;"")*($J$2:$J$126))</f>
        <v>0</v>
      </c>
      <c r="EC140" s="79" cm="1">
        <f t="array" ref="EC140">SUMPRODUCT(($B$2:$B$126=2)*(EC$2:EC$126&gt;=23)*(EC$2:EC$126&lt;=27)*(EC$2:EC$126&lt;&gt;"")*($J$2:$J$126))</f>
        <v>0</v>
      </c>
      <c r="ED140" s="79" cm="1">
        <f t="array" ref="ED140">SUMPRODUCT(($B$2:$B$126=2)*(ED$2:ED$126&gt;=23)*(ED$2:ED$126&lt;=27)*(ED$2:ED$126&lt;&gt;"")*($J$2:$J$126))</f>
        <v>0</v>
      </c>
      <c r="EE140" s="79" cm="1">
        <f t="array" ref="EE140">SUMPRODUCT(($B$2:$B$126=2)*(EE$2:EE$126&gt;=23)*(EE$2:EE$126&lt;=27)*(EE$2:EE$126&lt;&gt;"")*($J$2:$J$126))</f>
        <v>0</v>
      </c>
      <c r="EF140" s="79" cm="1">
        <f t="array" ref="EF140">SUMPRODUCT(($B$2:$B$126=2)*(EF$2:EF$126&gt;=23)*(EF$2:EF$126&lt;=27)*(EF$2:EF$126&lt;&gt;"")*($J$2:$J$126))</f>
        <v>0</v>
      </c>
      <c r="EG140" s="79" cm="1">
        <f t="array" ref="EG140">SUMPRODUCT(($B$2:$B$126=2)*(EG$2:EG$126&gt;=23)*(EG$2:EG$126&lt;=27)*(EG$2:EG$126&lt;&gt;"")*($J$2:$J$126))</f>
        <v>0</v>
      </c>
      <c r="EH140" s="79" cm="1">
        <f t="array" ref="EH140">SUMPRODUCT(($B$2:$B$126=2)*(EH$2:EH$126&gt;=23)*(EH$2:EH$126&lt;=27)*(EH$2:EH$126&lt;&gt;"")*($J$2:$J$126))</f>
        <v>0</v>
      </c>
      <c r="EI140" s="79" cm="1">
        <f t="array" ref="EI140">SUMPRODUCT(($B$2:$B$126=2)*(EI$2:EI$126&gt;=23)*(EI$2:EI$126&lt;=27)*(EI$2:EI$126&lt;&gt;"")*($J$2:$J$126))</f>
        <v>0</v>
      </c>
      <c r="EJ140" s="79" cm="1">
        <f t="array" ref="EJ140">SUMPRODUCT(($B$2:$B$126=2)*(EJ$2:EJ$126&gt;=23)*(EJ$2:EJ$126&lt;=27)*(EJ$2:EJ$126&lt;&gt;"")*($J$2:$J$126))</f>
        <v>0</v>
      </c>
      <c r="EK140" s="79" cm="1">
        <f t="array" ref="EK140">SUMPRODUCT(($B$2:$B$126=2)*(EK$2:EK$126&gt;=23)*(EK$2:EK$126&lt;=27)*(EK$2:EK$126&lt;&gt;"")*($J$2:$J$126))</f>
        <v>0</v>
      </c>
      <c r="EL140" s="79" cm="1">
        <f t="array" ref="EL140">SUMPRODUCT(($B$2:$B$126=2)*(EL$2:EL$126&gt;=23)*(EL$2:EL$126&lt;=27)*(EL$2:EL$126&lt;&gt;"")*($J$2:$J$126))</f>
        <v>0</v>
      </c>
      <c r="EM140" s="79" cm="1">
        <f t="array" ref="EM140">SUMPRODUCT(($B$2:$B$126=2)*(EM$2:EM$126&gt;=23)*(EM$2:EM$126&lt;=27)*(EM$2:EM$126&lt;&gt;"")*($J$2:$J$126))</f>
        <v>0</v>
      </c>
      <c r="EN140" s="79" cm="1">
        <f t="array" ref="EN140">SUMPRODUCT(($B$2:$B$126=2)*(EN$2:EN$126&gt;=23)*(EN$2:EN$126&lt;=27)*(EN$2:EN$126&lt;&gt;"")*($J$2:$J$126))</f>
        <v>0</v>
      </c>
      <c r="EO140" s="79" cm="1">
        <f t="array" ref="EO140">SUMPRODUCT(($B$2:$B$126=2)*(EO$2:EO$126&gt;=23)*(EO$2:EO$126&lt;=27)*(EO$2:EO$126&lt;&gt;"")*($J$2:$J$126))</f>
        <v>0</v>
      </c>
      <c r="EP140" s="79" cm="1">
        <f t="array" ref="EP140">SUMPRODUCT(($B$2:$B$126=2)*(EP$2:EP$126&gt;=23)*(EP$2:EP$126&lt;=27)*(EP$2:EP$126&lt;&gt;"")*($J$2:$J$126))</f>
        <v>0</v>
      </c>
      <c r="EQ140" s="79" cm="1">
        <f t="array" ref="EQ140">SUMPRODUCT(($B$2:$B$126=2)*(EQ$2:EQ$126&gt;=23)*(EQ$2:EQ$126&lt;=27)*(EQ$2:EQ$126&lt;&gt;"")*($J$2:$J$126))</f>
        <v>0</v>
      </c>
      <c r="ER140" s="79" cm="1">
        <f t="array" ref="ER140">SUMPRODUCT(($B$2:$B$126=2)*(ER$2:ER$126&gt;=23)*(ER$2:ER$126&lt;=27)*(ER$2:ER$126&lt;&gt;"")*($J$2:$J$126))</f>
        <v>0</v>
      </c>
      <c r="ES140" s="79" cm="1">
        <f t="array" ref="ES140">SUMPRODUCT(($B$2:$B$126=2)*(ES$2:ES$126&gt;=23)*(ES$2:ES$126&lt;=27)*(ES$2:ES$126&lt;&gt;"")*($J$2:$J$126))</f>
        <v>0</v>
      </c>
      <c r="ET140" s="79" cm="1">
        <f t="array" ref="ET140">SUMPRODUCT(($B$2:$B$126=2)*(ET$2:ET$126&gt;=23)*(ET$2:ET$126&lt;=27)*(ET$2:ET$126&lt;&gt;"")*($J$2:$J$126))</f>
        <v>0</v>
      </c>
      <c r="EU140" s="79" cm="1">
        <f t="array" ref="EU140">SUMPRODUCT(($B$2:$B$126=2)*(EU$2:EU$126&gt;=23)*(EU$2:EU$126&lt;=27)*(EU$2:EU$126&lt;&gt;"")*($J$2:$J$126))</f>
        <v>0</v>
      </c>
      <c r="EV140" s="79" cm="1">
        <f t="array" ref="EV140">SUMPRODUCT(($B$2:$B$126=2)*(EV$2:EV$126&gt;=23)*(EV$2:EV$126&lt;=27)*(EV$2:EV$126&lt;&gt;"")*($J$2:$J$126))</f>
        <v>0</v>
      </c>
      <c r="EW140" s="79" cm="1">
        <f t="array" ref="EW140">SUMPRODUCT(($B$2:$B$126=2)*(EW$2:EW$126&gt;=23)*(EW$2:EW$126&lt;=27)*(EW$2:EW$126&lt;&gt;"")*($J$2:$J$126))</f>
        <v>0</v>
      </c>
      <c r="EX140" s="79" cm="1">
        <f t="array" ref="EX140">SUMPRODUCT(($B$2:$B$126=2)*(EX$2:EX$126&gt;=23)*(EX$2:EX$126&lt;=27)*(EX$2:EX$126&lt;&gt;"")*($J$2:$J$126))</f>
        <v>0</v>
      </c>
      <c r="EY140" s="79" cm="1">
        <f t="array" ref="EY140">SUMPRODUCT(($B$2:$B$126=2)*(EY$2:EY$126&gt;=23)*(EY$2:EY$126&lt;=27)*(EY$2:EY$126&lt;&gt;"")*($J$2:$J$126))</f>
        <v>0</v>
      </c>
      <c r="EZ140" s="79" cm="1">
        <f t="array" ref="EZ140">SUMPRODUCT(($B$2:$B$126=2)*(EZ$2:EZ$126&gt;=23)*(EZ$2:EZ$126&lt;=27)*(EZ$2:EZ$126&lt;&gt;"")*($J$2:$J$126))</f>
        <v>0</v>
      </c>
      <c r="FA140" s="79" cm="1">
        <f t="array" ref="FA140">SUMPRODUCT(($B$2:$B$126=2)*(FA$2:FA$126&gt;=23)*(FA$2:FA$126&lt;=27)*(FA$2:FA$126&lt;&gt;"")*($J$2:$J$126))</f>
        <v>0</v>
      </c>
      <c r="FB140" s="79" cm="1">
        <f t="array" ref="FB140">SUMPRODUCT(($B$2:$B$126=2)*(FB$2:FB$126&gt;=23)*(FB$2:FB$126&lt;=27)*(FB$2:FB$126&lt;&gt;"")*($J$2:$J$126))</f>
        <v>0</v>
      </c>
      <c r="FC140" s="79" cm="1">
        <f t="array" ref="FC140">SUMPRODUCT(($B$2:$B$126=2)*(FC$2:FC$126&gt;=23)*(FC$2:FC$126&lt;=27)*(FC$2:FC$126&lt;&gt;"")*($J$2:$J$126))</f>
        <v>0</v>
      </c>
      <c r="FD140" s="79" cm="1">
        <f t="array" ref="FD140">SUMPRODUCT(($B$2:$B$126=2)*(FD$2:FD$126&gt;=23)*(FD$2:FD$126&lt;=27)*(FD$2:FD$126&lt;&gt;"")*($J$2:$J$126))</f>
        <v>0</v>
      </c>
      <c r="FE140" s="79" cm="1">
        <f t="array" ref="FE140">SUMPRODUCT(($B$2:$B$126=2)*(FE$2:FE$126&gt;=23)*(FE$2:FE$126&lt;=27)*(FE$2:FE$126&lt;&gt;"")*($J$2:$J$126))</f>
        <v>0</v>
      </c>
      <c r="FF140" s="79" cm="1">
        <f t="array" ref="FF140">SUMPRODUCT(($B$2:$B$126=2)*(FF$2:FF$126&gt;=23)*(FF$2:FF$126&lt;=27)*(FF$2:FF$126&lt;&gt;"")*($J$2:$J$126))</f>
        <v>0</v>
      </c>
      <c r="FG140" s="79" cm="1">
        <f t="array" ref="FG140">SUMPRODUCT(($B$2:$B$126=2)*(FG$2:FG$126&gt;=23)*(FG$2:FG$126&lt;=27)*(FG$2:FG$126&lt;&gt;"")*($J$2:$J$126))</f>
        <v>0</v>
      </c>
      <c r="FH140" s="79" cm="1">
        <f t="array" ref="FH140">SUMPRODUCT(($B$2:$B$126=2)*(FH$2:FH$126&gt;=23)*(FH$2:FH$126&lt;=27)*(FH$2:FH$126&lt;&gt;"")*($J$2:$J$126))</f>
        <v>0</v>
      </c>
      <c r="FI140" s="79" cm="1">
        <f t="array" ref="FI140">SUMPRODUCT(($B$2:$B$126=2)*(FI$2:FI$126&gt;=23)*(FI$2:FI$126&lt;=27)*(FI$2:FI$126&lt;&gt;"")*($J$2:$J$126))</f>
        <v>0</v>
      </c>
      <c r="FJ140" s="79" cm="1">
        <f t="array" ref="FJ140">SUMPRODUCT(($B$2:$B$126=2)*(FJ$2:FJ$126&gt;=23)*(FJ$2:FJ$126&lt;=27)*(FJ$2:FJ$126&lt;&gt;"")*($J$2:$J$126))</f>
        <v>0</v>
      </c>
      <c r="FK140" s="79" cm="1">
        <f t="array" ref="FK140">SUMPRODUCT(($B$2:$B$126=2)*(FK$2:FK$126&gt;=23)*(FK$2:FK$126&lt;=27)*(FK$2:FK$126&lt;&gt;"")*($J$2:$J$126))</f>
        <v>0</v>
      </c>
      <c r="FL140" s="79" cm="1">
        <f t="array" ref="FL140">SUMPRODUCT(($B$2:$B$126=2)*(FL$2:FL$126&gt;=23)*(FL$2:FL$126&lt;=27)*(FL$2:FL$126&lt;&gt;"")*($J$2:$J$126))</f>
        <v>0</v>
      </c>
      <c r="FM140" s="79" cm="1">
        <f t="array" ref="FM140">SUMPRODUCT(($B$2:$B$126=2)*(FM$2:FM$126&gt;=23)*(FM$2:FM$126&lt;=27)*(FM$2:FM$126&lt;&gt;"")*($J$2:$J$126))</f>
        <v>0</v>
      </c>
      <c r="FN140" s="79" cm="1">
        <f t="array" ref="FN140">SUMPRODUCT(($B$2:$B$126=2)*(FN$2:FN$126&gt;=23)*(FN$2:FN$126&lt;=27)*(FN$2:FN$126&lt;&gt;"")*($J$2:$J$126))</f>
        <v>0</v>
      </c>
      <c r="FO140" s="79" cm="1">
        <f t="array" ref="FO140">SUMPRODUCT(($B$2:$B$126=2)*(FO$2:FO$126&gt;=23)*(FO$2:FO$126&lt;=27)*(FO$2:FO$126&lt;&gt;"")*($J$2:$J$126))</f>
        <v>0</v>
      </c>
      <c r="FP140" s="79" cm="1">
        <f t="array" ref="FP140">SUMPRODUCT(($B$2:$B$126=2)*(FP$2:FP$126&gt;=23)*(FP$2:FP$126&lt;=27)*(FP$2:FP$126&lt;&gt;"")*($J$2:$J$126))</f>
        <v>0</v>
      </c>
      <c r="FQ140" s="79" cm="1">
        <f t="array" ref="FQ140">SUMPRODUCT(($B$2:$B$126=2)*(FQ$2:FQ$126&gt;=23)*(FQ$2:FQ$126&lt;=27)*(FQ$2:FQ$126&lt;&gt;"")*($J$2:$J$126))</f>
        <v>0</v>
      </c>
      <c r="FR140" s="79" cm="1">
        <f t="array" ref="FR140">SUMPRODUCT(($B$2:$B$126=2)*(FR$2:FR$126&gt;=23)*(FR$2:FR$126&lt;=27)*(FR$2:FR$126&lt;&gt;"")*($J$2:$J$126))</f>
        <v>0</v>
      </c>
      <c r="FS140" s="79" cm="1">
        <f t="array" ref="FS140">SUMPRODUCT(($B$2:$B$126=2)*(FS$2:FS$126&gt;=23)*(FS$2:FS$126&lt;=27)*(FS$2:FS$126&lt;&gt;"")*($J$2:$J$126))</f>
        <v>0</v>
      </c>
      <c r="FT140" s="79" cm="1">
        <f t="array" ref="FT140">SUMPRODUCT(($B$2:$B$126=2)*(FT$2:FT$126&gt;=23)*(FT$2:FT$126&lt;=27)*(FT$2:FT$126&lt;&gt;"")*($J$2:$J$126))</f>
        <v>0</v>
      </c>
      <c r="FU140" s="79" cm="1">
        <f t="array" ref="FU140">SUMPRODUCT(($B$2:$B$126=2)*(FU$2:FU$126&gt;=23)*(FU$2:FU$126&lt;=27)*(FU$2:FU$126&lt;&gt;"")*($J$2:$J$126))</f>
        <v>0</v>
      </c>
      <c r="FV140" s="79" cm="1">
        <f t="array" ref="FV140">SUMPRODUCT(($B$2:$B$126=2)*(FV$2:FV$126&gt;=23)*(FV$2:FV$126&lt;=27)*(FV$2:FV$126&lt;&gt;"")*($J$2:$J$126))</f>
        <v>0</v>
      </c>
      <c r="FW140" s="79" cm="1">
        <f t="array" ref="FW140">SUMPRODUCT(($B$2:$B$126=2)*(FW$2:FW$126&gt;=23)*(FW$2:FW$126&lt;=27)*(FW$2:FW$126&lt;&gt;"")*($J$2:$J$126))</f>
        <v>0</v>
      </c>
      <c r="FX140" s="79" cm="1">
        <f t="array" ref="FX140">SUMPRODUCT(($B$2:$B$126=2)*(FX$2:FX$126&gt;=23)*(FX$2:FX$126&lt;=27)*(FX$2:FX$126&lt;&gt;"")*($J$2:$J$126))</f>
        <v>0</v>
      </c>
      <c r="FY140" s="79" cm="1">
        <f t="array" ref="FY140">SUMPRODUCT(($B$2:$B$126=2)*(FY$2:FY$126&gt;=23)*(FY$2:FY$126&lt;=27)*(FY$2:FY$126&lt;&gt;"")*($J$2:$J$126))</f>
        <v>0</v>
      </c>
      <c r="FZ140" s="79" cm="1">
        <f t="array" ref="FZ140">SUMPRODUCT(($B$2:$B$126=2)*(FZ$2:FZ$126&gt;=23)*(FZ$2:FZ$126&lt;=27)*(FZ$2:FZ$126&lt;&gt;"")*($J$2:$J$126))</f>
        <v>0</v>
      </c>
      <c r="GA140" s="79" cm="1">
        <f t="array" ref="GA140">SUMPRODUCT(($B$2:$B$126=2)*(GA$2:GA$126&gt;=23)*(GA$2:GA$126&lt;=27)*(GA$2:GA$126&lt;&gt;"")*($J$2:$J$126))</f>
        <v>0</v>
      </c>
      <c r="GB140" s="79" cm="1">
        <f t="array" ref="GB140">SUMPRODUCT(($B$2:$B$126=2)*(GB$2:GB$126&gt;=23)*(GB$2:GB$126&lt;=27)*(GB$2:GB$126&lt;&gt;"")*($J$2:$J$126))</f>
        <v>0</v>
      </c>
      <c r="GC140" s="79" cm="1">
        <f t="array" ref="GC140">SUMPRODUCT(($B$2:$B$126=2)*(GC$2:GC$126&gt;=23)*(GC$2:GC$126&lt;=27)*(GC$2:GC$126&lt;&gt;"")*($J$2:$J$126))</f>
        <v>0</v>
      </c>
      <c r="GD140" s="79" cm="1">
        <f t="array" ref="GD140">SUMPRODUCT(($B$2:$B$126=2)*(GD$2:GD$126&gt;=23)*(GD$2:GD$126&lt;=27)*(GD$2:GD$126&lt;&gt;"")*($J$2:$J$126))</f>
        <v>0</v>
      </c>
      <c r="GE140" s="79" cm="1">
        <f t="array" ref="GE140">SUMPRODUCT(($B$2:$B$126=2)*(GE$2:GE$126&gt;=23)*(GE$2:GE$126&lt;=27)*(GE$2:GE$126&lt;&gt;"")*($J$2:$J$126))</f>
        <v>0</v>
      </c>
      <c r="GF140" s="79" cm="1">
        <f t="array" ref="GF140">SUMPRODUCT(($B$2:$B$126=2)*(GF$2:GF$126&gt;=23)*(GF$2:GF$126&lt;=27)*(GF$2:GF$126&lt;&gt;"")*($J$2:$J$126))</f>
        <v>0</v>
      </c>
      <c r="GG140" s="79" cm="1">
        <f t="array" ref="GG140">SUMPRODUCT(($B$2:$B$126=2)*(GG$2:GG$126&gt;=23)*(GG$2:GG$126&lt;=27)*(GG$2:GG$126&lt;&gt;"")*($J$2:$J$126))</f>
        <v>0</v>
      </c>
      <c r="GH140" s="79" cm="1">
        <f t="array" ref="GH140">SUMPRODUCT(($B$2:$B$126=2)*(GH$2:GH$126&gt;=23)*(GH$2:GH$126&lt;=27)*(GH$2:GH$126&lt;&gt;"")*($J$2:$J$126))</f>
        <v>0</v>
      </c>
      <c r="GI140" s="79" cm="1">
        <f t="array" ref="GI140">SUMPRODUCT(($B$2:$B$126=2)*(GI$2:GI$126&gt;=23)*(GI$2:GI$126&lt;=27)*(GI$2:GI$126&lt;&gt;"")*($J$2:$J$126))</f>
        <v>0</v>
      </c>
      <c r="GJ140" s="79" cm="1">
        <f t="array" ref="GJ140">SUMPRODUCT(($B$2:$B$126=2)*(GJ$2:GJ$126&gt;=23)*(GJ$2:GJ$126&lt;=27)*(GJ$2:GJ$126&lt;&gt;"")*($J$2:$J$126))</f>
        <v>0</v>
      </c>
      <c r="GK140" s="79" cm="1">
        <f t="array" ref="GK140">SUMPRODUCT(($B$2:$B$126=2)*(GK$2:GK$126&gt;=23)*(GK$2:GK$126&lt;=27)*(GK$2:GK$126&lt;&gt;"")*($J$2:$J$126))</f>
        <v>0</v>
      </c>
      <c r="GL140" s="79" cm="1">
        <f t="array" ref="GL140">SUMPRODUCT(($B$2:$B$126=2)*(GL$2:GL$126&gt;=23)*(GL$2:GL$126&lt;=27)*(GL$2:GL$126&lt;&gt;"")*($J$2:$J$126))</f>
        <v>0</v>
      </c>
      <c r="GM140" s="79" cm="1">
        <f t="array" ref="GM140">SUMPRODUCT(($B$2:$B$126=2)*(GM$2:GM$126&gt;=23)*(GM$2:GM$126&lt;=27)*(GM$2:GM$126&lt;&gt;"")*($J$2:$J$126))</f>
        <v>0</v>
      </c>
      <c r="GN140" s="79" cm="1">
        <f t="array" ref="GN140">SUMPRODUCT(($B$2:$B$126=2)*(GN$2:GN$126&gt;=23)*(GN$2:GN$126&lt;=27)*(GN$2:GN$126&lt;&gt;"")*($J$2:$J$126))</f>
        <v>0</v>
      </c>
      <c r="GO140" s="79" cm="1">
        <f t="array" ref="GO140">SUMPRODUCT(($B$2:$B$126=2)*(GO$2:GO$126&gt;=23)*(GO$2:GO$126&lt;=27)*(GO$2:GO$126&lt;&gt;"")*($J$2:$J$126))</f>
        <v>0</v>
      </c>
      <c r="GP140" s="79" cm="1">
        <f t="array" ref="GP140">SUMPRODUCT(($B$2:$B$126=2)*(GP$2:GP$126&gt;=23)*(GP$2:GP$126&lt;=27)*(GP$2:GP$126&lt;&gt;"")*($J$2:$J$126))</f>
        <v>0</v>
      </c>
      <c r="GQ140" s="79" cm="1">
        <f t="array" ref="GQ140">SUMPRODUCT(($B$2:$B$126=2)*(GQ$2:GQ$126&gt;=23)*(GQ$2:GQ$126&lt;=27)*(GQ$2:GQ$126&lt;&gt;"")*($J$2:$J$126))</f>
        <v>0</v>
      </c>
      <c r="GR140" s="79" cm="1">
        <f t="array" ref="GR140">SUMPRODUCT(($B$2:$B$126=2)*(GR$2:GR$126&gt;=23)*(GR$2:GR$126&lt;=27)*(GR$2:GR$126&lt;&gt;"")*($J$2:$J$126))</f>
        <v>0</v>
      </c>
      <c r="GS140" s="79" cm="1">
        <f t="array" ref="GS140">SUMPRODUCT(($B$2:$B$126=2)*(GS$2:GS$126&gt;=23)*(GS$2:GS$126&lt;=27)*(GS$2:GS$126&lt;&gt;"")*($J$2:$J$126))</f>
        <v>0</v>
      </c>
      <c r="GT140" s="79" cm="1">
        <f t="array" ref="GT140">SUMPRODUCT(($B$2:$B$126=2)*(GT$2:GT$126&gt;=23)*(GT$2:GT$126&lt;=27)*(GT$2:GT$126&lt;&gt;"")*($J$2:$J$126))</f>
        <v>0</v>
      </c>
      <c r="GU140" s="79" cm="1">
        <f t="array" ref="GU140">SUMPRODUCT(($B$2:$B$126=2)*(GU$2:GU$126&gt;=23)*(GU$2:GU$126&lt;=27)*(GU$2:GU$126&lt;&gt;"")*($J$2:$J$126))</f>
        <v>0</v>
      </c>
      <c r="GV140" s="79" cm="1">
        <f t="array" ref="GV140">SUMPRODUCT(($B$2:$B$126=2)*(GV$2:GV$126&gt;=23)*(GV$2:GV$126&lt;=27)*(GV$2:GV$126&lt;&gt;"")*($J$2:$J$126))</f>
        <v>0</v>
      </c>
      <c r="GW140" s="79" cm="1">
        <f t="array" ref="GW140">SUMPRODUCT(($B$2:$B$126=2)*(GW$2:GW$126&gt;=23)*(GW$2:GW$126&lt;=27)*(GW$2:GW$126&lt;&gt;"")*($J$2:$J$126))</f>
        <v>0</v>
      </c>
      <c r="GX140" s="79" cm="1">
        <f t="array" ref="GX140">SUMPRODUCT(($B$2:$B$126=2)*(GX$2:GX$126&gt;=23)*(GX$2:GX$126&lt;=27)*(GX$2:GX$126&lt;&gt;"")*($J$2:$J$126))</f>
        <v>0</v>
      </c>
    </row>
    <row r="141" spans="1:206" x14ac:dyDescent="0.2">
      <c r="A141" s="84">
        <v>2</v>
      </c>
      <c r="B141" s="84" t="s">
        <v>259</v>
      </c>
      <c r="W141" s="79" cm="1">
        <f t="array" ref="W141">SUMPRODUCT(($B$2:$B$126=2)*(W$2:W$126&gt;=28)*(W$2:W$126&lt;=999)*(W$2:W$126&lt;&gt;"")*($J$2:$J$126))</f>
        <v>0</v>
      </c>
      <c r="X141" s="79" cm="1">
        <f t="array" ref="X141">SUMPRODUCT(($B$2:$B$126=2)*(X$2:X$126&gt;=28)*(X$2:X$126&lt;=999)*(X$2:X$126&lt;&gt;"")*($J$2:$J$126))</f>
        <v>0</v>
      </c>
      <c r="Y141" s="79" cm="1">
        <f t="array" ref="Y141">SUMPRODUCT(($B$2:$B$126=2)*(Y$2:Y$126&gt;=28)*(Y$2:Y$126&lt;=999)*(Y$2:Y$126&lt;&gt;"")*($J$2:$J$126))</f>
        <v>0</v>
      </c>
      <c r="Z141" s="79" cm="1">
        <f t="array" ref="Z141">SUMPRODUCT(($B$2:$B$126=2)*(Z$2:Z$126&gt;=28)*(Z$2:Z$126&lt;=999)*(Z$2:Z$126&lt;&gt;"")*($J$2:$J$126))</f>
        <v>33.729999999999997</v>
      </c>
      <c r="AA141" s="79" cm="1">
        <f t="array" ref="AA141">SUMPRODUCT(($B$2:$B$126=2)*(AA$2:AA$126&gt;=28)*(AA$2:AA$126&lt;=999)*(AA$2:AA$126&lt;&gt;"")*($J$2:$J$126))</f>
        <v>33.729999999999997</v>
      </c>
      <c r="AB141" s="79" cm="1">
        <f t="array" ref="AB141">SUMPRODUCT(($B$2:$B$126=2)*(AB$2:AB$126&gt;=28)*(AB$2:AB$126&lt;=999)*(AB$2:AB$126&lt;&gt;"")*($J$2:$J$126))</f>
        <v>33.729999999999997</v>
      </c>
      <c r="AC141" s="79" cm="1">
        <f t="array" ref="AC141">SUMPRODUCT(($B$2:$B$126=2)*(AC$2:AC$126&gt;=28)*(AC$2:AC$126&lt;=999)*(AC$2:AC$126&lt;&gt;"")*($J$2:$J$126))</f>
        <v>33.729999999999997</v>
      </c>
      <c r="AD141" s="79" cm="1">
        <f t="array" ref="AD141">SUMPRODUCT(($B$2:$B$126=2)*(AD$2:AD$126&gt;=28)*(AD$2:AD$126&lt;=999)*(AD$2:AD$126&lt;&gt;"")*($J$2:$J$126))</f>
        <v>33.729999999999997</v>
      </c>
      <c r="AE141" s="79" cm="1">
        <f t="array" ref="AE141">SUMPRODUCT(($B$2:$B$126=2)*(AE$2:AE$126&gt;=28)*(AE$2:AE$126&lt;=999)*(AE$2:AE$126&lt;&gt;"")*($J$2:$J$126))</f>
        <v>0</v>
      </c>
      <c r="AF141" s="79" cm="1">
        <f t="array" ref="AF141">SUMPRODUCT(($B$2:$B$126=2)*(AF$2:AF$126&gt;=28)*(AF$2:AF$126&lt;=999)*(AF$2:AF$126&lt;&gt;"")*($J$2:$J$126))</f>
        <v>0</v>
      </c>
      <c r="AG141" s="79" cm="1">
        <f t="array" ref="AG141">SUMPRODUCT(($B$2:$B$126=2)*(AG$2:AG$126&gt;=28)*(AG$2:AG$126&lt;=999)*(AG$2:AG$126&lt;&gt;"")*($J$2:$J$126))</f>
        <v>70.78</v>
      </c>
      <c r="AH141" s="79" cm="1">
        <f t="array" ref="AH141">SUMPRODUCT(($B$2:$B$126=2)*(AH$2:AH$126&gt;=28)*(AH$2:AH$126&lt;=999)*(AH$2:AH$126&lt;&gt;"")*($J$2:$J$126))</f>
        <v>70.78</v>
      </c>
      <c r="AI141" s="79" cm="1">
        <f t="array" ref="AI141">SUMPRODUCT(($B$2:$B$126=2)*(AI$2:AI$126&gt;=28)*(AI$2:AI$126&lt;=999)*(AI$2:AI$126&lt;&gt;"")*($J$2:$J$126))</f>
        <v>70.78</v>
      </c>
      <c r="AJ141" s="79" cm="1">
        <f t="array" ref="AJ141">SUMPRODUCT(($B$2:$B$126=2)*(AJ$2:AJ$126&gt;=28)*(AJ$2:AJ$126&lt;=999)*(AJ$2:AJ$126&lt;&gt;"")*($J$2:$J$126))</f>
        <v>70.78</v>
      </c>
      <c r="AK141" s="79" cm="1">
        <f t="array" ref="AK141">SUMPRODUCT(($B$2:$B$126=2)*(AK$2:AK$126&gt;=28)*(AK$2:AK$126&lt;=999)*(AK$2:AK$126&lt;&gt;"")*($J$2:$J$126))</f>
        <v>130.86000000000001</v>
      </c>
      <c r="AL141" s="79" cm="1">
        <f t="array" ref="AL141">SUMPRODUCT(($B$2:$B$126=2)*(AL$2:AL$126&gt;=28)*(AL$2:AL$126&lt;=999)*(AL$2:AL$126&lt;&gt;"")*($J$2:$J$126))</f>
        <v>176.04000000000002</v>
      </c>
      <c r="AM141" s="79" cm="1">
        <f t="array" ref="AM141">SUMPRODUCT(($B$2:$B$126=2)*(AM$2:AM$126&gt;=28)*(AM$2:AM$126&lt;=999)*(AM$2:AM$126&lt;&gt;"")*($J$2:$J$126))</f>
        <v>216.3</v>
      </c>
      <c r="AN141" s="79" cm="1">
        <f t="array" ref="AN141">SUMPRODUCT(($B$2:$B$126=2)*(AN$2:AN$126&gt;=28)*(AN$2:AN$126&lt;=999)*(AN$2:AN$126&lt;&gt;"")*($J$2:$J$126))</f>
        <v>188.86</v>
      </c>
      <c r="AO141" s="79" cm="1">
        <f t="array" ref="AO141">SUMPRODUCT(($B$2:$B$126=2)*(AO$2:AO$126&gt;=28)*(AO$2:AO$126&lt;=999)*(AO$2:AO$126&lt;&gt;"")*($J$2:$J$126))</f>
        <v>222.72000000000003</v>
      </c>
      <c r="AP141" s="79" cm="1">
        <f t="array" ref="AP141">SUMPRODUCT(($B$2:$B$126=2)*(AP$2:AP$126&gt;=28)*(AP$2:AP$126&lt;=999)*(AP$2:AP$126&lt;&gt;"")*($J$2:$J$126))</f>
        <v>209.61</v>
      </c>
      <c r="AQ141" s="79" cm="1">
        <f t="array" ref="AQ141">SUMPRODUCT(($B$2:$B$126=2)*(AQ$2:AQ$126&gt;=28)*(AQ$2:AQ$126&lt;=999)*(AQ$2:AQ$126&lt;&gt;"")*($J$2:$J$126))</f>
        <v>230.86</v>
      </c>
      <c r="AR141" s="79" cm="1">
        <f t="array" ref="AR141">SUMPRODUCT(($B$2:$B$126=2)*(AR$2:AR$126&gt;=28)*(AR$2:AR$126&lt;=999)*(AR$2:AR$126&lt;&gt;"")*($J$2:$J$126))</f>
        <v>145.69999999999999</v>
      </c>
      <c r="AS141" s="79" cm="1">
        <f t="array" ref="AS141">SUMPRODUCT(($B$2:$B$126=2)*(AS$2:AS$126&gt;=28)*(AS$2:AS$126&lt;=999)*(AS$2:AS$126&lt;&gt;"")*($J$2:$J$126))</f>
        <v>130.53</v>
      </c>
      <c r="AT141" s="79" cm="1">
        <f t="array" ref="AT141">SUMPRODUCT(($B$2:$B$126=2)*(AT$2:AT$126&gt;=28)*(AT$2:AT$126&lt;=999)*(AT$2:AT$126&lt;&gt;"")*($J$2:$J$126))</f>
        <v>130.53</v>
      </c>
      <c r="AU141" s="79" cm="1">
        <f t="array" ref="AU141">SUMPRODUCT(($B$2:$B$126=2)*(AU$2:AU$126&gt;=28)*(AU$2:AU$126&lt;=999)*(AU$2:AU$126&lt;&gt;"")*($J$2:$J$126))</f>
        <v>119.69</v>
      </c>
      <c r="AV141" s="79" cm="1">
        <f t="array" ref="AV141">SUMPRODUCT(($B$2:$B$126=2)*(AV$2:AV$126&gt;=28)*(AV$2:AV$126&lt;=999)*(AV$2:AV$126&lt;&gt;"")*($J$2:$J$126))</f>
        <v>119.69</v>
      </c>
      <c r="AW141" s="79" cm="1">
        <f t="array" ref="AW141">SUMPRODUCT(($B$2:$B$126=2)*(AW$2:AW$126&gt;=28)*(AW$2:AW$126&lt;=999)*(AW$2:AW$126&lt;&gt;"")*($J$2:$J$126))</f>
        <v>137.56</v>
      </c>
      <c r="AX141" s="79" cm="1">
        <f t="array" ref="AX141">SUMPRODUCT(($B$2:$B$126=2)*(AX$2:AX$126&gt;=28)*(AX$2:AX$126&lt;=999)*(AX$2:AX$126&lt;&gt;"")*($J$2:$J$126))</f>
        <v>125.67</v>
      </c>
      <c r="AY141" s="79" cm="1">
        <f t="array" ref="AY141">SUMPRODUCT(($B$2:$B$126=2)*(AY$2:AY$126&gt;=28)*(AY$2:AY$126&lt;=999)*(AY$2:AY$126&lt;&gt;"")*($J$2:$J$126))</f>
        <v>111.49</v>
      </c>
      <c r="AZ141" s="79" cm="1">
        <f t="array" ref="AZ141">SUMPRODUCT(($B$2:$B$126=2)*(AZ$2:AZ$126&gt;=28)*(AZ$2:AZ$126&lt;=999)*(AZ$2:AZ$126&lt;&gt;"")*($J$2:$J$126))</f>
        <v>146.75</v>
      </c>
      <c r="BA141" s="79" cm="1">
        <f t="array" ref="BA141">SUMPRODUCT(($B$2:$B$126=2)*(BA$2:BA$126&gt;=28)*(BA$2:BA$126&lt;=999)*(BA$2:BA$126&lt;&gt;"")*($J$2:$J$126))</f>
        <v>132.69</v>
      </c>
      <c r="BB141" s="79" cm="1">
        <f t="array" ref="BB141">SUMPRODUCT(($B$2:$B$126=2)*(BB$2:BB$126&gt;=28)*(BB$2:BB$126&lt;=999)*(BB$2:BB$126&lt;&gt;"")*($J$2:$J$126))</f>
        <v>172.98</v>
      </c>
      <c r="BC141" s="79" cm="1">
        <f t="array" ref="BC141">SUMPRODUCT(($B$2:$B$126=2)*(BC$2:BC$126&gt;=28)*(BC$2:BC$126&lt;=999)*(BC$2:BC$126&lt;&gt;"")*($J$2:$J$126))</f>
        <v>172.98</v>
      </c>
      <c r="BD141" s="79" cm="1">
        <f t="array" ref="BD141">SUMPRODUCT(($B$2:$B$126=2)*(BD$2:BD$126&gt;=28)*(BD$2:BD$126&lt;=999)*(BD$2:BD$126&lt;&gt;"")*($J$2:$J$126))</f>
        <v>172.98</v>
      </c>
      <c r="BE141" s="79" cm="1">
        <f t="array" ref="BE141">SUMPRODUCT(($B$2:$B$126=2)*(BE$2:BE$126&gt;=28)*(BE$2:BE$126&lt;=999)*(BE$2:BE$126&lt;&gt;"")*($J$2:$J$126))</f>
        <v>117.52000000000001</v>
      </c>
      <c r="BF141" s="79" cm="1">
        <f t="array" ref="BF141">SUMPRODUCT(($B$2:$B$126=2)*(BF$2:BF$126&gt;=28)*(BF$2:BF$126&lt;=999)*(BF$2:BF$126&lt;&gt;"")*($J$2:$J$126))</f>
        <v>106.39000000000001</v>
      </c>
      <c r="BG141" s="79" cm="1">
        <f t="array" ref="BG141">SUMPRODUCT(($B$2:$B$126=2)*(BG$2:BG$126&gt;=28)*(BG$2:BG$126&lt;=999)*(BG$2:BG$126&lt;&gt;"")*($J$2:$J$126))</f>
        <v>93.420000000000016</v>
      </c>
      <c r="BH141" s="79" cm="1">
        <f t="array" ref="BH141">SUMPRODUCT(($B$2:$B$126=2)*(BH$2:BH$126&gt;=28)*(BH$2:BH$126&lt;=999)*(BH$2:BH$126&lt;&gt;"")*($J$2:$J$126))</f>
        <v>93.420000000000016</v>
      </c>
      <c r="BI141" s="79" cm="1">
        <f t="array" ref="BI141">SUMPRODUCT(($B$2:$B$126=2)*(BI$2:BI$126&gt;=28)*(BI$2:BI$126&lt;=999)*(BI$2:BI$126&lt;&gt;"")*($J$2:$J$126))</f>
        <v>75.550000000000011</v>
      </c>
      <c r="BJ141" s="79" cm="1">
        <f t="array" ref="BJ141">SUMPRODUCT(($B$2:$B$126=2)*(BJ$2:BJ$126&gt;=28)*(BJ$2:BJ$126&lt;=999)*(BJ$2:BJ$126&lt;&gt;"")*($J$2:$J$126))</f>
        <v>75.550000000000011</v>
      </c>
      <c r="BK141" s="79" cm="1">
        <f t="array" ref="BK141">SUMPRODUCT(($B$2:$B$126=2)*(BK$2:BK$126&gt;=28)*(BK$2:BK$126&lt;=999)*(BK$2:BK$126&lt;&gt;"")*($J$2:$J$126))</f>
        <v>75.550000000000011</v>
      </c>
      <c r="BL141" s="79" cm="1">
        <f t="array" ref="BL141">SUMPRODUCT(($B$2:$B$126=2)*(BL$2:BL$126&gt;=28)*(BL$2:BL$126&lt;=999)*(BL$2:BL$126&lt;&gt;"")*($J$2:$J$126))</f>
        <v>75.550000000000011</v>
      </c>
      <c r="BM141" s="79" cm="1">
        <f t="array" ref="BM141">SUMPRODUCT(($B$2:$B$126=2)*(BM$2:BM$126&gt;=28)*(BM$2:BM$126&lt;=999)*(BM$2:BM$126&lt;&gt;"")*($J$2:$J$126))</f>
        <v>0</v>
      </c>
      <c r="BN141" s="79" cm="1">
        <f t="array" ref="BN141">SUMPRODUCT(($B$2:$B$126=2)*(BN$2:BN$126&gt;=28)*(BN$2:BN$126&lt;=999)*(BN$2:BN$126&lt;&gt;"")*($J$2:$J$126))</f>
        <v>0</v>
      </c>
      <c r="BO141" s="79" cm="1">
        <f t="array" ref="BO141">SUMPRODUCT(($B$2:$B$126=2)*(BO$2:BO$126&gt;=28)*(BO$2:BO$126&lt;=999)*(BO$2:BO$126&lt;&gt;"")*($J$2:$J$126))</f>
        <v>0</v>
      </c>
      <c r="BP141" s="79" cm="1">
        <f t="array" ref="BP141">SUMPRODUCT(($B$2:$B$126=2)*(BP$2:BP$126&gt;=28)*(BP$2:BP$126&lt;=999)*(BP$2:BP$126&lt;&gt;"")*($J$2:$J$126))</f>
        <v>0</v>
      </c>
      <c r="BQ141" s="79" cm="1">
        <f t="array" ref="BQ141">SUMPRODUCT(($B$2:$B$126=2)*(BQ$2:BQ$126&gt;=28)*(BQ$2:BQ$126&lt;=999)*(BQ$2:BQ$126&lt;&gt;"")*($J$2:$J$126))</f>
        <v>0</v>
      </c>
      <c r="BR141" s="79" cm="1">
        <f t="array" ref="BR141">SUMPRODUCT(($B$2:$B$126=2)*(BR$2:BR$126&gt;=28)*(BR$2:BR$126&lt;=999)*(BR$2:BR$126&lt;&gt;"")*($J$2:$J$126))</f>
        <v>0</v>
      </c>
      <c r="BS141" s="79" cm="1">
        <f t="array" ref="BS141">SUMPRODUCT(($B$2:$B$126=2)*(BS$2:BS$126&gt;=28)*(BS$2:BS$126&lt;=999)*(BS$2:BS$126&lt;&gt;"")*($J$2:$J$126))</f>
        <v>0</v>
      </c>
      <c r="BT141" s="79" cm="1">
        <f t="array" ref="BT141">SUMPRODUCT(($B$2:$B$126=2)*(BT$2:BT$126&gt;=28)*(BT$2:BT$126&lt;=999)*(BT$2:BT$126&lt;&gt;"")*($J$2:$J$126))</f>
        <v>0</v>
      </c>
      <c r="BU141" s="79" cm="1">
        <f t="array" ref="BU141">SUMPRODUCT(($B$2:$B$126=2)*(BU$2:BU$126&gt;=28)*(BU$2:BU$126&lt;=999)*(BU$2:BU$126&lt;&gt;"")*($J$2:$J$126))</f>
        <v>0</v>
      </c>
      <c r="BV141" s="79" cm="1">
        <f t="array" ref="BV141">SUMPRODUCT(($B$2:$B$126=2)*(BV$2:BV$126&gt;=28)*(BV$2:BV$126&lt;=999)*(BV$2:BV$126&lt;&gt;"")*($J$2:$J$126))</f>
        <v>0</v>
      </c>
      <c r="BW141" s="79" cm="1">
        <f t="array" ref="BW141">SUMPRODUCT(($B$2:$B$126=2)*(BW$2:BW$126&gt;=28)*(BW$2:BW$126&lt;=999)*(BW$2:BW$126&lt;&gt;"")*($J$2:$J$126))</f>
        <v>0</v>
      </c>
      <c r="BX141" s="79" cm="1">
        <f t="array" ref="BX141">SUMPRODUCT(($B$2:$B$126=2)*(BX$2:BX$126&gt;=28)*(BX$2:BX$126&lt;=999)*(BX$2:BX$126&lt;&gt;"")*($J$2:$J$126))</f>
        <v>0</v>
      </c>
      <c r="BY141" s="79" cm="1">
        <f t="array" ref="BY141">SUMPRODUCT(($B$2:$B$126=2)*(BY$2:BY$126&gt;=28)*(BY$2:BY$126&lt;=999)*(BY$2:BY$126&lt;&gt;"")*($J$2:$J$126))</f>
        <v>0</v>
      </c>
      <c r="BZ141" s="79" cm="1">
        <f t="array" ref="BZ141">SUMPRODUCT(($B$2:$B$126=2)*(BZ$2:BZ$126&gt;=28)*(BZ$2:BZ$126&lt;=999)*(BZ$2:BZ$126&lt;&gt;"")*($J$2:$J$126))</f>
        <v>0</v>
      </c>
      <c r="CA141" s="79" cm="1">
        <f t="array" ref="CA141">SUMPRODUCT(($B$2:$B$126=2)*(CA$2:CA$126&gt;=28)*(CA$2:CA$126&lt;=999)*(CA$2:CA$126&lt;&gt;"")*($J$2:$J$126))</f>
        <v>0</v>
      </c>
      <c r="CB141" s="79" cm="1">
        <f t="array" ref="CB141">SUMPRODUCT(($B$2:$B$126=2)*(CB$2:CB$126&gt;=28)*(CB$2:CB$126&lt;=999)*(CB$2:CB$126&lt;&gt;"")*($J$2:$J$126))</f>
        <v>0</v>
      </c>
      <c r="CC141" s="79" cm="1">
        <f t="array" ref="CC141">SUMPRODUCT(($B$2:$B$126=2)*(CC$2:CC$126&gt;=28)*(CC$2:CC$126&lt;=999)*(CC$2:CC$126&lt;&gt;"")*($J$2:$J$126))</f>
        <v>47.79</v>
      </c>
      <c r="CD141" s="79" cm="1">
        <f t="array" ref="CD141">SUMPRODUCT(($B$2:$B$126=2)*(CD$2:CD$126&gt;=28)*(CD$2:CD$126&lt;=999)*(CD$2:CD$126&lt;&gt;"")*($J$2:$J$126))</f>
        <v>47.79</v>
      </c>
      <c r="CE141" s="79" cm="1">
        <f t="array" ref="CE141">SUMPRODUCT(($B$2:$B$126=2)*(CE$2:CE$126&gt;=28)*(CE$2:CE$126&lt;=999)*(CE$2:CE$126&lt;&gt;"")*($J$2:$J$126))</f>
        <v>47.79</v>
      </c>
      <c r="CF141" s="79" cm="1">
        <f t="array" ref="CF141">SUMPRODUCT(($B$2:$B$126=2)*(CF$2:CF$126&gt;=28)*(CF$2:CF$126&lt;=999)*(CF$2:CF$126&lt;&gt;"")*($J$2:$J$126))</f>
        <v>47.79</v>
      </c>
      <c r="CG141" s="79" cm="1">
        <f t="array" ref="CG141">SUMPRODUCT(($B$2:$B$126=2)*(CG$2:CG$126&gt;=28)*(CG$2:CG$126&lt;=999)*(CG$2:CG$126&lt;&gt;"")*($J$2:$J$126))</f>
        <v>130.69</v>
      </c>
      <c r="CH141" s="79" cm="1">
        <f t="array" ref="CH141">SUMPRODUCT(($B$2:$B$126=2)*(CH$2:CH$126&gt;=28)*(CH$2:CH$126&lt;=999)*(CH$2:CH$126&lt;&gt;"")*($J$2:$J$126))</f>
        <v>247.07999999999998</v>
      </c>
      <c r="CI141" s="79" cm="1">
        <f t="array" ref="CI141">SUMPRODUCT(($B$2:$B$126=2)*(CI$2:CI$126&gt;=28)*(CI$2:CI$126&lt;=999)*(CI$2:CI$126&lt;&gt;"")*($J$2:$J$126))</f>
        <v>343.65</v>
      </c>
      <c r="CJ141" s="79" cm="1">
        <f t="array" ref="CJ141">SUMPRODUCT(($B$2:$B$126=2)*(CJ$2:CJ$126&gt;=28)*(CJ$2:CJ$126&lt;=999)*(CJ$2:CJ$126&lt;&gt;"")*($J$2:$J$126))</f>
        <v>386.99000000000007</v>
      </c>
      <c r="CK141" s="79" cm="1">
        <f t="array" ref="CK141">SUMPRODUCT(($B$2:$B$126=2)*(CK$2:CK$126&gt;=28)*(CK$2:CK$126&lt;=999)*(CK$2:CK$126&lt;&gt;"")*($J$2:$J$126))</f>
        <v>404.86000000000007</v>
      </c>
      <c r="CL141" s="79" cm="1">
        <f t="array" ref="CL141">SUMPRODUCT(($B$2:$B$126=2)*(CL$2:CL$126&gt;=28)*(CL$2:CL$126&lt;=999)*(CL$2:CL$126&lt;&gt;"")*($J$2:$J$126))</f>
        <v>404.86000000000007</v>
      </c>
      <c r="CM141" s="79" cm="1">
        <f t="array" ref="CM141">SUMPRODUCT(($B$2:$B$126=2)*(CM$2:CM$126&gt;=28)*(CM$2:CM$126&lt;=999)*(CM$2:CM$126&lt;&gt;"")*($J$2:$J$126))</f>
        <v>404.86000000000007</v>
      </c>
      <c r="CN141" s="79" cm="1">
        <f t="array" ref="CN141">SUMPRODUCT(($B$2:$B$126=2)*(CN$2:CN$126&gt;=28)*(CN$2:CN$126&lt;=999)*(CN$2:CN$126&lt;&gt;"")*($J$2:$J$126))</f>
        <v>404.86000000000007</v>
      </c>
      <c r="CO141" s="79" cm="1">
        <f t="array" ref="CO141">SUMPRODUCT(($B$2:$B$126=2)*(CO$2:CO$126&gt;=28)*(CO$2:CO$126&lt;=999)*(CO$2:CO$126&lt;&gt;"")*($J$2:$J$126))</f>
        <v>480.41000000000008</v>
      </c>
      <c r="CP141" s="79" cm="1">
        <f t="array" ref="CP141">SUMPRODUCT(($B$2:$B$126=2)*(CP$2:CP$126&gt;=28)*(CP$2:CP$126&lt;=999)*(CP$2:CP$126&lt;&gt;"")*($J$2:$J$126))</f>
        <v>502.38000000000011</v>
      </c>
      <c r="CQ141" s="79" cm="1">
        <f t="array" ref="CQ141">SUMPRODUCT(($B$2:$B$126=2)*(CQ$2:CQ$126&gt;=28)*(CQ$2:CQ$126&lt;=999)*(CQ$2:CQ$126&lt;&gt;"")*($J$2:$J$126))</f>
        <v>528.45000000000005</v>
      </c>
      <c r="CR141" s="79" cm="1">
        <f t="array" ref="CR141">SUMPRODUCT(($B$2:$B$126=2)*(CR$2:CR$126&gt;=28)*(CR$2:CR$126&lt;=999)*(CR$2:CR$126&lt;&gt;"")*($J$2:$J$126))</f>
        <v>528.45000000000005</v>
      </c>
      <c r="CS141" s="79" cm="1">
        <f t="array" ref="CS141">SUMPRODUCT(($B$2:$B$126=2)*(CS$2:CS$126&gt;=28)*(CS$2:CS$126&lt;=999)*(CS$2:CS$126&lt;&gt;"")*($J$2:$J$126))</f>
        <v>528.45000000000005</v>
      </c>
      <c r="CT141" s="79" cm="1">
        <f t="array" ref="CT141">SUMPRODUCT(($B$2:$B$126=2)*(CT$2:CT$126&gt;=28)*(CT$2:CT$126&lt;=999)*(CT$2:CT$126&lt;&gt;"")*($J$2:$J$126))</f>
        <v>528.45000000000005</v>
      </c>
      <c r="CU141" s="79" cm="1">
        <f t="array" ref="CU141">SUMPRODUCT(($B$2:$B$126=2)*(CU$2:CU$126&gt;=28)*(CU$2:CU$126&lt;=999)*(CU$2:CU$126&lt;&gt;"")*($J$2:$J$126))</f>
        <v>528.45000000000005</v>
      </c>
      <c r="CV141" s="79" cm="1">
        <f t="array" ref="CV141">SUMPRODUCT(($B$2:$B$126=2)*(CV$2:CV$126&gt;=28)*(CV$2:CV$126&lt;=999)*(CV$2:CV$126&lt;&gt;"")*($J$2:$J$126))</f>
        <v>528.45000000000005</v>
      </c>
      <c r="CW141" s="79" cm="1">
        <f t="array" ref="CW141">SUMPRODUCT(($B$2:$B$126=2)*(CW$2:CW$126&gt;=28)*(CW$2:CW$126&lt;=999)*(CW$2:CW$126&lt;&gt;"")*($J$2:$J$126))</f>
        <v>528.45000000000005</v>
      </c>
      <c r="CX141" s="79" cm="1">
        <f t="array" ref="CX141">SUMPRODUCT(($B$2:$B$126=2)*(CX$2:CX$126&gt;=28)*(CX$2:CX$126&lt;=999)*(CX$2:CX$126&lt;&gt;"")*($J$2:$J$126))</f>
        <v>528.45000000000005</v>
      </c>
      <c r="CY141" s="79" cm="1">
        <f t="array" ref="CY141">SUMPRODUCT(($B$2:$B$126=2)*(CY$2:CY$126&gt;=28)*(CY$2:CY$126&lt;=999)*(CY$2:CY$126&lt;&gt;"")*($J$2:$J$126))</f>
        <v>528.45000000000005</v>
      </c>
      <c r="CZ141" s="79" cm="1">
        <f t="array" ref="CZ141">SUMPRODUCT(($B$2:$B$126=2)*(CZ$2:CZ$126&gt;=28)*(CZ$2:CZ$126&lt;=999)*(CZ$2:CZ$126&lt;&gt;"")*($J$2:$J$126))</f>
        <v>528.45000000000005</v>
      </c>
      <c r="DA141" s="79" cm="1">
        <f t="array" ref="DA141">SUMPRODUCT(($B$2:$B$126=2)*(DA$2:DA$126&gt;=28)*(DA$2:DA$126&lt;=999)*(DA$2:DA$126&lt;&gt;"")*($J$2:$J$126))</f>
        <v>528.45000000000005</v>
      </c>
      <c r="DB141" s="79" cm="1">
        <f t="array" ref="DB141">SUMPRODUCT(($B$2:$B$126=2)*(DB$2:DB$126&gt;=28)*(DB$2:DB$126&lt;=999)*(DB$2:DB$126&lt;&gt;"")*($J$2:$J$126))</f>
        <v>528.45000000000005</v>
      </c>
      <c r="DC141" s="79" cm="1">
        <f t="array" ref="DC141">SUMPRODUCT(($B$2:$B$126=2)*(DC$2:DC$126&gt;=28)*(DC$2:DC$126&lt;=999)*(DC$2:DC$126&lt;&gt;"")*($J$2:$J$126))</f>
        <v>528.45000000000005</v>
      </c>
      <c r="DD141" s="79" cm="1">
        <f t="array" ref="DD141">SUMPRODUCT(($B$2:$B$126=2)*(DD$2:DD$126&gt;=28)*(DD$2:DD$126&lt;=999)*(DD$2:DD$126&lt;&gt;"")*($J$2:$J$126))</f>
        <v>528.45000000000005</v>
      </c>
      <c r="DE141" s="79" cm="1">
        <f t="array" ref="DE141">SUMPRODUCT(($B$2:$B$126=2)*(DE$2:DE$126&gt;=28)*(DE$2:DE$126&lt;=999)*(DE$2:DE$126&lt;&gt;"")*($J$2:$J$126))</f>
        <v>528.45000000000005</v>
      </c>
      <c r="DF141" s="79" cm="1">
        <f t="array" ref="DF141">SUMPRODUCT(($B$2:$B$126=2)*(DF$2:DF$126&gt;=28)*(DF$2:DF$126&lt;=999)*(DF$2:DF$126&lt;&gt;"")*($J$2:$J$126))</f>
        <v>528.45000000000005</v>
      </c>
      <c r="DG141" s="79" cm="1">
        <f t="array" ref="DG141">SUMPRODUCT(($B$2:$B$126=2)*(DG$2:DG$126&gt;=28)*(DG$2:DG$126&lt;=999)*(DG$2:DG$126&lt;&gt;"")*($J$2:$J$126))</f>
        <v>528.45000000000005</v>
      </c>
      <c r="DH141" s="79" cm="1">
        <f t="array" ref="DH141">SUMPRODUCT(($B$2:$B$126=2)*(DH$2:DH$126&gt;=28)*(DH$2:DH$126&lt;=999)*(DH$2:DH$126&lt;&gt;"")*($J$2:$J$126))</f>
        <v>528.45000000000005</v>
      </c>
      <c r="DI141" s="79" cm="1">
        <f t="array" ref="DI141">SUMPRODUCT(($B$2:$B$126=2)*(DI$2:DI$126&gt;=28)*(DI$2:DI$126&lt;=999)*(DI$2:DI$126&lt;&gt;"")*($J$2:$J$126))</f>
        <v>528.45000000000005</v>
      </c>
      <c r="DJ141" s="79" cm="1">
        <f t="array" ref="DJ141">SUMPRODUCT(($B$2:$B$126=2)*(DJ$2:DJ$126&gt;=28)*(DJ$2:DJ$126&lt;=999)*(DJ$2:DJ$126&lt;&gt;"")*($J$2:$J$126))</f>
        <v>528.45000000000005</v>
      </c>
      <c r="DK141" s="79" cm="1">
        <f t="array" ref="DK141">SUMPRODUCT(($B$2:$B$126=2)*(DK$2:DK$126&gt;=28)*(DK$2:DK$126&lt;=999)*(DK$2:DK$126&lt;&gt;"")*($J$2:$J$126))</f>
        <v>528.45000000000005</v>
      </c>
      <c r="DL141" s="79" cm="1">
        <f t="array" ref="DL141">SUMPRODUCT(($B$2:$B$126=2)*(DL$2:DL$126&gt;=28)*(DL$2:DL$126&lt;=999)*(DL$2:DL$126&lt;&gt;"")*($J$2:$J$126))</f>
        <v>528.45000000000005</v>
      </c>
      <c r="DM141" s="79" cm="1">
        <f t="array" ref="DM141">SUMPRODUCT(($B$2:$B$126=2)*(DM$2:DM$126&gt;=28)*(DM$2:DM$126&lt;=999)*(DM$2:DM$126&lt;&gt;"")*($J$2:$J$126))</f>
        <v>528.45000000000005</v>
      </c>
      <c r="DN141" s="79" cm="1">
        <f t="array" ref="DN141">SUMPRODUCT(($B$2:$B$126=2)*(DN$2:DN$126&gt;=28)*(DN$2:DN$126&lt;=999)*(DN$2:DN$126&lt;&gt;"")*($J$2:$J$126))</f>
        <v>528.45000000000005</v>
      </c>
      <c r="DO141" s="79" cm="1">
        <f t="array" ref="DO141">SUMPRODUCT(($B$2:$B$126=2)*(DO$2:DO$126&gt;=28)*(DO$2:DO$126&lt;=999)*(DO$2:DO$126&lt;&gt;"")*($J$2:$J$126))</f>
        <v>528.45000000000005</v>
      </c>
      <c r="DP141" s="79" cm="1">
        <f t="array" ref="DP141">SUMPRODUCT(($B$2:$B$126=2)*(DP$2:DP$126&gt;=28)*(DP$2:DP$126&lt;=999)*(DP$2:DP$126&lt;&gt;"")*($J$2:$J$126))</f>
        <v>528.45000000000005</v>
      </c>
      <c r="DQ141" s="79" cm="1">
        <f t="array" ref="DQ141">SUMPRODUCT(($B$2:$B$126=2)*(DQ$2:DQ$126&gt;=28)*(DQ$2:DQ$126&lt;=999)*(DQ$2:DQ$126&lt;&gt;"")*($J$2:$J$126))</f>
        <v>528.45000000000005</v>
      </c>
      <c r="DR141" s="79" cm="1">
        <f t="array" ref="DR141">SUMPRODUCT(($B$2:$B$126=2)*(DR$2:DR$126&gt;=28)*(DR$2:DR$126&lt;=999)*(DR$2:DR$126&lt;&gt;"")*($J$2:$J$126))</f>
        <v>528.45000000000005</v>
      </c>
      <c r="DS141" s="79" cm="1">
        <f t="array" ref="DS141">SUMPRODUCT(($B$2:$B$126=2)*(DS$2:DS$126&gt;=28)*(DS$2:DS$126&lt;=999)*(DS$2:DS$126&lt;&gt;"")*($J$2:$J$126))</f>
        <v>528.45000000000005</v>
      </c>
      <c r="DT141" s="79" cm="1">
        <f t="array" ref="DT141">SUMPRODUCT(($B$2:$B$126=2)*(DT$2:DT$126&gt;=28)*(DT$2:DT$126&lt;=999)*(DT$2:DT$126&lt;&gt;"")*($J$2:$J$126))</f>
        <v>528.45000000000005</v>
      </c>
      <c r="DU141" s="79" cm="1">
        <f t="array" ref="DU141">SUMPRODUCT(($B$2:$B$126=2)*(DU$2:DU$126&gt;=28)*(DU$2:DU$126&lt;=999)*(DU$2:DU$126&lt;&gt;"")*($J$2:$J$126))</f>
        <v>528.45000000000005</v>
      </c>
      <c r="DV141" s="79" cm="1">
        <f t="array" ref="DV141">SUMPRODUCT(($B$2:$B$126=2)*(DV$2:DV$126&gt;=28)*(DV$2:DV$126&lt;=999)*(DV$2:DV$126&lt;&gt;"")*($J$2:$J$126))</f>
        <v>528.45000000000005</v>
      </c>
      <c r="DW141" s="79" cm="1">
        <f t="array" ref="DW141">SUMPRODUCT(($B$2:$B$126=2)*(DW$2:DW$126&gt;=28)*(DW$2:DW$126&lt;=999)*(DW$2:DW$126&lt;&gt;"")*($J$2:$J$126))</f>
        <v>528.45000000000005</v>
      </c>
      <c r="DX141" s="79" cm="1">
        <f t="array" ref="DX141">SUMPRODUCT(($B$2:$B$126=2)*(DX$2:DX$126&gt;=28)*(DX$2:DX$126&lt;=999)*(DX$2:DX$126&lt;&gt;"")*($J$2:$J$126))</f>
        <v>528.45000000000005</v>
      </c>
      <c r="DY141" s="79" cm="1">
        <f t="array" ref="DY141">SUMPRODUCT(($B$2:$B$126=2)*(DY$2:DY$126&gt;=28)*(DY$2:DY$126&lt;=999)*(DY$2:DY$126&lt;&gt;"")*($J$2:$J$126))</f>
        <v>528.45000000000005</v>
      </c>
      <c r="DZ141" s="79" cm="1">
        <f t="array" ref="DZ141">SUMPRODUCT(($B$2:$B$126=2)*(DZ$2:DZ$126&gt;=28)*(DZ$2:DZ$126&lt;=999)*(DZ$2:DZ$126&lt;&gt;"")*($J$2:$J$126))</f>
        <v>528.45000000000005</v>
      </c>
      <c r="EA141" s="79" cm="1">
        <f t="array" ref="EA141">SUMPRODUCT(($B$2:$B$126=2)*(EA$2:EA$126&gt;=28)*(EA$2:EA$126&lt;=999)*(EA$2:EA$126&lt;&gt;"")*($J$2:$J$126))</f>
        <v>528.45000000000005</v>
      </c>
      <c r="EB141" s="79" cm="1">
        <f t="array" ref="EB141">SUMPRODUCT(($B$2:$B$126=2)*(EB$2:EB$126&gt;=28)*(EB$2:EB$126&lt;=999)*(EB$2:EB$126&lt;&gt;"")*($J$2:$J$126))</f>
        <v>528.45000000000005</v>
      </c>
      <c r="EC141" s="79" cm="1">
        <f t="array" ref="EC141">SUMPRODUCT(($B$2:$B$126=2)*(EC$2:EC$126&gt;=28)*(EC$2:EC$126&lt;=999)*(EC$2:EC$126&lt;&gt;"")*($J$2:$J$126))</f>
        <v>528.45000000000005</v>
      </c>
      <c r="ED141" s="79" cm="1">
        <f t="array" ref="ED141">SUMPRODUCT(($B$2:$B$126=2)*(ED$2:ED$126&gt;=28)*(ED$2:ED$126&lt;=999)*(ED$2:ED$126&lt;&gt;"")*($J$2:$J$126))</f>
        <v>528.45000000000005</v>
      </c>
      <c r="EE141" s="79" cm="1">
        <f t="array" ref="EE141">SUMPRODUCT(($B$2:$B$126=2)*(EE$2:EE$126&gt;=28)*(EE$2:EE$126&lt;=999)*(EE$2:EE$126&lt;&gt;"")*($J$2:$J$126))</f>
        <v>528.45000000000005</v>
      </c>
      <c r="EF141" s="79" cm="1">
        <f t="array" ref="EF141">SUMPRODUCT(($B$2:$B$126=2)*(EF$2:EF$126&gt;=28)*(EF$2:EF$126&lt;=999)*(EF$2:EF$126&lt;&gt;"")*($J$2:$J$126))</f>
        <v>528.45000000000005</v>
      </c>
      <c r="EG141" s="79" cm="1">
        <f t="array" ref="EG141">SUMPRODUCT(($B$2:$B$126=2)*(EG$2:EG$126&gt;=28)*(EG$2:EG$126&lt;=999)*(EG$2:EG$126&lt;&gt;"")*($J$2:$J$126))</f>
        <v>528.45000000000005</v>
      </c>
      <c r="EH141" s="79" cm="1">
        <f t="array" ref="EH141">SUMPRODUCT(($B$2:$B$126=2)*(EH$2:EH$126&gt;=28)*(EH$2:EH$126&lt;=999)*(EH$2:EH$126&lt;&gt;"")*($J$2:$J$126))</f>
        <v>528.45000000000005</v>
      </c>
      <c r="EI141" s="79" cm="1">
        <f t="array" ref="EI141">SUMPRODUCT(($B$2:$B$126=2)*(EI$2:EI$126&gt;=28)*(EI$2:EI$126&lt;=999)*(EI$2:EI$126&lt;&gt;"")*($J$2:$J$126))</f>
        <v>528.45000000000005</v>
      </c>
      <c r="EJ141" s="79" cm="1">
        <f t="array" ref="EJ141">SUMPRODUCT(($B$2:$B$126=2)*(EJ$2:EJ$126&gt;=28)*(EJ$2:EJ$126&lt;=999)*(EJ$2:EJ$126&lt;&gt;"")*($J$2:$J$126))</f>
        <v>528.45000000000005</v>
      </c>
      <c r="EK141" s="79" cm="1">
        <f t="array" ref="EK141">SUMPRODUCT(($B$2:$B$126=2)*(EK$2:EK$126&gt;=28)*(EK$2:EK$126&lt;=999)*(EK$2:EK$126&lt;&gt;"")*($J$2:$J$126))</f>
        <v>528.45000000000005</v>
      </c>
      <c r="EL141" s="79" cm="1">
        <f t="array" ref="EL141">SUMPRODUCT(($B$2:$B$126=2)*(EL$2:EL$126&gt;=28)*(EL$2:EL$126&lt;=999)*(EL$2:EL$126&lt;&gt;"")*($J$2:$J$126))</f>
        <v>528.45000000000005</v>
      </c>
      <c r="EM141" s="79" cm="1">
        <f t="array" ref="EM141">SUMPRODUCT(($B$2:$B$126=2)*(EM$2:EM$126&gt;=28)*(EM$2:EM$126&lt;=999)*(EM$2:EM$126&lt;&gt;"")*($J$2:$J$126))</f>
        <v>528.45000000000005</v>
      </c>
      <c r="EN141" s="79" cm="1">
        <f t="array" ref="EN141">SUMPRODUCT(($B$2:$B$126=2)*(EN$2:EN$126&gt;=28)*(EN$2:EN$126&lt;=999)*(EN$2:EN$126&lt;&gt;"")*($J$2:$J$126))</f>
        <v>528.45000000000005</v>
      </c>
      <c r="EO141" s="79" cm="1">
        <f t="array" ref="EO141">SUMPRODUCT(($B$2:$B$126=2)*(EO$2:EO$126&gt;=28)*(EO$2:EO$126&lt;=999)*(EO$2:EO$126&lt;&gt;"")*($J$2:$J$126))</f>
        <v>528.45000000000005</v>
      </c>
      <c r="EP141" s="79" cm="1">
        <f t="array" ref="EP141">SUMPRODUCT(($B$2:$B$126=2)*(EP$2:EP$126&gt;=28)*(EP$2:EP$126&lt;=999)*(EP$2:EP$126&lt;&gt;"")*($J$2:$J$126))</f>
        <v>528.45000000000005</v>
      </c>
      <c r="EQ141" s="79" cm="1">
        <f t="array" ref="EQ141">SUMPRODUCT(($B$2:$B$126=2)*(EQ$2:EQ$126&gt;=28)*(EQ$2:EQ$126&lt;=999)*(EQ$2:EQ$126&lt;&gt;"")*($J$2:$J$126))</f>
        <v>528.45000000000005</v>
      </c>
      <c r="ER141" s="79" cm="1">
        <f t="array" ref="ER141">SUMPRODUCT(($B$2:$B$126=2)*(ER$2:ER$126&gt;=28)*(ER$2:ER$126&lt;=999)*(ER$2:ER$126&lt;&gt;"")*($J$2:$J$126))</f>
        <v>528.45000000000005</v>
      </c>
      <c r="ES141" s="79" cm="1">
        <f t="array" ref="ES141">SUMPRODUCT(($B$2:$B$126=2)*(ES$2:ES$126&gt;=28)*(ES$2:ES$126&lt;=999)*(ES$2:ES$126&lt;&gt;"")*($J$2:$J$126))</f>
        <v>528.45000000000005</v>
      </c>
      <c r="ET141" s="79" cm="1">
        <f t="array" ref="ET141">SUMPRODUCT(($B$2:$B$126=2)*(ET$2:ET$126&gt;=28)*(ET$2:ET$126&lt;=999)*(ET$2:ET$126&lt;&gt;"")*($J$2:$J$126))</f>
        <v>528.45000000000005</v>
      </c>
      <c r="EU141" s="79" cm="1">
        <f t="array" ref="EU141">SUMPRODUCT(($B$2:$B$126=2)*(EU$2:EU$126&gt;=28)*(EU$2:EU$126&lt;=999)*(EU$2:EU$126&lt;&gt;"")*($J$2:$J$126))</f>
        <v>528.45000000000005</v>
      </c>
      <c r="EV141" s="79" cm="1">
        <f t="array" ref="EV141">SUMPRODUCT(($B$2:$B$126=2)*(EV$2:EV$126&gt;=28)*(EV$2:EV$126&lt;=999)*(EV$2:EV$126&lt;&gt;"")*($J$2:$J$126))</f>
        <v>528.45000000000005</v>
      </c>
      <c r="EW141" s="79" cm="1">
        <f t="array" ref="EW141">SUMPRODUCT(($B$2:$B$126=2)*(EW$2:EW$126&gt;=28)*(EW$2:EW$126&lt;=999)*(EW$2:EW$126&lt;&gt;"")*($J$2:$J$126))</f>
        <v>528.45000000000005</v>
      </c>
      <c r="EX141" s="79" cm="1">
        <f t="array" ref="EX141">SUMPRODUCT(($B$2:$B$126=2)*(EX$2:EX$126&gt;=28)*(EX$2:EX$126&lt;=999)*(EX$2:EX$126&lt;&gt;"")*($J$2:$J$126))</f>
        <v>528.45000000000005</v>
      </c>
      <c r="EY141" s="79" cm="1">
        <f t="array" ref="EY141">SUMPRODUCT(($B$2:$B$126=2)*(EY$2:EY$126&gt;=28)*(EY$2:EY$126&lt;=999)*(EY$2:EY$126&lt;&gt;"")*($J$2:$J$126))</f>
        <v>528.45000000000005</v>
      </c>
      <c r="EZ141" s="79" cm="1">
        <f t="array" ref="EZ141">SUMPRODUCT(($B$2:$B$126=2)*(EZ$2:EZ$126&gt;=28)*(EZ$2:EZ$126&lt;=999)*(EZ$2:EZ$126&lt;&gt;"")*($J$2:$J$126))</f>
        <v>528.45000000000005</v>
      </c>
      <c r="FA141" s="79" cm="1">
        <f t="array" ref="FA141">SUMPRODUCT(($B$2:$B$126=2)*(FA$2:FA$126&gt;=28)*(FA$2:FA$126&lt;=999)*(FA$2:FA$126&lt;&gt;"")*($J$2:$J$126))</f>
        <v>528.45000000000005</v>
      </c>
      <c r="FB141" s="79" cm="1">
        <f t="array" ref="FB141">SUMPRODUCT(($B$2:$B$126=2)*(FB$2:FB$126&gt;=28)*(FB$2:FB$126&lt;=999)*(FB$2:FB$126&lt;&gt;"")*($J$2:$J$126))</f>
        <v>528.45000000000005</v>
      </c>
      <c r="FC141" s="79" cm="1">
        <f t="array" ref="FC141">SUMPRODUCT(($B$2:$B$126=2)*(FC$2:FC$126&gt;=28)*(FC$2:FC$126&lt;=999)*(FC$2:FC$126&lt;&gt;"")*($J$2:$J$126))</f>
        <v>528.45000000000005</v>
      </c>
      <c r="FD141" s="79" cm="1">
        <f t="array" ref="FD141">SUMPRODUCT(($B$2:$B$126=2)*(FD$2:FD$126&gt;=28)*(FD$2:FD$126&lt;=999)*(FD$2:FD$126&lt;&gt;"")*($J$2:$J$126))</f>
        <v>528.45000000000005</v>
      </c>
      <c r="FE141" s="79" cm="1">
        <f t="array" ref="FE141">SUMPRODUCT(($B$2:$B$126=2)*(FE$2:FE$126&gt;=28)*(FE$2:FE$126&lt;=999)*(FE$2:FE$126&lt;&gt;"")*($J$2:$J$126))</f>
        <v>528.45000000000005</v>
      </c>
      <c r="FF141" s="79" cm="1">
        <f t="array" ref="FF141">SUMPRODUCT(($B$2:$B$126=2)*(FF$2:FF$126&gt;=28)*(FF$2:FF$126&lt;=999)*(FF$2:FF$126&lt;&gt;"")*($J$2:$J$126))</f>
        <v>528.45000000000005</v>
      </c>
      <c r="FG141" s="79" cm="1">
        <f t="array" ref="FG141">SUMPRODUCT(($B$2:$B$126=2)*(FG$2:FG$126&gt;=28)*(FG$2:FG$126&lt;=999)*(FG$2:FG$126&lt;&gt;"")*($J$2:$J$126))</f>
        <v>528.45000000000005</v>
      </c>
      <c r="FH141" s="79" cm="1">
        <f t="array" ref="FH141">SUMPRODUCT(($B$2:$B$126=2)*(FH$2:FH$126&gt;=28)*(FH$2:FH$126&lt;=999)*(FH$2:FH$126&lt;&gt;"")*($J$2:$J$126))</f>
        <v>528.45000000000005</v>
      </c>
      <c r="FI141" s="79" cm="1">
        <f t="array" ref="FI141">SUMPRODUCT(($B$2:$B$126=2)*(FI$2:FI$126&gt;=28)*(FI$2:FI$126&lt;=999)*(FI$2:FI$126&lt;&gt;"")*($J$2:$J$126))</f>
        <v>528.45000000000005</v>
      </c>
      <c r="FJ141" s="79" cm="1">
        <f t="array" ref="FJ141">SUMPRODUCT(($B$2:$B$126=2)*(FJ$2:FJ$126&gt;=28)*(FJ$2:FJ$126&lt;=999)*(FJ$2:FJ$126&lt;&gt;"")*($J$2:$J$126))</f>
        <v>528.45000000000005</v>
      </c>
      <c r="FK141" s="79" cm="1">
        <f t="array" ref="FK141">SUMPRODUCT(($B$2:$B$126=2)*(FK$2:FK$126&gt;=28)*(FK$2:FK$126&lt;=999)*(FK$2:FK$126&lt;&gt;"")*($J$2:$J$126))</f>
        <v>528.45000000000005</v>
      </c>
      <c r="FL141" s="79" cm="1">
        <f t="array" ref="FL141">SUMPRODUCT(($B$2:$B$126=2)*(FL$2:FL$126&gt;=28)*(FL$2:FL$126&lt;=999)*(FL$2:FL$126&lt;&gt;"")*($J$2:$J$126))</f>
        <v>528.45000000000005</v>
      </c>
      <c r="FM141" s="79" cm="1">
        <f t="array" ref="FM141">SUMPRODUCT(($B$2:$B$126=2)*(FM$2:FM$126&gt;=28)*(FM$2:FM$126&lt;=999)*(FM$2:FM$126&lt;&gt;"")*($J$2:$J$126))</f>
        <v>528.45000000000005</v>
      </c>
      <c r="FN141" s="79" cm="1">
        <f t="array" ref="FN141">SUMPRODUCT(($B$2:$B$126=2)*(FN$2:FN$126&gt;=28)*(FN$2:FN$126&lt;=999)*(FN$2:FN$126&lt;&gt;"")*($J$2:$J$126))</f>
        <v>528.45000000000005</v>
      </c>
      <c r="FO141" s="79" cm="1">
        <f t="array" ref="FO141">SUMPRODUCT(($B$2:$B$126=2)*(FO$2:FO$126&gt;=28)*(FO$2:FO$126&lt;=999)*(FO$2:FO$126&lt;&gt;"")*($J$2:$J$126))</f>
        <v>528.45000000000005</v>
      </c>
      <c r="FP141" s="79" cm="1">
        <f t="array" ref="FP141">SUMPRODUCT(($B$2:$B$126=2)*(FP$2:FP$126&gt;=28)*(FP$2:FP$126&lt;=999)*(FP$2:FP$126&lt;&gt;"")*($J$2:$J$126))</f>
        <v>528.45000000000005</v>
      </c>
      <c r="FQ141" s="79" cm="1">
        <f t="array" ref="FQ141">SUMPRODUCT(($B$2:$B$126=2)*(FQ$2:FQ$126&gt;=28)*(FQ$2:FQ$126&lt;=999)*(FQ$2:FQ$126&lt;&gt;"")*($J$2:$J$126))</f>
        <v>528.45000000000005</v>
      </c>
      <c r="FR141" s="79" cm="1">
        <f t="array" ref="FR141">SUMPRODUCT(($B$2:$B$126=2)*(FR$2:FR$126&gt;=28)*(FR$2:FR$126&lt;=999)*(FR$2:FR$126&lt;&gt;"")*($J$2:$J$126))</f>
        <v>528.45000000000005</v>
      </c>
      <c r="FS141" s="79" cm="1">
        <f t="array" ref="FS141">SUMPRODUCT(($B$2:$B$126=2)*(FS$2:FS$126&gt;=28)*(FS$2:FS$126&lt;=999)*(FS$2:FS$126&lt;&gt;"")*($J$2:$J$126))</f>
        <v>528.45000000000005</v>
      </c>
      <c r="FT141" s="79" cm="1">
        <f t="array" ref="FT141">SUMPRODUCT(($B$2:$B$126=2)*(FT$2:FT$126&gt;=28)*(FT$2:FT$126&lt;=999)*(FT$2:FT$126&lt;&gt;"")*($J$2:$J$126))</f>
        <v>528.45000000000005</v>
      </c>
      <c r="FU141" s="79" cm="1">
        <f t="array" ref="FU141">SUMPRODUCT(($B$2:$B$126=2)*(FU$2:FU$126&gt;=28)*(FU$2:FU$126&lt;=999)*(FU$2:FU$126&lt;&gt;"")*($J$2:$J$126))</f>
        <v>528.45000000000005</v>
      </c>
      <c r="FV141" s="79" cm="1">
        <f t="array" ref="FV141">SUMPRODUCT(($B$2:$B$126=2)*(FV$2:FV$126&gt;=28)*(FV$2:FV$126&lt;=999)*(FV$2:FV$126&lt;&gt;"")*($J$2:$J$126))</f>
        <v>528.45000000000005</v>
      </c>
      <c r="FW141" s="79" cm="1">
        <f t="array" ref="FW141">SUMPRODUCT(($B$2:$B$126=2)*(FW$2:FW$126&gt;=28)*(FW$2:FW$126&lt;=999)*(FW$2:FW$126&lt;&gt;"")*($J$2:$J$126))</f>
        <v>528.45000000000005</v>
      </c>
      <c r="FX141" s="79" cm="1">
        <f t="array" ref="FX141">SUMPRODUCT(($B$2:$B$126=2)*(FX$2:FX$126&gt;=28)*(FX$2:FX$126&lt;=999)*(FX$2:FX$126&lt;&gt;"")*($J$2:$J$126))</f>
        <v>528.45000000000005</v>
      </c>
      <c r="FY141" s="79" cm="1">
        <f t="array" ref="FY141">SUMPRODUCT(($B$2:$B$126=2)*(FY$2:FY$126&gt;=28)*(FY$2:FY$126&lt;=999)*(FY$2:FY$126&lt;&gt;"")*($J$2:$J$126))</f>
        <v>528.45000000000005</v>
      </c>
      <c r="FZ141" s="79" cm="1">
        <f t="array" ref="FZ141">SUMPRODUCT(($B$2:$B$126=2)*(FZ$2:FZ$126&gt;=28)*(FZ$2:FZ$126&lt;=999)*(FZ$2:FZ$126&lt;&gt;"")*($J$2:$J$126))</f>
        <v>528.45000000000005</v>
      </c>
      <c r="GA141" s="79" cm="1">
        <f t="array" ref="GA141">SUMPRODUCT(($B$2:$B$126=2)*(GA$2:GA$126&gt;=28)*(GA$2:GA$126&lt;=999)*(GA$2:GA$126&lt;&gt;"")*($J$2:$J$126))</f>
        <v>528.45000000000005</v>
      </c>
      <c r="GB141" s="79" cm="1">
        <f t="array" ref="GB141">SUMPRODUCT(($B$2:$B$126=2)*(GB$2:GB$126&gt;=28)*(GB$2:GB$126&lt;=999)*(GB$2:GB$126&lt;&gt;"")*($J$2:$J$126))</f>
        <v>528.45000000000005</v>
      </c>
      <c r="GC141" s="79" cm="1">
        <f t="array" ref="GC141">SUMPRODUCT(($B$2:$B$126=2)*(GC$2:GC$126&gt;=28)*(GC$2:GC$126&lt;=999)*(GC$2:GC$126&lt;&gt;"")*($J$2:$J$126))</f>
        <v>528.45000000000005</v>
      </c>
      <c r="GD141" s="79" cm="1">
        <f t="array" ref="GD141">SUMPRODUCT(($B$2:$B$126=2)*(GD$2:GD$126&gt;=28)*(GD$2:GD$126&lt;=999)*(GD$2:GD$126&lt;&gt;"")*($J$2:$J$126))</f>
        <v>528.45000000000005</v>
      </c>
      <c r="GE141" s="79" cm="1">
        <f t="array" ref="GE141">SUMPRODUCT(($B$2:$B$126=2)*(GE$2:GE$126&gt;=28)*(GE$2:GE$126&lt;=999)*(GE$2:GE$126&lt;&gt;"")*($J$2:$J$126))</f>
        <v>528.45000000000005</v>
      </c>
      <c r="GF141" s="79" cm="1">
        <f t="array" ref="GF141">SUMPRODUCT(($B$2:$B$126=2)*(GF$2:GF$126&gt;=28)*(GF$2:GF$126&lt;=999)*(GF$2:GF$126&lt;&gt;"")*($J$2:$J$126))</f>
        <v>528.45000000000005</v>
      </c>
      <c r="GG141" s="79" cm="1">
        <f t="array" ref="GG141">SUMPRODUCT(($B$2:$B$126=2)*(GG$2:GG$126&gt;=28)*(GG$2:GG$126&lt;=999)*(GG$2:GG$126&lt;&gt;"")*($J$2:$J$126))</f>
        <v>528.45000000000005</v>
      </c>
      <c r="GH141" s="79" cm="1">
        <f t="array" ref="GH141">SUMPRODUCT(($B$2:$B$126=2)*(GH$2:GH$126&gt;=28)*(GH$2:GH$126&lt;=999)*(GH$2:GH$126&lt;&gt;"")*($J$2:$J$126))</f>
        <v>528.45000000000005</v>
      </c>
      <c r="GI141" s="79" cm="1">
        <f t="array" ref="GI141">SUMPRODUCT(($B$2:$B$126=2)*(GI$2:GI$126&gt;=28)*(GI$2:GI$126&lt;=999)*(GI$2:GI$126&lt;&gt;"")*($J$2:$J$126))</f>
        <v>528.45000000000005</v>
      </c>
      <c r="GJ141" s="79" cm="1">
        <f t="array" ref="GJ141">SUMPRODUCT(($B$2:$B$126=2)*(GJ$2:GJ$126&gt;=28)*(GJ$2:GJ$126&lt;=999)*(GJ$2:GJ$126&lt;&gt;"")*($J$2:$J$126))</f>
        <v>528.45000000000005</v>
      </c>
      <c r="GK141" s="79" cm="1">
        <f t="array" ref="GK141">SUMPRODUCT(($B$2:$B$126=2)*(GK$2:GK$126&gt;=28)*(GK$2:GK$126&lt;=999)*(GK$2:GK$126&lt;&gt;"")*($J$2:$J$126))</f>
        <v>528.45000000000005</v>
      </c>
      <c r="GL141" s="79" cm="1">
        <f t="array" ref="GL141">SUMPRODUCT(($B$2:$B$126=2)*(GL$2:GL$126&gt;=28)*(GL$2:GL$126&lt;=999)*(GL$2:GL$126&lt;&gt;"")*($J$2:$J$126))</f>
        <v>528.45000000000005</v>
      </c>
      <c r="GM141" s="79" cm="1">
        <f t="array" ref="GM141">SUMPRODUCT(($B$2:$B$126=2)*(GM$2:GM$126&gt;=28)*(GM$2:GM$126&lt;=999)*(GM$2:GM$126&lt;&gt;"")*($J$2:$J$126))</f>
        <v>528.45000000000005</v>
      </c>
      <c r="GN141" s="79" cm="1">
        <f t="array" ref="GN141">SUMPRODUCT(($B$2:$B$126=2)*(GN$2:GN$126&gt;=28)*(GN$2:GN$126&lt;=999)*(GN$2:GN$126&lt;&gt;"")*($J$2:$J$126))</f>
        <v>528.45000000000005</v>
      </c>
      <c r="GO141" s="79" cm="1">
        <f t="array" ref="GO141">SUMPRODUCT(($B$2:$B$126=2)*(GO$2:GO$126&gt;=28)*(GO$2:GO$126&lt;=999)*(GO$2:GO$126&lt;&gt;"")*($J$2:$J$126))</f>
        <v>528.45000000000005</v>
      </c>
      <c r="GP141" s="79" cm="1">
        <f t="array" ref="GP141">SUMPRODUCT(($B$2:$B$126=2)*(GP$2:GP$126&gt;=28)*(GP$2:GP$126&lt;=999)*(GP$2:GP$126&lt;&gt;"")*($J$2:$J$126))</f>
        <v>528.45000000000005</v>
      </c>
      <c r="GQ141" s="79" cm="1">
        <f t="array" ref="GQ141">SUMPRODUCT(($B$2:$B$126=2)*(GQ$2:GQ$126&gt;=28)*(GQ$2:GQ$126&lt;=999)*(GQ$2:GQ$126&lt;&gt;"")*($J$2:$J$126))</f>
        <v>528.45000000000005</v>
      </c>
      <c r="GR141" s="79" cm="1">
        <f t="array" ref="GR141">SUMPRODUCT(($B$2:$B$126=2)*(GR$2:GR$126&gt;=28)*(GR$2:GR$126&lt;=999)*(GR$2:GR$126&lt;&gt;"")*($J$2:$J$126))</f>
        <v>528.45000000000005</v>
      </c>
      <c r="GS141" s="79" cm="1">
        <f t="array" ref="GS141">SUMPRODUCT(($B$2:$B$126=2)*(GS$2:GS$126&gt;=28)*(GS$2:GS$126&lt;=999)*(GS$2:GS$126&lt;&gt;"")*($J$2:$J$126))</f>
        <v>528.45000000000005</v>
      </c>
      <c r="GT141" s="79" cm="1">
        <f t="array" ref="GT141">SUMPRODUCT(($B$2:$B$126=2)*(GT$2:GT$126&gt;=28)*(GT$2:GT$126&lt;=999)*(GT$2:GT$126&lt;&gt;"")*($J$2:$J$126))</f>
        <v>528.45000000000005</v>
      </c>
      <c r="GU141" s="79" cm="1">
        <f t="array" ref="GU141">SUMPRODUCT(($B$2:$B$126=2)*(GU$2:GU$126&gt;=28)*(GU$2:GU$126&lt;=999)*(GU$2:GU$126&lt;&gt;"")*($J$2:$J$126))</f>
        <v>528.45000000000005</v>
      </c>
      <c r="GV141" s="79" cm="1">
        <f t="array" ref="GV141">SUMPRODUCT(($B$2:$B$126=2)*(GV$2:GV$126&gt;=28)*(GV$2:GV$126&lt;=999)*(GV$2:GV$126&lt;&gt;"")*($J$2:$J$126))</f>
        <v>528.45000000000005</v>
      </c>
      <c r="GW141" s="79" cm="1">
        <f t="array" ref="GW141">SUMPRODUCT(($B$2:$B$126=2)*(GW$2:GW$126&gt;=28)*(GW$2:GW$126&lt;=999)*(GW$2:GW$126&lt;&gt;"")*($J$2:$J$126))</f>
        <v>528.45000000000005</v>
      </c>
      <c r="GX141" s="79" cm="1">
        <f t="array" ref="GX141">SUMPRODUCT(($B$2:$B$126=2)*(GX$2:GX$126&gt;=28)*(GX$2:GX$126&lt;=999)*(GX$2:GX$126&lt;&gt;"")*($J$2:$J$126))</f>
        <v>528.45000000000005</v>
      </c>
    </row>
    <row r="142" spans="1:206" s="102" customFormat="1" x14ac:dyDescent="0.2">
      <c r="A142" s="101"/>
      <c r="B142" s="101" t="s">
        <v>262</v>
      </c>
      <c r="W142" s="103">
        <f>SUM(W137:W141)</f>
        <v>452.9</v>
      </c>
      <c r="X142" s="103">
        <f t="shared" ref="X142:CI142" si="165">SUM(X137:X141)</f>
        <v>488.15999999999997</v>
      </c>
      <c r="Y142" s="103">
        <f t="shared" si="165"/>
        <v>488.15999999999997</v>
      </c>
      <c r="Z142" s="103">
        <f t="shared" si="165"/>
        <v>528.45000000000005</v>
      </c>
      <c r="AA142" s="103">
        <f t="shared" si="165"/>
        <v>528.45000000000005</v>
      </c>
      <c r="AB142" s="103">
        <f t="shared" si="165"/>
        <v>528.44999999999993</v>
      </c>
      <c r="AC142" s="103">
        <f t="shared" si="165"/>
        <v>528.45000000000005</v>
      </c>
      <c r="AD142" s="103">
        <f t="shared" si="165"/>
        <v>528.45000000000005</v>
      </c>
      <c r="AE142" s="103">
        <f t="shared" si="165"/>
        <v>528.45000000000005</v>
      </c>
      <c r="AF142" s="103">
        <f t="shared" si="165"/>
        <v>528.45000000000005</v>
      </c>
      <c r="AG142" s="103">
        <f t="shared" si="165"/>
        <v>528.44999999999993</v>
      </c>
      <c r="AH142" s="103">
        <f t="shared" si="165"/>
        <v>528.45000000000005</v>
      </c>
      <c r="AI142" s="103">
        <f t="shared" si="165"/>
        <v>528.45000000000005</v>
      </c>
      <c r="AJ142" s="103">
        <f t="shared" si="165"/>
        <v>528.45000000000005</v>
      </c>
      <c r="AK142" s="103">
        <f t="shared" si="165"/>
        <v>528.45000000000005</v>
      </c>
      <c r="AL142" s="103">
        <f t="shared" si="165"/>
        <v>528.45000000000005</v>
      </c>
      <c r="AM142" s="103">
        <f t="shared" si="165"/>
        <v>528.45000000000005</v>
      </c>
      <c r="AN142" s="103">
        <f t="shared" si="165"/>
        <v>528.45000000000005</v>
      </c>
      <c r="AO142" s="103">
        <f t="shared" si="165"/>
        <v>528.45000000000005</v>
      </c>
      <c r="AP142" s="103">
        <f t="shared" si="165"/>
        <v>528.45000000000005</v>
      </c>
      <c r="AQ142" s="103">
        <f t="shared" si="165"/>
        <v>528.45000000000005</v>
      </c>
      <c r="AR142" s="103">
        <f t="shared" si="165"/>
        <v>528.45000000000005</v>
      </c>
      <c r="AS142" s="103">
        <f t="shared" si="165"/>
        <v>528.45000000000005</v>
      </c>
      <c r="AT142" s="103">
        <f t="shared" si="165"/>
        <v>528.45000000000005</v>
      </c>
      <c r="AU142" s="103">
        <f t="shared" si="165"/>
        <v>528.45000000000005</v>
      </c>
      <c r="AV142" s="103">
        <f t="shared" si="165"/>
        <v>528.45000000000005</v>
      </c>
      <c r="AW142" s="103">
        <f t="shared" si="165"/>
        <v>528.45000000000005</v>
      </c>
      <c r="AX142" s="103">
        <f t="shared" si="165"/>
        <v>528.45000000000005</v>
      </c>
      <c r="AY142" s="103">
        <f t="shared" si="165"/>
        <v>528.45000000000005</v>
      </c>
      <c r="AZ142" s="103">
        <f t="shared" si="165"/>
        <v>528.45000000000005</v>
      </c>
      <c r="BA142" s="103">
        <f t="shared" si="165"/>
        <v>528.45000000000005</v>
      </c>
      <c r="BB142" s="103">
        <f t="shared" si="165"/>
        <v>528.45000000000005</v>
      </c>
      <c r="BC142" s="103">
        <f t="shared" si="165"/>
        <v>528.44999999999993</v>
      </c>
      <c r="BD142" s="103">
        <f t="shared" si="165"/>
        <v>528.44999999999993</v>
      </c>
      <c r="BE142" s="103">
        <f t="shared" si="165"/>
        <v>528.44999999999993</v>
      </c>
      <c r="BF142" s="103">
        <f t="shared" si="165"/>
        <v>528.45000000000005</v>
      </c>
      <c r="BG142" s="103">
        <f t="shared" si="165"/>
        <v>528.45000000000005</v>
      </c>
      <c r="BH142" s="103">
        <f t="shared" si="165"/>
        <v>528.45000000000005</v>
      </c>
      <c r="BI142" s="103">
        <f t="shared" si="165"/>
        <v>528.45000000000005</v>
      </c>
      <c r="BJ142" s="103">
        <f t="shared" si="165"/>
        <v>528.45000000000005</v>
      </c>
      <c r="BK142" s="103">
        <f t="shared" si="165"/>
        <v>528.45000000000005</v>
      </c>
      <c r="BL142" s="103">
        <f t="shared" si="165"/>
        <v>528.45000000000005</v>
      </c>
      <c r="BM142" s="103">
        <f t="shared" si="165"/>
        <v>528.45000000000005</v>
      </c>
      <c r="BN142" s="103">
        <f t="shared" si="165"/>
        <v>528.45000000000005</v>
      </c>
      <c r="BO142" s="103">
        <f t="shared" si="165"/>
        <v>528.45000000000005</v>
      </c>
      <c r="BP142" s="103">
        <f t="shared" si="165"/>
        <v>528.45000000000005</v>
      </c>
      <c r="BQ142" s="103">
        <f t="shared" si="165"/>
        <v>528.45000000000005</v>
      </c>
      <c r="BR142" s="103">
        <f t="shared" si="165"/>
        <v>528.45000000000005</v>
      </c>
      <c r="BS142" s="103">
        <f t="shared" si="165"/>
        <v>528.44999999999993</v>
      </c>
      <c r="BT142" s="103">
        <f t="shared" si="165"/>
        <v>528.44999999999993</v>
      </c>
      <c r="BU142" s="103">
        <f t="shared" si="165"/>
        <v>528.44999999999993</v>
      </c>
      <c r="BV142" s="103">
        <f t="shared" si="165"/>
        <v>528.44999999999993</v>
      </c>
      <c r="BW142" s="103">
        <f t="shared" si="165"/>
        <v>528.45000000000005</v>
      </c>
      <c r="BX142" s="103">
        <f t="shared" si="165"/>
        <v>528.44999999999993</v>
      </c>
      <c r="BY142" s="103">
        <f t="shared" si="165"/>
        <v>528.45000000000005</v>
      </c>
      <c r="BZ142" s="103">
        <f t="shared" si="165"/>
        <v>528.44999999999993</v>
      </c>
      <c r="CA142" s="103">
        <f t="shared" si="165"/>
        <v>528.44999999999993</v>
      </c>
      <c r="CB142" s="103">
        <f t="shared" si="165"/>
        <v>528.45000000000005</v>
      </c>
      <c r="CC142" s="103">
        <f t="shared" si="165"/>
        <v>528.44999999999993</v>
      </c>
      <c r="CD142" s="103">
        <f t="shared" si="165"/>
        <v>528.45000000000005</v>
      </c>
      <c r="CE142" s="103">
        <f t="shared" si="165"/>
        <v>528.44999999999993</v>
      </c>
      <c r="CF142" s="103">
        <f t="shared" si="165"/>
        <v>528.44999999999993</v>
      </c>
      <c r="CG142" s="103">
        <f t="shared" si="165"/>
        <v>528.45000000000005</v>
      </c>
      <c r="CH142" s="103">
        <f t="shared" si="165"/>
        <v>528.45000000000005</v>
      </c>
      <c r="CI142" s="103">
        <f t="shared" si="165"/>
        <v>528.45000000000005</v>
      </c>
      <c r="CJ142" s="103">
        <f t="shared" ref="CJ142:EU142" si="166">SUM(CJ137:CJ141)</f>
        <v>528.45000000000005</v>
      </c>
      <c r="CK142" s="103">
        <f t="shared" si="166"/>
        <v>528.45000000000005</v>
      </c>
      <c r="CL142" s="103">
        <f t="shared" si="166"/>
        <v>528.45000000000005</v>
      </c>
      <c r="CM142" s="103">
        <f t="shared" si="166"/>
        <v>528.45000000000005</v>
      </c>
      <c r="CN142" s="103">
        <f t="shared" si="166"/>
        <v>528.45000000000005</v>
      </c>
      <c r="CO142" s="103">
        <f t="shared" si="166"/>
        <v>528.45000000000005</v>
      </c>
      <c r="CP142" s="103">
        <f t="shared" si="166"/>
        <v>528.45000000000016</v>
      </c>
      <c r="CQ142" s="103">
        <f t="shared" si="166"/>
        <v>528.45000000000005</v>
      </c>
      <c r="CR142" s="103">
        <f t="shared" si="166"/>
        <v>528.45000000000005</v>
      </c>
      <c r="CS142" s="103">
        <f t="shared" si="166"/>
        <v>528.45000000000005</v>
      </c>
      <c r="CT142" s="103">
        <f t="shared" si="166"/>
        <v>528.45000000000005</v>
      </c>
      <c r="CU142" s="103">
        <f t="shared" si="166"/>
        <v>528.45000000000005</v>
      </c>
      <c r="CV142" s="103">
        <f t="shared" si="166"/>
        <v>528.45000000000005</v>
      </c>
      <c r="CW142" s="103">
        <f t="shared" si="166"/>
        <v>528.45000000000005</v>
      </c>
      <c r="CX142" s="103">
        <f t="shared" si="166"/>
        <v>528.45000000000005</v>
      </c>
      <c r="CY142" s="103">
        <f t="shared" si="166"/>
        <v>528.45000000000005</v>
      </c>
      <c r="CZ142" s="103">
        <f t="shared" si="166"/>
        <v>528.45000000000005</v>
      </c>
      <c r="DA142" s="103">
        <f t="shared" si="166"/>
        <v>528.45000000000005</v>
      </c>
      <c r="DB142" s="103">
        <f t="shared" si="166"/>
        <v>528.45000000000005</v>
      </c>
      <c r="DC142" s="103">
        <f t="shared" si="166"/>
        <v>528.45000000000005</v>
      </c>
      <c r="DD142" s="103">
        <f t="shared" si="166"/>
        <v>528.45000000000005</v>
      </c>
      <c r="DE142" s="103">
        <f t="shared" si="166"/>
        <v>528.45000000000005</v>
      </c>
      <c r="DF142" s="103">
        <f t="shared" si="166"/>
        <v>528.45000000000005</v>
      </c>
      <c r="DG142" s="103">
        <f t="shared" si="166"/>
        <v>528.45000000000005</v>
      </c>
      <c r="DH142" s="103">
        <f t="shared" si="166"/>
        <v>528.45000000000005</v>
      </c>
      <c r="DI142" s="103">
        <f t="shared" si="166"/>
        <v>528.45000000000005</v>
      </c>
      <c r="DJ142" s="103">
        <f t="shared" si="166"/>
        <v>528.45000000000005</v>
      </c>
      <c r="DK142" s="103">
        <f t="shared" si="166"/>
        <v>528.45000000000005</v>
      </c>
      <c r="DL142" s="103">
        <f t="shared" si="166"/>
        <v>528.45000000000005</v>
      </c>
      <c r="DM142" s="103">
        <f t="shared" si="166"/>
        <v>528.45000000000005</v>
      </c>
      <c r="DN142" s="103">
        <f t="shared" si="166"/>
        <v>528.45000000000005</v>
      </c>
      <c r="DO142" s="103">
        <f t="shared" si="166"/>
        <v>528.45000000000005</v>
      </c>
      <c r="DP142" s="103">
        <f t="shared" si="166"/>
        <v>528.45000000000005</v>
      </c>
      <c r="DQ142" s="103">
        <f t="shared" si="166"/>
        <v>528.45000000000005</v>
      </c>
      <c r="DR142" s="103">
        <f t="shared" si="166"/>
        <v>528.45000000000005</v>
      </c>
      <c r="DS142" s="103">
        <f t="shared" si="166"/>
        <v>528.45000000000005</v>
      </c>
      <c r="DT142" s="103">
        <f t="shared" si="166"/>
        <v>528.45000000000005</v>
      </c>
      <c r="DU142" s="103">
        <f t="shared" si="166"/>
        <v>528.45000000000005</v>
      </c>
      <c r="DV142" s="103">
        <f t="shared" si="166"/>
        <v>528.45000000000005</v>
      </c>
      <c r="DW142" s="103">
        <f t="shared" si="166"/>
        <v>528.45000000000005</v>
      </c>
      <c r="DX142" s="103">
        <f t="shared" si="166"/>
        <v>528.45000000000005</v>
      </c>
      <c r="DY142" s="103">
        <f t="shared" si="166"/>
        <v>528.45000000000005</v>
      </c>
      <c r="DZ142" s="103">
        <f t="shared" si="166"/>
        <v>528.45000000000005</v>
      </c>
      <c r="EA142" s="103">
        <f t="shared" si="166"/>
        <v>528.45000000000005</v>
      </c>
      <c r="EB142" s="103">
        <f t="shared" si="166"/>
        <v>528.45000000000005</v>
      </c>
      <c r="EC142" s="103">
        <f t="shared" si="166"/>
        <v>528.45000000000005</v>
      </c>
      <c r="ED142" s="103">
        <f t="shared" si="166"/>
        <v>528.45000000000005</v>
      </c>
      <c r="EE142" s="103">
        <f t="shared" si="166"/>
        <v>528.45000000000005</v>
      </c>
      <c r="EF142" s="103">
        <f t="shared" si="166"/>
        <v>528.45000000000005</v>
      </c>
      <c r="EG142" s="103">
        <f t="shared" si="166"/>
        <v>528.45000000000005</v>
      </c>
      <c r="EH142" s="103">
        <f t="shared" si="166"/>
        <v>528.45000000000005</v>
      </c>
      <c r="EI142" s="103">
        <f t="shared" si="166"/>
        <v>528.45000000000005</v>
      </c>
      <c r="EJ142" s="103">
        <f t="shared" si="166"/>
        <v>528.45000000000005</v>
      </c>
      <c r="EK142" s="103">
        <f t="shared" si="166"/>
        <v>528.45000000000005</v>
      </c>
      <c r="EL142" s="103">
        <f t="shared" si="166"/>
        <v>528.45000000000005</v>
      </c>
      <c r="EM142" s="103">
        <f t="shared" si="166"/>
        <v>528.45000000000005</v>
      </c>
      <c r="EN142" s="103">
        <f t="shared" si="166"/>
        <v>528.45000000000005</v>
      </c>
      <c r="EO142" s="103">
        <f t="shared" si="166"/>
        <v>528.45000000000005</v>
      </c>
      <c r="EP142" s="103">
        <f t="shared" si="166"/>
        <v>528.45000000000005</v>
      </c>
      <c r="EQ142" s="103">
        <f t="shared" si="166"/>
        <v>528.45000000000005</v>
      </c>
      <c r="ER142" s="103">
        <f t="shared" si="166"/>
        <v>528.45000000000005</v>
      </c>
      <c r="ES142" s="103">
        <f t="shared" si="166"/>
        <v>528.45000000000005</v>
      </c>
      <c r="ET142" s="103">
        <f t="shared" si="166"/>
        <v>528.45000000000005</v>
      </c>
      <c r="EU142" s="103">
        <f t="shared" si="166"/>
        <v>528.45000000000005</v>
      </c>
      <c r="EV142" s="103">
        <f t="shared" ref="EV142:GX142" si="167">SUM(EV137:EV141)</f>
        <v>528.45000000000005</v>
      </c>
      <c r="EW142" s="103">
        <f t="shared" si="167"/>
        <v>528.45000000000005</v>
      </c>
      <c r="EX142" s="103">
        <f t="shared" si="167"/>
        <v>528.45000000000005</v>
      </c>
      <c r="EY142" s="103">
        <f t="shared" si="167"/>
        <v>528.45000000000005</v>
      </c>
      <c r="EZ142" s="103">
        <f t="shared" si="167"/>
        <v>528.45000000000005</v>
      </c>
      <c r="FA142" s="103">
        <f t="shared" si="167"/>
        <v>528.45000000000005</v>
      </c>
      <c r="FB142" s="103">
        <f t="shared" si="167"/>
        <v>528.45000000000005</v>
      </c>
      <c r="FC142" s="103">
        <f t="shared" si="167"/>
        <v>528.45000000000005</v>
      </c>
      <c r="FD142" s="103">
        <f t="shared" si="167"/>
        <v>528.45000000000005</v>
      </c>
      <c r="FE142" s="103">
        <f t="shared" si="167"/>
        <v>528.45000000000005</v>
      </c>
      <c r="FF142" s="103">
        <f t="shared" si="167"/>
        <v>528.45000000000005</v>
      </c>
      <c r="FG142" s="103">
        <f t="shared" si="167"/>
        <v>528.45000000000005</v>
      </c>
      <c r="FH142" s="103">
        <f t="shared" si="167"/>
        <v>528.45000000000005</v>
      </c>
      <c r="FI142" s="103">
        <f t="shared" si="167"/>
        <v>528.45000000000005</v>
      </c>
      <c r="FJ142" s="103">
        <f t="shared" si="167"/>
        <v>528.45000000000005</v>
      </c>
      <c r="FK142" s="103">
        <f t="shared" si="167"/>
        <v>528.45000000000005</v>
      </c>
      <c r="FL142" s="103">
        <f t="shared" si="167"/>
        <v>528.45000000000005</v>
      </c>
      <c r="FM142" s="103">
        <f t="shared" si="167"/>
        <v>528.45000000000005</v>
      </c>
      <c r="FN142" s="103">
        <f t="shared" si="167"/>
        <v>528.45000000000005</v>
      </c>
      <c r="FO142" s="103">
        <f t="shared" si="167"/>
        <v>528.45000000000005</v>
      </c>
      <c r="FP142" s="103">
        <f t="shared" si="167"/>
        <v>528.45000000000005</v>
      </c>
      <c r="FQ142" s="103">
        <f t="shared" si="167"/>
        <v>528.45000000000005</v>
      </c>
      <c r="FR142" s="103">
        <f t="shared" si="167"/>
        <v>528.45000000000005</v>
      </c>
      <c r="FS142" s="103">
        <f t="shared" si="167"/>
        <v>528.45000000000005</v>
      </c>
      <c r="FT142" s="103">
        <f t="shared" si="167"/>
        <v>528.45000000000005</v>
      </c>
      <c r="FU142" s="103">
        <f t="shared" si="167"/>
        <v>528.45000000000005</v>
      </c>
      <c r="FV142" s="103">
        <f t="shared" si="167"/>
        <v>528.45000000000005</v>
      </c>
      <c r="FW142" s="103">
        <f t="shared" si="167"/>
        <v>528.45000000000005</v>
      </c>
      <c r="FX142" s="103">
        <f t="shared" si="167"/>
        <v>528.45000000000005</v>
      </c>
      <c r="FY142" s="103">
        <f t="shared" si="167"/>
        <v>528.45000000000005</v>
      </c>
      <c r="FZ142" s="103">
        <f t="shared" si="167"/>
        <v>528.45000000000005</v>
      </c>
      <c r="GA142" s="103">
        <f t="shared" si="167"/>
        <v>528.45000000000005</v>
      </c>
      <c r="GB142" s="103">
        <f t="shared" si="167"/>
        <v>528.45000000000005</v>
      </c>
      <c r="GC142" s="103">
        <f t="shared" si="167"/>
        <v>528.45000000000005</v>
      </c>
      <c r="GD142" s="103">
        <f t="shared" si="167"/>
        <v>528.45000000000005</v>
      </c>
      <c r="GE142" s="103">
        <f t="shared" si="167"/>
        <v>528.45000000000005</v>
      </c>
      <c r="GF142" s="103">
        <f t="shared" si="167"/>
        <v>528.45000000000005</v>
      </c>
      <c r="GG142" s="103">
        <f t="shared" si="167"/>
        <v>528.45000000000005</v>
      </c>
      <c r="GH142" s="103">
        <f t="shared" si="167"/>
        <v>528.45000000000005</v>
      </c>
      <c r="GI142" s="103">
        <f t="shared" si="167"/>
        <v>528.45000000000005</v>
      </c>
      <c r="GJ142" s="103">
        <f t="shared" si="167"/>
        <v>528.45000000000005</v>
      </c>
      <c r="GK142" s="103">
        <f t="shared" si="167"/>
        <v>528.45000000000005</v>
      </c>
      <c r="GL142" s="103">
        <f t="shared" si="167"/>
        <v>528.45000000000005</v>
      </c>
      <c r="GM142" s="103">
        <f t="shared" si="167"/>
        <v>528.45000000000005</v>
      </c>
      <c r="GN142" s="103">
        <f t="shared" si="167"/>
        <v>528.45000000000005</v>
      </c>
      <c r="GO142" s="103">
        <f t="shared" si="167"/>
        <v>528.45000000000005</v>
      </c>
      <c r="GP142" s="103">
        <f t="shared" si="167"/>
        <v>528.45000000000005</v>
      </c>
      <c r="GQ142" s="103">
        <f t="shared" si="167"/>
        <v>528.45000000000005</v>
      </c>
      <c r="GR142" s="103">
        <f t="shared" si="167"/>
        <v>528.45000000000005</v>
      </c>
      <c r="GS142" s="103">
        <f t="shared" si="167"/>
        <v>528.45000000000005</v>
      </c>
      <c r="GT142" s="103">
        <f t="shared" si="167"/>
        <v>528.45000000000005</v>
      </c>
      <c r="GU142" s="103">
        <f t="shared" si="167"/>
        <v>528.45000000000005</v>
      </c>
      <c r="GV142" s="103">
        <f t="shared" si="167"/>
        <v>528.45000000000005</v>
      </c>
      <c r="GW142" s="103">
        <f t="shared" si="167"/>
        <v>528.45000000000005</v>
      </c>
      <c r="GX142" s="103">
        <f t="shared" si="167"/>
        <v>528.45000000000005</v>
      </c>
    </row>
    <row r="143" spans="1:206" x14ac:dyDescent="0.2">
      <c r="A143" s="84">
        <v>3</v>
      </c>
      <c r="B143" s="84" t="s">
        <v>11</v>
      </c>
      <c r="W143" s="79" cm="1">
        <f t="array" ref="W143">SUMPRODUCT(($B$2:$B$126=3)*(W$2:W$126&gt;=0)*(W$2:W$126&lt;=12)*(W$2:W$126&lt;&gt;"")*($J$2:$J$126))</f>
        <v>240.51</v>
      </c>
      <c r="X143" s="79" cm="1">
        <f t="array" ref="X143">SUMPRODUCT(($B$2:$B$126=3)*(X$2:X$126&gt;=0)*(X$2:X$126&lt;=12)*(X$2:X$126&lt;&gt;"")*($J$2:$J$126))</f>
        <v>281.41999999999996</v>
      </c>
      <c r="Y143" s="79" cm="1">
        <f t="array" ref="Y143">SUMPRODUCT(($B$2:$B$126=3)*(Y$2:Y$126&gt;=0)*(Y$2:Y$126&lt;=12)*(Y$2:Y$126&lt;&gt;"")*($J$2:$J$126))</f>
        <v>341.51</v>
      </c>
      <c r="Z143" s="79" cm="1">
        <f t="array" ref="Z143">SUMPRODUCT(($B$2:$B$126=3)*(Z$2:Z$126&gt;=0)*(Z$2:Z$126&lt;=12)*(Z$2:Z$126&lt;&gt;"")*($J$2:$J$126))</f>
        <v>269.26</v>
      </c>
      <c r="AA143" s="79" cm="1">
        <f t="array" ref="AA143">SUMPRODUCT(($B$2:$B$126=3)*(AA$2:AA$126&gt;=0)*(AA$2:AA$126&lt;=12)*(AA$2:AA$126&lt;&gt;"")*($J$2:$J$126))</f>
        <v>269.26</v>
      </c>
      <c r="AB143" s="79" cm="1">
        <f t="array" ref="AB143">SUMPRODUCT(($B$2:$B$126=3)*(AB$2:AB$126&gt;=0)*(AB$2:AB$126&lt;=12)*(AB$2:AB$126&lt;&gt;"")*($J$2:$J$126))</f>
        <v>269.26</v>
      </c>
      <c r="AC143" s="79" cm="1">
        <f t="array" ref="AC143">SUMPRODUCT(($B$2:$B$126=3)*(AC$2:AC$126&gt;=0)*(AC$2:AC$126&lt;=12)*(AC$2:AC$126&lt;&gt;"")*($J$2:$J$126))</f>
        <v>244.35</v>
      </c>
      <c r="AD143" s="79" cm="1">
        <f t="array" ref="AD143">SUMPRODUCT(($B$2:$B$126=3)*(AD$2:AD$126&gt;=0)*(AD$2:AD$126&lt;=12)*(AD$2:AD$126&lt;&gt;"")*($J$2:$J$126))</f>
        <v>226.76999999999998</v>
      </c>
      <c r="AE143" s="79" cm="1">
        <f t="array" ref="AE143">SUMPRODUCT(($B$2:$B$126=3)*(AE$2:AE$126&gt;=0)*(AE$2:AE$126&lt;=12)*(AE$2:AE$126&lt;&gt;"")*($J$2:$J$126))</f>
        <v>203.49999999999997</v>
      </c>
      <c r="AF143" s="79" cm="1">
        <f t="array" ref="AF143">SUMPRODUCT(($B$2:$B$126=3)*(AF$2:AF$126&gt;=0)*(AF$2:AF$126&lt;=12)*(AF$2:AF$126&lt;&gt;"")*($J$2:$J$126))</f>
        <v>224.92999999999998</v>
      </c>
      <c r="AG143" s="79" cm="1">
        <f t="array" ref="AG143">SUMPRODUCT(($B$2:$B$126=3)*(AG$2:AG$126&gt;=0)*(AG$2:AG$126&lt;=12)*(AG$2:AG$126&lt;&gt;"")*($J$2:$J$126))</f>
        <v>273.07</v>
      </c>
      <c r="AH143" s="79" cm="1">
        <f t="array" ref="AH143">SUMPRODUCT(($B$2:$B$126=3)*(AH$2:AH$126&gt;=0)*(AH$2:AH$126&lt;=12)*(AH$2:AH$126&lt;&gt;"")*($J$2:$J$126))</f>
        <v>397.91999999999996</v>
      </c>
      <c r="AI143" s="79" cm="1">
        <f t="array" ref="AI143">SUMPRODUCT(($B$2:$B$126=3)*(AI$2:AI$126&gt;=0)*(AI$2:AI$126&lt;=12)*(AI$2:AI$126&lt;&gt;"")*($J$2:$J$126))</f>
        <v>356.1</v>
      </c>
      <c r="AJ143" s="79" cm="1">
        <f t="array" ref="AJ143">SUMPRODUCT(($B$2:$B$126=3)*(AJ$2:AJ$126&gt;=0)*(AJ$2:AJ$126&lt;=12)*(AJ$2:AJ$126&lt;&gt;"")*($J$2:$J$126))</f>
        <v>435.69000000000005</v>
      </c>
      <c r="AK143" s="79" cm="1">
        <f t="array" ref="AK143">SUMPRODUCT(($B$2:$B$126=3)*(AK$2:AK$126&gt;=0)*(AK$2:AK$126&lt;=12)*(AK$2:AK$126&lt;&gt;"")*($J$2:$J$126))</f>
        <v>434.45</v>
      </c>
      <c r="AL143" s="79" cm="1">
        <f t="array" ref="AL143">SUMPRODUCT(($B$2:$B$126=3)*(AL$2:AL$126&gt;=0)*(AL$2:AL$126&lt;=12)*(AL$2:AL$126&lt;&gt;"")*($J$2:$J$126))</f>
        <v>363.6</v>
      </c>
      <c r="AM143" s="79" cm="1">
        <f t="array" ref="AM143">SUMPRODUCT(($B$2:$B$126=3)*(AM$2:AM$126&gt;=0)*(AM$2:AM$126&lt;=12)*(AM$2:AM$126&lt;&gt;"")*($J$2:$J$126))</f>
        <v>403.85</v>
      </c>
      <c r="AN143" s="79" cm="1">
        <f t="array" ref="AN143">SUMPRODUCT(($B$2:$B$126=3)*(AN$2:AN$126&gt;=0)*(AN$2:AN$126&lt;=12)*(AN$2:AN$126&lt;&gt;"")*($J$2:$J$126))</f>
        <v>427</v>
      </c>
      <c r="AO143" s="79" cm="1">
        <f t="array" ref="AO143">SUMPRODUCT(($B$2:$B$126=3)*(AO$2:AO$126&gt;=0)*(AO$2:AO$126&lt;=12)*(AO$2:AO$126&lt;&gt;"")*($J$2:$J$126))</f>
        <v>427</v>
      </c>
      <c r="AP143" s="79" cm="1">
        <f t="array" ref="AP143">SUMPRODUCT(($B$2:$B$126=3)*(AP$2:AP$126&gt;=0)*(AP$2:AP$126&lt;=12)*(AP$2:AP$126&lt;&gt;"")*($J$2:$J$126))</f>
        <v>415.06</v>
      </c>
      <c r="AQ143" s="79" cm="1">
        <f t="array" ref="AQ143">SUMPRODUCT(($B$2:$B$126=3)*(AQ$2:AQ$126&gt;=0)*(AQ$2:AQ$126&lt;=12)*(AQ$2:AQ$126&lt;&gt;"")*($J$2:$J$126))</f>
        <v>415.06</v>
      </c>
      <c r="AR143" s="79" cm="1">
        <f t="array" ref="AR143">SUMPRODUCT(($B$2:$B$126=3)*(AR$2:AR$126&gt;=0)*(AR$2:AR$126&lt;=12)*(AR$2:AR$126&lt;&gt;"")*($J$2:$J$126))</f>
        <v>398.08</v>
      </c>
      <c r="AS143" s="79" cm="1">
        <f t="array" ref="AS143">SUMPRODUCT(($B$2:$B$126=3)*(AS$2:AS$126&gt;=0)*(AS$2:AS$126&lt;=12)*(AS$2:AS$126&lt;&gt;"")*($J$2:$J$126))</f>
        <v>376.65</v>
      </c>
      <c r="AT143" s="79" cm="1">
        <f t="array" ref="AT143">SUMPRODUCT(($B$2:$B$126=3)*(AT$2:AT$126&gt;=0)*(AT$2:AT$126&lt;=12)*(AT$2:AT$126&lt;&gt;"")*($J$2:$J$126))</f>
        <v>369.42000000000007</v>
      </c>
      <c r="AU143" s="79" cm="1">
        <f t="array" ref="AU143">SUMPRODUCT(($B$2:$B$126=3)*(AU$2:AU$126&gt;=0)*(AU$2:AU$126&lt;=12)*(AU$2:AU$126&lt;&gt;"")*($J$2:$J$126))</f>
        <v>244.57</v>
      </c>
      <c r="AV143" s="79" cm="1">
        <f t="array" ref="AV143">SUMPRODUCT(($B$2:$B$126=3)*(AV$2:AV$126&gt;=0)*(AV$2:AV$126&lt;=12)*(AV$2:AV$126&lt;&gt;"")*($J$2:$J$126))</f>
        <v>223.57</v>
      </c>
      <c r="AW143" s="79" cm="1">
        <f t="array" ref="AW143">SUMPRODUCT(($B$2:$B$126=3)*(AW$2:AW$126&gt;=0)*(AW$2:AW$126&lt;=12)*(AW$2:AW$126&lt;&gt;"")*($J$2:$J$126))</f>
        <v>214.82999999999998</v>
      </c>
      <c r="AX143" s="79" cm="1">
        <f t="array" ref="AX143">SUMPRODUCT(($B$2:$B$126=3)*(AX$2:AX$126&gt;=0)*(AX$2:AX$126&lt;=12)*(AX$2:AX$126&lt;&gt;"")*($J$2:$J$126))</f>
        <v>192.14</v>
      </c>
      <c r="AY143" s="79" cm="1">
        <f t="array" ref="AY143">SUMPRODUCT(($B$2:$B$126=3)*(AY$2:AY$126&gt;=0)*(AY$2:AY$126&lt;=12)*(AY$2:AY$126&lt;&gt;"")*($J$2:$J$126))</f>
        <v>289.07</v>
      </c>
      <c r="AZ143" s="79" cm="1">
        <f t="array" ref="AZ143">SUMPRODUCT(($B$2:$B$126=3)*(AZ$2:AZ$126&gt;=0)*(AZ$2:AZ$126&lt;=12)*(AZ$2:AZ$126&lt;&gt;"")*($J$2:$J$126))</f>
        <v>298.07</v>
      </c>
      <c r="BA143" s="79" cm="1">
        <f t="array" ref="BA143">SUMPRODUCT(($B$2:$B$126=3)*(BA$2:BA$126&gt;=0)*(BA$2:BA$126&lt;=12)*(BA$2:BA$126&lt;&gt;"")*($J$2:$J$126))</f>
        <v>385.92</v>
      </c>
      <c r="BB143" s="79" cm="1">
        <f t="array" ref="BB143">SUMPRODUCT(($B$2:$B$126=3)*(BB$2:BB$126&gt;=0)*(BB$2:BB$126&lt;=12)*(BB$2:BB$126&lt;&gt;"")*($J$2:$J$126))</f>
        <v>385.92</v>
      </c>
      <c r="BC143" s="79" cm="1">
        <f t="array" ref="BC143">SUMPRODUCT(($B$2:$B$126=3)*(BC$2:BC$126&gt;=0)*(BC$2:BC$126&lt;=12)*(BC$2:BC$126&lt;&gt;"")*($J$2:$J$126))</f>
        <v>385.92</v>
      </c>
      <c r="BD143" s="79" cm="1">
        <f t="array" ref="BD143">SUMPRODUCT(($B$2:$B$126=3)*(BD$2:BD$126&gt;=0)*(BD$2:BD$126&lt;=12)*(BD$2:BD$126&lt;&gt;"")*($J$2:$J$126))</f>
        <v>385.92</v>
      </c>
      <c r="BE143" s="79" cm="1">
        <f t="array" ref="BE143">SUMPRODUCT(($B$2:$B$126=3)*(BE$2:BE$126&gt;=0)*(BE$2:BE$126&lt;=12)*(BE$2:BE$126&lt;&gt;"")*($J$2:$J$126))</f>
        <v>414.26000000000005</v>
      </c>
      <c r="BF143" s="79" cm="1">
        <f t="array" ref="BF143">SUMPRODUCT(($B$2:$B$126=3)*(BF$2:BF$126&gt;=0)*(BF$2:BF$126&lt;=12)*(BF$2:BF$126&lt;&gt;"")*($J$2:$J$126))</f>
        <v>494.18</v>
      </c>
      <c r="BG143" s="79" cm="1">
        <f t="array" ref="BG143">SUMPRODUCT(($B$2:$B$126=3)*(BG$2:BG$126&gt;=0)*(BG$2:BG$126&lt;=12)*(BG$2:BG$126&lt;&gt;"")*($J$2:$J$126))</f>
        <v>476.42</v>
      </c>
      <c r="BH143" s="79" cm="1">
        <f t="array" ref="BH143">SUMPRODUCT(($B$2:$B$126=3)*(BH$2:BH$126&gt;=0)*(BH$2:BH$126&lt;=12)*(BH$2:BH$126&lt;&gt;"")*($J$2:$J$126))</f>
        <v>476.42</v>
      </c>
      <c r="BI143" s="79" cm="1">
        <f t="array" ref="BI143">SUMPRODUCT(($B$2:$B$126=3)*(BI$2:BI$126&gt;=0)*(BI$2:BI$126&lt;=12)*(BI$2:BI$126&lt;&gt;"")*($J$2:$J$126))</f>
        <v>476.42</v>
      </c>
      <c r="BJ143" s="79" cm="1">
        <f t="array" ref="BJ143">SUMPRODUCT(($B$2:$B$126=3)*(BJ$2:BJ$126&gt;=0)*(BJ$2:BJ$126&lt;=12)*(BJ$2:BJ$126&lt;&gt;"")*($J$2:$J$126))</f>
        <v>405.57</v>
      </c>
      <c r="BK143" s="79" cm="1">
        <f t="array" ref="BK143">SUMPRODUCT(($B$2:$B$126=3)*(BK$2:BK$126&gt;=0)*(BK$2:BK$126&lt;=12)*(BK$2:BK$126&lt;&gt;"")*($J$2:$J$126))</f>
        <v>388.59</v>
      </c>
      <c r="BL143" s="79" cm="1">
        <f t="array" ref="BL143">SUMPRODUCT(($B$2:$B$126=3)*(BL$2:BL$126&gt;=0)*(BL$2:BL$126&lt;=12)*(BL$2:BL$126&lt;&gt;"")*($J$2:$J$126))</f>
        <v>362.51</v>
      </c>
      <c r="BM143" s="79" cm="1">
        <f t="array" ref="BM143">SUMPRODUCT(($B$2:$B$126=3)*(BM$2:BM$126&gt;=0)*(BM$2:BM$126&lt;=12)*(BM$2:BM$126&lt;&gt;"")*($J$2:$J$126))</f>
        <v>344.93</v>
      </c>
      <c r="BN143" s="79" cm="1">
        <f t="array" ref="BN143">SUMPRODUCT(($B$2:$B$126=3)*(BN$2:BN$126&gt;=0)*(BN$2:BN$126&lt;=12)*(BN$2:BN$126&lt;&gt;"")*($J$2:$J$126))</f>
        <v>295.94</v>
      </c>
      <c r="BO143" s="79" cm="1">
        <f t="array" ref="BO143">SUMPRODUCT(($B$2:$B$126=3)*(BO$2:BO$126&gt;=0)*(BO$2:BO$126&lt;=12)*(BO$2:BO$126&lt;&gt;"")*($J$2:$J$126))</f>
        <v>393.07</v>
      </c>
      <c r="BP143" s="79" cm="1">
        <f t="array" ref="BP143">SUMPRODUCT(($B$2:$B$126=3)*(BP$2:BP$126&gt;=0)*(BP$2:BP$126&lt;=12)*(BP$2:BP$126&lt;&gt;"")*($J$2:$J$126))</f>
        <v>393.07</v>
      </c>
      <c r="BQ143" s="79" cm="1">
        <f t="array" ref="BQ143">SUMPRODUCT(($B$2:$B$126=3)*(BQ$2:BQ$126&gt;=0)*(BQ$2:BQ$126&lt;=12)*(BQ$2:BQ$126&lt;&gt;"")*($J$2:$J$126))</f>
        <v>393.07</v>
      </c>
      <c r="BR143" s="79" cm="1">
        <f t="array" ref="BR143">SUMPRODUCT(($B$2:$B$126=3)*(BR$2:BR$126&gt;=0)*(BR$2:BR$126&lt;=12)*(BR$2:BR$126&lt;&gt;"")*($J$2:$J$126))</f>
        <v>364.73</v>
      </c>
      <c r="BS143" s="79" cm="1">
        <f t="array" ref="BS143">SUMPRODUCT(($B$2:$B$126=3)*(BS$2:BS$126&gt;=0)*(BS$2:BS$126&lt;=12)*(BS$2:BS$126&lt;&gt;"")*($J$2:$J$126))</f>
        <v>284.81</v>
      </c>
      <c r="BT143" s="79" cm="1">
        <f t="array" ref="BT143">SUMPRODUCT(($B$2:$B$126=3)*(BT$2:BT$126&gt;=0)*(BT$2:BT$126&lt;=12)*(BT$2:BT$126&lt;&gt;"")*($J$2:$J$126))</f>
        <v>261.65999999999997</v>
      </c>
      <c r="BU143" s="79" cm="1">
        <f t="array" ref="BU143">SUMPRODUCT(($B$2:$B$126=3)*(BU$2:BU$126&gt;=0)*(BU$2:BU$126&lt;=12)*(BU$2:BU$126&lt;&gt;"")*($J$2:$J$126))</f>
        <v>261.65999999999997</v>
      </c>
      <c r="BV143" s="79" cm="1">
        <f t="array" ref="BV143">SUMPRODUCT(($B$2:$B$126=3)*(BV$2:BV$126&gt;=0)*(BV$2:BV$126&lt;=12)*(BV$2:BV$126&lt;&gt;"")*($J$2:$J$126))</f>
        <v>261.65999999999997</v>
      </c>
      <c r="BW143" s="79" cm="1">
        <f t="array" ref="BW143">SUMPRODUCT(($B$2:$B$126=3)*(BW$2:BW$126&gt;=0)*(BW$2:BW$126&lt;=12)*(BW$2:BW$126&lt;&gt;"")*($J$2:$J$126))</f>
        <v>261.65999999999997</v>
      </c>
      <c r="BX143" s="79" cm="1">
        <f t="array" ref="BX143">SUMPRODUCT(($B$2:$B$126=3)*(BX$2:BX$126&gt;=0)*(BX$2:BX$126&lt;=12)*(BX$2:BX$126&lt;&gt;"")*($J$2:$J$126))</f>
        <v>251.42</v>
      </c>
      <c r="BY143" s="79" cm="1">
        <f t="array" ref="BY143">SUMPRODUCT(($B$2:$B$126=3)*(BY$2:BY$126&gt;=0)*(BY$2:BY$126&lt;=12)*(BY$2:BY$126&lt;&gt;"")*($J$2:$J$126))</f>
        <v>118.56</v>
      </c>
      <c r="BZ143" s="79" cm="1">
        <f t="array" ref="BZ143">SUMPRODUCT(($B$2:$B$126=3)*(BZ$2:BZ$126&gt;=0)*(BZ$2:BZ$126&lt;=12)*(BZ$2:BZ$126&lt;&gt;"")*($J$2:$J$126))</f>
        <v>97.13</v>
      </c>
      <c r="CA143" s="79" cm="1">
        <f t="array" ref="CA143">SUMPRODUCT(($B$2:$B$126=3)*(CA$2:CA$126&gt;=0)*(CA$2:CA$126&lt;=12)*(CA$2:CA$126&lt;&gt;"")*($J$2:$J$126))</f>
        <v>97.13</v>
      </c>
      <c r="CB143" s="79" cm="1">
        <f t="array" ref="CB143">SUMPRODUCT(($B$2:$B$126=3)*(CB$2:CB$126&gt;=0)*(CB$2:CB$126&lt;=12)*(CB$2:CB$126&lt;&gt;"")*($J$2:$J$126))</f>
        <v>0</v>
      </c>
      <c r="CC143" s="79" cm="1">
        <f t="array" ref="CC143">SUMPRODUCT(($B$2:$B$126=3)*(CC$2:CC$126&gt;=0)*(CC$2:CC$126&lt;=12)*(CC$2:CC$126&lt;&gt;"")*($J$2:$J$126))</f>
        <v>0</v>
      </c>
      <c r="CD143" s="79" cm="1">
        <f t="array" ref="CD143">SUMPRODUCT(($B$2:$B$126=3)*(CD$2:CD$126&gt;=0)*(CD$2:CD$126&lt;=12)*(CD$2:CD$126&lt;&gt;"")*($J$2:$J$126))</f>
        <v>0</v>
      </c>
      <c r="CE143" s="79" cm="1">
        <f t="array" ref="CE143">SUMPRODUCT(($B$2:$B$126=3)*(CE$2:CE$126&gt;=0)*(CE$2:CE$126&lt;=12)*(CE$2:CE$126&lt;&gt;"")*($J$2:$J$126))</f>
        <v>0</v>
      </c>
      <c r="CF143" s="79" cm="1">
        <f t="array" ref="CF143">SUMPRODUCT(($B$2:$B$126=3)*(CF$2:CF$126&gt;=0)*(CF$2:CF$126&lt;=12)*(CF$2:CF$126&lt;&gt;"")*($J$2:$J$126))</f>
        <v>0</v>
      </c>
      <c r="CG143" s="79" cm="1">
        <f t="array" ref="CG143">SUMPRODUCT(($B$2:$B$126=3)*(CG$2:CG$126&gt;=0)*(CG$2:CG$126&lt;=12)*(CG$2:CG$126&lt;&gt;"")*($J$2:$J$126))</f>
        <v>0</v>
      </c>
      <c r="CH143" s="79" cm="1">
        <f t="array" ref="CH143">SUMPRODUCT(($B$2:$B$126=3)*(CH$2:CH$126&gt;=0)*(CH$2:CH$126&lt;=12)*(CH$2:CH$126&lt;&gt;"")*($J$2:$J$126))</f>
        <v>0</v>
      </c>
      <c r="CI143" s="79" cm="1">
        <f t="array" ref="CI143">SUMPRODUCT(($B$2:$B$126=3)*(CI$2:CI$126&gt;=0)*(CI$2:CI$126&lt;=12)*(CI$2:CI$126&lt;&gt;"")*($J$2:$J$126))</f>
        <v>0</v>
      </c>
      <c r="CJ143" s="79" cm="1">
        <f t="array" ref="CJ143">SUMPRODUCT(($B$2:$B$126=3)*(CJ$2:CJ$126&gt;=0)*(CJ$2:CJ$126&lt;=12)*(CJ$2:CJ$126&lt;&gt;"")*($J$2:$J$126))</f>
        <v>0</v>
      </c>
      <c r="CK143" s="79" cm="1">
        <f t="array" ref="CK143">SUMPRODUCT(($B$2:$B$126=3)*(CK$2:CK$126&gt;=0)*(CK$2:CK$126&lt;=12)*(CK$2:CK$126&lt;&gt;"")*($J$2:$J$126))</f>
        <v>0</v>
      </c>
      <c r="CL143" s="79" cm="1">
        <f t="array" ref="CL143">SUMPRODUCT(($B$2:$B$126=3)*(CL$2:CL$126&gt;=0)*(CL$2:CL$126&lt;=12)*(CL$2:CL$126&lt;&gt;"")*($J$2:$J$126))</f>
        <v>0</v>
      </c>
      <c r="CM143" s="79" cm="1">
        <f t="array" ref="CM143">SUMPRODUCT(($B$2:$B$126=3)*(CM$2:CM$126&gt;=0)*(CM$2:CM$126&lt;=12)*(CM$2:CM$126&lt;&gt;"")*($J$2:$J$126))</f>
        <v>0</v>
      </c>
      <c r="CN143" s="79" cm="1">
        <f t="array" ref="CN143">SUMPRODUCT(($B$2:$B$126=3)*(CN$2:CN$126&gt;=0)*(CN$2:CN$126&lt;=12)*(CN$2:CN$126&lt;&gt;"")*($J$2:$J$126))</f>
        <v>0</v>
      </c>
      <c r="CO143" s="79" cm="1">
        <f t="array" ref="CO143">SUMPRODUCT(($B$2:$B$126=3)*(CO$2:CO$126&gt;=0)*(CO$2:CO$126&lt;=12)*(CO$2:CO$126&lt;&gt;"")*($J$2:$J$126))</f>
        <v>0</v>
      </c>
      <c r="CP143" s="79" cm="1">
        <f t="array" ref="CP143">SUMPRODUCT(($B$2:$B$126=3)*(CP$2:CP$126&gt;=0)*(CP$2:CP$126&lt;=12)*(CP$2:CP$126&lt;&gt;"")*($J$2:$J$126))</f>
        <v>0</v>
      </c>
      <c r="CQ143" s="79" cm="1">
        <f t="array" ref="CQ143">SUMPRODUCT(($B$2:$B$126=3)*(CQ$2:CQ$126&gt;=0)*(CQ$2:CQ$126&lt;=12)*(CQ$2:CQ$126&lt;&gt;"")*($J$2:$J$126))</f>
        <v>0</v>
      </c>
      <c r="CR143" s="79" cm="1">
        <f t="array" ref="CR143">SUMPRODUCT(($B$2:$B$126=3)*(CR$2:CR$126&gt;=0)*(CR$2:CR$126&lt;=12)*(CR$2:CR$126&lt;&gt;"")*($J$2:$J$126))</f>
        <v>0</v>
      </c>
      <c r="CS143" s="79" cm="1">
        <f t="array" ref="CS143">SUMPRODUCT(($B$2:$B$126=3)*(CS$2:CS$126&gt;=0)*(CS$2:CS$126&lt;=12)*(CS$2:CS$126&lt;&gt;"")*($J$2:$J$126))</f>
        <v>0</v>
      </c>
      <c r="CT143" s="79" cm="1">
        <f t="array" ref="CT143">SUMPRODUCT(($B$2:$B$126=3)*(CT$2:CT$126&gt;=0)*(CT$2:CT$126&lt;=12)*(CT$2:CT$126&lt;&gt;"")*($J$2:$J$126))</f>
        <v>0</v>
      </c>
      <c r="CU143" s="79" cm="1">
        <f t="array" ref="CU143">SUMPRODUCT(($B$2:$B$126=3)*(CU$2:CU$126&gt;=0)*(CU$2:CU$126&lt;=12)*(CU$2:CU$126&lt;&gt;"")*($J$2:$J$126))</f>
        <v>0</v>
      </c>
      <c r="CV143" s="79" cm="1">
        <f t="array" ref="CV143">SUMPRODUCT(($B$2:$B$126=3)*(CV$2:CV$126&gt;=0)*(CV$2:CV$126&lt;=12)*(CV$2:CV$126&lt;&gt;"")*($J$2:$J$126))</f>
        <v>0</v>
      </c>
      <c r="CW143" s="79" cm="1">
        <f t="array" ref="CW143">SUMPRODUCT(($B$2:$B$126=3)*(CW$2:CW$126&gt;=0)*(CW$2:CW$126&lt;=12)*(CW$2:CW$126&lt;&gt;"")*($J$2:$J$126))</f>
        <v>0</v>
      </c>
      <c r="CX143" s="79" cm="1">
        <f t="array" ref="CX143">SUMPRODUCT(($B$2:$B$126=3)*(CX$2:CX$126&gt;=0)*(CX$2:CX$126&lt;=12)*(CX$2:CX$126&lt;&gt;"")*($J$2:$J$126))</f>
        <v>0</v>
      </c>
      <c r="CY143" s="79" cm="1">
        <f t="array" ref="CY143">SUMPRODUCT(($B$2:$B$126=3)*(CY$2:CY$126&gt;=0)*(CY$2:CY$126&lt;=12)*(CY$2:CY$126&lt;&gt;"")*($J$2:$J$126))</f>
        <v>0</v>
      </c>
      <c r="CZ143" s="79" cm="1">
        <f t="array" ref="CZ143">SUMPRODUCT(($B$2:$B$126=3)*(CZ$2:CZ$126&gt;=0)*(CZ$2:CZ$126&lt;=12)*(CZ$2:CZ$126&lt;&gt;"")*($J$2:$J$126))</f>
        <v>0</v>
      </c>
      <c r="DA143" s="79" cm="1">
        <f t="array" ref="DA143">SUMPRODUCT(($B$2:$B$126=3)*(DA$2:DA$126&gt;=0)*(DA$2:DA$126&lt;=12)*(DA$2:DA$126&lt;&gt;"")*($J$2:$J$126))</f>
        <v>0</v>
      </c>
      <c r="DB143" s="79" cm="1">
        <f t="array" ref="DB143">SUMPRODUCT(($B$2:$B$126=3)*(DB$2:DB$126&gt;=0)*(DB$2:DB$126&lt;=12)*(DB$2:DB$126&lt;&gt;"")*($J$2:$J$126))</f>
        <v>0</v>
      </c>
      <c r="DC143" s="79" cm="1">
        <f t="array" ref="DC143">SUMPRODUCT(($B$2:$B$126=3)*(DC$2:DC$126&gt;=0)*(DC$2:DC$126&lt;=12)*(DC$2:DC$126&lt;&gt;"")*($J$2:$J$126))</f>
        <v>0</v>
      </c>
      <c r="DD143" s="79" cm="1">
        <f t="array" ref="DD143">SUMPRODUCT(($B$2:$B$126=3)*(DD$2:DD$126&gt;=0)*(DD$2:DD$126&lt;=12)*(DD$2:DD$126&lt;&gt;"")*($J$2:$J$126))</f>
        <v>0</v>
      </c>
      <c r="DE143" s="79" cm="1">
        <f t="array" ref="DE143">SUMPRODUCT(($B$2:$B$126=3)*(DE$2:DE$126&gt;=0)*(DE$2:DE$126&lt;=12)*(DE$2:DE$126&lt;&gt;"")*($J$2:$J$126))</f>
        <v>0</v>
      </c>
      <c r="DF143" s="79" cm="1">
        <f t="array" ref="DF143">SUMPRODUCT(($B$2:$B$126=3)*(DF$2:DF$126&gt;=0)*(DF$2:DF$126&lt;=12)*(DF$2:DF$126&lt;&gt;"")*($J$2:$J$126))</f>
        <v>0</v>
      </c>
      <c r="DG143" s="79" cm="1">
        <f t="array" ref="DG143">SUMPRODUCT(($B$2:$B$126=3)*(DG$2:DG$126&gt;=0)*(DG$2:DG$126&lt;=12)*(DG$2:DG$126&lt;&gt;"")*($J$2:$J$126))</f>
        <v>0</v>
      </c>
      <c r="DH143" s="79" cm="1">
        <f t="array" ref="DH143">SUMPRODUCT(($B$2:$B$126=3)*(DH$2:DH$126&gt;=0)*(DH$2:DH$126&lt;=12)*(DH$2:DH$126&lt;&gt;"")*($J$2:$J$126))</f>
        <v>0</v>
      </c>
      <c r="DI143" s="79" cm="1">
        <f t="array" ref="DI143">SUMPRODUCT(($B$2:$B$126=3)*(DI$2:DI$126&gt;=0)*(DI$2:DI$126&lt;=12)*(DI$2:DI$126&lt;&gt;"")*($J$2:$J$126))</f>
        <v>0</v>
      </c>
      <c r="DJ143" s="79" cm="1">
        <f t="array" ref="DJ143">SUMPRODUCT(($B$2:$B$126=3)*(DJ$2:DJ$126&gt;=0)*(DJ$2:DJ$126&lt;=12)*(DJ$2:DJ$126&lt;&gt;"")*($J$2:$J$126))</f>
        <v>0</v>
      </c>
      <c r="DK143" s="79" cm="1">
        <f t="array" ref="DK143">SUMPRODUCT(($B$2:$B$126=3)*(DK$2:DK$126&gt;=0)*(DK$2:DK$126&lt;=12)*(DK$2:DK$126&lt;&gt;"")*($J$2:$J$126))</f>
        <v>0</v>
      </c>
      <c r="DL143" s="79" cm="1">
        <f t="array" ref="DL143">SUMPRODUCT(($B$2:$B$126=3)*(DL$2:DL$126&gt;=0)*(DL$2:DL$126&lt;=12)*(DL$2:DL$126&lt;&gt;"")*($J$2:$J$126))</f>
        <v>0</v>
      </c>
      <c r="DM143" s="79" cm="1">
        <f t="array" ref="DM143">SUMPRODUCT(($B$2:$B$126=3)*(DM$2:DM$126&gt;=0)*(DM$2:DM$126&lt;=12)*(DM$2:DM$126&lt;&gt;"")*($J$2:$J$126))</f>
        <v>0</v>
      </c>
      <c r="DN143" s="79" cm="1">
        <f t="array" ref="DN143">SUMPRODUCT(($B$2:$B$126=3)*(DN$2:DN$126&gt;=0)*(DN$2:DN$126&lt;=12)*(DN$2:DN$126&lt;&gt;"")*($J$2:$J$126))</f>
        <v>0</v>
      </c>
      <c r="DO143" s="79" cm="1">
        <f t="array" ref="DO143">SUMPRODUCT(($B$2:$B$126=3)*(DO$2:DO$126&gt;=0)*(DO$2:DO$126&lt;=12)*(DO$2:DO$126&lt;&gt;"")*($J$2:$J$126))</f>
        <v>0</v>
      </c>
      <c r="DP143" s="79" cm="1">
        <f t="array" ref="DP143">SUMPRODUCT(($B$2:$B$126=3)*(DP$2:DP$126&gt;=0)*(DP$2:DP$126&lt;=12)*(DP$2:DP$126&lt;&gt;"")*($J$2:$J$126))</f>
        <v>0</v>
      </c>
      <c r="DQ143" s="79" cm="1">
        <f t="array" ref="DQ143">SUMPRODUCT(($B$2:$B$126=3)*(DQ$2:DQ$126&gt;=0)*(DQ$2:DQ$126&lt;=12)*(DQ$2:DQ$126&lt;&gt;"")*($J$2:$J$126))</f>
        <v>0</v>
      </c>
      <c r="DR143" s="79" cm="1">
        <f t="array" ref="DR143">SUMPRODUCT(($B$2:$B$126=3)*(DR$2:DR$126&gt;=0)*(DR$2:DR$126&lt;=12)*(DR$2:DR$126&lt;&gt;"")*($J$2:$J$126))</f>
        <v>0</v>
      </c>
      <c r="DS143" s="79" cm="1">
        <f t="array" ref="DS143">SUMPRODUCT(($B$2:$B$126=3)*(DS$2:DS$126&gt;=0)*(DS$2:DS$126&lt;=12)*(DS$2:DS$126&lt;&gt;"")*($J$2:$J$126))</f>
        <v>0</v>
      </c>
      <c r="DT143" s="79" cm="1">
        <f t="array" ref="DT143">SUMPRODUCT(($B$2:$B$126=3)*(DT$2:DT$126&gt;=0)*(DT$2:DT$126&lt;=12)*(DT$2:DT$126&lt;&gt;"")*($J$2:$J$126))</f>
        <v>0</v>
      </c>
      <c r="DU143" s="79" cm="1">
        <f t="array" ref="DU143">SUMPRODUCT(($B$2:$B$126=3)*(DU$2:DU$126&gt;=0)*(DU$2:DU$126&lt;=12)*(DU$2:DU$126&lt;&gt;"")*($J$2:$J$126))</f>
        <v>0</v>
      </c>
      <c r="DV143" s="79" cm="1">
        <f t="array" ref="DV143">SUMPRODUCT(($B$2:$B$126=3)*(DV$2:DV$126&gt;=0)*(DV$2:DV$126&lt;=12)*(DV$2:DV$126&lt;&gt;"")*($J$2:$J$126))</f>
        <v>0</v>
      </c>
      <c r="DW143" s="79" cm="1">
        <f t="array" ref="DW143">SUMPRODUCT(($B$2:$B$126=3)*(DW$2:DW$126&gt;=0)*(DW$2:DW$126&lt;=12)*(DW$2:DW$126&lt;&gt;"")*($J$2:$J$126))</f>
        <v>0</v>
      </c>
      <c r="DX143" s="79" cm="1">
        <f t="array" ref="DX143">SUMPRODUCT(($B$2:$B$126=3)*(DX$2:DX$126&gt;=0)*(DX$2:DX$126&lt;=12)*(DX$2:DX$126&lt;&gt;"")*($J$2:$J$126))</f>
        <v>0</v>
      </c>
      <c r="DY143" s="79" cm="1">
        <f t="array" ref="DY143">SUMPRODUCT(($B$2:$B$126=3)*(DY$2:DY$126&gt;=0)*(DY$2:DY$126&lt;=12)*(DY$2:DY$126&lt;&gt;"")*($J$2:$J$126))</f>
        <v>0</v>
      </c>
      <c r="DZ143" s="79" cm="1">
        <f t="array" ref="DZ143">SUMPRODUCT(($B$2:$B$126=3)*(DZ$2:DZ$126&gt;=0)*(DZ$2:DZ$126&lt;=12)*(DZ$2:DZ$126&lt;&gt;"")*($J$2:$J$126))</f>
        <v>0</v>
      </c>
      <c r="EA143" s="79" cm="1">
        <f t="array" ref="EA143">SUMPRODUCT(($B$2:$B$126=3)*(EA$2:EA$126&gt;=0)*(EA$2:EA$126&lt;=12)*(EA$2:EA$126&lt;&gt;"")*($J$2:$J$126))</f>
        <v>0</v>
      </c>
      <c r="EB143" s="79" cm="1">
        <f t="array" ref="EB143">SUMPRODUCT(($B$2:$B$126=3)*(EB$2:EB$126&gt;=0)*(EB$2:EB$126&lt;=12)*(EB$2:EB$126&lt;&gt;"")*($J$2:$J$126))</f>
        <v>0</v>
      </c>
      <c r="EC143" s="79" cm="1">
        <f t="array" ref="EC143">SUMPRODUCT(($B$2:$B$126=3)*(EC$2:EC$126&gt;=0)*(EC$2:EC$126&lt;=12)*(EC$2:EC$126&lt;&gt;"")*($J$2:$J$126))</f>
        <v>0</v>
      </c>
      <c r="ED143" s="79" cm="1">
        <f t="array" ref="ED143">SUMPRODUCT(($B$2:$B$126=3)*(ED$2:ED$126&gt;=0)*(ED$2:ED$126&lt;=12)*(ED$2:ED$126&lt;&gt;"")*($J$2:$J$126))</f>
        <v>0</v>
      </c>
      <c r="EE143" s="79" cm="1">
        <f t="array" ref="EE143">SUMPRODUCT(($B$2:$B$126=3)*(EE$2:EE$126&gt;=0)*(EE$2:EE$126&lt;=12)*(EE$2:EE$126&lt;&gt;"")*($J$2:$J$126))</f>
        <v>0</v>
      </c>
      <c r="EF143" s="79" cm="1">
        <f t="array" ref="EF143">SUMPRODUCT(($B$2:$B$126=3)*(EF$2:EF$126&gt;=0)*(EF$2:EF$126&lt;=12)*(EF$2:EF$126&lt;&gt;"")*($J$2:$J$126))</f>
        <v>0</v>
      </c>
      <c r="EG143" s="79" cm="1">
        <f t="array" ref="EG143">SUMPRODUCT(($B$2:$B$126=3)*(EG$2:EG$126&gt;=0)*(EG$2:EG$126&lt;=12)*(EG$2:EG$126&lt;&gt;"")*($J$2:$J$126))</f>
        <v>0</v>
      </c>
      <c r="EH143" s="79" cm="1">
        <f t="array" ref="EH143">SUMPRODUCT(($B$2:$B$126=3)*(EH$2:EH$126&gt;=0)*(EH$2:EH$126&lt;=12)*(EH$2:EH$126&lt;&gt;"")*($J$2:$J$126))</f>
        <v>0</v>
      </c>
      <c r="EI143" s="79" cm="1">
        <f t="array" ref="EI143">SUMPRODUCT(($B$2:$B$126=3)*(EI$2:EI$126&gt;=0)*(EI$2:EI$126&lt;=12)*(EI$2:EI$126&lt;&gt;"")*($J$2:$J$126))</f>
        <v>0</v>
      </c>
      <c r="EJ143" s="79" cm="1">
        <f t="array" ref="EJ143">SUMPRODUCT(($B$2:$B$126=3)*(EJ$2:EJ$126&gt;=0)*(EJ$2:EJ$126&lt;=12)*(EJ$2:EJ$126&lt;&gt;"")*($J$2:$J$126))</f>
        <v>0</v>
      </c>
      <c r="EK143" s="79" cm="1">
        <f t="array" ref="EK143">SUMPRODUCT(($B$2:$B$126=3)*(EK$2:EK$126&gt;=0)*(EK$2:EK$126&lt;=12)*(EK$2:EK$126&lt;&gt;"")*($J$2:$J$126))</f>
        <v>0</v>
      </c>
      <c r="EL143" s="79" cm="1">
        <f t="array" ref="EL143">SUMPRODUCT(($B$2:$B$126=3)*(EL$2:EL$126&gt;=0)*(EL$2:EL$126&lt;=12)*(EL$2:EL$126&lt;&gt;"")*($J$2:$J$126))</f>
        <v>0</v>
      </c>
      <c r="EM143" s="79" cm="1">
        <f t="array" ref="EM143">SUMPRODUCT(($B$2:$B$126=3)*(EM$2:EM$126&gt;=0)*(EM$2:EM$126&lt;=12)*(EM$2:EM$126&lt;&gt;"")*($J$2:$J$126))</f>
        <v>0</v>
      </c>
      <c r="EN143" s="79" cm="1">
        <f t="array" ref="EN143">SUMPRODUCT(($B$2:$B$126=3)*(EN$2:EN$126&gt;=0)*(EN$2:EN$126&lt;=12)*(EN$2:EN$126&lt;&gt;"")*($J$2:$J$126))</f>
        <v>0</v>
      </c>
      <c r="EO143" s="79" cm="1">
        <f t="array" ref="EO143">SUMPRODUCT(($B$2:$B$126=3)*(EO$2:EO$126&gt;=0)*(EO$2:EO$126&lt;=12)*(EO$2:EO$126&lt;&gt;"")*($J$2:$J$126))</f>
        <v>0</v>
      </c>
      <c r="EP143" s="79" cm="1">
        <f t="array" ref="EP143">SUMPRODUCT(($B$2:$B$126=3)*(EP$2:EP$126&gt;=0)*(EP$2:EP$126&lt;=12)*(EP$2:EP$126&lt;&gt;"")*($J$2:$J$126))</f>
        <v>0</v>
      </c>
      <c r="EQ143" s="79" cm="1">
        <f t="array" ref="EQ143">SUMPRODUCT(($B$2:$B$126=3)*(EQ$2:EQ$126&gt;=0)*(EQ$2:EQ$126&lt;=12)*(EQ$2:EQ$126&lt;&gt;"")*($J$2:$J$126))</f>
        <v>0</v>
      </c>
      <c r="ER143" s="79" cm="1">
        <f t="array" ref="ER143">SUMPRODUCT(($B$2:$B$126=3)*(ER$2:ER$126&gt;=0)*(ER$2:ER$126&lt;=12)*(ER$2:ER$126&lt;&gt;"")*($J$2:$J$126))</f>
        <v>0</v>
      </c>
      <c r="ES143" s="79" cm="1">
        <f t="array" ref="ES143">SUMPRODUCT(($B$2:$B$126=3)*(ES$2:ES$126&gt;=0)*(ES$2:ES$126&lt;=12)*(ES$2:ES$126&lt;&gt;"")*($J$2:$J$126))</f>
        <v>0</v>
      </c>
      <c r="ET143" s="79" cm="1">
        <f t="array" ref="ET143">SUMPRODUCT(($B$2:$B$126=3)*(ET$2:ET$126&gt;=0)*(ET$2:ET$126&lt;=12)*(ET$2:ET$126&lt;&gt;"")*($J$2:$J$126))</f>
        <v>0</v>
      </c>
      <c r="EU143" s="79" cm="1">
        <f t="array" ref="EU143">SUMPRODUCT(($B$2:$B$126=3)*(EU$2:EU$126&gt;=0)*(EU$2:EU$126&lt;=12)*(EU$2:EU$126&lt;&gt;"")*($J$2:$J$126))</f>
        <v>0</v>
      </c>
      <c r="EV143" s="79" cm="1">
        <f t="array" ref="EV143">SUMPRODUCT(($B$2:$B$126=3)*(EV$2:EV$126&gt;=0)*(EV$2:EV$126&lt;=12)*(EV$2:EV$126&lt;&gt;"")*($J$2:$J$126))</f>
        <v>0</v>
      </c>
      <c r="EW143" s="79" cm="1">
        <f t="array" ref="EW143">SUMPRODUCT(($B$2:$B$126=3)*(EW$2:EW$126&gt;=0)*(EW$2:EW$126&lt;=12)*(EW$2:EW$126&lt;&gt;"")*($J$2:$J$126))</f>
        <v>0</v>
      </c>
      <c r="EX143" s="79" cm="1">
        <f t="array" ref="EX143">SUMPRODUCT(($B$2:$B$126=3)*(EX$2:EX$126&gt;=0)*(EX$2:EX$126&lt;=12)*(EX$2:EX$126&lt;&gt;"")*($J$2:$J$126))</f>
        <v>0</v>
      </c>
      <c r="EY143" s="79" cm="1">
        <f t="array" ref="EY143">SUMPRODUCT(($B$2:$B$126=3)*(EY$2:EY$126&gt;=0)*(EY$2:EY$126&lt;=12)*(EY$2:EY$126&lt;&gt;"")*($J$2:$J$126))</f>
        <v>0</v>
      </c>
      <c r="EZ143" s="79" cm="1">
        <f t="array" ref="EZ143">SUMPRODUCT(($B$2:$B$126=3)*(EZ$2:EZ$126&gt;=0)*(EZ$2:EZ$126&lt;=12)*(EZ$2:EZ$126&lt;&gt;"")*($J$2:$J$126))</f>
        <v>0</v>
      </c>
      <c r="FA143" s="79" cm="1">
        <f t="array" ref="FA143">SUMPRODUCT(($B$2:$B$126=3)*(FA$2:FA$126&gt;=0)*(FA$2:FA$126&lt;=12)*(FA$2:FA$126&lt;&gt;"")*($J$2:$J$126))</f>
        <v>0</v>
      </c>
      <c r="FB143" s="79" cm="1">
        <f t="array" ref="FB143">SUMPRODUCT(($B$2:$B$126=3)*(FB$2:FB$126&gt;=0)*(FB$2:FB$126&lt;=12)*(FB$2:FB$126&lt;&gt;"")*($J$2:$J$126))</f>
        <v>0</v>
      </c>
      <c r="FC143" s="79" cm="1">
        <f t="array" ref="FC143">SUMPRODUCT(($B$2:$B$126=3)*(FC$2:FC$126&gt;=0)*(FC$2:FC$126&lt;=12)*(FC$2:FC$126&lt;&gt;"")*($J$2:$J$126))</f>
        <v>0</v>
      </c>
      <c r="FD143" s="79" cm="1">
        <f t="array" ref="FD143">SUMPRODUCT(($B$2:$B$126=3)*(FD$2:FD$126&gt;=0)*(FD$2:FD$126&lt;=12)*(FD$2:FD$126&lt;&gt;"")*($J$2:$J$126))</f>
        <v>0</v>
      </c>
      <c r="FE143" s="79" cm="1">
        <f t="array" ref="FE143">SUMPRODUCT(($B$2:$B$126=3)*(FE$2:FE$126&gt;=0)*(FE$2:FE$126&lt;=12)*(FE$2:FE$126&lt;&gt;"")*($J$2:$J$126))</f>
        <v>0</v>
      </c>
      <c r="FF143" s="79" cm="1">
        <f t="array" ref="FF143">SUMPRODUCT(($B$2:$B$126=3)*(FF$2:FF$126&gt;=0)*(FF$2:FF$126&lt;=12)*(FF$2:FF$126&lt;&gt;"")*($J$2:$J$126))</f>
        <v>0</v>
      </c>
      <c r="FG143" s="79" cm="1">
        <f t="array" ref="FG143">SUMPRODUCT(($B$2:$B$126=3)*(FG$2:FG$126&gt;=0)*(FG$2:FG$126&lt;=12)*(FG$2:FG$126&lt;&gt;"")*($J$2:$J$126))</f>
        <v>0</v>
      </c>
      <c r="FH143" s="79" cm="1">
        <f t="array" ref="FH143">SUMPRODUCT(($B$2:$B$126=3)*(FH$2:FH$126&gt;=0)*(FH$2:FH$126&lt;=12)*(FH$2:FH$126&lt;&gt;"")*($J$2:$J$126))</f>
        <v>0</v>
      </c>
      <c r="FI143" s="79" cm="1">
        <f t="array" ref="FI143">SUMPRODUCT(($B$2:$B$126=3)*(FI$2:FI$126&gt;=0)*(FI$2:FI$126&lt;=12)*(FI$2:FI$126&lt;&gt;"")*($J$2:$J$126))</f>
        <v>0</v>
      </c>
      <c r="FJ143" s="79" cm="1">
        <f t="array" ref="FJ143">SUMPRODUCT(($B$2:$B$126=3)*(FJ$2:FJ$126&gt;=0)*(FJ$2:FJ$126&lt;=12)*(FJ$2:FJ$126&lt;&gt;"")*($J$2:$J$126))</f>
        <v>0</v>
      </c>
      <c r="FK143" s="79" cm="1">
        <f t="array" ref="FK143">SUMPRODUCT(($B$2:$B$126=3)*(FK$2:FK$126&gt;=0)*(FK$2:FK$126&lt;=12)*(FK$2:FK$126&lt;&gt;"")*($J$2:$J$126))</f>
        <v>0</v>
      </c>
      <c r="FL143" s="79" cm="1">
        <f t="array" ref="FL143">SUMPRODUCT(($B$2:$B$126=3)*(FL$2:FL$126&gt;=0)*(FL$2:FL$126&lt;=12)*(FL$2:FL$126&lt;&gt;"")*($J$2:$J$126))</f>
        <v>0</v>
      </c>
      <c r="FM143" s="79" cm="1">
        <f t="array" ref="FM143">SUMPRODUCT(($B$2:$B$126=3)*(FM$2:FM$126&gt;=0)*(FM$2:FM$126&lt;=12)*(FM$2:FM$126&lt;&gt;"")*($J$2:$J$126))</f>
        <v>0</v>
      </c>
      <c r="FN143" s="79" cm="1">
        <f t="array" ref="FN143">SUMPRODUCT(($B$2:$B$126=3)*(FN$2:FN$126&gt;=0)*(FN$2:FN$126&lt;=12)*(FN$2:FN$126&lt;&gt;"")*($J$2:$J$126))</f>
        <v>0</v>
      </c>
      <c r="FO143" s="79" cm="1">
        <f t="array" ref="FO143">SUMPRODUCT(($B$2:$B$126=3)*(FO$2:FO$126&gt;=0)*(FO$2:FO$126&lt;=12)*(FO$2:FO$126&lt;&gt;"")*($J$2:$J$126))</f>
        <v>0</v>
      </c>
      <c r="FP143" s="79" cm="1">
        <f t="array" ref="FP143">SUMPRODUCT(($B$2:$B$126=3)*(FP$2:FP$126&gt;=0)*(FP$2:FP$126&lt;=12)*(FP$2:FP$126&lt;&gt;"")*($J$2:$J$126))</f>
        <v>0</v>
      </c>
      <c r="FQ143" s="79" cm="1">
        <f t="array" ref="FQ143">SUMPRODUCT(($B$2:$B$126=3)*(FQ$2:FQ$126&gt;=0)*(FQ$2:FQ$126&lt;=12)*(FQ$2:FQ$126&lt;&gt;"")*($J$2:$J$126))</f>
        <v>0</v>
      </c>
      <c r="FR143" s="79" cm="1">
        <f t="array" ref="FR143">SUMPRODUCT(($B$2:$B$126=3)*(FR$2:FR$126&gt;=0)*(FR$2:FR$126&lt;=12)*(FR$2:FR$126&lt;&gt;"")*($J$2:$J$126))</f>
        <v>0</v>
      </c>
      <c r="FS143" s="79" cm="1">
        <f t="array" ref="FS143">SUMPRODUCT(($B$2:$B$126=3)*(FS$2:FS$126&gt;=0)*(FS$2:FS$126&lt;=12)*(FS$2:FS$126&lt;&gt;"")*($J$2:$J$126))</f>
        <v>0</v>
      </c>
      <c r="FT143" s="79" cm="1">
        <f t="array" ref="FT143">SUMPRODUCT(($B$2:$B$126=3)*(FT$2:FT$126&gt;=0)*(FT$2:FT$126&lt;=12)*(FT$2:FT$126&lt;&gt;"")*($J$2:$J$126))</f>
        <v>0</v>
      </c>
      <c r="FU143" s="79" cm="1">
        <f t="array" ref="FU143">SUMPRODUCT(($B$2:$B$126=3)*(FU$2:FU$126&gt;=0)*(FU$2:FU$126&lt;=12)*(FU$2:FU$126&lt;&gt;"")*($J$2:$J$126))</f>
        <v>0</v>
      </c>
      <c r="FV143" s="79" cm="1">
        <f t="array" ref="FV143">SUMPRODUCT(($B$2:$B$126=3)*(FV$2:FV$126&gt;=0)*(FV$2:FV$126&lt;=12)*(FV$2:FV$126&lt;&gt;"")*($J$2:$J$126))</f>
        <v>0</v>
      </c>
      <c r="FW143" s="79" cm="1">
        <f t="array" ref="FW143">SUMPRODUCT(($B$2:$B$126=3)*(FW$2:FW$126&gt;=0)*(FW$2:FW$126&lt;=12)*(FW$2:FW$126&lt;&gt;"")*($J$2:$J$126))</f>
        <v>0</v>
      </c>
      <c r="FX143" s="79" cm="1">
        <f t="array" ref="FX143">SUMPRODUCT(($B$2:$B$126=3)*(FX$2:FX$126&gt;=0)*(FX$2:FX$126&lt;=12)*(FX$2:FX$126&lt;&gt;"")*($J$2:$J$126))</f>
        <v>0</v>
      </c>
      <c r="FY143" s="79" cm="1">
        <f t="array" ref="FY143">SUMPRODUCT(($B$2:$B$126=3)*(FY$2:FY$126&gt;=0)*(FY$2:FY$126&lt;=12)*(FY$2:FY$126&lt;&gt;"")*($J$2:$J$126))</f>
        <v>0</v>
      </c>
      <c r="FZ143" s="79" cm="1">
        <f t="array" ref="FZ143">SUMPRODUCT(($B$2:$B$126=3)*(FZ$2:FZ$126&gt;=0)*(FZ$2:FZ$126&lt;=12)*(FZ$2:FZ$126&lt;&gt;"")*($J$2:$J$126))</f>
        <v>0</v>
      </c>
      <c r="GA143" s="79" cm="1">
        <f t="array" ref="GA143">SUMPRODUCT(($B$2:$B$126=3)*(GA$2:GA$126&gt;=0)*(GA$2:GA$126&lt;=12)*(GA$2:GA$126&lt;&gt;"")*($J$2:$J$126))</f>
        <v>0</v>
      </c>
      <c r="GB143" s="79" cm="1">
        <f t="array" ref="GB143">SUMPRODUCT(($B$2:$B$126=3)*(GB$2:GB$126&gt;=0)*(GB$2:GB$126&lt;=12)*(GB$2:GB$126&lt;&gt;"")*($J$2:$J$126))</f>
        <v>0</v>
      </c>
      <c r="GC143" s="79" cm="1">
        <f t="array" ref="GC143">SUMPRODUCT(($B$2:$B$126=3)*(GC$2:GC$126&gt;=0)*(GC$2:GC$126&lt;=12)*(GC$2:GC$126&lt;&gt;"")*($J$2:$J$126))</f>
        <v>0</v>
      </c>
      <c r="GD143" s="79" cm="1">
        <f t="array" ref="GD143">SUMPRODUCT(($B$2:$B$126=3)*(GD$2:GD$126&gt;=0)*(GD$2:GD$126&lt;=12)*(GD$2:GD$126&lt;&gt;"")*($J$2:$J$126))</f>
        <v>0</v>
      </c>
      <c r="GE143" s="79" cm="1">
        <f t="array" ref="GE143">SUMPRODUCT(($B$2:$B$126=3)*(GE$2:GE$126&gt;=0)*(GE$2:GE$126&lt;=12)*(GE$2:GE$126&lt;&gt;"")*($J$2:$J$126))</f>
        <v>0</v>
      </c>
      <c r="GF143" s="79" cm="1">
        <f t="array" ref="GF143">SUMPRODUCT(($B$2:$B$126=3)*(GF$2:GF$126&gt;=0)*(GF$2:GF$126&lt;=12)*(GF$2:GF$126&lt;&gt;"")*($J$2:$J$126))</f>
        <v>0</v>
      </c>
      <c r="GG143" s="79" cm="1">
        <f t="array" ref="GG143">SUMPRODUCT(($B$2:$B$126=3)*(GG$2:GG$126&gt;=0)*(GG$2:GG$126&lt;=12)*(GG$2:GG$126&lt;&gt;"")*($J$2:$J$126))</f>
        <v>0</v>
      </c>
      <c r="GH143" s="79" cm="1">
        <f t="array" ref="GH143">SUMPRODUCT(($B$2:$B$126=3)*(GH$2:GH$126&gt;=0)*(GH$2:GH$126&lt;=12)*(GH$2:GH$126&lt;&gt;"")*($J$2:$J$126))</f>
        <v>0</v>
      </c>
      <c r="GI143" s="79" cm="1">
        <f t="array" ref="GI143">SUMPRODUCT(($B$2:$B$126=3)*(GI$2:GI$126&gt;=0)*(GI$2:GI$126&lt;=12)*(GI$2:GI$126&lt;&gt;"")*($J$2:$J$126))</f>
        <v>0</v>
      </c>
      <c r="GJ143" s="79" cm="1">
        <f t="array" ref="GJ143">SUMPRODUCT(($B$2:$B$126=3)*(GJ$2:GJ$126&gt;=0)*(GJ$2:GJ$126&lt;=12)*(GJ$2:GJ$126&lt;&gt;"")*($J$2:$J$126))</f>
        <v>0</v>
      </c>
      <c r="GK143" s="79" cm="1">
        <f t="array" ref="GK143">SUMPRODUCT(($B$2:$B$126=3)*(GK$2:GK$126&gt;=0)*(GK$2:GK$126&lt;=12)*(GK$2:GK$126&lt;&gt;"")*($J$2:$J$126))</f>
        <v>0</v>
      </c>
      <c r="GL143" s="79" cm="1">
        <f t="array" ref="GL143">SUMPRODUCT(($B$2:$B$126=3)*(GL$2:GL$126&gt;=0)*(GL$2:GL$126&lt;=12)*(GL$2:GL$126&lt;&gt;"")*($J$2:$J$126))</f>
        <v>0</v>
      </c>
      <c r="GM143" s="79" cm="1">
        <f t="array" ref="GM143">SUMPRODUCT(($B$2:$B$126=3)*(GM$2:GM$126&gt;=0)*(GM$2:GM$126&lt;=12)*(GM$2:GM$126&lt;&gt;"")*($J$2:$J$126))</f>
        <v>0</v>
      </c>
      <c r="GN143" s="79" cm="1">
        <f t="array" ref="GN143">SUMPRODUCT(($B$2:$B$126=3)*(GN$2:GN$126&gt;=0)*(GN$2:GN$126&lt;=12)*(GN$2:GN$126&lt;&gt;"")*($J$2:$J$126))</f>
        <v>0</v>
      </c>
      <c r="GO143" s="79" cm="1">
        <f t="array" ref="GO143">SUMPRODUCT(($B$2:$B$126=3)*(GO$2:GO$126&gt;=0)*(GO$2:GO$126&lt;=12)*(GO$2:GO$126&lt;&gt;"")*($J$2:$J$126))</f>
        <v>0</v>
      </c>
      <c r="GP143" s="79" cm="1">
        <f t="array" ref="GP143">SUMPRODUCT(($B$2:$B$126=3)*(GP$2:GP$126&gt;=0)*(GP$2:GP$126&lt;=12)*(GP$2:GP$126&lt;&gt;"")*($J$2:$J$126))</f>
        <v>0</v>
      </c>
      <c r="GQ143" s="79" cm="1">
        <f t="array" ref="GQ143">SUMPRODUCT(($B$2:$B$126=3)*(GQ$2:GQ$126&gt;=0)*(GQ$2:GQ$126&lt;=12)*(GQ$2:GQ$126&lt;&gt;"")*($J$2:$J$126))</f>
        <v>0</v>
      </c>
      <c r="GR143" s="79" cm="1">
        <f t="array" ref="GR143">SUMPRODUCT(($B$2:$B$126=3)*(GR$2:GR$126&gt;=0)*(GR$2:GR$126&lt;=12)*(GR$2:GR$126&lt;&gt;"")*($J$2:$J$126))</f>
        <v>0</v>
      </c>
      <c r="GS143" s="79" cm="1">
        <f t="array" ref="GS143">SUMPRODUCT(($B$2:$B$126=3)*(GS$2:GS$126&gt;=0)*(GS$2:GS$126&lt;=12)*(GS$2:GS$126&lt;&gt;"")*($J$2:$J$126))</f>
        <v>0</v>
      </c>
      <c r="GT143" s="79" cm="1">
        <f t="array" ref="GT143">SUMPRODUCT(($B$2:$B$126=3)*(GT$2:GT$126&gt;=0)*(GT$2:GT$126&lt;=12)*(GT$2:GT$126&lt;&gt;"")*($J$2:$J$126))</f>
        <v>0</v>
      </c>
      <c r="GU143" s="79" cm="1">
        <f t="array" ref="GU143">SUMPRODUCT(($B$2:$B$126=3)*(GU$2:GU$126&gt;=0)*(GU$2:GU$126&lt;=12)*(GU$2:GU$126&lt;&gt;"")*($J$2:$J$126))</f>
        <v>0</v>
      </c>
      <c r="GV143" s="79" cm="1">
        <f t="array" ref="GV143">SUMPRODUCT(($B$2:$B$126=3)*(GV$2:GV$126&gt;=0)*(GV$2:GV$126&lt;=12)*(GV$2:GV$126&lt;&gt;"")*($J$2:$J$126))</f>
        <v>0</v>
      </c>
      <c r="GW143" s="79" cm="1">
        <f t="array" ref="GW143">SUMPRODUCT(($B$2:$B$126=3)*(GW$2:GW$126&gt;=0)*(GW$2:GW$126&lt;=12)*(GW$2:GW$126&lt;&gt;"")*($J$2:$J$126))</f>
        <v>0</v>
      </c>
      <c r="GX143" s="79" cm="1">
        <f t="array" ref="GX143">SUMPRODUCT(($B$2:$B$126=3)*(GX$2:GX$126&gt;=0)*(GX$2:GX$126&lt;=12)*(GX$2:GX$126&lt;&gt;"")*($J$2:$J$126))</f>
        <v>0</v>
      </c>
    </row>
    <row r="144" spans="1:206" x14ac:dyDescent="0.2">
      <c r="A144" s="84">
        <v>3</v>
      </c>
      <c r="B144" s="84" t="s">
        <v>255</v>
      </c>
      <c r="W144" s="79" cm="1">
        <f t="array" ref="W144">SUMPRODUCT(($B$2:$B$126=3)*(W$2:W$126&gt;=13)*(W$2:W$126&lt;=17)*(W$2:W$126&lt;&gt;"")*($J$2:$J$126))</f>
        <v>88</v>
      </c>
      <c r="X144" s="79" cm="1">
        <f t="array" ref="X144">SUMPRODUCT(($B$2:$B$126=3)*(X$2:X$126&gt;=13)*(X$2:X$126&lt;=17)*(X$2:X$126&lt;&gt;"")*($J$2:$J$126))</f>
        <v>88</v>
      </c>
      <c r="Y144" s="79" cm="1">
        <f t="array" ref="Y144">SUMPRODUCT(($B$2:$B$126=3)*(Y$2:Y$126&gt;=13)*(Y$2:Y$126&lt;=17)*(Y$2:Y$126&lt;&gt;"")*($J$2:$J$126))</f>
        <v>98.76</v>
      </c>
      <c r="Z144" s="79" cm="1">
        <f t="array" ref="Z144">SUMPRODUCT(($B$2:$B$126=3)*(Z$2:Z$126&gt;=13)*(Z$2:Z$126&lt;=17)*(Z$2:Z$126&lt;&gt;"")*($J$2:$J$126))</f>
        <v>171.01000000000002</v>
      </c>
      <c r="AA144" s="79" cm="1">
        <f t="array" ref="AA144">SUMPRODUCT(($B$2:$B$126=3)*(AA$2:AA$126&gt;=13)*(AA$2:AA$126&lt;=17)*(AA$2:AA$126&lt;&gt;"")*($J$2:$J$126))</f>
        <v>83.009999999999991</v>
      </c>
      <c r="AB144" s="79" cm="1">
        <f t="array" ref="AB144">SUMPRODUCT(($B$2:$B$126=3)*(AB$2:AB$126&gt;=13)*(AB$2:AB$126&lt;=17)*(AB$2:AB$126&lt;&gt;"")*($J$2:$J$126))</f>
        <v>83.009999999999991</v>
      </c>
      <c r="AC144" s="79" cm="1">
        <f t="array" ref="AC144">SUMPRODUCT(($B$2:$B$126=3)*(AC$2:AC$126&gt;=13)*(AC$2:AC$126&lt;=17)*(AC$2:AC$126&lt;&gt;"")*($J$2:$J$126))</f>
        <v>119.85999999999999</v>
      </c>
      <c r="AD144" s="79" cm="1">
        <f t="array" ref="AD144">SUMPRODUCT(($B$2:$B$126=3)*(AD$2:AD$126&gt;=13)*(AD$2:AD$126&lt;=17)*(AD$2:AD$126&lt;&gt;"")*($J$2:$J$126))</f>
        <v>126.68</v>
      </c>
      <c r="AE144" s="79" cm="1">
        <f t="array" ref="AE144">SUMPRODUCT(($B$2:$B$126=3)*(AE$2:AE$126&gt;=13)*(AE$2:AE$126&lt;=17)*(AE$2:AE$126&lt;&gt;"")*($J$2:$J$126))</f>
        <v>94.68</v>
      </c>
      <c r="AF144" s="79" cm="1">
        <f t="array" ref="AF144">SUMPRODUCT(($B$2:$B$126=3)*(AF$2:AF$126&gt;=13)*(AF$2:AF$126&lt;=17)*(AF$2:AF$126&lt;&gt;"")*($J$2:$J$126))</f>
        <v>94.68</v>
      </c>
      <c r="AG144" s="79" cm="1">
        <f t="array" ref="AG144">SUMPRODUCT(($B$2:$B$126=3)*(AG$2:AG$126&gt;=13)*(AG$2:AG$126&lt;=17)*(AG$2:AG$126&lt;&gt;"")*($J$2:$J$126))</f>
        <v>94.68</v>
      </c>
      <c r="AH144" s="79" cm="1">
        <f t="array" ref="AH144">SUMPRODUCT(($B$2:$B$126=3)*(AH$2:AH$126&gt;=13)*(AH$2:AH$126&lt;=17)*(AH$2:AH$126&lt;&gt;"")*($J$2:$J$126))</f>
        <v>57.83</v>
      </c>
      <c r="AI144" s="79" cm="1">
        <f t="array" ref="AI144">SUMPRODUCT(($B$2:$B$126=3)*(AI$2:AI$126&gt;=13)*(AI$2:AI$126&lt;=17)*(AI$2:AI$126&lt;&gt;"")*($J$2:$J$126))</f>
        <v>103.07</v>
      </c>
      <c r="AJ144" s="79" cm="1">
        <f t="array" ref="AJ144">SUMPRODUCT(($B$2:$B$126=3)*(AJ$2:AJ$126&gt;=13)*(AJ$2:AJ$126&lt;=17)*(AJ$2:AJ$126&lt;&gt;"")*($J$2:$J$126))</f>
        <v>62.82</v>
      </c>
      <c r="AK144" s="79" cm="1">
        <f t="array" ref="AK144">SUMPRODUCT(($B$2:$B$126=3)*(AK$2:AK$126&gt;=13)*(AK$2:AK$126&lt;=17)*(AK$2:AK$126&lt;&gt;"")*($J$2:$J$126))</f>
        <v>64.06</v>
      </c>
      <c r="AL144" s="79" cm="1">
        <f t="array" ref="AL144">SUMPRODUCT(($B$2:$B$126=3)*(AL$2:AL$126&gt;=13)*(AL$2:AL$126&lt;=17)*(AL$2:AL$126&lt;&gt;"")*($J$2:$J$126))</f>
        <v>134.91</v>
      </c>
      <c r="AM144" s="79" cm="1">
        <f t="array" ref="AM144">SUMPRODUCT(($B$2:$B$126=3)*(AM$2:AM$126&gt;=13)*(AM$2:AM$126&lt;=17)*(AM$2:AM$126&lt;&gt;"")*($J$2:$J$126))</f>
        <v>134.91</v>
      </c>
      <c r="AN144" s="79" cm="1">
        <f t="array" ref="AN144">SUMPRODUCT(($B$2:$B$126=3)*(AN$2:AN$126&gt;=13)*(AN$2:AN$126&lt;=17)*(AN$2:AN$126&lt;&gt;"")*($J$2:$J$126))</f>
        <v>111.75999999999999</v>
      </c>
      <c r="AO144" s="79" cm="1">
        <f t="array" ref="AO144">SUMPRODUCT(($B$2:$B$126=3)*(AO$2:AO$126&gt;=13)*(AO$2:AO$126&lt;=17)*(AO$2:AO$126&lt;&gt;"")*($J$2:$J$126))</f>
        <v>111.75999999999999</v>
      </c>
      <c r="AP144" s="79" cm="1">
        <f t="array" ref="AP144">SUMPRODUCT(($B$2:$B$126=3)*(AP$2:AP$126&gt;=13)*(AP$2:AP$126&lt;=17)*(AP$2:AP$126&lt;&gt;"")*($J$2:$J$126))</f>
        <v>82.789999999999992</v>
      </c>
      <c r="AQ144" s="79" cm="1">
        <f t="array" ref="AQ144">SUMPRODUCT(($B$2:$B$126=3)*(AQ$2:AQ$126&gt;=13)*(AQ$2:AQ$126&lt;=17)*(AQ$2:AQ$126&lt;&gt;"")*($J$2:$J$126))</f>
        <v>11.94</v>
      </c>
      <c r="AR144" s="79" cm="1">
        <f t="array" ref="AR144">SUMPRODUCT(($B$2:$B$126=3)*(AR$2:AR$126&gt;=13)*(AR$2:AR$126&lt;=17)*(AR$2:AR$126&lt;&gt;"")*($J$2:$J$126))</f>
        <v>28.92</v>
      </c>
      <c r="AS144" s="79" cm="1">
        <f t="array" ref="AS144">SUMPRODUCT(($B$2:$B$126=3)*(AS$2:AS$126&gt;=13)*(AS$2:AS$126&lt;=17)*(AS$2:AS$126&lt;&gt;"")*($J$2:$J$126))</f>
        <v>50.35</v>
      </c>
      <c r="AT144" s="79" cm="1">
        <f t="array" ref="AT144">SUMPRODUCT(($B$2:$B$126=3)*(AT$2:AT$126&gt;=13)*(AT$2:AT$126&lt;=17)*(AT$2:AT$126&lt;&gt;"")*($J$2:$J$126))</f>
        <v>98.490000000000009</v>
      </c>
      <c r="AU144" s="79" cm="1">
        <f t="array" ref="AU144">SUMPRODUCT(($B$2:$B$126=3)*(AU$2:AU$126&gt;=13)*(AU$2:AU$126&lt;=17)*(AU$2:AU$126&lt;&gt;"")*($J$2:$J$126))</f>
        <v>211.39999999999998</v>
      </c>
      <c r="AV144" s="79" cm="1">
        <f t="array" ref="AV144">SUMPRODUCT(($B$2:$B$126=3)*(AV$2:AV$126&gt;=13)*(AV$2:AV$126&lt;=17)*(AV$2:AV$126&lt;&gt;"")*($J$2:$J$126))</f>
        <v>232.39999999999998</v>
      </c>
      <c r="AW144" s="79" cm="1">
        <f t="array" ref="AW144">SUMPRODUCT(($B$2:$B$126=3)*(AW$2:AW$126&gt;=13)*(AW$2:AW$126&lt;=17)*(AW$2:AW$126&lt;&gt;"")*($J$2:$J$126))</f>
        <v>295.01</v>
      </c>
      <c r="AX144" s="79" cm="1">
        <f t="array" ref="AX144">SUMPRODUCT(($B$2:$B$126=3)*(AX$2:AX$126&gt;=13)*(AX$2:AX$126&lt;=17)*(AX$2:AX$126&lt;&gt;"")*($J$2:$J$126))</f>
        <v>313.25</v>
      </c>
      <c r="AY144" s="79" cm="1">
        <f t="array" ref="AY144">SUMPRODUCT(($B$2:$B$126=3)*(AY$2:AY$126&gt;=13)*(AY$2:AY$126&lt;=17)*(AY$2:AY$126&lt;&gt;"")*($J$2:$J$126))</f>
        <v>228.26</v>
      </c>
      <c r="AZ144" s="79" cm="1">
        <f t="array" ref="AZ144">SUMPRODUCT(($B$2:$B$126=3)*(AZ$2:AZ$126&gt;=13)*(AZ$2:AZ$126&lt;=17)*(AZ$2:AZ$126&lt;&gt;"")*($J$2:$J$126))</f>
        <v>170.27</v>
      </c>
      <c r="BA144" s="79" cm="1">
        <f t="array" ref="BA144">SUMPRODUCT(($B$2:$B$126=3)*(BA$2:BA$126&gt;=13)*(BA$2:BA$126&lt;=17)*(BA$2:BA$126&lt;&gt;"")*($J$2:$J$126))</f>
        <v>120.65</v>
      </c>
      <c r="BB144" s="79" cm="1">
        <f t="array" ref="BB144">SUMPRODUCT(($B$2:$B$126=3)*(BB$2:BB$126&gt;=13)*(BB$2:BB$126&lt;=17)*(BB$2:BB$126&lt;&gt;"")*($J$2:$J$126))</f>
        <v>103.07</v>
      </c>
      <c r="BC144" s="79" cm="1">
        <f t="array" ref="BC144">SUMPRODUCT(($B$2:$B$126=3)*(BC$2:BC$126&gt;=13)*(BC$2:BC$126&lt;=17)*(BC$2:BC$126&lt;&gt;"")*($J$2:$J$126))</f>
        <v>63.4</v>
      </c>
      <c r="BD144" s="79" cm="1">
        <f t="array" ref="BD144">SUMPRODUCT(($B$2:$B$126=3)*(BD$2:BD$126&gt;=13)*(BD$2:BD$126&lt;=17)*(BD$2:BD$126&lt;&gt;"")*($J$2:$J$126))</f>
        <v>63.4</v>
      </c>
      <c r="BE144" s="79" cm="1">
        <f t="array" ref="BE144">SUMPRODUCT(($B$2:$B$126=3)*(BE$2:BE$126&gt;=13)*(BE$2:BE$126&lt;=17)*(BE$2:BE$126&lt;&gt;"")*($J$2:$J$126))</f>
        <v>23.15</v>
      </c>
      <c r="BF144" s="79" cm="1">
        <f t="array" ref="BF144">SUMPRODUCT(($B$2:$B$126=3)*(BF$2:BF$126&gt;=13)*(BF$2:BF$126&lt;=17)*(BF$2:BF$126&lt;&gt;"")*($J$2:$J$126))</f>
        <v>0</v>
      </c>
      <c r="BG144" s="79" cm="1">
        <f t="array" ref="BG144">SUMPRODUCT(($B$2:$B$126=3)*(BG$2:BG$126&gt;=13)*(BG$2:BG$126&lt;=17)*(BG$2:BG$126&lt;&gt;"")*($J$2:$J$126))</f>
        <v>40.909999999999997</v>
      </c>
      <c r="BH144" s="79" cm="1">
        <f t="array" ref="BH144">SUMPRODUCT(($B$2:$B$126=3)*(BH$2:BH$126&gt;=13)*(BH$2:BH$126&lt;=17)*(BH$2:BH$126&lt;&gt;"")*($J$2:$J$126))</f>
        <v>40.909999999999997</v>
      </c>
      <c r="BI144" s="79" cm="1">
        <f t="array" ref="BI144">SUMPRODUCT(($B$2:$B$126=3)*(BI$2:BI$126&gt;=13)*(BI$2:BI$126&lt;=17)*(BI$2:BI$126&lt;&gt;"")*($J$2:$J$126))</f>
        <v>40.909999999999997</v>
      </c>
      <c r="BJ144" s="79" cm="1">
        <f t="array" ref="BJ144">SUMPRODUCT(($B$2:$B$126=3)*(BJ$2:BJ$126&gt;=13)*(BJ$2:BJ$126&lt;=17)*(BJ$2:BJ$126&lt;&gt;"")*($J$2:$J$126))</f>
        <v>111.75999999999999</v>
      </c>
      <c r="BK144" s="79" cm="1">
        <f t="array" ref="BK144">SUMPRODUCT(($B$2:$B$126=3)*(BK$2:BK$126&gt;=13)*(BK$2:BK$126&lt;=17)*(BK$2:BK$126&lt;&gt;"")*($J$2:$J$126))</f>
        <v>128.74</v>
      </c>
      <c r="BL144" s="79" cm="1">
        <f t="array" ref="BL144">SUMPRODUCT(($B$2:$B$126=3)*(BL$2:BL$126&gt;=13)*(BL$2:BL$126&lt;=17)*(BL$2:BL$126&lt;&gt;"")*($J$2:$J$126))</f>
        <v>113.91</v>
      </c>
      <c r="BM144" s="79" cm="1">
        <f t="array" ref="BM144">SUMPRODUCT(($B$2:$B$126=3)*(BM$2:BM$126&gt;=13)*(BM$2:BM$126&lt;=17)*(BM$2:BM$126&lt;&gt;"")*($J$2:$J$126))</f>
        <v>152.92000000000002</v>
      </c>
      <c r="BN144" s="79" cm="1">
        <f t="array" ref="BN144">SUMPRODUCT(($B$2:$B$126=3)*(BN$2:BN$126&gt;=13)*(BN$2:BN$126&lt;=17)*(BN$2:BN$126&lt;&gt;"")*($J$2:$J$126))</f>
        <v>201.90999999999997</v>
      </c>
      <c r="BO144" s="79" cm="1">
        <f t="array" ref="BO144">SUMPRODUCT(($B$2:$B$126=3)*(BO$2:BO$126&gt;=13)*(BO$2:BO$126&lt;=17)*(BO$2:BO$126&lt;&gt;"")*($J$2:$J$126))</f>
        <v>104.78</v>
      </c>
      <c r="BP144" s="79" cm="1">
        <f t="array" ref="BP144">SUMPRODUCT(($B$2:$B$126=3)*(BP$2:BP$126&gt;=13)*(BP$2:BP$126&lt;=17)*(BP$2:BP$126&lt;&gt;"")*($J$2:$J$126))</f>
        <v>87.8</v>
      </c>
      <c r="BQ144" s="79" cm="1">
        <f t="array" ref="BQ144">SUMPRODUCT(($B$2:$B$126=3)*(BQ$2:BQ$126&gt;=13)*(BQ$2:BQ$126&lt;=17)*(BQ$2:BQ$126&lt;&gt;"")*($J$2:$J$126))</f>
        <v>39.01</v>
      </c>
      <c r="BR144" s="79" cm="1">
        <f t="array" ref="BR144">SUMPRODUCT(($B$2:$B$126=3)*(BR$2:BR$126&gt;=13)*(BR$2:BR$126&lt;=17)*(BR$2:BR$126&lt;&gt;"")*($J$2:$J$126))</f>
        <v>28.339999999999996</v>
      </c>
      <c r="BS144" s="79" cm="1">
        <f t="array" ref="BS144">SUMPRODUCT(($B$2:$B$126=3)*(BS$2:BS$126&gt;=13)*(BS$2:BS$126&lt;=17)*(BS$2:BS$126&lt;&gt;"")*($J$2:$J$126))</f>
        <v>108.26</v>
      </c>
      <c r="BT144" s="79" cm="1">
        <f t="array" ref="BT144">SUMPRODUCT(($B$2:$B$126=3)*(BT$2:BT$126&gt;=13)*(BT$2:BT$126&lt;=17)*(BT$2:BT$126&lt;&gt;"")*($J$2:$J$126))</f>
        <v>131.41</v>
      </c>
      <c r="BU144" s="79" cm="1">
        <f t="array" ref="BU144">SUMPRODUCT(($B$2:$B$126=3)*(BU$2:BU$126&gt;=13)*(BU$2:BU$126&lt;=17)*(BU$2:BU$126&lt;&gt;"")*($J$2:$J$126))</f>
        <v>131.41</v>
      </c>
      <c r="BV144" s="79" cm="1">
        <f t="array" ref="BV144">SUMPRODUCT(($B$2:$B$126=3)*(BV$2:BV$126&gt;=13)*(BV$2:BV$126&lt;=17)*(BV$2:BV$126&lt;&gt;"")*($J$2:$J$126))</f>
        <v>131.41</v>
      </c>
      <c r="BW144" s="79" cm="1">
        <f t="array" ref="BW144">SUMPRODUCT(($B$2:$B$126=3)*(BW$2:BW$126&gt;=13)*(BW$2:BW$126&lt;=17)*(BW$2:BW$126&lt;&gt;"")*($J$2:$J$126))</f>
        <v>103.07</v>
      </c>
      <c r="BX144" s="79" cm="1">
        <f t="array" ref="BX144">SUMPRODUCT(($B$2:$B$126=3)*(BX$2:BX$126&gt;=13)*(BX$2:BX$126&lt;=17)*(BX$2:BX$126&lt;&gt;"")*($J$2:$J$126))</f>
        <v>33.39</v>
      </c>
      <c r="BY144" s="79" cm="1">
        <f t="array" ref="BY144">SUMPRODUCT(($B$2:$B$126=3)*(BY$2:BY$126&gt;=13)*(BY$2:BY$126&lt;=17)*(BY$2:BY$126&lt;&gt;"")*($J$2:$J$126))</f>
        <v>143.1</v>
      </c>
      <c r="BZ144" s="79" cm="1">
        <f t="array" ref="BZ144">SUMPRODUCT(($B$2:$B$126=3)*(BZ$2:BZ$126&gt;=13)*(BZ$2:BZ$126&lt;=17)*(BZ$2:BZ$126&lt;&gt;"")*($J$2:$J$126))</f>
        <v>164.53</v>
      </c>
      <c r="CA144" s="79" cm="1">
        <f t="array" ref="CA144">SUMPRODUCT(($B$2:$B$126=3)*(CA$2:CA$126&gt;=13)*(CA$2:CA$126&lt;=17)*(CA$2:CA$126&lt;&gt;"")*($J$2:$J$126))</f>
        <v>164.53</v>
      </c>
      <c r="CB144" s="79" cm="1">
        <f t="array" ref="CB144">SUMPRODUCT(($B$2:$B$126=3)*(CB$2:CB$126&gt;=13)*(CB$2:CB$126&lt;=17)*(CB$2:CB$126&lt;&gt;"")*($J$2:$J$126))</f>
        <v>261.65999999999997</v>
      </c>
      <c r="CC144" s="79" cm="1">
        <f t="array" ref="CC144">SUMPRODUCT(($B$2:$B$126=3)*(CC$2:CC$126&gt;=13)*(CC$2:CC$126&lt;=17)*(CC$2:CC$126&lt;&gt;"")*($J$2:$J$126))</f>
        <v>251.42</v>
      </c>
      <c r="CD144" s="79" cm="1">
        <f t="array" ref="CD144">SUMPRODUCT(($B$2:$B$126=3)*(CD$2:CD$126&gt;=13)*(CD$2:CD$126&lt;=17)*(CD$2:CD$126&lt;&gt;"")*($J$2:$J$126))</f>
        <v>118.56</v>
      </c>
      <c r="CE144" s="79" cm="1">
        <f t="array" ref="CE144">SUMPRODUCT(($B$2:$B$126=3)*(CE$2:CE$126&gt;=13)*(CE$2:CE$126&lt;=17)*(CE$2:CE$126&lt;&gt;"")*($J$2:$J$126))</f>
        <v>97.13</v>
      </c>
      <c r="CF144" s="79" cm="1">
        <f t="array" ref="CF144">SUMPRODUCT(($B$2:$B$126=3)*(CF$2:CF$126&gt;=13)*(CF$2:CF$126&lt;=17)*(CF$2:CF$126&lt;&gt;"")*($J$2:$J$126))</f>
        <v>97.13</v>
      </c>
      <c r="CG144" s="79" cm="1">
        <f t="array" ref="CG144">SUMPRODUCT(($B$2:$B$126=3)*(CG$2:CG$126&gt;=13)*(CG$2:CG$126&lt;=17)*(CG$2:CG$126&lt;&gt;"")*($J$2:$J$126))</f>
        <v>0</v>
      </c>
      <c r="CH144" s="79" cm="1">
        <f t="array" ref="CH144">SUMPRODUCT(($B$2:$B$126=3)*(CH$2:CH$126&gt;=13)*(CH$2:CH$126&lt;=17)*(CH$2:CH$126&lt;&gt;"")*($J$2:$J$126))</f>
        <v>0</v>
      </c>
      <c r="CI144" s="79" cm="1">
        <f t="array" ref="CI144">SUMPRODUCT(($B$2:$B$126=3)*(CI$2:CI$126&gt;=13)*(CI$2:CI$126&lt;=17)*(CI$2:CI$126&lt;&gt;"")*($J$2:$J$126))</f>
        <v>0</v>
      </c>
      <c r="CJ144" s="79" cm="1">
        <f t="array" ref="CJ144">SUMPRODUCT(($B$2:$B$126=3)*(CJ$2:CJ$126&gt;=13)*(CJ$2:CJ$126&lt;=17)*(CJ$2:CJ$126&lt;&gt;"")*($J$2:$J$126))</f>
        <v>0</v>
      </c>
      <c r="CK144" s="79" cm="1">
        <f t="array" ref="CK144">SUMPRODUCT(($B$2:$B$126=3)*(CK$2:CK$126&gt;=13)*(CK$2:CK$126&lt;=17)*(CK$2:CK$126&lt;&gt;"")*($J$2:$J$126))</f>
        <v>0</v>
      </c>
      <c r="CL144" s="79" cm="1">
        <f t="array" ref="CL144">SUMPRODUCT(($B$2:$B$126=3)*(CL$2:CL$126&gt;=13)*(CL$2:CL$126&lt;=17)*(CL$2:CL$126&lt;&gt;"")*($J$2:$J$126))</f>
        <v>0</v>
      </c>
      <c r="CM144" s="79" cm="1">
        <f t="array" ref="CM144">SUMPRODUCT(($B$2:$B$126=3)*(CM$2:CM$126&gt;=13)*(CM$2:CM$126&lt;=17)*(CM$2:CM$126&lt;&gt;"")*($J$2:$J$126))</f>
        <v>0</v>
      </c>
      <c r="CN144" s="79" cm="1">
        <f t="array" ref="CN144">SUMPRODUCT(($B$2:$B$126=3)*(CN$2:CN$126&gt;=13)*(CN$2:CN$126&lt;=17)*(CN$2:CN$126&lt;&gt;"")*($J$2:$J$126))</f>
        <v>0</v>
      </c>
      <c r="CO144" s="79" cm="1">
        <f t="array" ref="CO144">SUMPRODUCT(($B$2:$B$126=3)*(CO$2:CO$126&gt;=13)*(CO$2:CO$126&lt;=17)*(CO$2:CO$126&lt;&gt;"")*($J$2:$J$126))</f>
        <v>0</v>
      </c>
      <c r="CP144" s="79" cm="1">
        <f t="array" ref="CP144">SUMPRODUCT(($B$2:$B$126=3)*(CP$2:CP$126&gt;=13)*(CP$2:CP$126&lt;=17)*(CP$2:CP$126&lt;&gt;"")*($J$2:$J$126))</f>
        <v>0</v>
      </c>
      <c r="CQ144" s="79" cm="1">
        <f t="array" ref="CQ144">SUMPRODUCT(($B$2:$B$126=3)*(CQ$2:CQ$126&gt;=13)*(CQ$2:CQ$126&lt;=17)*(CQ$2:CQ$126&lt;&gt;"")*($J$2:$J$126))</f>
        <v>0</v>
      </c>
      <c r="CR144" s="79" cm="1">
        <f t="array" ref="CR144">SUMPRODUCT(($B$2:$B$126=3)*(CR$2:CR$126&gt;=13)*(CR$2:CR$126&lt;=17)*(CR$2:CR$126&lt;&gt;"")*($J$2:$J$126))</f>
        <v>0</v>
      </c>
      <c r="CS144" s="79" cm="1">
        <f t="array" ref="CS144">SUMPRODUCT(($B$2:$B$126=3)*(CS$2:CS$126&gt;=13)*(CS$2:CS$126&lt;=17)*(CS$2:CS$126&lt;&gt;"")*($J$2:$J$126))</f>
        <v>0</v>
      </c>
      <c r="CT144" s="79" cm="1">
        <f t="array" ref="CT144">SUMPRODUCT(($B$2:$B$126=3)*(CT$2:CT$126&gt;=13)*(CT$2:CT$126&lt;=17)*(CT$2:CT$126&lt;&gt;"")*($J$2:$J$126))</f>
        <v>0</v>
      </c>
      <c r="CU144" s="79" cm="1">
        <f t="array" ref="CU144">SUMPRODUCT(($B$2:$B$126=3)*(CU$2:CU$126&gt;=13)*(CU$2:CU$126&lt;=17)*(CU$2:CU$126&lt;&gt;"")*($J$2:$J$126))</f>
        <v>0</v>
      </c>
      <c r="CV144" s="79" cm="1">
        <f t="array" ref="CV144">SUMPRODUCT(($B$2:$B$126=3)*(CV$2:CV$126&gt;=13)*(CV$2:CV$126&lt;=17)*(CV$2:CV$126&lt;&gt;"")*($J$2:$J$126))</f>
        <v>0</v>
      </c>
      <c r="CW144" s="79" cm="1">
        <f t="array" ref="CW144">SUMPRODUCT(($B$2:$B$126=3)*(CW$2:CW$126&gt;=13)*(CW$2:CW$126&lt;=17)*(CW$2:CW$126&lt;&gt;"")*($J$2:$J$126))</f>
        <v>0</v>
      </c>
      <c r="CX144" s="79" cm="1">
        <f t="array" ref="CX144">SUMPRODUCT(($B$2:$B$126=3)*(CX$2:CX$126&gt;=13)*(CX$2:CX$126&lt;=17)*(CX$2:CX$126&lt;&gt;"")*($J$2:$J$126))</f>
        <v>0</v>
      </c>
      <c r="CY144" s="79" cm="1">
        <f t="array" ref="CY144">SUMPRODUCT(($B$2:$B$126=3)*(CY$2:CY$126&gt;=13)*(CY$2:CY$126&lt;=17)*(CY$2:CY$126&lt;&gt;"")*($J$2:$J$126))</f>
        <v>0</v>
      </c>
      <c r="CZ144" s="79" cm="1">
        <f t="array" ref="CZ144">SUMPRODUCT(($B$2:$B$126=3)*(CZ$2:CZ$126&gt;=13)*(CZ$2:CZ$126&lt;=17)*(CZ$2:CZ$126&lt;&gt;"")*($J$2:$J$126))</f>
        <v>0</v>
      </c>
      <c r="DA144" s="79" cm="1">
        <f t="array" ref="DA144">SUMPRODUCT(($B$2:$B$126=3)*(DA$2:DA$126&gt;=13)*(DA$2:DA$126&lt;=17)*(DA$2:DA$126&lt;&gt;"")*($J$2:$J$126))</f>
        <v>0</v>
      </c>
      <c r="DB144" s="79" cm="1">
        <f t="array" ref="DB144">SUMPRODUCT(($B$2:$B$126=3)*(DB$2:DB$126&gt;=13)*(DB$2:DB$126&lt;=17)*(DB$2:DB$126&lt;&gt;"")*($J$2:$J$126))</f>
        <v>0</v>
      </c>
      <c r="DC144" s="79" cm="1">
        <f t="array" ref="DC144">SUMPRODUCT(($B$2:$B$126=3)*(DC$2:DC$126&gt;=13)*(DC$2:DC$126&lt;=17)*(DC$2:DC$126&lt;&gt;"")*($J$2:$J$126))</f>
        <v>0</v>
      </c>
      <c r="DD144" s="79" cm="1">
        <f t="array" ref="DD144">SUMPRODUCT(($B$2:$B$126=3)*(DD$2:DD$126&gt;=13)*(DD$2:DD$126&lt;=17)*(DD$2:DD$126&lt;&gt;"")*($J$2:$J$126))</f>
        <v>0</v>
      </c>
      <c r="DE144" s="79" cm="1">
        <f t="array" ref="DE144">SUMPRODUCT(($B$2:$B$126=3)*(DE$2:DE$126&gt;=13)*(DE$2:DE$126&lt;=17)*(DE$2:DE$126&lt;&gt;"")*($J$2:$J$126))</f>
        <v>0</v>
      </c>
      <c r="DF144" s="79" cm="1">
        <f t="array" ref="DF144">SUMPRODUCT(($B$2:$B$126=3)*(DF$2:DF$126&gt;=13)*(DF$2:DF$126&lt;=17)*(DF$2:DF$126&lt;&gt;"")*($J$2:$J$126))</f>
        <v>0</v>
      </c>
      <c r="DG144" s="79" cm="1">
        <f t="array" ref="DG144">SUMPRODUCT(($B$2:$B$126=3)*(DG$2:DG$126&gt;=13)*(DG$2:DG$126&lt;=17)*(DG$2:DG$126&lt;&gt;"")*($J$2:$J$126))</f>
        <v>0</v>
      </c>
      <c r="DH144" s="79" cm="1">
        <f t="array" ref="DH144">SUMPRODUCT(($B$2:$B$126=3)*(DH$2:DH$126&gt;=13)*(DH$2:DH$126&lt;=17)*(DH$2:DH$126&lt;&gt;"")*($J$2:$J$126))</f>
        <v>0</v>
      </c>
      <c r="DI144" s="79" cm="1">
        <f t="array" ref="DI144">SUMPRODUCT(($B$2:$B$126=3)*(DI$2:DI$126&gt;=13)*(DI$2:DI$126&lt;=17)*(DI$2:DI$126&lt;&gt;"")*($J$2:$J$126))</f>
        <v>0</v>
      </c>
      <c r="DJ144" s="79" cm="1">
        <f t="array" ref="DJ144">SUMPRODUCT(($B$2:$B$126=3)*(DJ$2:DJ$126&gt;=13)*(DJ$2:DJ$126&lt;=17)*(DJ$2:DJ$126&lt;&gt;"")*($J$2:$J$126))</f>
        <v>0</v>
      </c>
      <c r="DK144" s="79" cm="1">
        <f t="array" ref="DK144">SUMPRODUCT(($B$2:$B$126=3)*(DK$2:DK$126&gt;=13)*(DK$2:DK$126&lt;=17)*(DK$2:DK$126&lt;&gt;"")*($J$2:$J$126))</f>
        <v>0</v>
      </c>
      <c r="DL144" s="79" cm="1">
        <f t="array" ref="DL144">SUMPRODUCT(($B$2:$B$126=3)*(DL$2:DL$126&gt;=13)*(DL$2:DL$126&lt;=17)*(DL$2:DL$126&lt;&gt;"")*($J$2:$J$126))</f>
        <v>0</v>
      </c>
      <c r="DM144" s="79" cm="1">
        <f t="array" ref="DM144">SUMPRODUCT(($B$2:$B$126=3)*(DM$2:DM$126&gt;=13)*(DM$2:DM$126&lt;=17)*(DM$2:DM$126&lt;&gt;"")*($J$2:$J$126))</f>
        <v>0</v>
      </c>
      <c r="DN144" s="79" cm="1">
        <f t="array" ref="DN144">SUMPRODUCT(($B$2:$B$126=3)*(DN$2:DN$126&gt;=13)*(DN$2:DN$126&lt;=17)*(DN$2:DN$126&lt;&gt;"")*($J$2:$J$126))</f>
        <v>0</v>
      </c>
      <c r="DO144" s="79" cm="1">
        <f t="array" ref="DO144">SUMPRODUCT(($B$2:$B$126=3)*(DO$2:DO$126&gt;=13)*(DO$2:DO$126&lt;=17)*(DO$2:DO$126&lt;&gt;"")*($J$2:$J$126))</f>
        <v>0</v>
      </c>
      <c r="DP144" s="79" cm="1">
        <f t="array" ref="DP144">SUMPRODUCT(($B$2:$B$126=3)*(DP$2:DP$126&gt;=13)*(DP$2:DP$126&lt;=17)*(DP$2:DP$126&lt;&gt;"")*($J$2:$J$126))</f>
        <v>0</v>
      </c>
      <c r="DQ144" s="79" cm="1">
        <f t="array" ref="DQ144">SUMPRODUCT(($B$2:$B$126=3)*(DQ$2:DQ$126&gt;=13)*(DQ$2:DQ$126&lt;=17)*(DQ$2:DQ$126&lt;&gt;"")*($J$2:$J$126))</f>
        <v>0</v>
      </c>
      <c r="DR144" s="79" cm="1">
        <f t="array" ref="DR144">SUMPRODUCT(($B$2:$B$126=3)*(DR$2:DR$126&gt;=13)*(DR$2:DR$126&lt;=17)*(DR$2:DR$126&lt;&gt;"")*($J$2:$J$126))</f>
        <v>0</v>
      </c>
      <c r="DS144" s="79" cm="1">
        <f t="array" ref="DS144">SUMPRODUCT(($B$2:$B$126=3)*(DS$2:DS$126&gt;=13)*(DS$2:DS$126&lt;=17)*(DS$2:DS$126&lt;&gt;"")*($J$2:$J$126))</f>
        <v>0</v>
      </c>
      <c r="DT144" s="79" cm="1">
        <f t="array" ref="DT144">SUMPRODUCT(($B$2:$B$126=3)*(DT$2:DT$126&gt;=13)*(DT$2:DT$126&lt;=17)*(DT$2:DT$126&lt;&gt;"")*($J$2:$J$126))</f>
        <v>0</v>
      </c>
      <c r="DU144" s="79" cm="1">
        <f t="array" ref="DU144">SUMPRODUCT(($B$2:$B$126=3)*(DU$2:DU$126&gt;=13)*(DU$2:DU$126&lt;=17)*(DU$2:DU$126&lt;&gt;"")*($J$2:$J$126))</f>
        <v>0</v>
      </c>
      <c r="DV144" s="79" cm="1">
        <f t="array" ref="DV144">SUMPRODUCT(($B$2:$B$126=3)*(DV$2:DV$126&gt;=13)*(DV$2:DV$126&lt;=17)*(DV$2:DV$126&lt;&gt;"")*($J$2:$J$126))</f>
        <v>0</v>
      </c>
      <c r="DW144" s="79" cm="1">
        <f t="array" ref="DW144">SUMPRODUCT(($B$2:$B$126=3)*(DW$2:DW$126&gt;=13)*(DW$2:DW$126&lt;=17)*(DW$2:DW$126&lt;&gt;"")*($J$2:$J$126))</f>
        <v>0</v>
      </c>
      <c r="DX144" s="79" cm="1">
        <f t="array" ref="DX144">SUMPRODUCT(($B$2:$B$126=3)*(DX$2:DX$126&gt;=13)*(DX$2:DX$126&lt;=17)*(DX$2:DX$126&lt;&gt;"")*($J$2:$J$126))</f>
        <v>0</v>
      </c>
      <c r="DY144" s="79" cm="1">
        <f t="array" ref="DY144">SUMPRODUCT(($B$2:$B$126=3)*(DY$2:DY$126&gt;=13)*(DY$2:DY$126&lt;=17)*(DY$2:DY$126&lt;&gt;"")*($J$2:$J$126))</f>
        <v>0</v>
      </c>
      <c r="DZ144" s="79" cm="1">
        <f t="array" ref="DZ144">SUMPRODUCT(($B$2:$B$126=3)*(DZ$2:DZ$126&gt;=13)*(DZ$2:DZ$126&lt;=17)*(DZ$2:DZ$126&lt;&gt;"")*($J$2:$J$126))</f>
        <v>0</v>
      </c>
      <c r="EA144" s="79" cm="1">
        <f t="array" ref="EA144">SUMPRODUCT(($B$2:$B$126=3)*(EA$2:EA$126&gt;=13)*(EA$2:EA$126&lt;=17)*(EA$2:EA$126&lt;&gt;"")*($J$2:$J$126))</f>
        <v>0</v>
      </c>
      <c r="EB144" s="79" cm="1">
        <f t="array" ref="EB144">SUMPRODUCT(($B$2:$B$126=3)*(EB$2:EB$126&gt;=13)*(EB$2:EB$126&lt;=17)*(EB$2:EB$126&lt;&gt;"")*($J$2:$J$126))</f>
        <v>0</v>
      </c>
      <c r="EC144" s="79" cm="1">
        <f t="array" ref="EC144">SUMPRODUCT(($B$2:$B$126=3)*(EC$2:EC$126&gt;=13)*(EC$2:EC$126&lt;=17)*(EC$2:EC$126&lt;&gt;"")*($J$2:$J$126))</f>
        <v>0</v>
      </c>
      <c r="ED144" s="79" cm="1">
        <f t="array" ref="ED144">SUMPRODUCT(($B$2:$B$126=3)*(ED$2:ED$126&gt;=13)*(ED$2:ED$126&lt;=17)*(ED$2:ED$126&lt;&gt;"")*($J$2:$J$126))</f>
        <v>0</v>
      </c>
      <c r="EE144" s="79" cm="1">
        <f t="array" ref="EE144">SUMPRODUCT(($B$2:$B$126=3)*(EE$2:EE$126&gt;=13)*(EE$2:EE$126&lt;=17)*(EE$2:EE$126&lt;&gt;"")*($J$2:$J$126))</f>
        <v>0</v>
      </c>
      <c r="EF144" s="79" cm="1">
        <f t="array" ref="EF144">SUMPRODUCT(($B$2:$B$126=3)*(EF$2:EF$126&gt;=13)*(EF$2:EF$126&lt;=17)*(EF$2:EF$126&lt;&gt;"")*($J$2:$J$126))</f>
        <v>0</v>
      </c>
      <c r="EG144" s="79" cm="1">
        <f t="array" ref="EG144">SUMPRODUCT(($B$2:$B$126=3)*(EG$2:EG$126&gt;=13)*(EG$2:EG$126&lt;=17)*(EG$2:EG$126&lt;&gt;"")*($J$2:$J$126))</f>
        <v>0</v>
      </c>
      <c r="EH144" s="79" cm="1">
        <f t="array" ref="EH144">SUMPRODUCT(($B$2:$B$126=3)*(EH$2:EH$126&gt;=13)*(EH$2:EH$126&lt;=17)*(EH$2:EH$126&lt;&gt;"")*($J$2:$J$126))</f>
        <v>0</v>
      </c>
      <c r="EI144" s="79" cm="1">
        <f t="array" ref="EI144">SUMPRODUCT(($B$2:$B$126=3)*(EI$2:EI$126&gt;=13)*(EI$2:EI$126&lt;=17)*(EI$2:EI$126&lt;&gt;"")*($J$2:$J$126))</f>
        <v>0</v>
      </c>
      <c r="EJ144" s="79" cm="1">
        <f t="array" ref="EJ144">SUMPRODUCT(($B$2:$B$126=3)*(EJ$2:EJ$126&gt;=13)*(EJ$2:EJ$126&lt;=17)*(EJ$2:EJ$126&lt;&gt;"")*($J$2:$J$126))</f>
        <v>0</v>
      </c>
      <c r="EK144" s="79" cm="1">
        <f t="array" ref="EK144">SUMPRODUCT(($B$2:$B$126=3)*(EK$2:EK$126&gt;=13)*(EK$2:EK$126&lt;=17)*(EK$2:EK$126&lt;&gt;"")*($J$2:$J$126))</f>
        <v>0</v>
      </c>
      <c r="EL144" s="79" cm="1">
        <f t="array" ref="EL144">SUMPRODUCT(($B$2:$B$126=3)*(EL$2:EL$126&gt;=13)*(EL$2:EL$126&lt;=17)*(EL$2:EL$126&lt;&gt;"")*($J$2:$J$126))</f>
        <v>0</v>
      </c>
      <c r="EM144" s="79" cm="1">
        <f t="array" ref="EM144">SUMPRODUCT(($B$2:$B$126=3)*(EM$2:EM$126&gt;=13)*(EM$2:EM$126&lt;=17)*(EM$2:EM$126&lt;&gt;"")*($J$2:$J$126))</f>
        <v>0</v>
      </c>
      <c r="EN144" s="79" cm="1">
        <f t="array" ref="EN144">SUMPRODUCT(($B$2:$B$126=3)*(EN$2:EN$126&gt;=13)*(EN$2:EN$126&lt;=17)*(EN$2:EN$126&lt;&gt;"")*($J$2:$J$126))</f>
        <v>0</v>
      </c>
      <c r="EO144" s="79" cm="1">
        <f t="array" ref="EO144">SUMPRODUCT(($B$2:$B$126=3)*(EO$2:EO$126&gt;=13)*(EO$2:EO$126&lt;=17)*(EO$2:EO$126&lt;&gt;"")*($J$2:$J$126))</f>
        <v>0</v>
      </c>
      <c r="EP144" s="79" cm="1">
        <f t="array" ref="EP144">SUMPRODUCT(($B$2:$B$126=3)*(EP$2:EP$126&gt;=13)*(EP$2:EP$126&lt;=17)*(EP$2:EP$126&lt;&gt;"")*($J$2:$J$126))</f>
        <v>0</v>
      </c>
      <c r="EQ144" s="79" cm="1">
        <f t="array" ref="EQ144">SUMPRODUCT(($B$2:$B$126=3)*(EQ$2:EQ$126&gt;=13)*(EQ$2:EQ$126&lt;=17)*(EQ$2:EQ$126&lt;&gt;"")*($J$2:$J$126))</f>
        <v>0</v>
      </c>
      <c r="ER144" s="79" cm="1">
        <f t="array" ref="ER144">SUMPRODUCT(($B$2:$B$126=3)*(ER$2:ER$126&gt;=13)*(ER$2:ER$126&lt;=17)*(ER$2:ER$126&lt;&gt;"")*($J$2:$J$126))</f>
        <v>0</v>
      </c>
      <c r="ES144" s="79" cm="1">
        <f t="array" ref="ES144">SUMPRODUCT(($B$2:$B$126=3)*(ES$2:ES$126&gt;=13)*(ES$2:ES$126&lt;=17)*(ES$2:ES$126&lt;&gt;"")*($J$2:$J$126))</f>
        <v>0</v>
      </c>
      <c r="ET144" s="79" cm="1">
        <f t="array" ref="ET144">SUMPRODUCT(($B$2:$B$126=3)*(ET$2:ET$126&gt;=13)*(ET$2:ET$126&lt;=17)*(ET$2:ET$126&lt;&gt;"")*($J$2:$J$126))</f>
        <v>0</v>
      </c>
      <c r="EU144" s="79" cm="1">
        <f t="array" ref="EU144">SUMPRODUCT(($B$2:$B$126=3)*(EU$2:EU$126&gt;=13)*(EU$2:EU$126&lt;=17)*(EU$2:EU$126&lt;&gt;"")*($J$2:$J$126))</f>
        <v>0</v>
      </c>
      <c r="EV144" s="79" cm="1">
        <f t="array" ref="EV144">SUMPRODUCT(($B$2:$B$126=3)*(EV$2:EV$126&gt;=13)*(EV$2:EV$126&lt;=17)*(EV$2:EV$126&lt;&gt;"")*($J$2:$J$126))</f>
        <v>0</v>
      </c>
      <c r="EW144" s="79" cm="1">
        <f t="array" ref="EW144">SUMPRODUCT(($B$2:$B$126=3)*(EW$2:EW$126&gt;=13)*(EW$2:EW$126&lt;=17)*(EW$2:EW$126&lt;&gt;"")*($J$2:$J$126))</f>
        <v>0</v>
      </c>
      <c r="EX144" s="79" cm="1">
        <f t="array" ref="EX144">SUMPRODUCT(($B$2:$B$126=3)*(EX$2:EX$126&gt;=13)*(EX$2:EX$126&lt;=17)*(EX$2:EX$126&lt;&gt;"")*($J$2:$J$126))</f>
        <v>0</v>
      </c>
      <c r="EY144" s="79" cm="1">
        <f t="array" ref="EY144">SUMPRODUCT(($B$2:$B$126=3)*(EY$2:EY$126&gt;=13)*(EY$2:EY$126&lt;=17)*(EY$2:EY$126&lt;&gt;"")*($J$2:$J$126))</f>
        <v>0</v>
      </c>
      <c r="EZ144" s="79" cm="1">
        <f t="array" ref="EZ144">SUMPRODUCT(($B$2:$B$126=3)*(EZ$2:EZ$126&gt;=13)*(EZ$2:EZ$126&lt;=17)*(EZ$2:EZ$126&lt;&gt;"")*($J$2:$J$126))</f>
        <v>0</v>
      </c>
      <c r="FA144" s="79" cm="1">
        <f t="array" ref="FA144">SUMPRODUCT(($B$2:$B$126=3)*(FA$2:FA$126&gt;=13)*(FA$2:FA$126&lt;=17)*(FA$2:FA$126&lt;&gt;"")*($J$2:$J$126))</f>
        <v>0</v>
      </c>
      <c r="FB144" s="79" cm="1">
        <f t="array" ref="FB144">SUMPRODUCT(($B$2:$B$126=3)*(FB$2:FB$126&gt;=13)*(FB$2:FB$126&lt;=17)*(FB$2:FB$126&lt;&gt;"")*($J$2:$J$126))</f>
        <v>0</v>
      </c>
      <c r="FC144" s="79" cm="1">
        <f t="array" ref="FC144">SUMPRODUCT(($B$2:$B$126=3)*(FC$2:FC$126&gt;=13)*(FC$2:FC$126&lt;=17)*(FC$2:FC$126&lt;&gt;"")*($J$2:$J$126))</f>
        <v>0</v>
      </c>
      <c r="FD144" s="79" cm="1">
        <f t="array" ref="FD144">SUMPRODUCT(($B$2:$B$126=3)*(FD$2:FD$126&gt;=13)*(FD$2:FD$126&lt;=17)*(FD$2:FD$126&lt;&gt;"")*($J$2:$J$126))</f>
        <v>0</v>
      </c>
      <c r="FE144" s="79" cm="1">
        <f t="array" ref="FE144">SUMPRODUCT(($B$2:$B$126=3)*(FE$2:FE$126&gt;=13)*(FE$2:FE$126&lt;=17)*(FE$2:FE$126&lt;&gt;"")*($J$2:$J$126))</f>
        <v>0</v>
      </c>
      <c r="FF144" s="79" cm="1">
        <f t="array" ref="FF144">SUMPRODUCT(($B$2:$B$126=3)*(FF$2:FF$126&gt;=13)*(FF$2:FF$126&lt;=17)*(FF$2:FF$126&lt;&gt;"")*($J$2:$J$126))</f>
        <v>0</v>
      </c>
      <c r="FG144" s="79" cm="1">
        <f t="array" ref="FG144">SUMPRODUCT(($B$2:$B$126=3)*(FG$2:FG$126&gt;=13)*(FG$2:FG$126&lt;=17)*(FG$2:FG$126&lt;&gt;"")*($J$2:$J$126))</f>
        <v>0</v>
      </c>
      <c r="FH144" s="79" cm="1">
        <f t="array" ref="FH144">SUMPRODUCT(($B$2:$B$126=3)*(FH$2:FH$126&gt;=13)*(FH$2:FH$126&lt;=17)*(FH$2:FH$126&lt;&gt;"")*($J$2:$J$126))</f>
        <v>0</v>
      </c>
      <c r="FI144" s="79" cm="1">
        <f t="array" ref="FI144">SUMPRODUCT(($B$2:$B$126=3)*(FI$2:FI$126&gt;=13)*(FI$2:FI$126&lt;=17)*(FI$2:FI$126&lt;&gt;"")*($J$2:$J$126))</f>
        <v>0</v>
      </c>
      <c r="FJ144" s="79" cm="1">
        <f t="array" ref="FJ144">SUMPRODUCT(($B$2:$B$126=3)*(FJ$2:FJ$126&gt;=13)*(FJ$2:FJ$126&lt;=17)*(FJ$2:FJ$126&lt;&gt;"")*($J$2:$J$126))</f>
        <v>0</v>
      </c>
      <c r="FK144" s="79" cm="1">
        <f t="array" ref="FK144">SUMPRODUCT(($B$2:$B$126=3)*(FK$2:FK$126&gt;=13)*(FK$2:FK$126&lt;=17)*(FK$2:FK$126&lt;&gt;"")*($J$2:$J$126))</f>
        <v>0</v>
      </c>
      <c r="FL144" s="79" cm="1">
        <f t="array" ref="FL144">SUMPRODUCT(($B$2:$B$126=3)*(FL$2:FL$126&gt;=13)*(FL$2:FL$126&lt;=17)*(FL$2:FL$126&lt;&gt;"")*($J$2:$J$126))</f>
        <v>0</v>
      </c>
      <c r="FM144" s="79" cm="1">
        <f t="array" ref="FM144">SUMPRODUCT(($B$2:$B$126=3)*(FM$2:FM$126&gt;=13)*(FM$2:FM$126&lt;=17)*(FM$2:FM$126&lt;&gt;"")*($J$2:$J$126))</f>
        <v>0</v>
      </c>
      <c r="FN144" s="79" cm="1">
        <f t="array" ref="FN144">SUMPRODUCT(($B$2:$B$126=3)*(FN$2:FN$126&gt;=13)*(FN$2:FN$126&lt;=17)*(FN$2:FN$126&lt;&gt;"")*($J$2:$J$126))</f>
        <v>0</v>
      </c>
      <c r="FO144" s="79" cm="1">
        <f t="array" ref="FO144">SUMPRODUCT(($B$2:$B$126=3)*(FO$2:FO$126&gt;=13)*(FO$2:FO$126&lt;=17)*(FO$2:FO$126&lt;&gt;"")*($J$2:$J$126))</f>
        <v>0</v>
      </c>
      <c r="FP144" s="79" cm="1">
        <f t="array" ref="FP144">SUMPRODUCT(($B$2:$B$126=3)*(FP$2:FP$126&gt;=13)*(FP$2:FP$126&lt;=17)*(FP$2:FP$126&lt;&gt;"")*($J$2:$J$126))</f>
        <v>0</v>
      </c>
      <c r="FQ144" s="79" cm="1">
        <f t="array" ref="FQ144">SUMPRODUCT(($B$2:$B$126=3)*(FQ$2:FQ$126&gt;=13)*(FQ$2:FQ$126&lt;=17)*(FQ$2:FQ$126&lt;&gt;"")*($J$2:$J$126))</f>
        <v>0</v>
      </c>
      <c r="FR144" s="79" cm="1">
        <f t="array" ref="FR144">SUMPRODUCT(($B$2:$B$126=3)*(FR$2:FR$126&gt;=13)*(FR$2:FR$126&lt;=17)*(FR$2:FR$126&lt;&gt;"")*($J$2:$J$126))</f>
        <v>0</v>
      </c>
      <c r="FS144" s="79" cm="1">
        <f t="array" ref="FS144">SUMPRODUCT(($B$2:$B$126=3)*(FS$2:FS$126&gt;=13)*(FS$2:FS$126&lt;=17)*(FS$2:FS$126&lt;&gt;"")*($J$2:$J$126))</f>
        <v>0</v>
      </c>
      <c r="FT144" s="79" cm="1">
        <f t="array" ref="FT144">SUMPRODUCT(($B$2:$B$126=3)*(FT$2:FT$126&gt;=13)*(FT$2:FT$126&lt;=17)*(FT$2:FT$126&lt;&gt;"")*($J$2:$J$126))</f>
        <v>0</v>
      </c>
      <c r="FU144" s="79" cm="1">
        <f t="array" ref="FU144">SUMPRODUCT(($B$2:$B$126=3)*(FU$2:FU$126&gt;=13)*(FU$2:FU$126&lt;=17)*(FU$2:FU$126&lt;&gt;"")*($J$2:$J$126))</f>
        <v>0</v>
      </c>
      <c r="FV144" s="79" cm="1">
        <f t="array" ref="FV144">SUMPRODUCT(($B$2:$B$126=3)*(FV$2:FV$126&gt;=13)*(FV$2:FV$126&lt;=17)*(FV$2:FV$126&lt;&gt;"")*($J$2:$J$126))</f>
        <v>0</v>
      </c>
      <c r="FW144" s="79" cm="1">
        <f t="array" ref="FW144">SUMPRODUCT(($B$2:$B$126=3)*(FW$2:FW$126&gt;=13)*(FW$2:FW$126&lt;=17)*(FW$2:FW$126&lt;&gt;"")*($J$2:$J$126))</f>
        <v>0</v>
      </c>
      <c r="FX144" s="79" cm="1">
        <f t="array" ref="FX144">SUMPRODUCT(($B$2:$B$126=3)*(FX$2:FX$126&gt;=13)*(FX$2:FX$126&lt;=17)*(FX$2:FX$126&lt;&gt;"")*($J$2:$J$126))</f>
        <v>0</v>
      </c>
      <c r="FY144" s="79" cm="1">
        <f t="array" ref="FY144">SUMPRODUCT(($B$2:$B$126=3)*(FY$2:FY$126&gt;=13)*(FY$2:FY$126&lt;=17)*(FY$2:FY$126&lt;&gt;"")*($J$2:$J$126))</f>
        <v>0</v>
      </c>
      <c r="FZ144" s="79" cm="1">
        <f t="array" ref="FZ144">SUMPRODUCT(($B$2:$B$126=3)*(FZ$2:FZ$126&gt;=13)*(FZ$2:FZ$126&lt;=17)*(FZ$2:FZ$126&lt;&gt;"")*($J$2:$J$126))</f>
        <v>0</v>
      </c>
      <c r="GA144" s="79" cm="1">
        <f t="array" ref="GA144">SUMPRODUCT(($B$2:$B$126=3)*(GA$2:GA$126&gt;=13)*(GA$2:GA$126&lt;=17)*(GA$2:GA$126&lt;&gt;"")*($J$2:$J$126))</f>
        <v>0</v>
      </c>
      <c r="GB144" s="79" cm="1">
        <f t="array" ref="GB144">SUMPRODUCT(($B$2:$B$126=3)*(GB$2:GB$126&gt;=13)*(GB$2:GB$126&lt;=17)*(GB$2:GB$126&lt;&gt;"")*($J$2:$J$126))</f>
        <v>0</v>
      </c>
      <c r="GC144" s="79" cm="1">
        <f t="array" ref="GC144">SUMPRODUCT(($B$2:$B$126=3)*(GC$2:GC$126&gt;=13)*(GC$2:GC$126&lt;=17)*(GC$2:GC$126&lt;&gt;"")*($J$2:$J$126))</f>
        <v>0</v>
      </c>
      <c r="GD144" s="79" cm="1">
        <f t="array" ref="GD144">SUMPRODUCT(($B$2:$B$126=3)*(GD$2:GD$126&gt;=13)*(GD$2:GD$126&lt;=17)*(GD$2:GD$126&lt;&gt;"")*($J$2:$J$126))</f>
        <v>0</v>
      </c>
      <c r="GE144" s="79" cm="1">
        <f t="array" ref="GE144">SUMPRODUCT(($B$2:$B$126=3)*(GE$2:GE$126&gt;=13)*(GE$2:GE$126&lt;=17)*(GE$2:GE$126&lt;&gt;"")*($J$2:$J$126))</f>
        <v>0</v>
      </c>
      <c r="GF144" s="79" cm="1">
        <f t="array" ref="GF144">SUMPRODUCT(($B$2:$B$126=3)*(GF$2:GF$126&gt;=13)*(GF$2:GF$126&lt;=17)*(GF$2:GF$126&lt;&gt;"")*($J$2:$J$126))</f>
        <v>0</v>
      </c>
      <c r="GG144" s="79" cm="1">
        <f t="array" ref="GG144">SUMPRODUCT(($B$2:$B$126=3)*(GG$2:GG$126&gt;=13)*(GG$2:GG$126&lt;=17)*(GG$2:GG$126&lt;&gt;"")*($J$2:$J$126))</f>
        <v>0</v>
      </c>
      <c r="GH144" s="79" cm="1">
        <f t="array" ref="GH144">SUMPRODUCT(($B$2:$B$126=3)*(GH$2:GH$126&gt;=13)*(GH$2:GH$126&lt;=17)*(GH$2:GH$126&lt;&gt;"")*($J$2:$J$126))</f>
        <v>0</v>
      </c>
      <c r="GI144" s="79" cm="1">
        <f t="array" ref="GI144">SUMPRODUCT(($B$2:$B$126=3)*(GI$2:GI$126&gt;=13)*(GI$2:GI$126&lt;=17)*(GI$2:GI$126&lt;&gt;"")*($J$2:$J$126))</f>
        <v>0</v>
      </c>
      <c r="GJ144" s="79" cm="1">
        <f t="array" ref="GJ144">SUMPRODUCT(($B$2:$B$126=3)*(GJ$2:GJ$126&gt;=13)*(GJ$2:GJ$126&lt;=17)*(GJ$2:GJ$126&lt;&gt;"")*($J$2:$J$126))</f>
        <v>0</v>
      </c>
      <c r="GK144" s="79" cm="1">
        <f t="array" ref="GK144">SUMPRODUCT(($B$2:$B$126=3)*(GK$2:GK$126&gt;=13)*(GK$2:GK$126&lt;=17)*(GK$2:GK$126&lt;&gt;"")*($J$2:$J$126))</f>
        <v>0</v>
      </c>
      <c r="GL144" s="79" cm="1">
        <f t="array" ref="GL144">SUMPRODUCT(($B$2:$B$126=3)*(GL$2:GL$126&gt;=13)*(GL$2:GL$126&lt;=17)*(GL$2:GL$126&lt;&gt;"")*($J$2:$J$126))</f>
        <v>0</v>
      </c>
      <c r="GM144" s="79" cm="1">
        <f t="array" ref="GM144">SUMPRODUCT(($B$2:$B$126=3)*(GM$2:GM$126&gt;=13)*(GM$2:GM$126&lt;=17)*(GM$2:GM$126&lt;&gt;"")*($J$2:$J$126))</f>
        <v>0</v>
      </c>
      <c r="GN144" s="79" cm="1">
        <f t="array" ref="GN144">SUMPRODUCT(($B$2:$B$126=3)*(GN$2:GN$126&gt;=13)*(GN$2:GN$126&lt;=17)*(GN$2:GN$126&lt;&gt;"")*($J$2:$J$126))</f>
        <v>0</v>
      </c>
      <c r="GO144" s="79" cm="1">
        <f t="array" ref="GO144">SUMPRODUCT(($B$2:$B$126=3)*(GO$2:GO$126&gt;=13)*(GO$2:GO$126&lt;=17)*(GO$2:GO$126&lt;&gt;"")*($J$2:$J$126))</f>
        <v>0</v>
      </c>
      <c r="GP144" s="79" cm="1">
        <f t="array" ref="GP144">SUMPRODUCT(($B$2:$B$126=3)*(GP$2:GP$126&gt;=13)*(GP$2:GP$126&lt;=17)*(GP$2:GP$126&lt;&gt;"")*($J$2:$J$126))</f>
        <v>0</v>
      </c>
      <c r="GQ144" s="79" cm="1">
        <f t="array" ref="GQ144">SUMPRODUCT(($B$2:$B$126=3)*(GQ$2:GQ$126&gt;=13)*(GQ$2:GQ$126&lt;=17)*(GQ$2:GQ$126&lt;&gt;"")*($J$2:$J$126))</f>
        <v>0</v>
      </c>
      <c r="GR144" s="79" cm="1">
        <f t="array" ref="GR144">SUMPRODUCT(($B$2:$B$126=3)*(GR$2:GR$126&gt;=13)*(GR$2:GR$126&lt;=17)*(GR$2:GR$126&lt;&gt;"")*($J$2:$J$126))</f>
        <v>0</v>
      </c>
      <c r="GS144" s="79" cm="1">
        <f t="array" ref="GS144">SUMPRODUCT(($B$2:$B$126=3)*(GS$2:GS$126&gt;=13)*(GS$2:GS$126&lt;=17)*(GS$2:GS$126&lt;&gt;"")*($J$2:$J$126))</f>
        <v>0</v>
      </c>
      <c r="GT144" s="79" cm="1">
        <f t="array" ref="GT144">SUMPRODUCT(($B$2:$B$126=3)*(GT$2:GT$126&gt;=13)*(GT$2:GT$126&lt;=17)*(GT$2:GT$126&lt;&gt;"")*($J$2:$J$126))</f>
        <v>0</v>
      </c>
      <c r="GU144" s="79" cm="1">
        <f t="array" ref="GU144">SUMPRODUCT(($B$2:$B$126=3)*(GU$2:GU$126&gt;=13)*(GU$2:GU$126&lt;=17)*(GU$2:GU$126&lt;&gt;"")*($J$2:$J$126))</f>
        <v>0</v>
      </c>
      <c r="GV144" s="79" cm="1">
        <f t="array" ref="GV144">SUMPRODUCT(($B$2:$B$126=3)*(GV$2:GV$126&gt;=13)*(GV$2:GV$126&lt;=17)*(GV$2:GV$126&lt;&gt;"")*($J$2:$J$126))</f>
        <v>0</v>
      </c>
      <c r="GW144" s="79" cm="1">
        <f t="array" ref="GW144">SUMPRODUCT(($B$2:$B$126=3)*(GW$2:GW$126&gt;=13)*(GW$2:GW$126&lt;=17)*(GW$2:GW$126&lt;&gt;"")*($J$2:$J$126))</f>
        <v>0</v>
      </c>
      <c r="GX144" s="79" cm="1">
        <f t="array" ref="GX144">SUMPRODUCT(($B$2:$B$126=3)*(GX$2:GX$126&gt;=13)*(GX$2:GX$126&lt;=17)*(GX$2:GX$126&lt;&gt;"")*($J$2:$J$126))</f>
        <v>0</v>
      </c>
    </row>
    <row r="145" spans="1:206" x14ac:dyDescent="0.2">
      <c r="A145" s="84">
        <v>3</v>
      </c>
      <c r="B145" s="84" t="s">
        <v>256</v>
      </c>
      <c r="W145" s="79" cm="1">
        <f t="array" ref="W145">SUMPRODUCT(($B$2:$B$126=3)*(W$2:W$126&gt;=18)*(W$2:W$126&lt;=22)*(W$2:W$126&lt;&gt;"")*($J$2:$J$126))</f>
        <v>86.550000000000011</v>
      </c>
      <c r="X145" s="79" cm="1">
        <f t="array" ref="X145">SUMPRODUCT(($B$2:$B$126=3)*(X$2:X$126&gt;=18)*(X$2:X$126&lt;=22)*(X$2:X$126&lt;&gt;"")*($J$2:$J$126))</f>
        <v>86.550000000000011</v>
      </c>
      <c r="Y145" s="79" cm="1">
        <f t="array" ref="Y145">SUMPRODUCT(($B$2:$B$126=3)*(Y$2:Y$126&gt;=18)*(Y$2:Y$126&lt;=22)*(Y$2:Y$126&lt;&gt;"")*($J$2:$J$126))</f>
        <v>86.550000000000011</v>
      </c>
      <c r="Z145" s="79" cm="1">
        <f t="array" ref="Z145">SUMPRODUCT(($B$2:$B$126=3)*(Z$2:Z$126&gt;=18)*(Z$2:Z$126&lt;=22)*(Z$2:Z$126&lt;&gt;"")*($J$2:$J$126))</f>
        <v>86.550000000000011</v>
      </c>
      <c r="AA145" s="79" cm="1">
        <f t="array" ref="AA145">SUMPRODUCT(($B$2:$B$126=3)*(AA$2:AA$126&gt;=18)*(AA$2:AA$126&lt;=22)*(AA$2:AA$126&lt;&gt;"")*($J$2:$J$126))</f>
        <v>157.57</v>
      </c>
      <c r="AB145" s="79" cm="1">
        <f t="array" ref="AB145">SUMPRODUCT(($B$2:$B$126=3)*(AB$2:AB$126&gt;=18)*(AB$2:AB$126&lt;=22)*(AB$2:AB$126&lt;&gt;"")*($J$2:$J$126))</f>
        <v>88</v>
      </c>
      <c r="AC145" s="79" cm="1">
        <f t="array" ref="AC145">SUMPRODUCT(($B$2:$B$126=3)*(AC$2:AC$126&gt;=18)*(AC$2:AC$126&lt;=22)*(AC$2:AC$126&lt;&gt;"")*($J$2:$J$126))</f>
        <v>88</v>
      </c>
      <c r="AD145" s="79" cm="1">
        <f t="array" ref="AD145">SUMPRODUCT(($B$2:$B$126=3)*(AD$2:AD$126&gt;=18)*(AD$2:AD$126&lt;=22)*(AD$2:AD$126&lt;&gt;"")*($J$2:$J$126))</f>
        <v>98.76</v>
      </c>
      <c r="AE145" s="79" cm="1">
        <f t="array" ref="AE145">SUMPRODUCT(($B$2:$B$126=3)*(AE$2:AE$126&gt;=18)*(AE$2:AE$126&lt;=22)*(AE$2:AE$126&lt;&gt;"")*($J$2:$J$126))</f>
        <v>171.01000000000002</v>
      </c>
      <c r="AF145" s="79" cm="1">
        <f t="array" ref="AF145">SUMPRODUCT(($B$2:$B$126=3)*(AF$2:AF$126&gt;=18)*(AF$2:AF$126&lt;=22)*(AF$2:AF$126&lt;&gt;"")*($J$2:$J$126))</f>
        <v>83.009999999999991</v>
      </c>
      <c r="AG145" s="79" cm="1">
        <f t="array" ref="AG145">SUMPRODUCT(($B$2:$B$126=3)*(AG$2:AG$126&gt;=18)*(AG$2:AG$126&lt;=22)*(AG$2:AG$126&lt;&gt;"")*($J$2:$J$126))</f>
        <v>83.009999999999991</v>
      </c>
      <c r="AH145" s="79" cm="1">
        <f t="array" ref="AH145">SUMPRODUCT(($B$2:$B$126=3)*(AH$2:AH$126&gt;=18)*(AH$2:AH$126&lt;=22)*(AH$2:AH$126&lt;&gt;"")*($J$2:$J$126))</f>
        <v>83.009999999999991</v>
      </c>
      <c r="AI145" s="79" cm="1">
        <f t="array" ref="AI145">SUMPRODUCT(($B$2:$B$126=3)*(AI$2:AI$126&gt;=18)*(AI$2:AI$126&lt;=22)*(AI$2:AI$126&lt;&gt;"")*($J$2:$J$126))</f>
        <v>79.59</v>
      </c>
      <c r="AJ145" s="79" cm="1">
        <f t="array" ref="AJ145">SUMPRODUCT(($B$2:$B$126=3)*(AJ$2:AJ$126&gt;=18)*(AJ$2:AJ$126&lt;=22)*(AJ$2:AJ$126&lt;&gt;"")*($J$2:$J$126))</f>
        <v>40.25</v>
      </c>
      <c r="AK145" s="79" cm="1">
        <f t="array" ref="AK145">SUMPRODUCT(($B$2:$B$126=3)*(AK$2:AK$126&gt;=18)*(AK$2:AK$126&lt;=22)*(AK$2:AK$126&lt;&gt;"")*($J$2:$J$126))</f>
        <v>40.25</v>
      </c>
      <c r="AL145" s="79" cm="1">
        <f t="array" ref="AL145">SUMPRODUCT(($B$2:$B$126=3)*(AL$2:AL$126&gt;=18)*(AL$2:AL$126&lt;=22)*(AL$2:AL$126&lt;&gt;"")*($J$2:$J$126))</f>
        <v>40.25</v>
      </c>
      <c r="AM145" s="79" cm="1">
        <f t="array" ref="AM145">SUMPRODUCT(($B$2:$B$126=3)*(AM$2:AM$126&gt;=18)*(AM$2:AM$126&lt;=22)*(AM$2:AM$126&lt;&gt;"")*($J$2:$J$126))</f>
        <v>0</v>
      </c>
      <c r="AN145" s="79" cm="1">
        <f t="array" ref="AN145">SUMPRODUCT(($B$2:$B$126=3)*(AN$2:AN$126&gt;=18)*(AN$2:AN$126&lt;=22)*(AN$2:AN$126&lt;&gt;"")*($J$2:$J$126))</f>
        <v>0</v>
      </c>
      <c r="AO145" s="79" cm="1">
        <f t="array" ref="AO145">SUMPRODUCT(($B$2:$B$126=3)*(AO$2:AO$126&gt;=18)*(AO$2:AO$126&lt;=22)*(AO$2:AO$126&lt;&gt;"")*($J$2:$J$126))</f>
        <v>0</v>
      </c>
      <c r="AP145" s="79" cm="1">
        <f t="array" ref="AP145">SUMPRODUCT(($B$2:$B$126=3)*(AP$2:AP$126&gt;=18)*(AP$2:AP$126&lt;=22)*(AP$2:AP$126&lt;&gt;"")*($J$2:$J$126))</f>
        <v>40.909999999999997</v>
      </c>
      <c r="AQ145" s="79" cm="1">
        <f t="array" ref="AQ145">SUMPRODUCT(($B$2:$B$126=3)*(AQ$2:AQ$126&gt;=18)*(AQ$2:AQ$126&lt;=22)*(AQ$2:AQ$126&lt;&gt;"")*($J$2:$J$126))</f>
        <v>111.75999999999999</v>
      </c>
      <c r="AR145" s="79" cm="1">
        <f t="array" ref="AR145">SUMPRODUCT(($B$2:$B$126=3)*(AR$2:AR$126&gt;=18)*(AR$2:AR$126&lt;=22)*(AR$2:AR$126&lt;&gt;"")*($J$2:$J$126))</f>
        <v>111.75999999999999</v>
      </c>
      <c r="AS145" s="79" cm="1">
        <f t="array" ref="AS145">SUMPRODUCT(($B$2:$B$126=3)*(AS$2:AS$126&gt;=18)*(AS$2:AS$126&lt;=22)*(AS$2:AS$126&lt;&gt;"")*($J$2:$J$126))</f>
        <v>111.75999999999999</v>
      </c>
      <c r="AT145" s="79" cm="1">
        <f t="array" ref="AT145">SUMPRODUCT(($B$2:$B$126=3)*(AT$2:AT$126&gt;=18)*(AT$2:AT$126&lt;=22)*(AT$2:AT$126&lt;&gt;"")*($J$2:$J$126))</f>
        <v>70.849999999999994</v>
      </c>
      <c r="AU145" s="79" cm="1">
        <f t="array" ref="AU145">SUMPRODUCT(($B$2:$B$126=3)*(AU$2:AU$126&gt;=18)*(AU$2:AU$126&lt;=22)*(AU$2:AU$126&lt;&gt;"")*($J$2:$J$126))</f>
        <v>82.789999999999992</v>
      </c>
      <c r="AV145" s="79" cm="1">
        <f t="array" ref="AV145">SUMPRODUCT(($B$2:$B$126=3)*(AV$2:AV$126&gt;=18)*(AV$2:AV$126&lt;=22)*(AV$2:AV$126&lt;&gt;"")*($J$2:$J$126))</f>
        <v>11.94</v>
      </c>
      <c r="AW145" s="79" cm="1">
        <f t="array" ref="AW145">SUMPRODUCT(($B$2:$B$126=3)*(AW$2:AW$126&gt;=18)*(AW$2:AW$126&lt;=22)*(AW$2:AW$126&lt;&gt;"")*($J$2:$J$126))</f>
        <v>28.92</v>
      </c>
      <c r="AX145" s="79" cm="1">
        <f t="array" ref="AX145">SUMPRODUCT(($B$2:$B$126=3)*(AX$2:AX$126&gt;=18)*(AX$2:AX$126&lt;=22)*(AX$2:AX$126&lt;&gt;"")*($J$2:$J$126))</f>
        <v>33.369999999999997</v>
      </c>
      <c r="AY145" s="79" cm="1">
        <f t="array" ref="AY145">SUMPRODUCT(($B$2:$B$126=3)*(AY$2:AY$126&gt;=18)*(AY$2:AY$126&lt;=22)*(AY$2:AY$126&lt;&gt;"")*($J$2:$J$126))</f>
        <v>21.43</v>
      </c>
      <c r="AZ145" s="79" cm="1">
        <f t="array" ref="AZ145">SUMPRODUCT(($B$2:$B$126=3)*(AZ$2:AZ$126&gt;=18)*(AZ$2:AZ$126&lt;=22)*(AZ$2:AZ$126&lt;&gt;"")*($J$2:$J$126))</f>
        <v>70.42</v>
      </c>
      <c r="BA145" s="79" cm="1">
        <f t="array" ref="BA145">SUMPRODUCT(($B$2:$B$126=3)*(BA$2:BA$126&gt;=18)*(BA$2:BA$126&lt;=22)*(BA$2:BA$126&lt;&gt;"")*($J$2:$J$126))</f>
        <v>32.19</v>
      </c>
      <c r="BB145" s="79" cm="1">
        <f t="array" ref="BB145">SUMPRODUCT(($B$2:$B$126=3)*(BB$2:BB$126&gt;=18)*(BB$2:BB$126&lt;=22)*(BB$2:BB$126&lt;&gt;"")*($J$2:$J$126))</f>
        <v>49.769999999999996</v>
      </c>
      <c r="BC145" s="79" cm="1">
        <f t="array" ref="BC145">SUMPRODUCT(($B$2:$B$126=3)*(BC$2:BC$126&gt;=18)*(BC$2:BC$126&lt;=22)*(BC$2:BC$126&lt;&gt;"")*($J$2:$J$126))</f>
        <v>68.010000000000005</v>
      </c>
      <c r="BD145" s="79" cm="1">
        <f t="array" ref="BD145">SUMPRODUCT(($B$2:$B$126=3)*(BD$2:BD$126&gt;=18)*(BD$2:BD$126&lt;=22)*(BD$2:BD$126&lt;&gt;"")*($J$2:$J$126))</f>
        <v>68.010000000000005</v>
      </c>
      <c r="BE145" s="79" cm="1">
        <f t="array" ref="BE145">SUMPRODUCT(($B$2:$B$126=3)*(BE$2:BE$126&gt;=18)*(BE$2:BE$126&lt;=22)*(BE$2:BE$126&lt;&gt;"")*($J$2:$J$126))</f>
        <v>79.92</v>
      </c>
      <c r="BF145" s="79" cm="1">
        <f t="array" ref="BF145">SUMPRODUCT(($B$2:$B$126=3)*(BF$2:BF$126&gt;=18)*(BF$2:BF$126&lt;=22)*(BF$2:BF$126&lt;&gt;"")*($J$2:$J$126))</f>
        <v>23.15</v>
      </c>
      <c r="BG145" s="79" cm="1">
        <f t="array" ref="BG145">SUMPRODUCT(($B$2:$B$126=3)*(BG$2:BG$126&gt;=18)*(BG$2:BG$126&lt;=22)*(BG$2:BG$126&lt;&gt;"")*($J$2:$J$126))</f>
        <v>0</v>
      </c>
      <c r="BH145" s="79" cm="1">
        <f t="array" ref="BH145">SUMPRODUCT(($B$2:$B$126=3)*(BH$2:BH$126&gt;=18)*(BH$2:BH$126&lt;=22)*(BH$2:BH$126&lt;&gt;"")*($J$2:$J$126))</f>
        <v>0</v>
      </c>
      <c r="BI145" s="79" cm="1">
        <f t="array" ref="BI145">SUMPRODUCT(($B$2:$B$126=3)*(BI$2:BI$126&gt;=18)*(BI$2:BI$126&lt;=22)*(BI$2:BI$126&lt;&gt;"")*($J$2:$J$126))</f>
        <v>0</v>
      </c>
      <c r="BJ145" s="79" cm="1">
        <f t="array" ref="BJ145">SUMPRODUCT(($B$2:$B$126=3)*(BJ$2:BJ$126&gt;=18)*(BJ$2:BJ$126&lt;=22)*(BJ$2:BJ$126&lt;&gt;"")*($J$2:$J$126))</f>
        <v>0</v>
      </c>
      <c r="BK145" s="79" cm="1">
        <f t="array" ref="BK145">SUMPRODUCT(($B$2:$B$126=3)*(BK$2:BK$126&gt;=18)*(BK$2:BK$126&lt;=22)*(BK$2:BK$126&lt;&gt;"")*($J$2:$J$126))</f>
        <v>0</v>
      </c>
      <c r="BL145" s="79" cm="1">
        <f t="array" ref="BL145">SUMPRODUCT(($B$2:$B$126=3)*(BL$2:BL$126&gt;=18)*(BL$2:BL$126&lt;=22)*(BL$2:BL$126&lt;&gt;"")*($J$2:$J$126))</f>
        <v>40.909999999999997</v>
      </c>
      <c r="BM145" s="79" cm="1">
        <f t="array" ref="BM145">SUMPRODUCT(($B$2:$B$126=3)*(BM$2:BM$126&gt;=18)*(BM$2:BM$126&lt;=22)*(BM$2:BM$126&lt;&gt;"")*($J$2:$J$126))</f>
        <v>40.909999999999997</v>
      </c>
      <c r="BN145" s="79" cm="1">
        <f t="array" ref="BN145">SUMPRODUCT(($B$2:$B$126=3)*(BN$2:BN$126&gt;=18)*(BN$2:BN$126&lt;=22)*(BN$2:BN$126&lt;&gt;"")*($J$2:$J$126))</f>
        <v>40.909999999999997</v>
      </c>
      <c r="BO145" s="79" cm="1">
        <f t="array" ref="BO145">SUMPRODUCT(($B$2:$B$126=3)*(BO$2:BO$126&gt;=18)*(BO$2:BO$126&lt;=22)*(BO$2:BO$126&lt;&gt;"")*($J$2:$J$126))</f>
        <v>40.909999999999997</v>
      </c>
      <c r="BP145" s="79" cm="1">
        <f t="array" ref="BP145">SUMPRODUCT(($B$2:$B$126=3)*(BP$2:BP$126&gt;=18)*(BP$2:BP$126&lt;=22)*(BP$2:BP$126&lt;&gt;"")*($J$2:$J$126))</f>
        <v>57.89</v>
      </c>
      <c r="BQ145" s="79" cm="1">
        <f t="array" ref="BQ145">SUMPRODUCT(($B$2:$B$126=3)*(BQ$2:BQ$126&gt;=18)*(BQ$2:BQ$126&lt;=22)*(BQ$2:BQ$126&lt;&gt;"")*($J$2:$J$126))</f>
        <v>65.77</v>
      </c>
      <c r="BR145" s="79" cm="1">
        <f t="array" ref="BR145">SUMPRODUCT(($B$2:$B$126=3)*(BR$2:BR$126&gt;=18)*(BR$2:BR$126&lt;=22)*(BR$2:BR$126&lt;&gt;"")*($J$2:$J$126))</f>
        <v>104.78</v>
      </c>
      <c r="BS145" s="79" cm="1">
        <f t="array" ref="BS145">SUMPRODUCT(($B$2:$B$126=3)*(BS$2:BS$126&gt;=18)*(BS$2:BS$126&lt;=22)*(BS$2:BS$126&lt;&gt;"")*($J$2:$J$126))</f>
        <v>104.78</v>
      </c>
      <c r="BT145" s="79" cm="1">
        <f t="array" ref="BT145">SUMPRODUCT(($B$2:$B$126=3)*(BT$2:BT$126&gt;=18)*(BT$2:BT$126&lt;=22)*(BT$2:BT$126&lt;&gt;"")*($J$2:$J$126))</f>
        <v>104.78</v>
      </c>
      <c r="BU145" s="79" cm="1">
        <f t="array" ref="BU145">SUMPRODUCT(($B$2:$B$126=3)*(BU$2:BU$126&gt;=18)*(BU$2:BU$126&lt;=22)*(BU$2:BU$126&lt;&gt;"")*($J$2:$J$126))</f>
        <v>87.8</v>
      </c>
      <c r="BV145" s="79" cm="1">
        <f t="array" ref="BV145">SUMPRODUCT(($B$2:$B$126=3)*(BV$2:BV$126&gt;=18)*(BV$2:BV$126&lt;=22)*(BV$2:BV$126&lt;&gt;"")*($J$2:$J$126))</f>
        <v>39.01</v>
      </c>
      <c r="BW145" s="79" cm="1">
        <f t="array" ref="BW145">SUMPRODUCT(($B$2:$B$126=3)*(BW$2:BW$126&gt;=18)*(BW$2:BW$126&lt;=22)*(BW$2:BW$126&lt;&gt;"")*($J$2:$J$126))</f>
        <v>28.339999999999996</v>
      </c>
      <c r="BX145" s="79" cm="1">
        <f t="array" ref="BX145">SUMPRODUCT(($B$2:$B$126=3)*(BX$2:BX$126&gt;=18)*(BX$2:BX$126&lt;=22)*(BX$2:BX$126&lt;&gt;"")*($J$2:$J$126))</f>
        <v>108.26</v>
      </c>
      <c r="BY145" s="79" cm="1">
        <f t="array" ref="BY145">SUMPRODUCT(($B$2:$B$126=3)*(BY$2:BY$126&gt;=18)*(BY$2:BY$126&lt;=22)*(BY$2:BY$126&lt;&gt;"")*($J$2:$J$126))</f>
        <v>131.41</v>
      </c>
      <c r="BZ145" s="79" cm="1">
        <f t="array" ref="BZ145">SUMPRODUCT(($B$2:$B$126=3)*(BZ$2:BZ$126&gt;=18)*(BZ$2:BZ$126&lt;=22)*(BZ$2:BZ$126&lt;&gt;"")*($J$2:$J$126))</f>
        <v>131.41</v>
      </c>
      <c r="CA145" s="79" cm="1">
        <f t="array" ref="CA145">SUMPRODUCT(($B$2:$B$126=3)*(CA$2:CA$126&gt;=18)*(CA$2:CA$126&lt;=22)*(CA$2:CA$126&lt;&gt;"")*($J$2:$J$126))</f>
        <v>131.41</v>
      </c>
      <c r="CB145" s="79" cm="1">
        <f t="array" ref="CB145">SUMPRODUCT(($B$2:$B$126=3)*(CB$2:CB$126&gt;=18)*(CB$2:CB$126&lt;=22)*(CB$2:CB$126&lt;&gt;"")*($J$2:$J$126))</f>
        <v>103.07</v>
      </c>
      <c r="CC145" s="79" cm="1">
        <f t="array" ref="CC145">SUMPRODUCT(($B$2:$B$126=3)*(CC$2:CC$126&gt;=18)*(CC$2:CC$126&lt;=22)*(CC$2:CC$126&lt;&gt;"")*($J$2:$J$126))</f>
        <v>33.39</v>
      </c>
      <c r="CD145" s="79" cm="1">
        <f t="array" ref="CD145">SUMPRODUCT(($B$2:$B$126=3)*(CD$2:CD$126&gt;=18)*(CD$2:CD$126&lt;=22)*(CD$2:CD$126&lt;&gt;"")*($J$2:$J$126))</f>
        <v>143.1</v>
      </c>
      <c r="CE145" s="79" cm="1">
        <f t="array" ref="CE145">SUMPRODUCT(($B$2:$B$126=3)*(CE$2:CE$126&gt;=18)*(CE$2:CE$126&lt;=22)*(CE$2:CE$126&lt;&gt;"")*($J$2:$J$126))</f>
        <v>164.53</v>
      </c>
      <c r="CF145" s="79" cm="1">
        <f t="array" ref="CF145">SUMPRODUCT(($B$2:$B$126=3)*(CF$2:CF$126&gt;=18)*(CF$2:CF$126&lt;=22)*(CF$2:CF$126&lt;&gt;"")*($J$2:$J$126))</f>
        <v>164.53</v>
      </c>
      <c r="CG145" s="79" cm="1">
        <f t="array" ref="CG145">SUMPRODUCT(($B$2:$B$126=3)*(CG$2:CG$126&gt;=18)*(CG$2:CG$126&lt;=22)*(CG$2:CG$126&lt;&gt;"")*($J$2:$J$126))</f>
        <v>261.65999999999997</v>
      </c>
      <c r="CH145" s="79" cm="1">
        <f t="array" ref="CH145">SUMPRODUCT(($B$2:$B$126=3)*(CH$2:CH$126&gt;=18)*(CH$2:CH$126&lt;=22)*(CH$2:CH$126&lt;&gt;"")*($J$2:$J$126))</f>
        <v>251.42</v>
      </c>
      <c r="CI145" s="79" cm="1">
        <f t="array" ref="CI145">SUMPRODUCT(($B$2:$B$126=3)*(CI$2:CI$126&gt;=18)*(CI$2:CI$126&lt;=22)*(CI$2:CI$126&lt;&gt;"")*($J$2:$J$126))</f>
        <v>118.56</v>
      </c>
      <c r="CJ145" s="79" cm="1">
        <f t="array" ref="CJ145">SUMPRODUCT(($B$2:$B$126=3)*(CJ$2:CJ$126&gt;=18)*(CJ$2:CJ$126&lt;=22)*(CJ$2:CJ$126&lt;&gt;"")*($J$2:$J$126))</f>
        <v>97.13</v>
      </c>
      <c r="CK145" s="79" cm="1">
        <f t="array" ref="CK145">SUMPRODUCT(($B$2:$B$126=3)*(CK$2:CK$126&gt;=18)*(CK$2:CK$126&lt;=22)*(CK$2:CK$126&lt;&gt;"")*($J$2:$J$126))</f>
        <v>97.13</v>
      </c>
      <c r="CL145" s="79" cm="1">
        <f t="array" ref="CL145">SUMPRODUCT(($B$2:$B$126=3)*(CL$2:CL$126&gt;=18)*(CL$2:CL$126&lt;=22)*(CL$2:CL$126&lt;&gt;"")*($J$2:$J$126))</f>
        <v>0</v>
      </c>
      <c r="CM145" s="79" cm="1">
        <f t="array" ref="CM145">SUMPRODUCT(($B$2:$B$126=3)*(CM$2:CM$126&gt;=18)*(CM$2:CM$126&lt;=22)*(CM$2:CM$126&lt;&gt;"")*($J$2:$J$126))</f>
        <v>0</v>
      </c>
      <c r="CN145" s="79" cm="1">
        <f t="array" ref="CN145">SUMPRODUCT(($B$2:$B$126=3)*(CN$2:CN$126&gt;=18)*(CN$2:CN$126&lt;=22)*(CN$2:CN$126&lt;&gt;"")*($J$2:$J$126))</f>
        <v>0</v>
      </c>
      <c r="CO145" s="79" cm="1">
        <f t="array" ref="CO145">SUMPRODUCT(($B$2:$B$126=3)*(CO$2:CO$126&gt;=18)*(CO$2:CO$126&lt;=22)*(CO$2:CO$126&lt;&gt;"")*($J$2:$J$126))</f>
        <v>0</v>
      </c>
      <c r="CP145" s="79" cm="1">
        <f t="array" ref="CP145">SUMPRODUCT(($B$2:$B$126=3)*(CP$2:CP$126&gt;=18)*(CP$2:CP$126&lt;=22)*(CP$2:CP$126&lt;&gt;"")*($J$2:$J$126))</f>
        <v>0</v>
      </c>
      <c r="CQ145" s="79" cm="1">
        <f t="array" ref="CQ145">SUMPRODUCT(($B$2:$B$126=3)*(CQ$2:CQ$126&gt;=18)*(CQ$2:CQ$126&lt;=22)*(CQ$2:CQ$126&lt;&gt;"")*($J$2:$J$126))</f>
        <v>0</v>
      </c>
      <c r="CR145" s="79" cm="1">
        <f t="array" ref="CR145">SUMPRODUCT(($B$2:$B$126=3)*(CR$2:CR$126&gt;=18)*(CR$2:CR$126&lt;=22)*(CR$2:CR$126&lt;&gt;"")*($J$2:$J$126))</f>
        <v>0</v>
      </c>
      <c r="CS145" s="79" cm="1">
        <f t="array" ref="CS145">SUMPRODUCT(($B$2:$B$126=3)*(CS$2:CS$126&gt;=18)*(CS$2:CS$126&lt;=22)*(CS$2:CS$126&lt;&gt;"")*($J$2:$J$126))</f>
        <v>0</v>
      </c>
      <c r="CT145" s="79" cm="1">
        <f t="array" ref="CT145">SUMPRODUCT(($B$2:$B$126=3)*(CT$2:CT$126&gt;=18)*(CT$2:CT$126&lt;=22)*(CT$2:CT$126&lt;&gt;"")*($J$2:$J$126))</f>
        <v>0</v>
      </c>
      <c r="CU145" s="79" cm="1">
        <f t="array" ref="CU145">SUMPRODUCT(($B$2:$B$126=3)*(CU$2:CU$126&gt;=18)*(CU$2:CU$126&lt;=22)*(CU$2:CU$126&lt;&gt;"")*($J$2:$J$126))</f>
        <v>0</v>
      </c>
      <c r="CV145" s="79" cm="1">
        <f t="array" ref="CV145">SUMPRODUCT(($B$2:$B$126=3)*(CV$2:CV$126&gt;=18)*(CV$2:CV$126&lt;=22)*(CV$2:CV$126&lt;&gt;"")*($J$2:$J$126))</f>
        <v>0</v>
      </c>
      <c r="CW145" s="79" cm="1">
        <f t="array" ref="CW145">SUMPRODUCT(($B$2:$B$126=3)*(CW$2:CW$126&gt;=18)*(CW$2:CW$126&lt;=22)*(CW$2:CW$126&lt;&gt;"")*($J$2:$J$126))</f>
        <v>0</v>
      </c>
      <c r="CX145" s="79" cm="1">
        <f t="array" ref="CX145">SUMPRODUCT(($B$2:$B$126=3)*(CX$2:CX$126&gt;=18)*(CX$2:CX$126&lt;=22)*(CX$2:CX$126&lt;&gt;"")*($J$2:$J$126))</f>
        <v>0</v>
      </c>
      <c r="CY145" s="79" cm="1">
        <f t="array" ref="CY145">SUMPRODUCT(($B$2:$B$126=3)*(CY$2:CY$126&gt;=18)*(CY$2:CY$126&lt;=22)*(CY$2:CY$126&lt;&gt;"")*($J$2:$J$126))</f>
        <v>0</v>
      </c>
      <c r="CZ145" s="79" cm="1">
        <f t="array" ref="CZ145">SUMPRODUCT(($B$2:$B$126=3)*(CZ$2:CZ$126&gt;=18)*(CZ$2:CZ$126&lt;=22)*(CZ$2:CZ$126&lt;&gt;"")*($J$2:$J$126))</f>
        <v>0</v>
      </c>
      <c r="DA145" s="79" cm="1">
        <f t="array" ref="DA145">SUMPRODUCT(($B$2:$B$126=3)*(DA$2:DA$126&gt;=18)*(DA$2:DA$126&lt;=22)*(DA$2:DA$126&lt;&gt;"")*($J$2:$J$126))</f>
        <v>0</v>
      </c>
      <c r="DB145" s="79" cm="1">
        <f t="array" ref="DB145">SUMPRODUCT(($B$2:$B$126=3)*(DB$2:DB$126&gt;=18)*(DB$2:DB$126&lt;=22)*(DB$2:DB$126&lt;&gt;"")*($J$2:$J$126))</f>
        <v>0</v>
      </c>
      <c r="DC145" s="79" cm="1">
        <f t="array" ref="DC145">SUMPRODUCT(($B$2:$B$126=3)*(DC$2:DC$126&gt;=18)*(DC$2:DC$126&lt;=22)*(DC$2:DC$126&lt;&gt;"")*($J$2:$J$126))</f>
        <v>0</v>
      </c>
      <c r="DD145" s="79" cm="1">
        <f t="array" ref="DD145">SUMPRODUCT(($B$2:$B$126=3)*(DD$2:DD$126&gt;=18)*(DD$2:DD$126&lt;=22)*(DD$2:DD$126&lt;&gt;"")*($J$2:$J$126))</f>
        <v>0</v>
      </c>
      <c r="DE145" s="79" cm="1">
        <f t="array" ref="DE145">SUMPRODUCT(($B$2:$B$126=3)*(DE$2:DE$126&gt;=18)*(DE$2:DE$126&lt;=22)*(DE$2:DE$126&lt;&gt;"")*($J$2:$J$126))</f>
        <v>0</v>
      </c>
      <c r="DF145" s="79" cm="1">
        <f t="array" ref="DF145">SUMPRODUCT(($B$2:$B$126=3)*(DF$2:DF$126&gt;=18)*(DF$2:DF$126&lt;=22)*(DF$2:DF$126&lt;&gt;"")*($J$2:$J$126))</f>
        <v>0</v>
      </c>
      <c r="DG145" s="79" cm="1">
        <f t="array" ref="DG145">SUMPRODUCT(($B$2:$B$126=3)*(DG$2:DG$126&gt;=18)*(DG$2:DG$126&lt;=22)*(DG$2:DG$126&lt;&gt;"")*($J$2:$J$126))</f>
        <v>0</v>
      </c>
      <c r="DH145" s="79" cm="1">
        <f t="array" ref="DH145">SUMPRODUCT(($B$2:$B$126=3)*(DH$2:DH$126&gt;=18)*(DH$2:DH$126&lt;=22)*(DH$2:DH$126&lt;&gt;"")*($J$2:$J$126))</f>
        <v>0</v>
      </c>
      <c r="DI145" s="79" cm="1">
        <f t="array" ref="DI145">SUMPRODUCT(($B$2:$B$126=3)*(DI$2:DI$126&gt;=18)*(DI$2:DI$126&lt;=22)*(DI$2:DI$126&lt;&gt;"")*($J$2:$J$126))</f>
        <v>0</v>
      </c>
      <c r="DJ145" s="79" cm="1">
        <f t="array" ref="DJ145">SUMPRODUCT(($B$2:$B$126=3)*(DJ$2:DJ$126&gt;=18)*(DJ$2:DJ$126&lt;=22)*(DJ$2:DJ$126&lt;&gt;"")*($J$2:$J$126))</f>
        <v>0</v>
      </c>
      <c r="DK145" s="79" cm="1">
        <f t="array" ref="DK145">SUMPRODUCT(($B$2:$B$126=3)*(DK$2:DK$126&gt;=18)*(DK$2:DK$126&lt;=22)*(DK$2:DK$126&lt;&gt;"")*($J$2:$J$126))</f>
        <v>0</v>
      </c>
      <c r="DL145" s="79" cm="1">
        <f t="array" ref="DL145">SUMPRODUCT(($B$2:$B$126=3)*(DL$2:DL$126&gt;=18)*(DL$2:DL$126&lt;=22)*(DL$2:DL$126&lt;&gt;"")*($J$2:$J$126))</f>
        <v>0</v>
      </c>
      <c r="DM145" s="79" cm="1">
        <f t="array" ref="DM145">SUMPRODUCT(($B$2:$B$126=3)*(DM$2:DM$126&gt;=18)*(DM$2:DM$126&lt;=22)*(DM$2:DM$126&lt;&gt;"")*($J$2:$J$126))</f>
        <v>0</v>
      </c>
      <c r="DN145" s="79" cm="1">
        <f t="array" ref="DN145">SUMPRODUCT(($B$2:$B$126=3)*(DN$2:DN$126&gt;=18)*(DN$2:DN$126&lt;=22)*(DN$2:DN$126&lt;&gt;"")*($J$2:$J$126))</f>
        <v>0</v>
      </c>
      <c r="DO145" s="79" cm="1">
        <f t="array" ref="DO145">SUMPRODUCT(($B$2:$B$126=3)*(DO$2:DO$126&gt;=18)*(DO$2:DO$126&lt;=22)*(DO$2:DO$126&lt;&gt;"")*($J$2:$J$126))</f>
        <v>0</v>
      </c>
      <c r="DP145" s="79" cm="1">
        <f t="array" ref="DP145">SUMPRODUCT(($B$2:$B$126=3)*(DP$2:DP$126&gt;=18)*(DP$2:DP$126&lt;=22)*(DP$2:DP$126&lt;&gt;"")*($J$2:$J$126))</f>
        <v>0</v>
      </c>
      <c r="DQ145" s="79" cm="1">
        <f t="array" ref="DQ145">SUMPRODUCT(($B$2:$B$126=3)*(DQ$2:DQ$126&gt;=18)*(DQ$2:DQ$126&lt;=22)*(DQ$2:DQ$126&lt;&gt;"")*($J$2:$J$126))</f>
        <v>0</v>
      </c>
      <c r="DR145" s="79" cm="1">
        <f t="array" ref="DR145">SUMPRODUCT(($B$2:$B$126=3)*(DR$2:DR$126&gt;=18)*(DR$2:DR$126&lt;=22)*(DR$2:DR$126&lt;&gt;"")*($J$2:$J$126))</f>
        <v>0</v>
      </c>
      <c r="DS145" s="79" cm="1">
        <f t="array" ref="DS145">SUMPRODUCT(($B$2:$B$126=3)*(DS$2:DS$126&gt;=18)*(DS$2:DS$126&lt;=22)*(DS$2:DS$126&lt;&gt;"")*($J$2:$J$126))</f>
        <v>0</v>
      </c>
      <c r="DT145" s="79" cm="1">
        <f t="array" ref="DT145">SUMPRODUCT(($B$2:$B$126=3)*(DT$2:DT$126&gt;=18)*(DT$2:DT$126&lt;=22)*(DT$2:DT$126&lt;&gt;"")*($J$2:$J$126))</f>
        <v>0</v>
      </c>
      <c r="DU145" s="79" cm="1">
        <f t="array" ref="DU145">SUMPRODUCT(($B$2:$B$126=3)*(DU$2:DU$126&gt;=18)*(DU$2:DU$126&lt;=22)*(DU$2:DU$126&lt;&gt;"")*($J$2:$J$126))</f>
        <v>0</v>
      </c>
      <c r="DV145" s="79" cm="1">
        <f t="array" ref="DV145">SUMPRODUCT(($B$2:$B$126=3)*(DV$2:DV$126&gt;=18)*(DV$2:DV$126&lt;=22)*(DV$2:DV$126&lt;&gt;"")*($J$2:$J$126))</f>
        <v>0</v>
      </c>
      <c r="DW145" s="79" cm="1">
        <f t="array" ref="DW145">SUMPRODUCT(($B$2:$B$126=3)*(DW$2:DW$126&gt;=18)*(DW$2:DW$126&lt;=22)*(DW$2:DW$126&lt;&gt;"")*($J$2:$J$126))</f>
        <v>0</v>
      </c>
      <c r="DX145" s="79" cm="1">
        <f t="array" ref="DX145">SUMPRODUCT(($B$2:$B$126=3)*(DX$2:DX$126&gt;=18)*(DX$2:DX$126&lt;=22)*(DX$2:DX$126&lt;&gt;"")*($J$2:$J$126))</f>
        <v>0</v>
      </c>
      <c r="DY145" s="79" cm="1">
        <f t="array" ref="DY145">SUMPRODUCT(($B$2:$B$126=3)*(DY$2:DY$126&gt;=18)*(DY$2:DY$126&lt;=22)*(DY$2:DY$126&lt;&gt;"")*($J$2:$J$126))</f>
        <v>0</v>
      </c>
      <c r="DZ145" s="79" cm="1">
        <f t="array" ref="DZ145">SUMPRODUCT(($B$2:$B$126=3)*(DZ$2:DZ$126&gt;=18)*(DZ$2:DZ$126&lt;=22)*(DZ$2:DZ$126&lt;&gt;"")*($J$2:$J$126))</f>
        <v>0</v>
      </c>
      <c r="EA145" s="79" cm="1">
        <f t="array" ref="EA145">SUMPRODUCT(($B$2:$B$126=3)*(EA$2:EA$126&gt;=18)*(EA$2:EA$126&lt;=22)*(EA$2:EA$126&lt;&gt;"")*($J$2:$J$126))</f>
        <v>0</v>
      </c>
      <c r="EB145" s="79" cm="1">
        <f t="array" ref="EB145">SUMPRODUCT(($B$2:$B$126=3)*(EB$2:EB$126&gt;=18)*(EB$2:EB$126&lt;=22)*(EB$2:EB$126&lt;&gt;"")*($J$2:$J$126))</f>
        <v>0</v>
      </c>
      <c r="EC145" s="79" cm="1">
        <f t="array" ref="EC145">SUMPRODUCT(($B$2:$B$126=3)*(EC$2:EC$126&gt;=18)*(EC$2:EC$126&lt;=22)*(EC$2:EC$126&lt;&gt;"")*($J$2:$J$126))</f>
        <v>0</v>
      </c>
      <c r="ED145" s="79" cm="1">
        <f t="array" ref="ED145">SUMPRODUCT(($B$2:$B$126=3)*(ED$2:ED$126&gt;=18)*(ED$2:ED$126&lt;=22)*(ED$2:ED$126&lt;&gt;"")*($J$2:$J$126))</f>
        <v>0</v>
      </c>
      <c r="EE145" s="79" cm="1">
        <f t="array" ref="EE145">SUMPRODUCT(($B$2:$B$126=3)*(EE$2:EE$126&gt;=18)*(EE$2:EE$126&lt;=22)*(EE$2:EE$126&lt;&gt;"")*($J$2:$J$126))</f>
        <v>0</v>
      </c>
      <c r="EF145" s="79" cm="1">
        <f t="array" ref="EF145">SUMPRODUCT(($B$2:$B$126=3)*(EF$2:EF$126&gt;=18)*(EF$2:EF$126&lt;=22)*(EF$2:EF$126&lt;&gt;"")*($J$2:$J$126))</f>
        <v>0</v>
      </c>
      <c r="EG145" s="79" cm="1">
        <f t="array" ref="EG145">SUMPRODUCT(($B$2:$B$126=3)*(EG$2:EG$126&gt;=18)*(EG$2:EG$126&lt;=22)*(EG$2:EG$126&lt;&gt;"")*($J$2:$J$126))</f>
        <v>0</v>
      </c>
      <c r="EH145" s="79" cm="1">
        <f t="array" ref="EH145">SUMPRODUCT(($B$2:$B$126=3)*(EH$2:EH$126&gt;=18)*(EH$2:EH$126&lt;=22)*(EH$2:EH$126&lt;&gt;"")*($J$2:$J$126))</f>
        <v>0</v>
      </c>
      <c r="EI145" s="79" cm="1">
        <f t="array" ref="EI145">SUMPRODUCT(($B$2:$B$126=3)*(EI$2:EI$126&gt;=18)*(EI$2:EI$126&lt;=22)*(EI$2:EI$126&lt;&gt;"")*($J$2:$J$126))</f>
        <v>0</v>
      </c>
      <c r="EJ145" s="79" cm="1">
        <f t="array" ref="EJ145">SUMPRODUCT(($B$2:$B$126=3)*(EJ$2:EJ$126&gt;=18)*(EJ$2:EJ$126&lt;=22)*(EJ$2:EJ$126&lt;&gt;"")*($J$2:$J$126))</f>
        <v>0</v>
      </c>
      <c r="EK145" s="79" cm="1">
        <f t="array" ref="EK145">SUMPRODUCT(($B$2:$B$126=3)*(EK$2:EK$126&gt;=18)*(EK$2:EK$126&lt;=22)*(EK$2:EK$126&lt;&gt;"")*($J$2:$J$126))</f>
        <v>0</v>
      </c>
      <c r="EL145" s="79" cm="1">
        <f t="array" ref="EL145">SUMPRODUCT(($B$2:$B$126=3)*(EL$2:EL$126&gt;=18)*(EL$2:EL$126&lt;=22)*(EL$2:EL$126&lt;&gt;"")*($J$2:$J$126))</f>
        <v>0</v>
      </c>
      <c r="EM145" s="79" cm="1">
        <f t="array" ref="EM145">SUMPRODUCT(($B$2:$B$126=3)*(EM$2:EM$126&gt;=18)*(EM$2:EM$126&lt;=22)*(EM$2:EM$126&lt;&gt;"")*($J$2:$J$126))</f>
        <v>0</v>
      </c>
      <c r="EN145" s="79" cm="1">
        <f t="array" ref="EN145">SUMPRODUCT(($B$2:$B$126=3)*(EN$2:EN$126&gt;=18)*(EN$2:EN$126&lt;=22)*(EN$2:EN$126&lt;&gt;"")*($J$2:$J$126))</f>
        <v>0</v>
      </c>
      <c r="EO145" s="79" cm="1">
        <f t="array" ref="EO145">SUMPRODUCT(($B$2:$B$126=3)*(EO$2:EO$126&gt;=18)*(EO$2:EO$126&lt;=22)*(EO$2:EO$126&lt;&gt;"")*($J$2:$J$126))</f>
        <v>0</v>
      </c>
      <c r="EP145" s="79" cm="1">
        <f t="array" ref="EP145">SUMPRODUCT(($B$2:$B$126=3)*(EP$2:EP$126&gt;=18)*(EP$2:EP$126&lt;=22)*(EP$2:EP$126&lt;&gt;"")*($J$2:$J$126))</f>
        <v>0</v>
      </c>
      <c r="EQ145" s="79" cm="1">
        <f t="array" ref="EQ145">SUMPRODUCT(($B$2:$B$126=3)*(EQ$2:EQ$126&gt;=18)*(EQ$2:EQ$126&lt;=22)*(EQ$2:EQ$126&lt;&gt;"")*($J$2:$J$126))</f>
        <v>0</v>
      </c>
      <c r="ER145" s="79" cm="1">
        <f t="array" ref="ER145">SUMPRODUCT(($B$2:$B$126=3)*(ER$2:ER$126&gt;=18)*(ER$2:ER$126&lt;=22)*(ER$2:ER$126&lt;&gt;"")*($J$2:$J$126))</f>
        <v>0</v>
      </c>
      <c r="ES145" s="79" cm="1">
        <f t="array" ref="ES145">SUMPRODUCT(($B$2:$B$126=3)*(ES$2:ES$126&gt;=18)*(ES$2:ES$126&lt;=22)*(ES$2:ES$126&lt;&gt;"")*($J$2:$J$126))</f>
        <v>0</v>
      </c>
      <c r="ET145" s="79" cm="1">
        <f t="array" ref="ET145">SUMPRODUCT(($B$2:$B$126=3)*(ET$2:ET$126&gt;=18)*(ET$2:ET$126&lt;=22)*(ET$2:ET$126&lt;&gt;"")*($J$2:$J$126))</f>
        <v>0</v>
      </c>
      <c r="EU145" s="79" cm="1">
        <f t="array" ref="EU145">SUMPRODUCT(($B$2:$B$126=3)*(EU$2:EU$126&gt;=18)*(EU$2:EU$126&lt;=22)*(EU$2:EU$126&lt;&gt;"")*($J$2:$J$126))</f>
        <v>0</v>
      </c>
      <c r="EV145" s="79" cm="1">
        <f t="array" ref="EV145">SUMPRODUCT(($B$2:$B$126=3)*(EV$2:EV$126&gt;=18)*(EV$2:EV$126&lt;=22)*(EV$2:EV$126&lt;&gt;"")*($J$2:$J$126))</f>
        <v>0</v>
      </c>
      <c r="EW145" s="79" cm="1">
        <f t="array" ref="EW145">SUMPRODUCT(($B$2:$B$126=3)*(EW$2:EW$126&gt;=18)*(EW$2:EW$126&lt;=22)*(EW$2:EW$126&lt;&gt;"")*($J$2:$J$126))</f>
        <v>0</v>
      </c>
      <c r="EX145" s="79" cm="1">
        <f t="array" ref="EX145">SUMPRODUCT(($B$2:$B$126=3)*(EX$2:EX$126&gt;=18)*(EX$2:EX$126&lt;=22)*(EX$2:EX$126&lt;&gt;"")*($J$2:$J$126))</f>
        <v>0</v>
      </c>
      <c r="EY145" s="79" cm="1">
        <f t="array" ref="EY145">SUMPRODUCT(($B$2:$B$126=3)*(EY$2:EY$126&gt;=18)*(EY$2:EY$126&lt;=22)*(EY$2:EY$126&lt;&gt;"")*($J$2:$J$126))</f>
        <v>0</v>
      </c>
      <c r="EZ145" s="79" cm="1">
        <f t="array" ref="EZ145">SUMPRODUCT(($B$2:$B$126=3)*(EZ$2:EZ$126&gt;=18)*(EZ$2:EZ$126&lt;=22)*(EZ$2:EZ$126&lt;&gt;"")*($J$2:$J$126))</f>
        <v>0</v>
      </c>
      <c r="FA145" s="79" cm="1">
        <f t="array" ref="FA145">SUMPRODUCT(($B$2:$B$126=3)*(FA$2:FA$126&gt;=18)*(FA$2:FA$126&lt;=22)*(FA$2:FA$126&lt;&gt;"")*($J$2:$J$126))</f>
        <v>0</v>
      </c>
      <c r="FB145" s="79" cm="1">
        <f t="array" ref="FB145">SUMPRODUCT(($B$2:$B$126=3)*(FB$2:FB$126&gt;=18)*(FB$2:FB$126&lt;=22)*(FB$2:FB$126&lt;&gt;"")*($J$2:$J$126))</f>
        <v>0</v>
      </c>
      <c r="FC145" s="79" cm="1">
        <f t="array" ref="FC145">SUMPRODUCT(($B$2:$B$126=3)*(FC$2:FC$126&gt;=18)*(FC$2:FC$126&lt;=22)*(FC$2:FC$126&lt;&gt;"")*($J$2:$J$126))</f>
        <v>0</v>
      </c>
      <c r="FD145" s="79" cm="1">
        <f t="array" ref="FD145">SUMPRODUCT(($B$2:$B$126=3)*(FD$2:FD$126&gt;=18)*(FD$2:FD$126&lt;=22)*(FD$2:FD$126&lt;&gt;"")*($J$2:$J$126))</f>
        <v>0</v>
      </c>
      <c r="FE145" s="79" cm="1">
        <f t="array" ref="FE145">SUMPRODUCT(($B$2:$B$126=3)*(FE$2:FE$126&gt;=18)*(FE$2:FE$126&lt;=22)*(FE$2:FE$126&lt;&gt;"")*($J$2:$J$126))</f>
        <v>0</v>
      </c>
      <c r="FF145" s="79" cm="1">
        <f t="array" ref="FF145">SUMPRODUCT(($B$2:$B$126=3)*(FF$2:FF$126&gt;=18)*(FF$2:FF$126&lt;=22)*(FF$2:FF$126&lt;&gt;"")*($J$2:$J$126))</f>
        <v>0</v>
      </c>
      <c r="FG145" s="79" cm="1">
        <f t="array" ref="FG145">SUMPRODUCT(($B$2:$B$126=3)*(FG$2:FG$126&gt;=18)*(FG$2:FG$126&lt;=22)*(FG$2:FG$126&lt;&gt;"")*($J$2:$J$126))</f>
        <v>0</v>
      </c>
      <c r="FH145" s="79" cm="1">
        <f t="array" ref="FH145">SUMPRODUCT(($B$2:$B$126=3)*(FH$2:FH$126&gt;=18)*(FH$2:FH$126&lt;=22)*(FH$2:FH$126&lt;&gt;"")*($J$2:$J$126))</f>
        <v>0</v>
      </c>
      <c r="FI145" s="79" cm="1">
        <f t="array" ref="FI145">SUMPRODUCT(($B$2:$B$126=3)*(FI$2:FI$126&gt;=18)*(FI$2:FI$126&lt;=22)*(FI$2:FI$126&lt;&gt;"")*($J$2:$J$126))</f>
        <v>0</v>
      </c>
      <c r="FJ145" s="79" cm="1">
        <f t="array" ref="FJ145">SUMPRODUCT(($B$2:$B$126=3)*(FJ$2:FJ$126&gt;=18)*(FJ$2:FJ$126&lt;=22)*(FJ$2:FJ$126&lt;&gt;"")*($J$2:$J$126))</f>
        <v>0</v>
      </c>
      <c r="FK145" s="79" cm="1">
        <f t="array" ref="FK145">SUMPRODUCT(($B$2:$B$126=3)*(FK$2:FK$126&gt;=18)*(FK$2:FK$126&lt;=22)*(FK$2:FK$126&lt;&gt;"")*($J$2:$J$126))</f>
        <v>0</v>
      </c>
      <c r="FL145" s="79" cm="1">
        <f t="array" ref="FL145">SUMPRODUCT(($B$2:$B$126=3)*(FL$2:FL$126&gt;=18)*(FL$2:FL$126&lt;=22)*(FL$2:FL$126&lt;&gt;"")*($J$2:$J$126))</f>
        <v>0</v>
      </c>
      <c r="FM145" s="79" cm="1">
        <f t="array" ref="FM145">SUMPRODUCT(($B$2:$B$126=3)*(FM$2:FM$126&gt;=18)*(FM$2:FM$126&lt;=22)*(FM$2:FM$126&lt;&gt;"")*($J$2:$J$126))</f>
        <v>0</v>
      </c>
      <c r="FN145" s="79" cm="1">
        <f t="array" ref="FN145">SUMPRODUCT(($B$2:$B$126=3)*(FN$2:FN$126&gt;=18)*(FN$2:FN$126&lt;=22)*(FN$2:FN$126&lt;&gt;"")*($J$2:$J$126))</f>
        <v>0</v>
      </c>
      <c r="FO145" s="79" cm="1">
        <f t="array" ref="FO145">SUMPRODUCT(($B$2:$B$126=3)*(FO$2:FO$126&gt;=18)*(FO$2:FO$126&lt;=22)*(FO$2:FO$126&lt;&gt;"")*($J$2:$J$126))</f>
        <v>0</v>
      </c>
      <c r="FP145" s="79" cm="1">
        <f t="array" ref="FP145">SUMPRODUCT(($B$2:$B$126=3)*(FP$2:FP$126&gt;=18)*(FP$2:FP$126&lt;=22)*(FP$2:FP$126&lt;&gt;"")*($J$2:$J$126))</f>
        <v>0</v>
      </c>
      <c r="FQ145" s="79" cm="1">
        <f t="array" ref="FQ145">SUMPRODUCT(($B$2:$B$126=3)*(FQ$2:FQ$126&gt;=18)*(FQ$2:FQ$126&lt;=22)*(FQ$2:FQ$126&lt;&gt;"")*($J$2:$J$126))</f>
        <v>0</v>
      </c>
      <c r="FR145" s="79" cm="1">
        <f t="array" ref="FR145">SUMPRODUCT(($B$2:$B$126=3)*(FR$2:FR$126&gt;=18)*(FR$2:FR$126&lt;=22)*(FR$2:FR$126&lt;&gt;"")*($J$2:$J$126))</f>
        <v>0</v>
      </c>
      <c r="FS145" s="79" cm="1">
        <f t="array" ref="FS145">SUMPRODUCT(($B$2:$B$126=3)*(FS$2:FS$126&gt;=18)*(FS$2:FS$126&lt;=22)*(FS$2:FS$126&lt;&gt;"")*($J$2:$J$126))</f>
        <v>0</v>
      </c>
      <c r="FT145" s="79" cm="1">
        <f t="array" ref="FT145">SUMPRODUCT(($B$2:$B$126=3)*(FT$2:FT$126&gt;=18)*(FT$2:FT$126&lt;=22)*(FT$2:FT$126&lt;&gt;"")*($J$2:$J$126))</f>
        <v>0</v>
      </c>
      <c r="FU145" s="79" cm="1">
        <f t="array" ref="FU145">SUMPRODUCT(($B$2:$B$126=3)*(FU$2:FU$126&gt;=18)*(FU$2:FU$126&lt;=22)*(FU$2:FU$126&lt;&gt;"")*($J$2:$J$126))</f>
        <v>0</v>
      </c>
      <c r="FV145" s="79" cm="1">
        <f t="array" ref="FV145">SUMPRODUCT(($B$2:$B$126=3)*(FV$2:FV$126&gt;=18)*(FV$2:FV$126&lt;=22)*(FV$2:FV$126&lt;&gt;"")*($J$2:$J$126))</f>
        <v>0</v>
      </c>
      <c r="FW145" s="79" cm="1">
        <f t="array" ref="FW145">SUMPRODUCT(($B$2:$B$126=3)*(FW$2:FW$126&gt;=18)*(FW$2:FW$126&lt;=22)*(FW$2:FW$126&lt;&gt;"")*($J$2:$J$126))</f>
        <v>0</v>
      </c>
      <c r="FX145" s="79" cm="1">
        <f t="array" ref="FX145">SUMPRODUCT(($B$2:$B$126=3)*(FX$2:FX$126&gt;=18)*(FX$2:FX$126&lt;=22)*(FX$2:FX$126&lt;&gt;"")*($J$2:$J$126))</f>
        <v>0</v>
      </c>
      <c r="FY145" s="79" cm="1">
        <f t="array" ref="FY145">SUMPRODUCT(($B$2:$B$126=3)*(FY$2:FY$126&gt;=18)*(FY$2:FY$126&lt;=22)*(FY$2:FY$126&lt;&gt;"")*($J$2:$J$126))</f>
        <v>0</v>
      </c>
      <c r="FZ145" s="79" cm="1">
        <f t="array" ref="FZ145">SUMPRODUCT(($B$2:$B$126=3)*(FZ$2:FZ$126&gt;=18)*(FZ$2:FZ$126&lt;=22)*(FZ$2:FZ$126&lt;&gt;"")*($J$2:$J$126))</f>
        <v>0</v>
      </c>
      <c r="GA145" s="79" cm="1">
        <f t="array" ref="GA145">SUMPRODUCT(($B$2:$B$126=3)*(GA$2:GA$126&gt;=18)*(GA$2:GA$126&lt;=22)*(GA$2:GA$126&lt;&gt;"")*($J$2:$J$126))</f>
        <v>0</v>
      </c>
      <c r="GB145" s="79" cm="1">
        <f t="array" ref="GB145">SUMPRODUCT(($B$2:$B$126=3)*(GB$2:GB$126&gt;=18)*(GB$2:GB$126&lt;=22)*(GB$2:GB$126&lt;&gt;"")*($J$2:$J$126))</f>
        <v>0</v>
      </c>
      <c r="GC145" s="79" cm="1">
        <f t="array" ref="GC145">SUMPRODUCT(($B$2:$B$126=3)*(GC$2:GC$126&gt;=18)*(GC$2:GC$126&lt;=22)*(GC$2:GC$126&lt;&gt;"")*($J$2:$J$126))</f>
        <v>0</v>
      </c>
      <c r="GD145" s="79" cm="1">
        <f t="array" ref="GD145">SUMPRODUCT(($B$2:$B$126=3)*(GD$2:GD$126&gt;=18)*(GD$2:GD$126&lt;=22)*(GD$2:GD$126&lt;&gt;"")*($J$2:$J$126))</f>
        <v>0</v>
      </c>
      <c r="GE145" s="79" cm="1">
        <f t="array" ref="GE145">SUMPRODUCT(($B$2:$B$126=3)*(GE$2:GE$126&gt;=18)*(GE$2:GE$126&lt;=22)*(GE$2:GE$126&lt;&gt;"")*($J$2:$J$126))</f>
        <v>0</v>
      </c>
      <c r="GF145" s="79" cm="1">
        <f t="array" ref="GF145">SUMPRODUCT(($B$2:$B$126=3)*(GF$2:GF$126&gt;=18)*(GF$2:GF$126&lt;=22)*(GF$2:GF$126&lt;&gt;"")*($J$2:$J$126))</f>
        <v>0</v>
      </c>
      <c r="GG145" s="79" cm="1">
        <f t="array" ref="GG145">SUMPRODUCT(($B$2:$B$126=3)*(GG$2:GG$126&gt;=18)*(GG$2:GG$126&lt;=22)*(GG$2:GG$126&lt;&gt;"")*($J$2:$J$126))</f>
        <v>0</v>
      </c>
      <c r="GH145" s="79" cm="1">
        <f t="array" ref="GH145">SUMPRODUCT(($B$2:$B$126=3)*(GH$2:GH$126&gt;=18)*(GH$2:GH$126&lt;=22)*(GH$2:GH$126&lt;&gt;"")*($J$2:$J$126))</f>
        <v>0</v>
      </c>
      <c r="GI145" s="79" cm="1">
        <f t="array" ref="GI145">SUMPRODUCT(($B$2:$B$126=3)*(GI$2:GI$126&gt;=18)*(GI$2:GI$126&lt;=22)*(GI$2:GI$126&lt;&gt;"")*($J$2:$J$126))</f>
        <v>0</v>
      </c>
      <c r="GJ145" s="79" cm="1">
        <f t="array" ref="GJ145">SUMPRODUCT(($B$2:$B$126=3)*(GJ$2:GJ$126&gt;=18)*(GJ$2:GJ$126&lt;=22)*(GJ$2:GJ$126&lt;&gt;"")*($J$2:$J$126))</f>
        <v>0</v>
      </c>
      <c r="GK145" s="79" cm="1">
        <f t="array" ref="GK145">SUMPRODUCT(($B$2:$B$126=3)*(GK$2:GK$126&gt;=18)*(GK$2:GK$126&lt;=22)*(GK$2:GK$126&lt;&gt;"")*($J$2:$J$126))</f>
        <v>0</v>
      </c>
      <c r="GL145" s="79" cm="1">
        <f t="array" ref="GL145">SUMPRODUCT(($B$2:$B$126=3)*(GL$2:GL$126&gt;=18)*(GL$2:GL$126&lt;=22)*(GL$2:GL$126&lt;&gt;"")*($J$2:$J$126))</f>
        <v>0</v>
      </c>
      <c r="GM145" s="79" cm="1">
        <f t="array" ref="GM145">SUMPRODUCT(($B$2:$B$126=3)*(GM$2:GM$126&gt;=18)*(GM$2:GM$126&lt;=22)*(GM$2:GM$126&lt;&gt;"")*($J$2:$J$126))</f>
        <v>0</v>
      </c>
      <c r="GN145" s="79" cm="1">
        <f t="array" ref="GN145">SUMPRODUCT(($B$2:$B$126=3)*(GN$2:GN$126&gt;=18)*(GN$2:GN$126&lt;=22)*(GN$2:GN$126&lt;&gt;"")*($J$2:$J$126))</f>
        <v>0</v>
      </c>
      <c r="GO145" s="79" cm="1">
        <f t="array" ref="GO145">SUMPRODUCT(($B$2:$B$126=3)*(GO$2:GO$126&gt;=18)*(GO$2:GO$126&lt;=22)*(GO$2:GO$126&lt;&gt;"")*($J$2:$J$126))</f>
        <v>0</v>
      </c>
      <c r="GP145" s="79" cm="1">
        <f t="array" ref="GP145">SUMPRODUCT(($B$2:$B$126=3)*(GP$2:GP$126&gt;=18)*(GP$2:GP$126&lt;=22)*(GP$2:GP$126&lt;&gt;"")*($J$2:$J$126))</f>
        <v>0</v>
      </c>
      <c r="GQ145" s="79" cm="1">
        <f t="array" ref="GQ145">SUMPRODUCT(($B$2:$B$126=3)*(GQ$2:GQ$126&gt;=18)*(GQ$2:GQ$126&lt;=22)*(GQ$2:GQ$126&lt;&gt;"")*($J$2:$J$126))</f>
        <v>0</v>
      </c>
      <c r="GR145" s="79" cm="1">
        <f t="array" ref="GR145">SUMPRODUCT(($B$2:$B$126=3)*(GR$2:GR$126&gt;=18)*(GR$2:GR$126&lt;=22)*(GR$2:GR$126&lt;&gt;"")*($J$2:$J$126))</f>
        <v>0</v>
      </c>
      <c r="GS145" s="79" cm="1">
        <f t="array" ref="GS145">SUMPRODUCT(($B$2:$B$126=3)*(GS$2:GS$126&gt;=18)*(GS$2:GS$126&lt;=22)*(GS$2:GS$126&lt;&gt;"")*($J$2:$J$126))</f>
        <v>0</v>
      </c>
      <c r="GT145" s="79" cm="1">
        <f t="array" ref="GT145">SUMPRODUCT(($B$2:$B$126=3)*(GT$2:GT$126&gt;=18)*(GT$2:GT$126&lt;=22)*(GT$2:GT$126&lt;&gt;"")*($J$2:$J$126))</f>
        <v>0</v>
      </c>
      <c r="GU145" s="79" cm="1">
        <f t="array" ref="GU145">SUMPRODUCT(($B$2:$B$126=3)*(GU$2:GU$126&gt;=18)*(GU$2:GU$126&lt;=22)*(GU$2:GU$126&lt;&gt;"")*($J$2:$J$126))</f>
        <v>0</v>
      </c>
      <c r="GV145" s="79" cm="1">
        <f t="array" ref="GV145">SUMPRODUCT(($B$2:$B$126=3)*(GV$2:GV$126&gt;=18)*(GV$2:GV$126&lt;=22)*(GV$2:GV$126&lt;&gt;"")*($J$2:$J$126))</f>
        <v>0</v>
      </c>
      <c r="GW145" s="79" cm="1">
        <f t="array" ref="GW145">SUMPRODUCT(($B$2:$B$126=3)*(GW$2:GW$126&gt;=18)*(GW$2:GW$126&lt;=22)*(GW$2:GW$126&lt;&gt;"")*($J$2:$J$126))</f>
        <v>0</v>
      </c>
      <c r="GX145" s="79" cm="1">
        <f t="array" ref="GX145">SUMPRODUCT(($B$2:$B$126=3)*(GX$2:GX$126&gt;=18)*(GX$2:GX$126&lt;=22)*(GX$2:GX$126&lt;&gt;"")*($J$2:$J$126))</f>
        <v>0</v>
      </c>
    </row>
    <row r="146" spans="1:206" x14ac:dyDescent="0.2">
      <c r="A146" s="84">
        <v>3</v>
      </c>
      <c r="B146" s="84" t="s">
        <v>257</v>
      </c>
      <c r="W146" s="79" cm="1">
        <f t="array" ref="W146">SUMPRODUCT(($B$2:$B$126=3)*(W$2:W$126&gt;=23)*(W$2:W$126&lt;=27)*(W$2:W$126&lt;&gt;"")*($J$2:$J$126))</f>
        <v>0</v>
      </c>
      <c r="X146" s="79" cm="1">
        <f t="array" ref="X146">SUMPRODUCT(($B$2:$B$126=3)*(X$2:X$126&gt;=23)*(X$2:X$126&lt;=27)*(X$2:X$126&lt;&gt;"")*($J$2:$J$126))</f>
        <v>0</v>
      </c>
      <c r="Y146" s="79" cm="1">
        <f t="array" ref="Y146">SUMPRODUCT(($B$2:$B$126=3)*(Y$2:Y$126&gt;=23)*(Y$2:Y$126&lt;=27)*(Y$2:Y$126&lt;&gt;"")*($J$2:$J$126))</f>
        <v>0</v>
      </c>
      <c r="Z146" s="79" cm="1">
        <f t="array" ref="Z146">SUMPRODUCT(($B$2:$B$126=3)*(Z$2:Z$126&gt;=23)*(Z$2:Z$126&lt;=27)*(Z$2:Z$126&lt;&gt;"")*($J$2:$J$126))</f>
        <v>0</v>
      </c>
      <c r="AA146" s="79" cm="1">
        <f t="array" ref="AA146">SUMPRODUCT(($B$2:$B$126=3)*(AA$2:AA$126&gt;=23)*(AA$2:AA$126&lt;=27)*(AA$2:AA$126&lt;&gt;"")*($J$2:$J$126))</f>
        <v>16.98</v>
      </c>
      <c r="AB146" s="79" cm="1">
        <f t="array" ref="AB146">SUMPRODUCT(($B$2:$B$126=3)*(AB$2:AB$126&gt;=23)*(AB$2:AB$126&lt;=27)*(AB$2:AB$126&lt;&gt;"")*($J$2:$J$126))</f>
        <v>86.550000000000011</v>
      </c>
      <c r="AC146" s="79" cm="1">
        <f t="array" ref="AC146">SUMPRODUCT(($B$2:$B$126=3)*(AC$2:AC$126&gt;=23)*(AC$2:AC$126&lt;=27)*(AC$2:AC$126&lt;&gt;"")*($J$2:$J$126))</f>
        <v>86.550000000000011</v>
      </c>
      <c r="AD146" s="79" cm="1">
        <f t="array" ref="AD146">SUMPRODUCT(($B$2:$B$126=3)*(AD$2:AD$126&gt;=23)*(AD$2:AD$126&lt;=27)*(AD$2:AD$126&lt;&gt;"")*($J$2:$J$126))</f>
        <v>86.550000000000011</v>
      </c>
      <c r="AE146" s="79" cm="1">
        <f t="array" ref="AE146">SUMPRODUCT(($B$2:$B$126=3)*(AE$2:AE$126&gt;=23)*(AE$2:AE$126&lt;=27)*(AE$2:AE$126&lt;&gt;"")*($J$2:$J$126))</f>
        <v>69.569999999999993</v>
      </c>
      <c r="AF146" s="79" cm="1">
        <f t="array" ref="AF146">SUMPRODUCT(($B$2:$B$126=3)*(AF$2:AF$126&gt;=23)*(AF$2:AF$126&lt;=27)*(AF$2:AF$126&lt;&gt;"")*($J$2:$J$126))</f>
        <v>136.13999999999999</v>
      </c>
      <c r="AG146" s="79" cm="1">
        <f t="array" ref="AG146">SUMPRODUCT(($B$2:$B$126=3)*(AG$2:AG$126&gt;=23)*(AG$2:AG$126&lt;=27)*(AG$2:AG$126&lt;&gt;"")*($J$2:$J$126))</f>
        <v>88</v>
      </c>
      <c r="AH146" s="79" cm="1">
        <f t="array" ref="AH146">SUMPRODUCT(($B$2:$B$126=3)*(AH$2:AH$126&gt;=23)*(AH$2:AH$126&lt;=27)*(AH$2:AH$126&lt;&gt;"")*($J$2:$J$126))</f>
        <v>0</v>
      </c>
      <c r="AI146" s="79" cm="1">
        <f t="array" ref="AI146">SUMPRODUCT(($B$2:$B$126=3)*(AI$2:AI$126&gt;=23)*(AI$2:AI$126&lt;=27)*(AI$2:AI$126&lt;&gt;"")*($J$2:$J$126))</f>
        <v>0</v>
      </c>
      <c r="AJ146" s="79" cm="1">
        <f t="array" ref="AJ146">SUMPRODUCT(($B$2:$B$126=3)*(AJ$2:AJ$126&gt;=23)*(AJ$2:AJ$126&lt;=27)*(AJ$2:AJ$126&lt;&gt;"")*($J$2:$J$126))</f>
        <v>0</v>
      </c>
      <c r="AK146" s="79" cm="1">
        <f t="array" ref="AK146">SUMPRODUCT(($B$2:$B$126=3)*(AK$2:AK$126&gt;=23)*(AK$2:AK$126&lt;=27)*(AK$2:AK$126&lt;&gt;"")*($J$2:$J$126))</f>
        <v>0</v>
      </c>
      <c r="AL146" s="79" cm="1">
        <f t="array" ref="AL146">SUMPRODUCT(($B$2:$B$126=3)*(AL$2:AL$126&gt;=23)*(AL$2:AL$126&lt;=27)*(AL$2:AL$126&lt;&gt;"")*($J$2:$J$126))</f>
        <v>0</v>
      </c>
      <c r="AM146" s="79" cm="1">
        <f t="array" ref="AM146">SUMPRODUCT(($B$2:$B$126=3)*(AM$2:AM$126&gt;=23)*(AM$2:AM$126&lt;=27)*(AM$2:AM$126&lt;&gt;"")*($J$2:$J$126))</f>
        <v>0</v>
      </c>
      <c r="AN146" s="79" cm="1">
        <f t="array" ref="AN146">SUMPRODUCT(($B$2:$B$126=3)*(AN$2:AN$126&gt;=23)*(AN$2:AN$126&lt;=27)*(AN$2:AN$126&lt;&gt;"")*($J$2:$J$126))</f>
        <v>0</v>
      </c>
      <c r="AO146" s="79" cm="1">
        <f t="array" ref="AO146">SUMPRODUCT(($B$2:$B$126=3)*(AO$2:AO$126&gt;=23)*(AO$2:AO$126&lt;=27)*(AO$2:AO$126&lt;&gt;"")*($J$2:$J$126))</f>
        <v>0</v>
      </c>
      <c r="AP146" s="79" cm="1">
        <f t="array" ref="AP146">SUMPRODUCT(($B$2:$B$126=3)*(AP$2:AP$126&gt;=23)*(AP$2:AP$126&lt;=27)*(AP$2:AP$126&lt;&gt;"")*($J$2:$J$126))</f>
        <v>0</v>
      </c>
      <c r="AQ146" s="79" cm="1">
        <f t="array" ref="AQ146">SUMPRODUCT(($B$2:$B$126=3)*(AQ$2:AQ$126&gt;=23)*(AQ$2:AQ$126&lt;=27)*(AQ$2:AQ$126&lt;&gt;"")*($J$2:$J$126))</f>
        <v>0</v>
      </c>
      <c r="AR146" s="79" cm="1">
        <f t="array" ref="AR146">SUMPRODUCT(($B$2:$B$126=3)*(AR$2:AR$126&gt;=23)*(AR$2:AR$126&lt;=27)*(AR$2:AR$126&lt;&gt;"")*($J$2:$J$126))</f>
        <v>0</v>
      </c>
      <c r="AS146" s="79" cm="1">
        <f t="array" ref="AS146">SUMPRODUCT(($B$2:$B$126=3)*(AS$2:AS$126&gt;=23)*(AS$2:AS$126&lt;=27)*(AS$2:AS$126&lt;&gt;"")*($J$2:$J$126))</f>
        <v>0</v>
      </c>
      <c r="AT146" s="79" cm="1">
        <f t="array" ref="AT146">SUMPRODUCT(($B$2:$B$126=3)*(AT$2:AT$126&gt;=23)*(AT$2:AT$126&lt;=27)*(AT$2:AT$126&lt;&gt;"")*($J$2:$J$126))</f>
        <v>0</v>
      </c>
      <c r="AU146" s="79" cm="1">
        <f t="array" ref="AU146">SUMPRODUCT(($B$2:$B$126=3)*(AU$2:AU$126&gt;=23)*(AU$2:AU$126&lt;=27)*(AU$2:AU$126&lt;&gt;"")*($J$2:$J$126))</f>
        <v>0</v>
      </c>
      <c r="AV146" s="79" cm="1">
        <f t="array" ref="AV146">SUMPRODUCT(($B$2:$B$126=3)*(AV$2:AV$126&gt;=23)*(AV$2:AV$126&lt;=27)*(AV$2:AV$126&lt;&gt;"")*($J$2:$J$126))</f>
        <v>70.849999999999994</v>
      </c>
      <c r="AW146" s="79" cm="1">
        <f t="array" ref="AW146">SUMPRODUCT(($B$2:$B$126=3)*(AW$2:AW$126&gt;=23)*(AW$2:AW$126&lt;=27)*(AW$2:AW$126&lt;&gt;"")*($J$2:$J$126))</f>
        <v>0</v>
      </c>
      <c r="AX146" s="79" cm="1">
        <f t="array" ref="AX146">SUMPRODUCT(($B$2:$B$126=3)*(AX$2:AX$126&gt;=23)*(AX$2:AX$126&lt;=27)*(AX$2:AX$126&lt;&gt;"")*($J$2:$J$126))</f>
        <v>0</v>
      </c>
      <c r="AY146" s="79" cm="1">
        <f t="array" ref="AY146">SUMPRODUCT(($B$2:$B$126=3)*(AY$2:AY$126&gt;=23)*(AY$2:AY$126&lt;=27)*(AY$2:AY$126&lt;&gt;"")*($J$2:$J$126))</f>
        <v>0</v>
      </c>
      <c r="AZ146" s="79" cm="1">
        <f t="array" ref="AZ146">SUMPRODUCT(($B$2:$B$126=3)*(AZ$2:AZ$126&gt;=23)*(AZ$2:AZ$126&lt;=27)*(AZ$2:AZ$126&lt;&gt;"")*($J$2:$J$126))</f>
        <v>0</v>
      </c>
      <c r="BA146" s="79" cm="1">
        <f t="array" ref="BA146">SUMPRODUCT(($B$2:$B$126=3)*(BA$2:BA$126&gt;=23)*(BA$2:BA$126&lt;=27)*(BA$2:BA$126&lt;&gt;"")*($J$2:$J$126))</f>
        <v>0</v>
      </c>
      <c r="BB146" s="79" cm="1">
        <f t="array" ref="BB146">SUMPRODUCT(($B$2:$B$126=3)*(BB$2:BB$126&gt;=23)*(BB$2:BB$126&lt;=27)*(BB$2:BB$126&lt;&gt;"")*($J$2:$J$126))</f>
        <v>0</v>
      </c>
      <c r="BC146" s="79" cm="1">
        <f t="array" ref="BC146">SUMPRODUCT(($B$2:$B$126=3)*(BC$2:BC$126&gt;=23)*(BC$2:BC$126&lt;=27)*(BC$2:BC$126&lt;&gt;"")*($J$2:$J$126))</f>
        <v>21.43</v>
      </c>
      <c r="BD146" s="79" cm="1">
        <f t="array" ref="BD146">SUMPRODUCT(($B$2:$B$126=3)*(BD$2:BD$126&gt;=23)*(BD$2:BD$126&lt;=27)*(BD$2:BD$126&lt;&gt;"")*($J$2:$J$126))</f>
        <v>21.43</v>
      </c>
      <c r="BE146" s="79" cm="1">
        <f t="array" ref="BE146">SUMPRODUCT(($B$2:$B$126=3)*(BE$2:BE$126&gt;=23)*(BE$2:BE$126&lt;=27)*(BE$2:BE$126&lt;&gt;"")*($J$2:$J$126))</f>
        <v>21.43</v>
      </c>
      <c r="BF146" s="79" cm="1">
        <f t="array" ref="BF146">SUMPRODUCT(($B$2:$B$126=3)*(BF$2:BF$126&gt;=23)*(BF$2:BF$126&lt;=27)*(BF$2:BF$126&lt;&gt;"")*($J$2:$J$126))</f>
        <v>21.43</v>
      </c>
      <c r="BG146" s="79" cm="1">
        <f t="array" ref="BG146">SUMPRODUCT(($B$2:$B$126=3)*(BG$2:BG$126&gt;=23)*(BG$2:BG$126&lt;=27)*(BG$2:BG$126&lt;&gt;"")*($J$2:$J$126))</f>
        <v>21.43</v>
      </c>
      <c r="BH146" s="79" cm="1">
        <f t="array" ref="BH146">SUMPRODUCT(($B$2:$B$126=3)*(BH$2:BH$126&gt;=23)*(BH$2:BH$126&lt;=27)*(BH$2:BH$126&lt;&gt;"")*($J$2:$J$126))</f>
        <v>0</v>
      </c>
      <c r="BI146" s="79" cm="1">
        <f t="array" ref="BI146">SUMPRODUCT(($B$2:$B$126=3)*(BI$2:BI$126&gt;=23)*(BI$2:BI$126&lt;=27)*(BI$2:BI$126&lt;&gt;"")*($J$2:$J$126))</f>
        <v>0</v>
      </c>
      <c r="BJ146" s="79" cm="1">
        <f t="array" ref="BJ146">SUMPRODUCT(($B$2:$B$126=3)*(BJ$2:BJ$126&gt;=23)*(BJ$2:BJ$126&lt;=27)*(BJ$2:BJ$126&lt;&gt;"")*($J$2:$J$126))</f>
        <v>0</v>
      </c>
      <c r="BK146" s="79" cm="1">
        <f t="array" ref="BK146">SUMPRODUCT(($B$2:$B$126=3)*(BK$2:BK$126&gt;=23)*(BK$2:BK$126&lt;=27)*(BK$2:BK$126&lt;&gt;"")*($J$2:$J$126))</f>
        <v>0</v>
      </c>
      <c r="BL146" s="79" cm="1">
        <f t="array" ref="BL146">SUMPRODUCT(($B$2:$B$126=3)*(BL$2:BL$126&gt;=23)*(BL$2:BL$126&lt;=27)*(BL$2:BL$126&lt;&gt;"")*($J$2:$J$126))</f>
        <v>0</v>
      </c>
      <c r="BM146" s="79" cm="1">
        <f t="array" ref="BM146">SUMPRODUCT(($B$2:$B$126=3)*(BM$2:BM$126&gt;=23)*(BM$2:BM$126&lt;=27)*(BM$2:BM$126&lt;&gt;"")*($J$2:$J$126))</f>
        <v>0</v>
      </c>
      <c r="BN146" s="79" cm="1">
        <f t="array" ref="BN146">SUMPRODUCT(($B$2:$B$126=3)*(BN$2:BN$126&gt;=23)*(BN$2:BN$126&lt;=27)*(BN$2:BN$126&lt;&gt;"")*($J$2:$J$126))</f>
        <v>0</v>
      </c>
      <c r="BO146" s="79" cm="1">
        <f t="array" ref="BO146">SUMPRODUCT(($B$2:$B$126=3)*(BO$2:BO$126&gt;=23)*(BO$2:BO$126&lt;=27)*(BO$2:BO$126&lt;&gt;"")*($J$2:$J$126))</f>
        <v>0</v>
      </c>
      <c r="BP146" s="79" cm="1">
        <f t="array" ref="BP146">SUMPRODUCT(($B$2:$B$126=3)*(BP$2:BP$126&gt;=23)*(BP$2:BP$126&lt;=27)*(BP$2:BP$126&lt;&gt;"")*($J$2:$J$126))</f>
        <v>0</v>
      </c>
      <c r="BQ146" s="79" cm="1">
        <f t="array" ref="BQ146">SUMPRODUCT(($B$2:$B$126=3)*(BQ$2:BQ$126&gt;=23)*(BQ$2:BQ$126&lt;=27)*(BQ$2:BQ$126&lt;&gt;"")*($J$2:$J$126))</f>
        <v>40.909999999999997</v>
      </c>
      <c r="BR146" s="79" cm="1">
        <f t="array" ref="BR146">SUMPRODUCT(($B$2:$B$126=3)*(BR$2:BR$126&gt;=23)*(BR$2:BR$126&lt;=27)*(BR$2:BR$126&lt;&gt;"")*($J$2:$J$126))</f>
        <v>40.909999999999997</v>
      </c>
      <c r="BS146" s="79" cm="1">
        <f t="array" ref="BS146">SUMPRODUCT(($B$2:$B$126=3)*(BS$2:BS$126&gt;=23)*(BS$2:BS$126&lt;=27)*(BS$2:BS$126&lt;&gt;"")*($J$2:$J$126))</f>
        <v>40.909999999999997</v>
      </c>
      <c r="BT146" s="79" cm="1">
        <f t="array" ref="BT146">SUMPRODUCT(($B$2:$B$126=3)*(BT$2:BT$126&gt;=23)*(BT$2:BT$126&lt;=27)*(BT$2:BT$126&lt;&gt;"")*($J$2:$J$126))</f>
        <v>40.909999999999997</v>
      </c>
      <c r="BU146" s="79" cm="1">
        <f t="array" ref="BU146">SUMPRODUCT(($B$2:$B$126=3)*(BU$2:BU$126&gt;=23)*(BU$2:BU$126&lt;=27)*(BU$2:BU$126&lt;&gt;"")*($J$2:$J$126))</f>
        <v>57.89</v>
      </c>
      <c r="BV146" s="79" cm="1">
        <f t="array" ref="BV146">SUMPRODUCT(($B$2:$B$126=3)*(BV$2:BV$126&gt;=23)*(BV$2:BV$126&lt;=27)*(BV$2:BV$126&lt;&gt;"")*($J$2:$J$126))</f>
        <v>65.77</v>
      </c>
      <c r="BW146" s="79" cm="1">
        <f t="array" ref="BW146">SUMPRODUCT(($B$2:$B$126=3)*(BW$2:BW$126&gt;=23)*(BW$2:BW$126&lt;=27)*(BW$2:BW$126&lt;&gt;"")*($J$2:$J$126))</f>
        <v>104.78</v>
      </c>
      <c r="BX146" s="79" cm="1">
        <f t="array" ref="BX146">SUMPRODUCT(($B$2:$B$126=3)*(BX$2:BX$126&gt;=23)*(BX$2:BX$126&lt;=27)*(BX$2:BX$126&lt;&gt;"")*($J$2:$J$126))</f>
        <v>104.78</v>
      </c>
      <c r="BY146" s="79" cm="1">
        <f t="array" ref="BY146">SUMPRODUCT(($B$2:$B$126=3)*(BY$2:BY$126&gt;=23)*(BY$2:BY$126&lt;=27)*(BY$2:BY$126&lt;&gt;"")*($J$2:$J$126))</f>
        <v>104.78</v>
      </c>
      <c r="BZ146" s="79" cm="1">
        <f t="array" ref="BZ146">SUMPRODUCT(($B$2:$B$126=3)*(BZ$2:BZ$126&gt;=23)*(BZ$2:BZ$126&lt;=27)*(BZ$2:BZ$126&lt;&gt;"")*($J$2:$J$126))</f>
        <v>87.8</v>
      </c>
      <c r="CA146" s="79" cm="1">
        <f t="array" ref="CA146">SUMPRODUCT(($B$2:$B$126=3)*(CA$2:CA$126&gt;=23)*(CA$2:CA$126&lt;=27)*(CA$2:CA$126&lt;&gt;"")*($J$2:$J$126))</f>
        <v>39.01</v>
      </c>
      <c r="CB146" s="79" cm="1">
        <f t="array" ref="CB146">SUMPRODUCT(($B$2:$B$126=3)*(CB$2:CB$126&gt;=23)*(CB$2:CB$126&lt;=27)*(CB$2:CB$126&lt;&gt;"")*($J$2:$J$126))</f>
        <v>28.339999999999996</v>
      </c>
      <c r="CC146" s="79" cm="1">
        <f t="array" ref="CC146">SUMPRODUCT(($B$2:$B$126=3)*(CC$2:CC$126&gt;=23)*(CC$2:CC$126&lt;=27)*(CC$2:CC$126&lt;&gt;"")*($J$2:$J$126))</f>
        <v>108.26</v>
      </c>
      <c r="CD146" s="79" cm="1">
        <f t="array" ref="CD146">SUMPRODUCT(($B$2:$B$126=3)*(CD$2:CD$126&gt;=23)*(CD$2:CD$126&lt;=27)*(CD$2:CD$126&lt;&gt;"")*($J$2:$J$126))</f>
        <v>131.41</v>
      </c>
      <c r="CE146" s="79" cm="1">
        <f t="array" ref="CE146">SUMPRODUCT(($B$2:$B$126=3)*(CE$2:CE$126&gt;=23)*(CE$2:CE$126&lt;=27)*(CE$2:CE$126&lt;&gt;"")*($J$2:$J$126))</f>
        <v>131.41</v>
      </c>
      <c r="CF146" s="79" cm="1">
        <f t="array" ref="CF146">SUMPRODUCT(($B$2:$B$126=3)*(CF$2:CF$126&gt;=23)*(CF$2:CF$126&lt;=27)*(CF$2:CF$126&lt;&gt;"")*($J$2:$J$126))</f>
        <v>131.41</v>
      </c>
      <c r="CG146" s="79" cm="1">
        <f t="array" ref="CG146">SUMPRODUCT(($B$2:$B$126=3)*(CG$2:CG$126&gt;=23)*(CG$2:CG$126&lt;=27)*(CG$2:CG$126&lt;&gt;"")*($J$2:$J$126))</f>
        <v>103.07</v>
      </c>
      <c r="CH146" s="79" cm="1">
        <f t="array" ref="CH146">SUMPRODUCT(($B$2:$B$126=3)*(CH$2:CH$126&gt;=23)*(CH$2:CH$126&lt;=27)*(CH$2:CH$126&lt;&gt;"")*($J$2:$J$126))</f>
        <v>33.39</v>
      </c>
      <c r="CI146" s="79" cm="1">
        <f t="array" ref="CI146">SUMPRODUCT(($B$2:$B$126=3)*(CI$2:CI$126&gt;=23)*(CI$2:CI$126&lt;=27)*(CI$2:CI$126&lt;&gt;"")*($J$2:$J$126))</f>
        <v>143.1</v>
      </c>
      <c r="CJ146" s="79" cm="1">
        <f t="array" ref="CJ146">SUMPRODUCT(($B$2:$B$126=3)*(CJ$2:CJ$126&gt;=23)*(CJ$2:CJ$126&lt;=27)*(CJ$2:CJ$126&lt;&gt;"")*($J$2:$J$126))</f>
        <v>164.53</v>
      </c>
      <c r="CK146" s="79" cm="1">
        <f t="array" ref="CK146">SUMPRODUCT(($B$2:$B$126=3)*(CK$2:CK$126&gt;=23)*(CK$2:CK$126&lt;=27)*(CK$2:CK$126&lt;&gt;"")*($J$2:$J$126))</f>
        <v>164.53</v>
      </c>
      <c r="CL146" s="79" cm="1">
        <f t="array" ref="CL146">SUMPRODUCT(($B$2:$B$126=3)*(CL$2:CL$126&gt;=23)*(CL$2:CL$126&lt;=27)*(CL$2:CL$126&lt;&gt;"")*($J$2:$J$126))</f>
        <v>261.65999999999997</v>
      </c>
      <c r="CM146" s="79" cm="1">
        <f t="array" ref="CM146">SUMPRODUCT(($B$2:$B$126=3)*(CM$2:CM$126&gt;=23)*(CM$2:CM$126&lt;=27)*(CM$2:CM$126&lt;&gt;"")*($J$2:$J$126))</f>
        <v>251.42</v>
      </c>
      <c r="CN146" s="79" cm="1">
        <f t="array" ref="CN146">SUMPRODUCT(($B$2:$B$126=3)*(CN$2:CN$126&gt;=23)*(CN$2:CN$126&lt;=27)*(CN$2:CN$126&lt;&gt;"")*($J$2:$J$126))</f>
        <v>118.56</v>
      </c>
      <c r="CO146" s="79" cm="1">
        <f t="array" ref="CO146">SUMPRODUCT(($B$2:$B$126=3)*(CO$2:CO$126&gt;=23)*(CO$2:CO$126&lt;=27)*(CO$2:CO$126&lt;&gt;"")*($J$2:$J$126))</f>
        <v>97.13</v>
      </c>
      <c r="CP146" s="79" cm="1">
        <f t="array" ref="CP146">SUMPRODUCT(($B$2:$B$126=3)*(CP$2:CP$126&gt;=23)*(CP$2:CP$126&lt;=27)*(CP$2:CP$126&lt;&gt;"")*($J$2:$J$126))</f>
        <v>97.13</v>
      </c>
      <c r="CQ146" s="79" cm="1">
        <f t="array" ref="CQ146">SUMPRODUCT(($B$2:$B$126=3)*(CQ$2:CQ$126&gt;=23)*(CQ$2:CQ$126&lt;=27)*(CQ$2:CQ$126&lt;&gt;"")*($J$2:$J$126))</f>
        <v>0</v>
      </c>
      <c r="CR146" s="79" cm="1">
        <f t="array" ref="CR146">SUMPRODUCT(($B$2:$B$126=3)*(CR$2:CR$126&gt;=23)*(CR$2:CR$126&lt;=27)*(CR$2:CR$126&lt;&gt;"")*($J$2:$J$126))</f>
        <v>0</v>
      </c>
      <c r="CS146" s="79" cm="1">
        <f t="array" ref="CS146">SUMPRODUCT(($B$2:$B$126=3)*(CS$2:CS$126&gt;=23)*(CS$2:CS$126&lt;=27)*(CS$2:CS$126&lt;&gt;"")*($J$2:$J$126))</f>
        <v>0</v>
      </c>
      <c r="CT146" s="79" cm="1">
        <f t="array" ref="CT146">SUMPRODUCT(($B$2:$B$126=3)*(CT$2:CT$126&gt;=23)*(CT$2:CT$126&lt;=27)*(CT$2:CT$126&lt;&gt;"")*($J$2:$J$126))</f>
        <v>0</v>
      </c>
      <c r="CU146" s="79" cm="1">
        <f t="array" ref="CU146">SUMPRODUCT(($B$2:$B$126=3)*(CU$2:CU$126&gt;=23)*(CU$2:CU$126&lt;=27)*(CU$2:CU$126&lt;&gt;"")*($J$2:$J$126))</f>
        <v>0</v>
      </c>
      <c r="CV146" s="79" cm="1">
        <f t="array" ref="CV146">SUMPRODUCT(($B$2:$B$126=3)*(CV$2:CV$126&gt;=23)*(CV$2:CV$126&lt;=27)*(CV$2:CV$126&lt;&gt;"")*($J$2:$J$126))</f>
        <v>0</v>
      </c>
      <c r="CW146" s="79" cm="1">
        <f t="array" ref="CW146">SUMPRODUCT(($B$2:$B$126=3)*(CW$2:CW$126&gt;=23)*(CW$2:CW$126&lt;=27)*(CW$2:CW$126&lt;&gt;"")*($J$2:$J$126))</f>
        <v>0</v>
      </c>
      <c r="CX146" s="79" cm="1">
        <f t="array" ref="CX146">SUMPRODUCT(($B$2:$B$126=3)*(CX$2:CX$126&gt;=23)*(CX$2:CX$126&lt;=27)*(CX$2:CX$126&lt;&gt;"")*($J$2:$J$126))</f>
        <v>0</v>
      </c>
      <c r="CY146" s="79" cm="1">
        <f t="array" ref="CY146">SUMPRODUCT(($B$2:$B$126=3)*(CY$2:CY$126&gt;=23)*(CY$2:CY$126&lt;=27)*(CY$2:CY$126&lt;&gt;"")*($J$2:$J$126))</f>
        <v>0</v>
      </c>
      <c r="CZ146" s="79" cm="1">
        <f t="array" ref="CZ146">SUMPRODUCT(($B$2:$B$126=3)*(CZ$2:CZ$126&gt;=23)*(CZ$2:CZ$126&lt;=27)*(CZ$2:CZ$126&lt;&gt;"")*($J$2:$J$126))</f>
        <v>0</v>
      </c>
      <c r="DA146" s="79" cm="1">
        <f t="array" ref="DA146">SUMPRODUCT(($B$2:$B$126=3)*(DA$2:DA$126&gt;=23)*(DA$2:DA$126&lt;=27)*(DA$2:DA$126&lt;&gt;"")*($J$2:$J$126))</f>
        <v>0</v>
      </c>
      <c r="DB146" s="79" cm="1">
        <f t="array" ref="DB146">SUMPRODUCT(($B$2:$B$126=3)*(DB$2:DB$126&gt;=23)*(DB$2:DB$126&lt;=27)*(DB$2:DB$126&lt;&gt;"")*($J$2:$J$126))</f>
        <v>0</v>
      </c>
      <c r="DC146" s="79" cm="1">
        <f t="array" ref="DC146">SUMPRODUCT(($B$2:$B$126=3)*(DC$2:DC$126&gt;=23)*(DC$2:DC$126&lt;=27)*(DC$2:DC$126&lt;&gt;"")*($J$2:$J$126))</f>
        <v>0</v>
      </c>
      <c r="DD146" s="79" cm="1">
        <f t="array" ref="DD146">SUMPRODUCT(($B$2:$B$126=3)*(DD$2:DD$126&gt;=23)*(DD$2:DD$126&lt;=27)*(DD$2:DD$126&lt;&gt;"")*($J$2:$J$126))</f>
        <v>0</v>
      </c>
      <c r="DE146" s="79" cm="1">
        <f t="array" ref="DE146">SUMPRODUCT(($B$2:$B$126=3)*(DE$2:DE$126&gt;=23)*(DE$2:DE$126&lt;=27)*(DE$2:DE$126&lt;&gt;"")*($J$2:$J$126))</f>
        <v>0</v>
      </c>
      <c r="DF146" s="79" cm="1">
        <f t="array" ref="DF146">SUMPRODUCT(($B$2:$B$126=3)*(DF$2:DF$126&gt;=23)*(DF$2:DF$126&lt;=27)*(DF$2:DF$126&lt;&gt;"")*($J$2:$J$126))</f>
        <v>0</v>
      </c>
      <c r="DG146" s="79" cm="1">
        <f t="array" ref="DG146">SUMPRODUCT(($B$2:$B$126=3)*(DG$2:DG$126&gt;=23)*(DG$2:DG$126&lt;=27)*(DG$2:DG$126&lt;&gt;"")*($J$2:$J$126))</f>
        <v>0</v>
      </c>
      <c r="DH146" s="79" cm="1">
        <f t="array" ref="DH146">SUMPRODUCT(($B$2:$B$126=3)*(DH$2:DH$126&gt;=23)*(DH$2:DH$126&lt;=27)*(DH$2:DH$126&lt;&gt;"")*($J$2:$J$126))</f>
        <v>0</v>
      </c>
      <c r="DI146" s="79" cm="1">
        <f t="array" ref="DI146">SUMPRODUCT(($B$2:$B$126=3)*(DI$2:DI$126&gt;=23)*(DI$2:DI$126&lt;=27)*(DI$2:DI$126&lt;&gt;"")*($J$2:$J$126))</f>
        <v>0</v>
      </c>
      <c r="DJ146" s="79" cm="1">
        <f t="array" ref="DJ146">SUMPRODUCT(($B$2:$B$126=3)*(DJ$2:DJ$126&gt;=23)*(DJ$2:DJ$126&lt;=27)*(DJ$2:DJ$126&lt;&gt;"")*($J$2:$J$126))</f>
        <v>0</v>
      </c>
      <c r="DK146" s="79" cm="1">
        <f t="array" ref="DK146">SUMPRODUCT(($B$2:$B$126=3)*(DK$2:DK$126&gt;=23)*(DK$2:DK$126&lt;=27)*(DK$2:DK$126&lt;&gt;"")*($J$2:$J$126))</f>
        <v>0</v>
      </c>
      <c r="DL146" s="79" cm="1">
        <f t="array" ref="DL146">SUMPRODUCT(($B$2:$B$126=3)*(DL$2:DL$126&gt;=23)*(DL$2:DL$126&lt;=27)*(DL$2:DL$126&lt;&gt;"")*($J$2:$J$126))</f>
        <v>0</v>
      </c>
      <c r="DM146" s="79" cm="1">
        <f t="array" ref="DM146">SUMPRODUCT(($B$2:$B$126=3)*(DM$2:DM$126&gt;=23)*(DM$2:DM$126&lt;=27)*(DM$2:DM$126&lt;&gt;"")*($J$2:$J$126))</f>
        <v>0</v>
      </c>
      <c r="DN146" s="79" cm="1">
        <f t="array" ref="DN146">SUMPRODUCT(($B$2:$B$126=3)*(DN$2:DN$126&gt;=23)*(DN$2:DN$126&lt;=27)*(DN$2:DN$126&lt;&gt;"")*($J$2:$J$126))</f>
        <v>0</v>
      </c>
      <c r="DO146" s="79" cm="1">
        <f t="array" ref="DO146">SUMPRODUCT(($B$2:$B$126=3)*(DO$2:DO$126&gt;=23)*(DO$2:DO$126&lt;=27)*(DO$2:DO$126&lt;&gt;"")*($J$2:$J$126))</f>
        <v>0</v>
      </c>
      <c r="DP146" s="79" cm="1">
        <f t="array" ref="DP146">SUMPRODUCT(($B$2:$B$126=3)*(DP$2:DP$126&gt;=23)*(DP$2:DP$126&lt;=27)*(DP$2:DP$126&lt;&gt;"")*($J$2:$J$126))</f>
        <v>0</v>
      </c>
      <c r="DQ146" s="79" cm="1">
        <f t="array" ref="DQ146">SUMPRODUCT(($B$2:$B$126=3)*(DQ$2:DQ$126&gt;=23)*(DQ$2:DQ$126&lt;=27)*(DQ$2:DQ$126&lt;&gt;"")*($J$2:$J$126))</f>
        <v>0</v>
      </c>
      <c r="DR146" s="79" cm="1">
        <f t="array" ref="DR146">SUMPRODUCT(($B$2:$B$126=3)*(DR$2:DR$126&gt;=23)*(DR$2:DR$126&lt;=27)*(DR$2:DR$126&lt;&gt;"")*($J$2:$J$126))</f>
        <v>0</v>
      </c>
      <c r="DS146" s="79" cm="1">
        <f t="array" ref="DS146">SUMPRODUCT(($B$2:$B$126=3)*(DS$2:DS$126&gt;=23)*(DS$2:DS$126&lt;=27)*(DS$2:DS$126&lt;&gt;"")*($J$2:$J$126))</f>
        <v>0</v>
      </c>
      <c r="DT146" s="79" cm="1">
        <f t="array" ref="DT146">SUMPRODUCT(($B$2:$B$126=3)*(DT$2:DT$126&gt;=23)*(DT$2:DT$126&lt;=27)*(DT$2:DT$126&lt;&gt;"")*($J$2:$J$126))</f>
        <v>0</v>
      </c>
      <c r="DU146" s="79" cm="1">
        <f t="array" ref="DU146">SUMPRODUCT(($B$2:$B$126=3)*(DU$2:DU$126&gt;=23)*(DU$2:DU$126&lt;=27)*(DU$2:DU$126&lt;&gt;"")*($J$2:$J$126))</f>
        <v>0</v>
      </c>
      <c r="DV146" s="79" cm="1">
        <f t="array" ref="DV146">SUMPRODUCT(($B$2:$B$126=3)*(DV$2:DV$126&gt;=23)*(DV$2:DV$126&lt;=27)*(DV$2:DV$126&lt;&gt;"")*($J$2:$J$126))</f>
        <v>0</v>
      </c>
      <c r="DW146" s="79" cm="1">
        <f t="array" ref="DW146">SUMPRODUCT(($B$2:$B$126=3)*(DW$2:DW$126&gt;=23)*(DW$2:DW$126&lt;=27)*(DW$2:DW$126&lt;&gt;"")*($J$2:$J$126))</f>
        <v>0</v>
      </c>
      <c r="DX146" s="79" cm="1">
        <f t="array" ref="DX146">SUMPRODUCT(($B$2:$B$126=3)*(DX$2:DX$126&gt;=23)*(DX$2:DX$126&lt;=27)*(DX$2:DX$126&lt;&gt;"")*($J$2:$J$126))</f>
        <v>0</v>
      </c>
      <c r="DY146" s="79" cm="1">
        <f t="array" ref="DY146">SUMPRODUCT(($B$2:$B$126=3)*(DY$2:DY$126&gt;=23)*(DY$2:DY$126&lt;=27)*(DY$2:DY$126&lt;&gt;"")*($J$2:$J$126))</f>
        <v>0</v>
      </c>
      <c r="DZ146" s="79" cm="1">
        <f t="array" ref="DZ146">SUMPRODUCT(($B$2:$B$126=3)*(DZ$2:DZ$126&gt;=23)*(DZ$2:DZ$126&lt;=27)*(DZ$2:DZ$126&lt;&gt;"")*($J$2:$J$126))</f>
        <v>0</v>
      </c>
      <c r="EA146" s="79" cm="1">
        <f t="array" ref="EA146">SUMPRODUCT(($B$2:$B$126=3)*(EA$2:EA$126&gt;=23)*(EA$2:EA$126&lt;=27)*(EA$2:EA$126&lt;&gt;"")*($J$2:$J$126))</f>
        <v>0</v>
      </c>
      <c r="EB146" s="79" cm="1">
        <f t="array" ref="EB146">SUMPRODUCT(($B$2:$B$126=3)*(EB$2:EB$126&gt;=23)*(EB$2:EB$126&lt;=27)*(EB$2:EB$126&lt;&gt;"")*($J$2:$J$126))</f>
        <v>0</v>
      </c>
      <c r="EC146" s="79" cm="1">
        <f t="array" ref="EC146">SUMPRODUCT(($B$2:$B$126=3)*(EC$2:EC$126&gt;=23)*(EC$2:EC$126&lt;=27)*(EC$2:EC$126&lt;&gt;"")*($J$2:$J$126))</f>
        <v>0</v>
      </c>
      <c r="ED146" s="79" cm="1">
        <f t="array" ref="ED146">SUMPRODUCT(($B$2:$B$126=3)*(ED$2:ED$126&gt;=23)*(ED$2:ED$126&lt;=27)*(ED$2:ED$126&lt;&gt;"")*($J$2:$J$126))</f>
        <v>0</v>
      </c>
      <c r="EE146" s="79" cm="1">
        <f t="array" ref="EE146">SUMPRODUCT(($B$2:$B$126=3)*(EE$2:EE$126&gt;=23)*(EE$2:EE$126&lt;=27)*(EE$2:EE$126&lt;&gt;"")*($J$2:$J$126))</f>
        <v>0</v>
      </c>
      <c r="EF146" s="79" cm="1">
        <f t="array" ref="EF146">SUMPRODUCT(($B$2:$B$126=3)*(EF$2:EF$126&gt;=23)*(EF$2:EF$126&lt;=27)*(EF$2:EF$126&lt;&gt;"")*($J$2:$J$126))</f>
        <v>0</v>
      </c>
      <c r="EG146" s="79" cm="1">
        <f t="array" ref="EG146">SUMPRODUCT(($B$2:$B$126=3)*(EG$2:EG$126&gt;=23)*(EG$2:EG$126&lt;=27)*(EG$2:EG$126&lt;&gt;"")*($J$2:$J$126))</f>
        <v>0</v>
      </c>
      <c r="EH146" s="79" cm="1">
        <f t="array" ref="EH146">SUMPRODUCT(($B$2:$B$126=3)*(EH$2:EH$126&gt;=23)*(EH$2:EH$126&lt;=27)*(EH$2:EH$126&lt;&gt;"")*($J$2:$J$126))</f>
        <v>0</v>
      </c>
      <c r="EI146" s="79" cm="1">
        <f t="array" ref="EI146">SUMPRODUCT(($B$2:$B$126=3)*(EI$2:EI$126&gt;=23)*(EI$2:EI$126&lt;=27)*(EI$2:EI$126&lt;&gt;"")*($J$2:$J$126))</f>
        <v>0</v>
      </c>
      <c r="EJ146" s="79" cm="1">
        <f t="array" ref="EJ146">SUMPRODUCT(($B$2:$B$126=3)*(EJ$2:EJ$126&gt;=23)*(EJ$2:EJ$126&lt;=27)*(EJ$2:EJ$126&lt;&gt;"")*($J$2:$J$126))</f>
        <v>0</v>
      </c>
      <c r="EK146" s="79" cm="1">
        <f t="array" ref="EK146">SUMPRODUCT(($B$2:$B$126=3)*(EK$2:EK$126&gt;=23)*(EK$2:EK$126&lt;=27)*(EK$2:EK$126&lt;&gt;"")*($J$2:$J$126))</f>
        <v>0</v>
      </c>
      <c r="EL146" s="79" cm="1">
        <f t="array" ref="EL146">SUMPRODUCT(($B$2:$B$126=3)*(EL$2:EL$126&gt;=23)*(EL$2:EL$126&lt;=27)*(EL$2:EL$126&lt;&gt;"")*($J$2:$J$126))</f>
        <v>0</v>
      </c>
      <c r="EM146" s="79" cm="1">
        <f t="array" ref="EM146">SUMPRODUCT(($B$2:$B$126=3)*(EM$2:EM$126&gt;=23)*(EM$2:EM$126&lt;=27)*(EM$2:EM$126&lt;&gt;"")*($J$2:$J$126))</f>
        <v>0</v>
      </c>
      <c r="EN146" s="79" cm="1">
        <f t="array" ref="EN146">SUMPRODUCT(($B$2:$B$126=3)*(EN$2:EN$126&gt;=23)*(EN$2:EN$126&lt;=27)*(EN$2:EN$126&lt;&gt;"")*($J$2:$J$126))</f>
        <v>0</v>
      </c>
      <c r="EO146" s="79" cm="1">
        <f t="array" ref="EO146">SUMPRODUCT(($B$2:$B$126=3)*(EO$2:EO$126&gt;=23)*(EO$2:EO$126&lt;=27)*(EO$2:EO$126&lt;&gt;"")*($J$2:$J$126))</f>
        <v>0</v>
      </c>
      <c r="EP146" s="79" cm="1">
        <f t="array" ref="EP146">SUMPRODUCT(($B$2:$B$126=3)*(EP$2:EP$126&gt;=23)*(EP$2:EP$126&lt;=27)*(EP$2:EP$126&lt;&gt;"")*($J$2:$J$126))</f>
        <v>0</v>
      </c>
      <c r="EQ146" s="79" cm="1">
        <f t="array" ref="EQ146">SUMPRODUCT(($B$2:$B$126=3)*(EQ$2:EQ$126&gt;=23)*(EQ$2:EQ$126&lt;=27)*(EQ$2:EQ$126&lt;&gt;"")*($J$2:$J$126))</f>
        <v>0</v>
      </c>
      <c r="ER146" s="79" cm="1">
        <f t="array" ref="ER146">SUMPRODUCT(($B$2:$B$126=3)*(ER$2:ER$126&gt;=23)*(ER$2:ER$126&lt;=27)*(ER$2:ER$126&lt;&gt;"")*($J$2:$J$126))</f>
        <v>0</v>
      </c>
      <c r="ES146" s="79" cm="1">
        <f t="array" ref="ES146">SUMPRODUCT(($B$2:$B$126=3)*(ES$2:ES$126&gt;=23)*(ES$2:ES$126&lt;=27)*(ES$2:ES$126&lt;&gt;"")*($J$2:$J$126))</f>
        <v>0</v>
      </c>
      <c r="ET146" s="79" cm="1">
        <f t="array" ref="ET146">SUMPRODUCT(($B$2:$B$126=3)*(ET$2:ET$126&gt;=23)*(ET$2:ET$126&lt;=27)*(ET$2:ET$126&lt;&gt;"")*($J$2:$J$126))</f>
        <v>0</v>
      </c>
      <c r="EU146" s="79" cm="1">
        <f t="array" ref="EU146">SUMPRODUCT(($B$2:$B$126=3)*(EU$2:EU$126&gt;=23)*(EU$2:EU$126&lt;=27)*(EU$2:EU$126&lt;&gt;"")*($J$2:$J$126))</f>
        <v>0</v>
      </c>
      <c r="EV146" s="79" cm="1">
        <f t="array" ref="EV146">SUMPRODUCT(($B$2:$B$126=3)*(EV$2:EV$126&gt;=23)*(EV$2:EV$126&lt;=27)*(EV$2:EV$126&lt;&gt;"")*($J$2:$J$126))</f>
        <v>0</v>
      </c>
      <c r="EW146" s="79" cm="1">
        <f t="array" ref="EW146">SUMPRODUCT(($B$2:$B$126=3)*(EW$2:EW$126&gt;=23)*(EW$2:EW$126&lt;=27)*(EW$2:EW$126&lt;&gt;"")*($J$2:$J$126))</f>
        <v>0</v>
      </c>
      <c r="EX146" s="79" cm="1">
        <f t="array" ref="EX146">SUMPRODUCT(($B$2:$B$126=3)*(EX$2:EX$126&gt;=23)*(EX$2:EX$126&lt;=27)*(EX$2:EX$126&lt;&gt;"")*($J$2:$J$126))</f>
        <v>0</v>
      </c>
      <c r="EY146" s="79" cm="1">
        <f t="array" ref="EY146">SUMPRODUCT(($B$2:$B$126=3)*(EY$2:EY$126&gt;=23)*(EY$2:EY$126&lt;=27)*(EY$2:EY$126&lt;&gt;"")*($J$2:$J$126))</f>
        <v>0</v>
      </c>
      <c r="EZ146" s="79" cm="1">
        <f t="array" ref="EZ146">SUMPRODUCT(($B$2:$B$126=3)*(EZ$2:EZ$126&gt;=23)*(EZ$2:EZ$126&lt;=27)*(EZ$2:EZ$126&lt;&gt;"")*($J$2:$J$126))</f>
        <v>0</v>
      </c>
      <c r="FA146" s="79" cm="1">
        <f t="array" ref="FA146">SUMPRODUCT(($B$2:$B$126=3)*(FA$2:FA$126&gt;=23)*(FA$2:FA$126&lt;=27)*(FA$2:FA$126&lt;&gt;"")*($J$2:$J$126))</f>
        <v>0</v>
      </c>
      <c r="FB146" s="79" cm="1">
        <f t="array" ref="FB146">SUMPRODUCT(($B$2:$B$126=3)*(FB$2:FB$126&gt;=23)*(FB$2:FB$126&lt;=27)*(FB$2:FB$126&lt;&gt;"")*($J$2:$J$126))</f>
        <v>0</v>
      </c>
      <c r="FC146" s="79" cm="1">
        <f t="array" ref="FC146">SUMPRODUCT(($B$2:$B$126=3)*(FC$2:FC$126&gt;=23)*(FC$2:FC$126&lt;=27)*(FC$2:FC$126&lt;&gt;"")*($J$2:$J$126))</f>
        <v>0</v>
      </c>
      <c r="FD146" s="79" cm="1">
        <f t="array" ref="FD146">SUMPRODUCT(($B$2:$B$126=3)*(FD$2:FD$126&gt;=23)*(FD$2:FD$126&lt;=27)*(FD$2:FD$126&lt;&gt;"")*($J$2:$J$126))</f>
        <v>0</v>
      </c>
      <c r="FE146" s="79" cm="1">
        <f t="array" ref="FE146">SUMPRODUCT(($B$2:$B$126=3)*(FE$2:FE$126&gt;=23)*(FE$2:FE$126&lt;=27)*(FE$2:FE$126&lt;&gt;"")*($J$2:$J$126))</f>
        <v>0</v>
      </c>
      <c r="FF146" s="79" cm="1">
        <f t="array" ref="FF146">SUMPRODUCT(($B$2:$B$126=3)*(FF$2:FF$126&gt;=23)*(FF$2:FF$126&lt;=27)*(FF$2:FF$126&lt;&gt;"")*($J$2:$J$126))</f>
        <v>0</v>
      </c>
      <c r="FG146" s="79" cm="1">
        <f t="array" ref="FG146">SUMPRODUCT(($B$2:$B$126=3)*(FG$2:FG$126&gt;=23)*(FG$2:FG$126&lt;=27)*(FG$2:FG$126&lt;&gt;"")*($J$2:$J$126))</f>
        <v>0</v>
      </c>
      <c r="FH146" s="79" cm="1">
        <f t="array" ref="FH146">SUMPRODUCT(($B$2:$B$126=3)*(FH$2:FH$126&gt;=23)*(FH$2:FH$126&lt;=27)*(FH$2:FH$126&lt;&gt;"")*($J$2:$J$126))</f>
        <v>0</v>
      </c>
      <c r="FI146" s="79" cm="1">
        <f t="array" ref="FI146">SUMPRODUCT(($B$2:$B$126=3)*(FI$2:FI$126&gt;=23)*(FI$2:FI$126&lt;=27)*(FI$2:FI$126&lt;&gt;"")*($J$2:$J$126))</f>
        <v>0</v>
      </c>
      <c r="FJ146" s="79" cm="1">
        <f t="array" ref="FJ146">SUMPRODUCT(($B$2:$B$126=3)*(FJ$2:FJ$126&gt;=23)*(FJ$2:FJ$126&lt;=27)*(FJ$2:FJ$126&lt;&gt;"")*($J$2:$J$126))</f>
        <v>0</v>
      </c>
      <c r="FK146" s="79" cm="1">
        <f t="array" ref="FK146">SUMPRODUCT(($B$2:$B$126=3)*(FK$2:FK$126&gt;=23)*(FK$2:FK$126&lt;=27)*(FK$2:FK$126&lt;&gt;"")*($J$2:$J$126))</f>
        <v>0</v>
      </c>
      <c r="FL146" s="79" cm="1">
        <f t="array" ref="FL146">SUMPRODUCT(($B$2:$B$126=3)*(FL$2:FL$126&gt;=23)*(FL$2:FL$126&lt;=27)*(FL$2:FL$126&lt;&gt;"")*($J$2:$J$126))</f>
        <v>0</v>
      </c>
      <c r="FM146" s="79" cm="1">
        <f t="array" ref="FM146">SUMPRODUCT(($B$2:$B$126=3)*(FM$2:FM$126&gt;=23)*(FM$2:FM$126&lt;=27)*(FM$2:FM$126&lt;&gt;"")*($J$2:$J$126))</f>
        <v>0</v>
      </c>
      <c r="FN146" s="79" cm="1">
        <f t="array" ref="FN146">SUMPRODUCT(($B$2:$B$126=3)*(FN$2:FN$126&gt;=23)*(FN$2:FN$126&lt;=27)*(FN$2:FN$126&lt;&gt;"")*($J$2:$J$126))</f>
        <v>0</v>
      </c>
      <c r="FO146" s="79" cm="1">
        <f t="array" ref="FO146">SUMPRODUCT(($B$2:$B$126=3)*(FO$2:FO$126&gt;=23)*(FO$2:FO$126&lt;=27)*(FO$2:FO$126&lt;&gt;"")*($J$2:$J$126))</f>
        <v>0</v>
      </c>
      <c r="FP146" s="79" cm="1">
        <f t="array" ref="FP146">SUMPRODUCT(($B$2:$B$126=3)*(FP$2:FP$126&gt;=23)*(FP$2:FP$126&lt;=27)*(FP$2:FP$126&lt;&gt;"")*($J$2:$J$126))</f>
        <v>0</v>
      </c>
      <c r="FQ146" s="79" cm="1">
        <f t="array" ref="FQ146">SUMPRODUCT(($B$2:$B$126=3)*(FQ$2:FQ$126&gt;=23)*(FQ$2:FQ$126&lt;=27)*(FQ$2:FQ$126&lt;&gt;"")*($J$2:$J$126))</f>
        <v>0</v>
      </c>
      <c r="FR146" s="79" cm="1">
        <f t="array" ref="FR146">SUMPRODUCT(($B$2:$B$126=3)*(FR$2:FR$126&gt;=23)*(FR$2:FR$126&lt;=27)*(FR$2:FR$126&lt;&gt;"")*($J$2:$J$126))</f>
        <v>0</v>
      </c>
      <c r="FS146" s="79" cm="1">
        <f t="array" ref="FS146">SUMPRODUCT(($B$2:$B$126=3)*(FS$2:FS$126&gt;=23)*(FS$2:FS$126&lt;=27)*(FS$2:FS$126&lt;&gt;"")*($J$2:$J$126))</f>
        <v>0</v>
      </c>
      <c r="FT146" s="79" cm="1">
        <f t="array" ref="FT146">SUMPRODUCT(($B$2:$B$126=3)*(FT$2:FT$126&gt;=23)*(FT$2:FT$126&lt;=27)*(FT$2:FT$126&lt;&gt;"")*($J$2:$J$126))</f>
        <v>0</v>
      </c>
      <c r="FU146" s="79" cm="1">
        <f t="array" ref="FU146">SUMPRODUCT(($B$2:$B$126=3)*(FU$2:FU$126&gt;=23)*(FU$2:FU$126&lt;=27)*(FU$2:FU$126&lt;&gt;"")*($J$2:$J$126))</f>
        <v>0</v>
      </c>
      <c r="FV146" s="79" cm="1">
        <f t="array" ref="FV146">SUMPRODUCT(($B$2:$B$126=3)*(FV$2:FV$126&gt;=23)*(FV$2:FV$126&lt;=27)*(FV$2:FV$126&lt;&gt;"")*($J$2:$J$126))</f>
        <v>0</v>
      </c>
      <c r="FW146" s="79" cm="1">
        <f t="array" ref="FW146">SUMPRODUCT(($B$2:$B$126=3)*(FW$2:FW$126&gt;=23)*(FW$2:FW$126&lt;=27)*(FW$2:FW$126&lt;&gt;"")*($J$2:$J$126))</f>
        <v>0</v>
      </c>
      <c r="FX146" s="79" cm="1">
        <f t="array" ref="FX146">SUMPRODUCT(($B$2:$B$126=3)*(FX$2:FX$126&gt;=23)*(FX$2:FX$126&lt;=27)*(FX$2:FX$126&lt;&gt;"")*($J$2:$J$126))</f>
        <v>0</v>
      </c>
      <c r="FY146" s="79" cm="1">
        <f t="array" ref="FY146">SUMPRODUCT(($B$2:$B$126=3)*(FY$2:FY$126&gt;=23)*(FY$2:FY$126&lt;=27)*(FY$2:FY$126&lt;&gt;"")*($J$2:$J$126))</f>
        <v>0</v>
      </c>
      <c r="FZ146" s="79" cm="1">
        <f t="array" ref="FZ146">SUMPRODUCT(($B$2:$B$126=3)*(FZ$2:FZ$126&gt;=23)*(FZ$2:FZ$126&lt;=27)*(FZ$2:FZ$126&lt;&gt;"")*($J$2:$J$126))</f>
        <v>0</v>
      </c>
      <c r="GA146" s="79" cm="1">
        <f t="array" ref="GA146">SUMPRODUCT(($B$2:$B$126=3)*(GA$2:GA$126&gt;=23)*(GA$2:GA$126&lt;=27)*(GA$2:GA$126&lt;&gt;"")*($J$2:$J$126))</f>
        <v>0</v>
      </c>
      <c r="GB146" s="79" cm="1">
        <f t="array" ref="GB146">SUMPRODUCT(($B$2:$B$126=3)*(GB$2:GB$126&gt;=23)*(GB$2:GB$126&lt;=27)*(GB$2:GB$126&lt;&gt;"")*($J$2:$J$126))</f>
        <v>0</v>
      </c>
      <c r="GC146" s="79" cm="1">
        <f t="array" ref="GC146">SUMPRODUCT(($B$2:$B$126=3)*(GC$2:GC$126&gt;=23)*(GC$2:GC$126&lt;=27)*(GC$2:GC$126&lt;&gt;"")*($J$2:$J$126))</f>
        <v>0</v>
      </c>
      <c r="GD146" s="79" cm="1">
        <f t="array" ref="GD146">SUMPRODUCT(($B$2:$B$126=3)*(GD$2:GD$126&gt;=23)*(GD$2:GD$126&lt;=27)*(GD$2:GD$126&lt;&gt;"")*($J$2:$J$126))</f>
        <v>0</v>
      </c>
      <c r="GE146" s="79" cm="1">
        <f t="array" ref="GE146">SUMPRODUCT(($B$2:$B$126=3)*(GE$2:GE$126&gt;=23)*(GE$2:GE$126&lt;=27)*(GE$2:GE$126&lt;&gt;"")*($J$2:$J$126))</f>
        <v>0</v>
      </c>
      <c r="GF146" s="79" cm="1">
        <f t="array" ref="GF146">SUMPRODUCT(($B$2:$B$126=3)*(GF$2:GF$126&gt;=23)*(GF$2:GF$126&lt;=27)*(GF$2:GF$126&lt;&gt;"")*($J$2:$J$126))</f>
        <v>0</v>
      </c>
      <c r="GG146" s="79" cm="1">
        <f t="array" ref="GG146">SUMPRODUCT(($B$2:$B$126=3)*(GG$2:GG$126&gt;=23)*(GG$2:GG$126&lt;=27)*(GG$2:GG$126&lt;&gt;"")*($J$2:$J$126))</f>
        <v>0</v>
      </c>
      <c r="GH146" s="79" cm="1">
        <f t="array" ref="GH146">SUMPRODUCT(($B$2:$B$126=3)*(GH$2:GH$126&gt;=23)*(GH$2:GH$126&lt;=27)*(GH$2:GH$126&lt;&gt;"")*($J$2:$J$126))</f>
        <v>0</v>
      </c>
      <c r="GI146" s="79" cm="1">
        <f t="array" ref="GI146">SUMPRODUCT(($B$2:$B$126=3)*(GI$2:GI$126&gt;=23)*(GI$2:GI$126&lt;=27)*(GI$2:GI$126&lt;&gt;"")*($J$2:$J$126))</f>
        <v>0</v>
      </c>
      <c r="GJ146" s="79" cm="1">
        <f t="array" ref="GJ146">SUMPRODUCT(($B$2:$B$126=3)*(GJ$2:GJ$126&gt;=23)*(GJ$2:GJ$126&lt;=27)*(GJ$2:GJ$126&lt;&gt;"")*($J$2:$J$126))</f>
        <v>0</v>
      </c>
      <c r="GK146" s="79" cm="1">
        <f t="array" ref="GK146">SUMPRODUCT(($B$2:$B$126=3)*(GK$2:GK$126&gt;=23)*(GK$2:GK$126&lt;=27)*(GK$2:GK$126&lt;&gt;"")*($J$2:$J$126))</f>
        <v>0</v>
      </c>
      <c r="GL146" s="79" cm="1">
        <f t="array" ref="GL146">SUMPRODUCT(($B$2:$B$126=3)*(GL$2:GL$126&gt;=23)*(GL$2:GL$126&lt;=27)*(GL$2:GL$126&lt;&gt;"")*($J$2:$J$126))</f>
        <v>0</v>
      </c>
      <c r="GM146" s="79" cm="1">
        <f t="array" ref="GM146">SUMPRODUCT(($B$2:$B$126=3)*(GM$2:GM$126&gt;=23)*(GM$2:GM$126&lt;=27)*(GM$2:GM$126&lt;&gt;"")*($J$2:$J$126))</f>
        <v>0</v>
      </c>
      <c r="GN146" s="79" cm="1">
        <f t="array" ref="GN146">SUMPRODUCT(($B$2:$B$126=3)*(GN$2:GN$126&gt;=23)*(GN$2:GN$126&lt;=27)*(GN$2:GN$126&lt;&gt;"")*($J$2:$J$126))</f>
        <v>0</v>
      </c>
      <c r="GO146" s="79" cm="1">
        <f t="array" ref="GO146">SUMPRODUCT(($B$2:$B$126=3)*(GO$2:GO$126&gt;=23)*(GO$2:GO$126&lt;=27)*(GO$2:GO$126&lt;&gt;"")*($J$2:$J$126))</f>
        <v>0</v>
      </c>
      <c r="GP146" s="79" cm="1">
        <f t="array" ref="GP146">SUMPRODUCT(($B$2:$B$126=3)*(GP$2:GP$126&gt;=23)*(GP$2:GP$126&lt;=27)*(GP$2:GP$126&lt;&gt;"")*($J$2:$J$126))</f>
        <v>0</v>
      </c>
      <c r="GQ146" s="79" cm="1">
        <f t="array" ref="GQ146">SUMPRODUCT(($B$2:$B$126=3)*(GQ$2:GQ$126&gt;=23)*(GQ$2:GQ$126&lt;=27)*(GQ$2:GQ$126&lt;&gt;"")*($J$2:$J$126))</f>
        <v>0</v>
      </c>
      <c r="GR146" s="79" cm="1">
        <f t="array" ref="GR146">SUMPRODUCT(($B$2:$B$126=3)*(GR$2:GR$126&gt;=23)*(GR$2:GR$126&lt;=27)*(GR$2:GR$126&lt;&gt;"")*($J$2:$J$126))</f>
        <v>0</v>
      </c>
      <c r="GS146" s="79" cm="1">
        <f t="array" ref="GS146">SUMPRODUCT(($B$2:$B$126=3)*(GS$2:GS$126&gt;=23)*(GS$2:GS$126&lt;=27)*(GS$2:GS$126&lt;&gt;"")*($J$2:$J$126))</f>
        <v>0</v>
      </c>
      <c r="GT146" s="79" cm="1">
        <f t="array" ref="GT146">SUMPRODUCT(($B$2:$B$126=3)*(GT$2:GT$126&gt;=23)*(GT$2:GT$126&lt;=27)*(GT$2:GT$126&lt;&gt;"")*($J$2:$J$126))</f>
        <v>0</v>
      </c>
      <c r="GU146" s="79" cm="1">
        <f t="array" ref="GU146">SUMPRODUCT(($B$2:$B$126=3)*(GU$2:GU$126&gt;=23)*(GU$2:GU$126&lt;=27)*(GU$2:GU$126&lt;&gt;"")*($J$2:$J$126))</f>
        <v>0</v>
      </c>
      <c r="GV146" s="79" cm="1">
        <f t="array" ref="GV146">SUMPRODUCT(($B$2:$B$126=3)*(GV$2:GV$126&gt;=23)*(GV$2:GV$126&lt;=27)*(GV$2:GV$126&lt;&gt;"")*($J$2:$J$126))</f>
        <v>0</v>
      </c>
      <c r="GW146" s="79" cm="1">
        <f t="array" ref="GW146">SUMPRODUCT(($B$2:$B$126=3)*(GW$2:GW$126&gt;=23)*(GW$2:GW$126&lt;=27)*(GW$2:GW$126&lt;&gt;"")*($J$2:$J$126))</f>
        <v>0</v>
      </c>
      <c r="GX146" s="79" cm="1">
        <f t="array" ref="GX146">SUMPRODUCT(($B$2:$B$126=3)*(GX$2:GX$126&gt;=23)*(GX$2:GX$126&lt;=27)*(GX$2:GX$126&lt;&gt;"")*($J$2:$J$126))</f>
        <v>0</v>
      </c>
    </row>
    <row r="147" spans="1:206" x14ac:dyDescent="0.2">
      <c r="A147" s="84">
        <v>3</v>
      </c>
      <c r="B147" s="84" t="s">
        <v>259</v>
      </c>
      <c r="W147" s="79" cm="1">
        <f t="array" ref="W147">SUMPRODUCT(($B$2:$B$126=3)*(W$2:W$126&gt;=28)*(W$2:W$126&lt;=999)*(W$2:W$126&lt;&gt;"")*($J$2:$J$126))</f>
        <v>11.94</v>
      </c>
      <c r="X147" s="79" cm="1">
        <f t="array" ref="X147">SUMPRODUCT(($B$2:$B$126=3)*(X$2:X$126&gt;=28)*(X$2:X$126&lt;=999)*(X$2:X$126&lt;&gt;"")*($J$2:$J$126))</f>
        <v>11.94</v>
      </c>
      <c r="Y147" s="79" cm="1">
        <f t="array" ref="Y147">SUMPRODUCT(($B$2:$B$126=3)*(Y$2:Y$126&gt;=28)*(Y$2:Y$126&lt;=999)*(Y$2:Y$126&lt;&gt;"")*($J$2:$J$126))</f>
        <v>11.94</v>
      </c>
      <c r="Z147" s="79" cm="1">
        <f t="array" ref="Z147">SUMPRODUCT(($B$2:$B$126=3)*(Z$2:Z$126&gt;=28)*(Z$2:Z$126&lt;=999)*(Z$2:Z$126&lt;&gt;"")*($J$2:$J$126))</f>
        <v>11.94</v>
      </c>
      <c r="AA147" s="79" cm="1">
        <f t="array" ref="AA147">SUMPRODUCT(($B$2:$B$126=3)*(AA$2:AA$126&gt;=28)*(AA$2:AA$126&lt;=999)*(AA$2:AA$126&lt;&gt;"")*($J$2:$J$126))</f>
        <v>11.94</v>
      </c>
      <c r="AB147" s="79" cm="1">
        <f t="array" ref="AB147">SUMPRODUCT(($B$2:$B$126=3)*(AB$2:AB$126&gt;=28)*(AB$2:AB$126&lt;=999)*(AB$2:AB$126&lt;&gt;"")*($J$2:$J$126))</f>
        <v>11.94</v>
      </c>
      <c r="AC147" s="79" cm="1">
        <f t="array" ref="AC147">SUMPRODUCT(($B$2:$B$126=3)*(AC$2:AC$126&gt;=28)*(AC$2:AC$126&lt;=999)*(AC$2:AC$126&lt;&gt;"")*($J$2:$J$126))</f>
        <v>0</v>
      </c>
      <c r="AD147" s="79" cm="1">
        <f t="array" ref="AD147">SUMPRODUCT(($B$2:$B$126=3)*(AD$2:AD$126&gt;=28)*(AD$2:AD$126&lt;=999)*(AD$2:AD$126&lt;&gt;"")*($J$2:$J$126))</f>
        <v>0</v>
      </c>
      <c r="AE147" s="79" cm="1">
        <f t="array" ref="AE147">SUMPRODUCT(($B$2:$B$126=3)*(AE$2:AE$126&gt;=28)*(AE$2:AE$126&lt;=999)*(AE$2:AE$126&lt;&gt;"")*($J$2:$J$126))</f>
        <v>0</v>
      </c>
      <c r="AF147" s="79" cm="1">
        <f t="array" ref="AF147">SUMPRODUCT(($B$2:$B$126=3)*(AF$2:AF$126&gt;=28)*(AF$2:AF$126&lt;=999)*(AF$2:AF$126&lt;&gt;"")*($J$2:$J$126))</f>
        <v>0</v>
      </c>
      <c r="AG147" s="79" cm="1">
        <f t="array" ref="AG147">SUMPRODUCT(($B$2:$B$126=3)*(AG$2:AG$126&gt;=28)*(AG$2:AG$126&lt;=999)*(AG$2:AG$126&lt;&gt;"")*($J$2:$J$126))</f>
        <v>0</v>
      </c>
      <c r="AH147" s="79" cm="1">
        <f t="array" ref="AH147">SUMPRODUCT(($B$2:$B$126=3)*(AH$2:AH$126&gt;=28)*(AH$2:AH$126&lt;=999)*(AH$2:AH$126&lt;&gt;"")*($J$2:$J$126))</f>
        <v>0</v>
      </c>
      <c r="AI147" s="79" cm="1">
        <f t="array" ref="AI147">SUMPRODUCT(($B$2:$B$126=3)*(AI$2:AI$126&gt;=28)*(AI$2:AI$126&lt;=999)*(AI$2:AI$126&lt;&gt;"")*($J$2:$J$126))</f>
        <v>0</v>
      </c>
      <c r="AJ147" s="79" cm="1">
        <f t="array" ref="AJ147">SUMPRODUCT(($B$2:$B$126=3)*(AJ$2:AJ$126&gt;=28)*(AJ$2:AJ$126&lt;=999)*(AJ$2:AJ$126&lt;&gt;"")*($J$2:$J$126))</f>
        <v>0</v>
      </c>
      <c r="AK147" s="79" cm="1">
        <f t="array" ref="AK147">SUMPRODUCT(($B$2:$B$126=3)*(AK$2:AK$126&gt;=28)*(AK$2:AK$126&lt;=999)*(AK$2:AK$126&lt;&gt;"")*($J$2:$J$126))</f>
        <v>0</v>
      </c>
      <c r="AL147" s="79" cm="1">
        <f t="array" ref="AL147">SUMPRODUCT(($B$2:$B$126=3)*(AL$2:AL$126&gt;=28)*(AL$2:AL$126&lt;=999)*(AL$2:AL$126&lt;&gt;"")*($J$2:$J$126))</f>
        <v>0</v>
      </c>
      <c r="AM147" s="79" cm="1">
        <f t="array" ref="AM147">SUMPRODUCT(($B$2:$B$126=3)*(AM$2:AM$126&gt;=28)*(AM$2:AM$126&lt;=999)*(AM$2:AM$126&lt;&gt;"")*($J$2:$J$126))</f>
        <v>0</v>
      </c>
      <c r="AN147" s="79" cm="1">
        <f t="array" ref="AN147">SUMPRODUCT(($B$2:$B$126=3)*(AN$2:AN$126&gt;=28)*(AN$2:AN$126&lt;=999)*(AN$2:AN$126&lt;&gt;"")*($J$2:$J$126))</f>
        <v>0</v>
      </c>
      <c r="AO147" s="79" cm="1">
        <f t="array" ref="AO147">SUMPRODUCT(($B$2:$B$126=3)*(AO$2:AO$126&gt;=28)*(AO$2:AO$126&lt;=999)*(AO$2:AO$126&lt;&gt;"")*($J$2:$J$126))</f>
        <v>0</v>
      </c>
      <c r="AP147" s="79" cm="1">
        <f t="array" ref="AP147">SUMPRODUCT(($B$2:$B$126=3)*(AP$2:AP$126&gt;=28)*(AP$2:AP$126&lt;=999)*(AP$2:AP$126&lt;&gt;"")*($J$2:$J$126))</f>
        <v>0</v>
      </c>
      <c r="AQ147" s="79" cm="1">
        <f t="array" ref="AQ147">SUMPRODUCT(($B$2:$B$126=3)*(AQ$2:AQ$126&gt;=28)*(AQ$2:AQ$126&lt;=999)*(AQ$2:AQ$126&lt;&gt;"")*($J$2:$J$126))</f>
        <v>0</v>
      </c>
      <c r="AR147" s="79" cm="1">
        <f t="array" ref="AR147">SUMPRODUCT(($B$2:$B$126=3)*(AR$2:AR$126&gt;=28)*(AR$2:AR$126&lt;=999)*(AR$2:AR$126&lt;&gt;"")*($J$2:$J$126))</f>
        <v>0</v>
      </c>
      <c r="AS147" s="79" cm="1">
        <f t="array" ref="AS147">SUMPRODUCT(($B$2:$B$126=3)*(AS$2:AS$126&gt;=28)*(AS$2:AS$126&lt;=999)*(AS$2:AS$126&lt;&gt;"")*($J$2:$J$126))</f>
        <v>0</v>
      </c>
      <c r="AT147" s="79" cm="1">
        <f t="array" ref="AT147">SUMPRODUCT(($B$2:$B$126=3)*(AT$2:AT$126&gt;=28)*(AT$2:AT$126&lt;=999)*(AT$2:AT$126&lt;&gt;"")*($J$2:$J$126))</f>
        <v>0</v>
      </c>
      <c r="AU147" s="79" cm="1">
        <f t="array" ref="AU147">SUMPRODUCT(($B$2:$B$126=3)*(AU$2:AU$126&gt;=28)*(AU$2:AU$126&lt;=999)*(AU$2:AU$126&lt;&gt;"")*($J$2:$J$126))</f>
        <v>0</v>
      </c>
      <c r="AV147" s="79" cm="1">
        <f t="array" ref="AV147">SUMPRODUCT(($B$2:$B$126=3)*(AV$2:AV$126&gt;=28)*(AV$2:AV$126&lt;=999)*(AV$2:AV$126&lt;&gt;"")*($J$2:$J$126))</f>
        <v>0</v>
      </c>
      <c r="AW147" s="79" cm="1">
        <f t="array" ref="AW147">SUMPRODUCT(($B$2:$B$126=3)*(AW$2:AW$126&gt;=28)*(AW$2:AW$126&lt;=999)*(AW$2:AW$126&lt;&gt;"")*($J$2:$J$126))</f>
        <v>0</v>
      </c>
      <c r="AX147" s="79" cm="1">
        <f t="array" ref="AX147">SUMPRODUCT(($B$2:$B$126=3)*(AX$2:AX$126&gt;=28)*(AX$2:AX$126&lt;=999)*(AX$2:AX$126&lt;&gt;"")*($J$2:$J$126))</f>
        <v>0</v>
      </c>
      <c r="AY147" s="79" cm="1">
        <f t="array" ref="AY147">SUMPRODUCT(($B$2:$B$126=3)*(AY$2:AY$126&gt;=28)*(AY$2:AY$126&lt;=999)*(AY$2:AY$126&lt;&gt;"")*($J$2:$J$126))</f>
        <v>0</v>
      </c>
      <c r="AZ147" s="79" cm="1">
        <f t="array" ref="AZ147">SUMPRODUCT(($B$2:$B$126=3)*(AZ$2:AZ$126&gt;=28)*(AZ$2:AZ$126&lt;=999)*(AZ$2:AZ$126&lt;&gt;"")*($J$2:$J$126))</f>
        <v>0</v>
      </c>
      <c r="BA147" s="79" cm="1">
        <f t="array" ref="BA147">SUMPRODUCT(($B$2:$B$126=3)*(BA$2:BA$126&gt;=28)*(BA$2:BA$126&lt;=999)*(BA$2:BA$126&lt;&gt;"")*($J$2:$J$126))</f>
        <v>0</v>
      </c>
      <c r="BB147" s="79" cm="1">
        <f t="array" ref="BB147">SUMPRODUCT(($B$2:$B$126=3)*(BB$2:BB$126&gt;=28)*(BB$2:BB$126&lt;=999)*(BB$2:BB$126&lt;&gt;"")*($J$2:$J$126))</f>
        <v>0</v>
      </c>
      <c r="BC147" s="79" cm="1">
        <f t="array" ref="BC147">SUMPRODUCT(($B$2:$B$126=3)*(BC$2:BC$126&gt;=28)*(BC$2:BC$126&lt;=999)*(BC$2:BC$126&lt;&gt;"")*($J$2:$J$126))</f>
        <v>0</v>
      </c>
      <c r="BD147" s="79" cm="1">
        <f t="array" ref="BD147">SUMPRODUCT(($B$2:$B$126=3)*(BD$2:BD$126&gt;=28)*(BD$2:BD$126&lt;=999)*(BD$2:BD$126&lt;&gt;"")*($J$2:$J$126))</f>
        <v>0</v>
      </c>
      <c r="BE147" s="79" cm="1">
        <f t="array" ref="BE147">SUMPRODUCT(($B$2:$B$126=3)*(BE$2:BE$126&gt;=28)*(BE$2:BE$126&lt;=999)*(BE$2:BE$126&lt;&gt;"")*($J$2:$J$126))</f>
        <v>0</v>
      </c>
      <c r="BF147" s="79" cm="1">
        <f t="array" ref="BF147">SUMPRODUCT(($B$2:$B$126=3)*(BF$2:BF$126&gt;=28)*(BF$2:BF$126&lt;=999)*(BF$2:BF$126&lt;&gt;"")*($J$2:$J$126))</f>
        <v>0</v>
      </c>
      <c r="BG147" s="79" cm="1">
        <f t="array" ref="BG147">SUMPRODUCT(($B$2:$B$126=3)*(BG$2:BG$126&gt;=28)*(BG$2:BG$126&lt;=999)*(BG$2:BG$126&lt;&gt;"")*($J$2:$J$126))</f>
        <v>0</v>
      </c>
      <c r="BH147" s="79" cm="1">
        <f t="array" ref="BH147">SUMPRODUCT(($B$2:$B$126=3)*(BH$2:BH$126&gt;=28)*(BH$2:BH$126&lt;=999)*(BH$2:BH$126&lt;&gt;"")*($J$2:$J$126))</f>
        <v>21.43</v>
      </c>
      <c r="BI147" s="79" cm="1">
        <f t="array" ref="BI147">SUMPRODUCT(($B$2:$B$126=3)*(BI$2:BI$126&gt;=28)*(BI$2:BI$126&lt;=999)*(BI$2:BI$126&lt;&gt;"")*($J$2:$J$126))</f>
        <v>21.43</v>
      </c>
      <c r="BJ147" s="79" cm="1">
        <f t="array" ref="BJ147">SUMPRODUCT(($B$2:$B$126=3)*(BJ$2:BJ$126&gt;=28)*(BJ$2:BJ$126&lt;=999)*(BJ$2:BJ$126&lt;&gt;"")*($J$2:$J$126))</f>
        <v>21.43</v>
      </c>
      <c r="BK147" s="79" cm="1">
        <f t="array" ref="BK147">SUMPRODUCT(($B$2:$B$126=3)*(BK$2:BK$126&gt;=28)*(BK$2:BK$126&lt;=999)*(BK$2:BK$126&lt;&gt;"")*($J$2:$J$126))</f>
        <v>21.43</v>
      </c>
      <c r="BL147" s="79" cm="1">
        <f t="array" ref="BL147">SUMPRODUCT(($B$2:$B$126=3)*(BL$2:BL$126&gt;=28)*(BL$2:BL$126&lt;=999)*(BL$2:BL$126&lt;&gt;"")*($J$2:$J$126))</f>
        <v>21.43</v>
      </c>
      <c r="BM147" s="79" cm="1">
        <f t="array" ref="BM147">SUMPRODUCT(($B$2:$B$126=3)*(BM$2:BM$126&gt;=28)*(BM$2:BM$126&lt;=999)*(BM$2:BM$126&lt;&gt;"")*($J$2:$J$126))</f>
        <v>0</v>
      </c>
      <c r="BN147" s="79" cm="1">
        <f t="array" ref="BN147">SUMPRODUCT(($B$2:$B$126=3)*(BN$2:BN$126&gt;=28)*(BN$2:BN$126&lt;=999)*(BN$2:BN$126&lt;&gt;"")*($J$2:$J$126))</f>
        <v>0</v>
      </c>
      <c r="BO147" s="79" cm="1">
        <f t="array" ref="BO147">SUMPRODUCT(($B$2:$B$126=3)*(BO$2:BO$126&gt;=28)*(BO$2:BO$126&lt;=999)*(BO$2:BO$126&lt;&gt;"")*($J$2:$J$126))</f>
        <v>0</v>
      </c>
      <c r="BP147" s="79" cm="1">
        <f t="array" ref="BP147">SUMPRODUCT(($B$2:$B$126=3)*(BP$2:BP$126&gt;=28)*(BP$2:BP$126&lt;=999)*(BP$2:BP$126&lt;&gt;"")*($J$2:$J$126))</f>
        <v>0</v>
      </c>
      <c r="BQ147" s="79" cm="1">
        <f t="array" ref="BQ147">SUMPRODUCT(($B$2:$B$126=3)*(BQ$2:BQ$126&gt;=28)*(BQ$2:BQ$126&lt;=999)*(BQ$2:BQ$126&lt;&gt;"")*($J$2:$J$126))</f>
        <v>0</v>
      </c>
      <c r="BR147" s="79" cm="1">
        <f t="array" ref="BR147">SUMPRODUCT(($B$2:$B$126=3)*(BR$2:BR$126&gt;=28)*(BR$2:BR$126&lt;=999)*(BR$2:BR$126&lt;&gt;"")*($J$2:$J$126))</f>
        <v>0</v>
      </c>
      <c r="BS147" s="79" cm="1">
        <f t="array" ref="BS147">SUMPRODUCT(($B$2:$B$126=3)*(BS$2:BS$126&gt;=28)*(BS$2:BS$126&lt;=999)*(BS$2:BS$126&lt;&gt;"")*($J$2:$J$126))</f>
        <v>0</v>
      </c>
      <c r="BT147" s="79" cm="1">
        <f t="array" ref="BT147">SUMPRODUCT(($B$2:$B$126=3)*(BT$2:BT$126&gt;=28)*(BT$2:BT$126&lt;=999)*(BT$2:BT$126&lt;&gt;"")*($J$2:$J$126))</f>
        <v>0</v>
      </c>
      <c r="BU147" s="79" cm="1">
        <f t="array" ref="BU147">SUMPRODUCT(($B$2:$B$126=3)*(BU$2:BU$126&gt;=28)*(BU$2:BU$126&lt;=999)*(BU$2:BU$126&lt;&gt;"")*($J$2:$J$126))</f>
        <v>0</v>
      </c>
      <c r="BV147" s="79" cm="1">
        <f t="array" ref="BV147">SUMPRODUCT(($B$2:$B$126=3)*(BV$2:BV$126&gt;=28)*(BV$2:BV$126&lt;=999)*(BV$2:BV$126&lt;&gt;"")*($J$2:$J$126))</f>
        <v>40.909999999999997</v>
      </c>
      <c r="BW147" s="79" cm="1">
        <f t="array" ref="BW147">SUMPRODUCT(($B$2:$B$126=3)*(BW$2:BW$126&gt;=28)*(BW$2:BW$126&lt;=999)*(BW$2:BW$126&lt;&gt;"")*($J$2:$J$126))</f>
        <v>40.909999999999997</v>
      </c>
      <c r="BX147" s="79" cm="1">
        <f t="array" ref="BX147">SUMPRODUCT(($B$2:$B$126=3)*(BX$2:BX$126&gt;=28)*(BX$2:BX$126&lt;=999)*(BX$2:BX$126&lt;&gt;"")*($J$2:$J$126))</f>
        <v>40.909999999999997</v>
      </c>
      <c r="BY147" s="79" cm="1">
        <f t="array" ref="BY147">SUMPRODUCT(($B$2:$B$126=3)*(BY$2:BY$126&gt;=28)*(BY$2:BY$126&lt;=999)*(BY$2:BY$126&lt;&gt;"")*($J$2:$J$126))</f>
        <v>40.909999999999997</v>
      </c>
      <c r="BZ147" s="79" cm="1">
        <f t="array" ref="BZ147">SUMPRODUCT(($B$2:$B$126=3)*(BZ$2:BZ$126&gt;=28)*(BZ$2:BZ$126&lt;=999)*(BZ$2:BZ$126&lt;&gt;"")*($J$2:$J$126))</f>
        <v>57.89</v>
      </c>
      <c r="CA147" s="79" cm="1">
        <f t="array" ref="CA147">SUMPRODUCT(($B$2:$B$126=3)*(CA$2:CA$126&gt;=28)*(CA$2:CA$126&lt;=999)*(CA$2:CA$126&lt;&gt;"")*($J$2:$J$126))</f>
        <v>106.67999999999999</v>
      </c>
      <c r="CB147" s="79" cm="1">
        <f t="array" ref="CB147">SUMPRODUCT(($B$2:$B$126=3)*(CB$2:CB$126&gt;=28)*(CB$2:CB$126&lt;=999)*(CB$2:CB$126&lt;&gt;"")*($J$2:$J$126))</f>
        <v>145.69</v>
      </c>
      <c r="CC147" s="79" cm="1">
        <f t="array" ref="CC147">SUMPRODUCT(($B$2:$B$126=3)*(CC$2:CC$126&gt;=28)*(CC$2:CC$126&lt;=999)*(CC$2:CC$126&lt;&gt;"")*($J$2:$J$126))</f>
        <v>145.69</v>
      </c>
      <c r="CD147" s="79" cm="1">
        <f t="array" ref="CD147">SUMPRODUCT(($B$2:$B$126=3)*(CD$2:CD$126&gt;=28)*(CD$2:CD$126&lt;=999)*(CD$2:CD$126&lt;&gt;"")*($J$2:$J$126))</f>
        <v>145.69</v>
      </c>
      <c r="CE147" s="79" cm="1">
        <f t="array" ref="CE147">SUMPRODUCT(($B$2:$B$126=3)*(CE$2:CE$126&gt;=28)*(CE$2:CE$126&lt;=999)*(CE$2:CE$126&lt;&gt;"")*($J$2:$J$126))</f>
        <v>145.69</v>
      </c>
      <c r="CF147" s="79" cm="1">
        <f t="array" ref="CF147">SUMPRODUCT(($B$2:$B$126=3)*(CF$2:CF$126&gt;=28)*(CF$2:CF$126&lt;=999)*(CF$2:CF$126&lt;&gt;"")*($J$2:$J$126))</f>
        <v>145.69</v>
      </c>
      <c r="CG147" s="79" cm="1">
        <f t="array" ref="CG147">SUMPRODUCT(($B$2:$B$126=3)*(CG$2:CG$126&gt;=28)*(CG$2:CG$126&lt;=999)*(CG$2:CG$126&lt;&gt;"")*($J$2:$J$126))</f>
        <v>174.03</v>
      </c>
      <c r="CH147" s="79" cm="1">
        <f t="array" ref="CH147">SUMPRODUCT(($B$2:$B$126=3)*(CH$2:CH$126&gt;=28)*(CH$2:CH$126&lt;=999)*(CH$2:CH$126&lt;&gt;"")*($J$2:$J$126))</f>
        <v>253.94999999999996</v>
      </c>
      <c r="CI147" s="79" cm="1">
        <f t="array" ref="CI147">SUMPRODUCT(($B$2:$B$126=3)*(CI$2:CI$126&gt;=28)*(CI$2:CI$126&lt;=999)*(CI$2:CI$126&lt;&gt;"")*($J$2:$J$126))</f>
        <v>277.09999999999997</v>
      </c>
      <c r="CJ147" s="79" cm="1">
        <f t="array" ref="CJ147">SUMPRODUCT(($B$2:$B$126=3)*(CJ$2:CJ$126&gt;=28)*(CJ$2:CJ$126&lt;=999)*(CJ$2:CJ$126&lt;&gt;"")*($J$2:$J$126))</f>
        <v>277.09999999999997</v>
      </c>
      <c r="CK147" s="79" cm="1">
        <f t="array" ref="CK147">SUMPRODUCT(($B$2:$B$126=3)*(CK$2:CK$126&gt;=28)*(CK$2:CK$126&lt;=999)*(CK$2:CK$126&lt;&gt;"")*($J$2:$J$126))</f>
        <v>277.09999999999997</v>
      </c>
      <c r="CL147" s="79" cm="1">
        <f t="array" ref="CL147">SUMPRODUCT(($B$2:$B$126=3)*(CL$2:CL$126&gt;=28)*(CL$2:CL$126&lt;=999)*(CL$2:CL$126&lt;&gt;"")*($J$2:$J$126))</f>
        <v>277.09999999999997</v>
      </c>
      <c r="CM147" s="79" cm="1">
        <f t="array" ref="CM147">SUMPRODUCT(($B$2:$B$126=3)*(CM$2:CM$126&gt;=28)*(CM$2:CM$126&lt;=999)*(CM$2:CM$126&lt;&gt;"")*($J$2:$J$126))</f>
        <v>287.33999999999997</v>
      </c>
      <c r="CN147" s="79" cm="1">
        <f t="array" ref="CN147">SUMPRODUCT(($B$2:$B$126=3)*(CN$2:CN$126&gt;=28)*(CN$2:CN$126&lt;=999)*(CN$2:CN$126&lt;&gt;"")*($J$2:$J$126))</f>
        <v>420.2</v>
      </c>
      <c r="CO147" s="79" cm="1">
        <f t="array" ref="CO147">SUMPRODUCT(($B$2:$B$126=3)*(CO$2:CO$126&gt;=28)*(CO$2:CO$126&lt;=999)*(CO$2:CO$126&lt;&gt;"")*($J$2:$J$126))</f>
        <v>441.63</v>
      </c>
      <c r="CP147" s="79" cm="1">
        <f t="array" ref="CP147">SUMPRODUCT(($B$2:$B$126=3)*(CP$2:CP$126&gt;=28)*(CP$2:CP$126&lt;=999)*(CP$2:CP$126&lt;&gt;"")*($J$2:$J$126))</f>
        <v>441.63</v>
      </c>
      <c r="CQ147" s="79" cm="1">
        <f t="array" ref="CQ147">SUMPRODUCT(($B$2:$B$126=3)*(CQ$2:CQ$126&gt;=28)*(CQ$2:CQ$126&lt;=999)*(CQ$2:CQ$126&lt;&gt;"")*($J$2:$J$126))</f>
        <v>538.76</v>
      </c>
      <c r="CR147" s="79" cm="1">
        <f t="array" ref="CR147">SUMPRODUCT(($B$2:$B$126=3)*(CR$2:CR$126&gt;=28)*(CR$2:CR$126&lt;=999)*(CR$2:CR$126&lt;&gt;"")*($J$2:$J$126))</f>
        <v>538.76</v>
      </c>
      <c r="CS147" s="79" cm="1">
        <f t="array" ref="CS147">SUMPRODUCT(($B$2:$B$126=3)*(CS$2:CS$126&gt;=28)*(CS$2:CS$126&lt;=999)*(CS$2:CS$126&lt;&gt;"")*($J$2:$J$126))</f>
        <v>538.76</v>
      </c>
      <c r="CT147" s="79" cm="1">
        <f t="array" ref="CT147">SUMPRODUCT(($B$2:$B$126=3)*(CT$2:CT$126&gt;=28)*(CT$2:CT$126&lt;=999)*(CT$2:CT$126&lt;&gt;"")*($J$2:$J$126))</f>
        <v>538.76</v>
      </c>
      <c r="CU147" s="79" cm="1">
        <f t="array" ref="CU147">SUMPRODUCT(($B$2:$B$126=3)*(CU$2:CU$126&gt;=28)*(CU$2:CU$126&lt;=999)*(CU$2:CU$126&lt;&gt;"")*($J$2:$J$126))</f>
        <v>538.76</v>
      </c>
      <c r="CV147" s="79" cm="1">
        <f t="array" ref="CV147">SUMPRODUCT(($B$2:$B$126=3)*(CV$2:CV$126&gt;=28)*(CV$2:CV$126&lt;=999)*(CV$2:CV$126&lt;&gt;"")*($J$2:$J$126))</f>
        <v>538.76</v>
      </c>
      <c r="CW147" s="79" cm="1">
        <f t="array" ref="CW147">SUMPRODUCT(($B$2:$B$126=3)*(CW$2:CW$126&gt;=28)*(CW$2:CW$126&lt;=999)*(CW$2:CW$126&lt;&gt;"")*($J$2:$J$126))</f>
        <v>538.76</v>
      </c>
      <c r="CX147" s="79" cm="1">
        <f t="array" ref="CX147">SUMPRODUCT(($B$2:$B$126=3)*(CX$2:CX$126&gt;=28)*(CX$2:CX$126&lt;=999)*(CX$2:CX$126&lt;&gt;"")*($J$2:$J$126))</f>
        <v>538.76</v>
      </c>
      <c r="CY147" s="79" cm="1">
        <f t="array" ref="CY147">SUMPRODUCT(($B$2:$B$126=3)*(CY$2:CY$126&gt;=28)*(CY$2:CY$126&lt;=999)*(CY$2:CY$126&lt;&gt;"")*($J$2:$J$126))</f>
        <v>538.76</v>
      </c>
      <c r="CZ147" s="79" cm="1">
        <f t="array" ref="CZ147">SUMPRODUCT(($B$2:$B$126=3)*(CZ$2:CZ$126&gt;=28)*(CZ$2:CZ$126&lt;=999)*(CZ$2:CZ$126&lt;&gt;"")*($J$2:$J$126))</f>
        <v>538.76</v>
      </c>
      <c r="DA147" s="79" cm="1">
        <f t="array" ref="DA147">SUMPRODUCT(($B$2:$B$126=3)*(DA$2:DA$126&gt;=28)*(DA$2:DA$126&lt;=999)*(DA$2:DA$126&lt;&gt;"")*($J$2:$J$126))</f>
        <v>538.76</v>
      </c>
      <c r="DB147" s="79" cm="1">
        <f t="array" ref="DB147">SUMPRODUCT(($B$2:$B$126=3)*(DB$2:DB$126&gt;=28)*(DB$2:DB$126&lt;=999)*(DB$2:DB$126&lt;&gt;"")*($J$2:$J$126))</f>
        <v>538.76</v>
      </c>
      <c r="DC147" s="79" cm="1">
        <f t="array" ref="DC147">SUMPRODUCT(($B$2:$B$126=3)*(DC$2:DC$126&gt;=28)*(DC$2:DC$126&lt;=999)*(DC$2:DC$126&lt;&gt;"")*($J$2:$J$126))</f>
        <v>538.76</v>
      </c>
      <c r="DD147" s="79" cm="1">
        <f t="array" ref="DD147">SUMPRODUCT(($B$2:$B$126=3)*(DD$2:DD$126&gt;=28)*(DD$2:DD$126&lt;=999)*(DD$2:DD$126&lt;&gt;"")*($J$2:$J$126))</f>
        <v>538.76</v>
      </c>
      <c r="DE147" s="79" cm="1">
        <f t="array" ref="DE147">SUMPRODUCT(($B$2:$B$126=3)*(DE$2:DE$126&gt;=28)*(DE$2:DE$126&lt;=999)*(DE$2:DE$126&lt;&gt;"")*($J$2:$J$126))</f>
        <v>538.76</v>
      </c>
      <c r="DF147" s="79" cm="1">
        <f t="array" ref="DF147">SUMPRODUCT(($B$2:$B$126=3)*(DF$2:DF$126&gt;=28)*(DF$2:DF$126&lt;=999)*(DF$2:DF$126&lt;&gt;"")*($J$2:$J$126))</f>
        <v>538.76</v>
      </c>
      <c r="DG147" s="79" cm="1">
        <f t="array" ref="DG147">SUMPRODUCT(($B$2:$B$126=3)*(DG$2:DG$126&gt;=28)*(DG$2:DG$126&lt;=999)*(DG$2:DG$126&lt;&gt;"")*($J$2:$J$126))</f>
        <v>538.76</v>
      </c>
      <c r="DH147" s="79" cm="1">
        <f t="array" ref="DH147">SUMPRODUCT(($B$2:$B$126=3)*(DH$2:DH$126&gt;=28)*(DH$2:DH$126&lt;=999)*(DH$2:DH$126&lt;&gt;"")*($J$2:$J$126))</f>
        <v>538.76</v>
      </c>
      <c r="DI147" s="79" cm="1">
        <f t="array" ref="DI147">SUMPRODUCT(($B$2:$B$126=3)*(DI$2:DI$126&gt;=28)*(DI$2:DI$126&lt;=999)*(DI$2:DI$126&lt;&gt;"")*($J$2:$J$126))</f>
        <v>538.76</v>
      </c>
      <c r="DJ147" s="79" cm="1">
        <f t="array" ref="DJ147">SUMPRODUCT(($B$2:$B$126=3)*(DJ$2:DJ$126&gt;=28)*(DJ$2:DJ$126&lt;=999)*(DJ$2:DJ$126&lt;&gt;"")*($J$2:$J$126))</f>
        <v>538.76</v>
      </c>
      <c r="DK147" s="79" cm="1">
        <f t="array" ref="DK147">SUMPRODUCT(($B$2:$B$126=3)*(DK$2:DK$126&gt;=28)*(DK$2:DK$126&lt;=999)*(DK$2:DK$126&lt;&gt;"")*($J$2:$J$126))</f>
        <v>538.76</v>
      </c>
      <c r="DL147" s="79" cm="1">
        <f t="array" ref="DL147">SUMPRODUCT(($B$2:$B$126=3)*(DL$2:DL$126&gt;=28)*(DL$2:DL$126&lt;=999)*(DL$2:DL$126&lt;&gt;"")*($J$2:$J$126))</f>
        <v>538.76</v>
      </c>
      <c r="DM147" s="79" cm="1">
        <f t="array" ref="DM147">SUMPRODUCT(($B$2:$B$126=3)*(DM$2:DM$126&gt;=28)*(DM$2:DM$126&lt;=999)*(DM$2:DM$126&lt;&gt;"")*($J$2:$J$126))</f>
        <v>538.76</v>
      </c>
      <c r="DN147" s="79" cm="1">
        <f t="array" ref="DN147">SUMPRODUCT(($B$2:$B$126=3)*(DN$2:DN$126&gt;=28)*(DN$2:DN$126&lt;=999)*(DN$2:DN$126&lt;&gt;"")*($J$2:$J$126))</f>
        <v>538.76</v>
      </c>
      <c r="DO147" s="79" cm="1">
        <f t="array" ref="DO147">SUMPRODUCT(($B$2:$B$126=3)*(DO$2:DO$126&gt;=28)*(DO$2:DO$126&lt;=999)*(DO$2:DO$126&lt;&gt;"")*($J$2:$J$126))</f>
        <v>538.76</v>
      </c>
      <c r="DP147" s="79" cm="1">
        <f t="array" ref="DP147">SUMPRODUCT(($B$2:$B$126=3)*(DP$2:DP$126&gt;=28)*(DP$2:DP$126&lt;=999)*(DP$2:DP$126&lt;&gt;"")*($J$2:$J$126))</f>
        <v>538.76</v>
      </c>
      <c r="DQ147" s="79" cm="1">
        <f t="array" ref="DQ147">SUMPRODUCT(($B$2:$B$126=3)*(DQ$2:DQ$126&gt;=28)*(DQ$2:DQ$126&lt;=999)*(DQ$2:DQ$126&lt;&gt;"")*($J$2:$J$126))</f>
        <v>538.76</v>
      </c>
      <c r="DR147" s="79" cm="1">
        <f t="array" ref="DR147">SUMPRODUCT(($B$2:$B$126=3)*(DR$2:DR$126&gt;=28)*(DR$2:DR$126&lt;=999)*(DR$2:DR$126&lt;&gt;"")*($J$2:$J$126))</f>
        <v>538.76</v>
      </c>
      <c r="DS147" s="79" cm="1">
        <f t="array" ref="DS147">SUMPRODUCT(($B$2:$B$126=3)*(DS$2:DS$126&gt;=28)*(DS$2:DS$126&lt;=999)*(DS$2:DS$126&lt;&gt;"")*($J$2:$J$126))</f>
        <v>538.76</v>
      </c>
      <c r="DT147" s="79" cm="1">
        <f t="array" ref="DT147">SUMPRODUCT(($B$2:$B$126=3)*(DT$2:DT$126&gt;=28)*(DT$2:DT$126&lt;=999)*(DT$2:DT$126&lt;&gt;"")*($J$2:$J$126))</f>
        <v>538.76</v>
      </c>
      <c r="DU147" s="79" cm="1">
        <f t="array" ref="DU147">SUMPRODUCT(($B$2:$B$126=3)*(DU$2:DU$126&gt;=28)*(DU$2:DU$126&lt;=999)*(DU$2:DU$126&lt;&gt;"")*($J$2:$J$126))</f>
        <v>538.76</v>
      </c>
      <c r="DV147" s="79" cm="1">
        <f t="array" ref="DV147">SUMPRODUCT(($B$2:$B$126=3)*(DV$2:DV$126&gt;=28)*(DV$2:DV$126&lt;=999)*(DV$2:DV$126&lt;&gt;"")*($J$2:$J$126))</f>
        <v>538.76</v>
      </c>
      <c r="DW147" s="79" cm="1">
        <f t="array" ref="DW147">SUMPRODUCT(($B$2:$B$126=3)*(DW$2:DW$126&gt;=28)*(DW$2:DW$126&lt;=999)*(DW$2:DW$126&lt;&gt;"")*($J$2:$J$126))</f>
        <v>538.76</v>
      </c>
      <c r="DX147" s="79" cm="1">
        <f t="array" ref="DX147">SUMPRODUCT(($B$2:$B$126=3)*(DX$2:DX$126&gt;=28)*(DX$2:DX$126&lt;=999)*(DX$2:DX$126&lt;&gt;"")*($J$2:$J$126))</f>
        <v>538.76</v>
      </c>
      <c r="DY147" s="79" cm="1">
        <f t="array" ref="DY147">SUMPRODUCT(($B$2:$B$126=3)*(DY$2:DY$126&gt;=28)*(DY$2:DY$126&lt;=999)*(DY$2:DY$126&lt;&gt;"")*($J$2:$J$126))</f>
        <v>538.76</v>
      </c>
      <c r="DZ147" s="79" cm="1">
        <f t="array" ref="DZ147">SUMPRODUCT(($B$2:$B$126=3)*(DZ$2:DZ$126&gt;=28)*(DZ$2:DZ$126&lt;=999)*(DZ$2:DZ$126&lt;&gt;"")*($J$2:$J$126))</f>
        <v>538.76</v>
      </c>
      <c r="EA147" s="79" cm="1">
        <f t="array" ref="EA147">SUMPRODUCT(($B$2:$B$126=3)*(EA$2:EA$126&gt;=28)*(EA$2:EA$126&lt;=999)*(EA$2:EA$126&lt;&gt;"")*($J$2:$J$126))</f>
        <v>538.76</v>
      </c>
      <c r="EB147" s="79" cm="1">
        <f t="array" ref="EB147">SUMPRODUCT(($B$2:$B$126=3)*(EB$2:EB$126&gt;=28)*(EB$2:EB$126&lt;=999)*(EB$2:EB$126&lt;&gt;"")*($J$2:$J$126))</f>
        <v>538.76</v>
      </c>
      <c r="EC147" s="79" cm="1">
        <f t="array" ref="EC147">SUMPRODUCT(($B$2:$B$126=3)*(EC$2:EC$126&gt;=28)*(EC$2:EC$126&lt;=999)*(EC$2:EC$126&lt;&gt;"")*($J$2:$J$126))</f>
        <v>538.76</v>
      </c>
      <c r="ED147" s="79" cm="1">
        <f t="array" ref="ED147">SUMPRODUCT(($B$2:$B$126=3)*(ED$2:ED$126&gt;=28)*(ED$2:ED$126&lt;=999)*(ED$2:ED$126&lt;&gt;"")*($J$2:$J$126))</f>
        <v>538.76</v>
      </c>
      <c r="EE147" s="79" cm="1">
        <f t="array" ref="EE147">SUMPRODUCT(($B$2:$B$126=3)*(EE$2:EE$126&gt;=28)*(EE$2:EE$126&lt;=999)*(EE$2:EE$126&lt;&gt;"")*($J$2:$J$126))</f>
        <v>538.76</v>
      </c>
      <c r="EF147" s="79" cm="1">
        <f t="array" ref="EF147">SUMPRODUCT(($B$2:$B$126=3)*(EF$2:EF$126&gt;=28)*(EF$2:EF$126&lt;=999)*(EF$2:EF$126&lt;&gt;"")*($J$2:$J$126))</f>
        <v>538.76</v>
      </c>
      <c r="EG147" s="79" cm="1">
        <f t="array" ref="EG147">SUMPRODUCT(($B$2:$B$126=3)*(EG$2:EG$126&gt;=28)*(EG$2:EG$126&lt;=999)*(EG$2:EG$126&lt;&gt;"")*($J$2:$J$126))</f>
        <v>538.76</v>
      </c>
      <c r="EH147" s="79" cm="1">
        <f t="array" ref="EH147">SUMPRODUCT(($B$2:$B$126=3)*(EH$2:EH$126&gt;=28)*(EH$2:EH$126&lt;=999)*(EH$2:EH$126&lt;&gt;"")*($J$2:$J$126))</f>
        <v>538.76</v>
      </c>
      <c r="EI147" s="79" cm="1">
        <f t="array" ref="EI147">SUMPRODUCT(($B$2:$B$126=3)*(EI$2:EI$126&gt;=28)*(EI$2:EI$126&lt;=999)*(EI$2:EI$126&lt;&gt;"")*($J$2:$J$126))</f>
        <v>538.76</v>
      </c>
      <c r="EJ147" s="79" cm="1">
        <f t="array" ref="EJ147">SUMPRODUCT(($B$2:$B$126=3)*(EJ$2:EJ$126&gt;=28)*(EJ$2:EJ$126&lt;=999)*(EJ$2:EJ$126&lt;&gt;"")*($J$2:$J$126))</f>
        <v>538.76</v>
      </c>
      <c r="EK147" s="79" cm="1">
        <f t="array" ref="EK147">SUMPRODUCT(($B$2:$B$126=3)*(EK$2:EK$126&gt;=28)*(EK$2:EK$126&lt;=999)*(EK$2:EK$126&lt;&gt;"")*($J$2:$J$126))</f>
        <v>538.76</v>
      </c>
      <c r="EL147" s="79" cm="1">
        <f t="array" ref="EL147">SUMPRODUCT(($B$2:$B$126=3)*(EL$2:EL$126&gt;=28)*(EL$2:EL$126&lt;=999)*(EL$2:EL$126&lt;&gt;"")*($J$2:$J$126))</f>
        <v>538.76</v>
      </c>
      <c r="EM147" s="79" cm="1">
        <f t="array" ref="EM147">SUMPRODUCT(($B$2:$B$126=3)*(EM$2:EM$126&gt;=28)*(EM$2:EM$126&lt;=999)*(EM$2:EM$126&lt;&gt;"")*($J$2:$J$126))</f>
        <v>538.76</v>
      </c>
      <c r="EN147" s="79" cm="1">
        <f t="array" ref="EN147">SUMPRODUCT(($B$2:$B$126=3)*(EN$2:EN$126&gt;=28)*(EN$2:EN$126&lt;=999)*(EN$2:EN$126&lt;&gt;"")*($J$2:$J$126))</f>
        <v>538.76</v>
      </c>
      <c r="EO147" s="79" cm="1">
        <f t="array" ref="EO147">SUMPRODUCT(($B$2:$B$126=3)*(EO$2:EO$126&gt;=28)*(EO$2:EO$126&lt;=999)*(EO$2:EO$126&lt;&gt;"")*($J$2:$J$126))</f>
        <v>538.76</v>
      </c>
      <c r="EP147" s="79" cm="1">
        <f t="array" ref="EP147">SUMPRODUCT(($B$2:$B$126=3)*(EP$2:EP$126&gt;=28)*(EP$2:EP$126&lt;=999)*(EP$2:EP$126&lt;&gt;"")*($J$2:$J$126))</f>
        <v>538.76</v>
      </c>
      <c r="EQ147" s="79" cm="1">
        <f t="array" ref="EQ147">SUMPRODUCT(($B$2:$B$126=3)*(EQ$2:EQ$126&gt;=28)*(EQ$2:EQ$126&lt;=999)*(EQ$2:EQ$126&lt;&gt;"")*($J$2:$J$126))</f>
        <v>538.76</v>
      </c>
      <c r="ER147" s="79" cm="1">
        <f t="array" ref="ER147">SUMPRODUCT(($B$2:$B$126=3)*(ER$2:ER$126&gt;=28)*(ER$2:ER$126&lt;=999)*(ER$2:ER$126&lt;&gt;"")*($J$2:$J$126))</f>
        <v>538.76</v>
      </c>
      <c r="ES147" s="79" cm="1">
        <f t="array" ref="ES147">SUMPRODUCT(($B$2:$B$126=3)*(ES$2:ES$126&gt;=28)*(ES$2:ES$126&lt;=999)*(ES$2:ES$126&lt;&gt;"")*($J$2:$J$126))</f>
        <v>538.76</v>
      </c>
      <c r="ET147" s="79" cm="1">
        <f t="array" ref="ET147">SUMPRODUCT(($B$2:$B$126=3)*(ET$2:ET$126&gt;=28)*(ET$2:ET$126&lt;=999)*(ET$2:ET$126&lt;&gt;"")*($J$2:$J$126))</f>
        <v>538.76</v>
      </c>
      <c r="EU147" s="79" cm="1">
        <f t="array" ref="EU147">SUMPRODUCT(($B$2:$B$126=3)*(EU$2:EU$126&gt;=28)*(EU$2:EU$126&lt;=999)*(EU$2:EU$126&lt;&gt;"")*($J$2:$J$126))</f>
        <v>538.76</v>
      </c>
      <c r="EV147" s="79" cm="1">
        <f t="array" ref="EV147">SUMPRODUCT(($B$2:$B$126=3)*(EV$2:EV$126&gt;=28)*(EV$2:EV$126&lt;=999)*(EV$2:EV$126&lt;&gt;"")*($J$2:$J$126))</f>
        <v>538.76</v>
      </c>
      <c r="EW147" s="79" cm="1">
        <f t="array" ref="EW147">SUMPRODUCT(($B$2:$B$126=3)*(EW$2:EW$126&gt;=28)*(EW$2:EW$126&lt;=999)*(EW$2:EW$126&lt;&gt;"")*($J$2:$J$126))</f>
        <v>538.76</v>
      </c>
      <c r="EX147" s="79" cm="1">
        <f t="array" ref="EX147">SUMPRODUCT(($B$2:$B$126=3)*(EX$2:EX$126&gt;=28)*(EX$2:EX$126&lt;=999)*(EX$2:EX$126&lt;&gt;"")*($J$2:$J$126))</f>
        <v>538.76</v>
      </c>
      <c r="EY147" s="79" cm="1">
        <f t="array" ref="EY147">SUMPRODUCT(($B$2:$B$126=3)*(EY$2:EY$126&gt;=28)*(EY$2:EY$126&lt;=999)*(EY$2:EY$126&lt;&gt;"")*($J$2:$J$126))</f>
        <v>538.76</v>
      </c>
      <c r="EZ147" s="79" cm="1">
        <f t="array" ref="EZ147">SUMPRODUCT(($B$2:$B$126=3)*(EZ$2:EZ$126&gt;=28)*(EZ$2:EZ$126&lt;=999)*(EZ$2:EZ$126&lt;&gt;"")*($J$2:$J$126))</f>
        <v>538.76</v>
      </c>
      <c r="FA147" s="79" cm="1">
        <f t="array" ref="FA147">SUMPRODUCT(($B$2:$B$126=3)*(FA$2:FA$126&gt;=28)*(FA$2:FA$126&lt;=999)*(FA$2:FA$126&lt;&gt;"")*($J$2:$J$126))</f>
        <v>538.76</v>
      </c>
      <c r="FB147" s="79" cm="1">
        <f t="array" ref="FB147">SUMPRODUCT(($B$2:$B$126=3)*(FB$2:FB$126&gt;=28)*(FB$2:FB$126&lt;=999)*(FB$2:FB$126&lt;&gt;"")*($J$2:$J$126))</f>
        <v>538.76</v>
      </c>
      <c r="FC147" s="79" cm="1">
        <f t="array" ref="FC147">SUMPRODUCT(($B$2:$B$126=3)*(FC$2:FC$126&gt;=28)*(FC$2:FC$126&lt;=999)*(FC$2:FC$126&lt;&gt;"")*($J$2:$J$126))</f>
        <v>538.76</v>
      </c>
      <c r="FD147" s="79" cm="1">
        <f t="array" ref="FD147">SUMPRODUCT(($B$2:$B$126=3)*(FD$2:FD$126&gt;=28)*(FD$2:FD$126&lt;=999)*(FD$2:FD$126&lt;&gt;"")*($J$2:$J$126))</f>
        <v>538.76</v>
      </c>
      <c r="FE147" s="79" cm="1">
        <f t="array" ref="FE147">SUMPRODUCT(($B$2:$B$126=3)*(FE$2:FE$126&gt;=28)*(FE$2:FE$126&lt;=999)*(FE$2:FE$126&lt;&gt;"")*($J$2:$J$126))</f>
        <v>538.76</v>
      </c>
      <c r="FF147" s="79" cm="1">
        <f t="array" ref="FF147">SUMPRODUCT(($B$2:$B$126=3)*(FF$2:FF$126&gt;=28)*(FF$2:FF$126&lt;=999)*(FF$2:FF$126&lt;&gt;"")*($J$2:$J$126))</f>
        <v>538.76</v>
      </c>
      <c r="FG147" s="79" cm="1">
        <f t="array" ref="FG147">SUMPRODUCT(($B$2:$B$126=3)*(FG$2:FG$126&gt;=28)*(FG$2:FG$126&lt;=999)*(FG$2:FG$126&lt;&gt;"")*($J$2:$J$126))</f>
        <v>538.76</v>
      </c>
      <c r="FH147" s="79" cm="1">
        <f t="array" ref="FH147">SUMPRODUCT(($B$2:$B$126=3)*(FH$2:FH$126&gt;=28)*(FH$2:FH$126&lt;=999)*(FH$2:FH$126&lt;&gt;"")*($J$2:$J$126))</f>
        <v>538.76</v>
      </c>
      <c r="FI147" s="79" cm="1">
        <f t="array" ref="FI147">SUMPRODUCT(($B$2:$B$126=3)*(FI$2:FI$126&gt;=28)*(FI$2:FI$126&lt;=999)*(FI$2:FI$126&lt;&gt;"")*($J$2:$J$126))</f>
        <v>538.76</v>
      </c>
      <c r="FJ147" s="79" cm="1">
        <f t="array" ref="FJ147">SUMPRODUCT(($B$2:$B$126=3)*(FJ$2:FJ$126&gt;=28)*(FJ$2:FJ$126&lt;=999)*(FJ$2:FJ$126&lt;&gt;"")*($J$2:$J$126))</f>
        <v>538.76</v>
      </c>
      <c r="FK147" s="79" cm="1">
        <f t="array" ref="FK147">SUMPRODUCT(($B$2:$B$126=3)*(FK$2:FK$126&gt;=28)*(FK$2:FK$126&lt;=999)*(FK$2:FK$126&lt;&gt;"")*($J$2:$J$126))</f>
        <v>538.76</v>
      </c>
      <c r="FL147" s="79" cm="1">
        <f t="array" ref="FL147">SUMPRODUCT(($B$2:$B$126=3)*(FL$2:FL$126&gt;=28)*(FL$2:FL$126&lt;=999)*(FL$2:FL$126&lt;&gt;"")*($J$2:$J$126))</f>
        <v>538.76</v>
      </c>
      <c r="FM147" s="79" cm="1">
        <f t="array" ref="FM147">SUMPRODUCT(($B$2:$B$126=3)*(FM$2:FM$126&gt;=28)*(FM$2:FM$126&lt;=999)*(FM$2:FM$126&lt;&gt;"")*($J$2:$J$126))</f>
        <v>538.76</v>
      </c>
      <c r="FN147" s="79" cm="1">
        <f t="array" ref="FN147">SUMPRODUCT(($B$2:$B$126=3)*(FN$2:FN$126&gt;=28)*(FN$2:FN$126&lt;=999)*(FN$2:FN$126&lt;&gt;"")*($J$2:$J$126))</f>
        <v>538.76</v>
      </c>
      <c r="FO147" s="79" cm="1">
        <f t="array" ref="FO147">SUMPRODUCT(($B$2:$B$126=3)*(FO$2:FO$126&gt;=28)*(FO$2:FO$126&lt;=999)*(FO$2:FO$126&lt;&gt;"")*($J$2:$J$126))</f>
        <v>538.76</v>
      </c>
      <c r="FP147" s="79" cm="1">
        <f t="array" ref="FP147">SUMPRODUCT(($B$2:$B$126=3)*(FP$2:FP$126&gt;=28)*(FP$2:FP$126&lt;=999)*(FP$2:FP$126&lt;&gt;"")*($J$2:$J$126))</f>
        <v>538.76</v>
      </c>
      <c r="FQ147" s="79" cm="1">
        <f t="array" ref="FQ147">SUMPRODUCT(($B$2:$B$126=3)*(FQ$2:FQ$126&gt;=28)*(FQ$2:FQ$126&lt;=999)*(FQ$2:FQ$126&lt;&gt;"")*($J$2:$J$126))</f>
        <v>538.76</v>
      </c>
      <c r="FR147" s="79" cm="1">
        <f t="array" ref="FR147">SUMPRODUCT(($B$2:$B$126=3)*(FR$2:FR$126&gt;=28)*(FR$2:FR$126&lt;=999)*(FR$2:FR$126&lt;&gt;"")*($J$2:$J$126))</f>
        <v>538.76</v>
      </c>
      <c r="FS147" s="79" cm="1">
        <f t="array" ref="FS147">SUMPRODUCT(($B$2:$B$126=3)*(FS$2:FS$126&gt;=28)*(FS$2:FS$126&lt;=999)*(FS$2:FS$126&lt;&gt;"")*($J$2:$J$126))</f>
        <v>538.76</v>
      </c>
      <c r="FT147" s="79" cm="1">
        <f t="array" ref="FT147">SUMPRODUCT(($B$2:$B$126=3)*(FT$2:FT$126&gt;=28)*(FT$2:FT$126&lt;=999)*(FT$2:FT$126&lt;&gt;"")*($J$2:$J$126))</f>
        <v>538.76</v>
      </c>
      <c r="FU147" s="79" cm="1">
        <f t="array" ref="FU147">SUMPRODUCT(($B$2:$B$126=3)*(FU$2:FU$126&gt;=28)*(FU$2:FU$126&lt;=999)*(FU$2:FU$126&lt;&gt;"")*($J$2:$J$126))</f>
        <v>538.76</v>
      </c>
      <c r="FV147" s="79" cm="1">
        <f t="array" ref="FV147">SUMPRODUCT(($B$2:$B$126=3)*(FV$2:FV$126&gt;=28)*(FV$2:FV$126&lt;=999)*(FV$2:FV$126&lt;&gt;"")*($J$2:$J$126))</f>
        <v>538.76</v>
      </c>
      <c r="FW147" s="79" cm="1">
        <f t="array" ref="FW147">SUMPRODUCT(($B$2:$B$126=3)*(FW$2:FW$126&gt;=28)*(FW$2:FW$126&lt;=999)*(FW$2:FW$126&lt;&gt;"")*($J$2:$J$126))</f>
        <v>538.76</v>
      </c>
      <c r="FX147" s="79" cm="1">
        <f t="array" ref="FX147">SUMPRODUCT(($B$2:$B$126=3)*(FX$2:FX$126&gt;=28)*(FX$2:FX$126&lt;=999)*(FX$2:FX$126&lt;&gt;"")*($J$2:$J$126))</f>
        <v>538.76</v>
      </c>
      <c r="FY147" s="79" cm="1">
        <f t="array" ref="FY147">SUMPRODUCT(($B$2:$B$126=3)*(FY$2:FY$126&gt;=28)*(FY$2:FY$126&lt;=999)*(FY$2:FY$126&lt;&gt;"")*($J$2:$J$126))</f>
        <v>538.76</v>
      </c>
      <c r="FZ147" s="79" cm="1">
        <f t="array" ref="FZ147">SUMPRODUCT(($B$2:$B$126=3)*(FZ$2:FZ$126&gt;=28)*(FZ$2:FZ$126&lt;=999)*(FZ$2:FZ$126&lt;&gt;"")*($J$2:$J$126))</f>
        <v>538.76</v>
      </c>
      <c r="GA147" s="79" cm="1">
        <f t="array" ref="GA147">SUMPRODUCT(($B$2:$B$126=3)*(GA$2:GA$126&gt;=28)*(GA$2:GA$126&lt;=999)*(GA$2:GA$126&lt;&gt;"")*($J$2:$J$126))</f>
        <v>538.76</v>
      </c>
      <c r="GB147" s="79" cm="1">
        <f t="array" ref="GB147">SUMPRODUCT(($B$2:$B$126=3)*(GB$2:GB$126&gt;=28)*(GB$2:GB$126&lt;=999)*(GB$2:GB$126&lt;&gt;"")*($J$2:$J$126))</f>
        <v>538.76</v>
      </c>
      <c r="GC147" s="79" cm="1">
        <f t="array" ref="GC147">SUMPRODUCT(($B$2:$B$126=3)*(GC$2:GC$126&gt;=28)*(GC$2:GC$126&lt;=999)*(GC$2:GC$126&lt;&gt;"")*($J$2:$J$126))</f>
        <v>538.76</v>
      </c>
      <c r="GD147" s="79" cm="1">
        <f t="array" ref="GD147">SUMPRODUCT(($B$2:$B$126=3)*(GD$2:GD$126&gt;=28)*(GD$2:GD$126&lt;=999)*(GD$2:GD$126&lt;&gt;"")*($J$2:$J$126))</f>
        <v>538.76</v>
      </c>
      <c r="GE147" s="79" cm="1">
        <f t="array" ref="GE147">SUMPRODUCT(($B$2:$B$126=3)*(GE$2:GE$126&gt;=28)*(GE$2:GE$126&lt;=999)*(GE$2:GE$126&lt;&gt;"")*($J$2:$J$126))</f>
        <v>538.76</v>
      </c>
      <c r="GF147" s="79" cm="1">
        <f t="array" ref="GF147">SUMPRODUCT(($B$2:$B$126=3)*(GF$2:GF$126&gt;=28)*(GF$2:GF$126&lt;=999)*(GF$2:GF$126&lt;&gt;"")*($J$2:$J$126))</f>
        <v>538.76</v>
      </c>
      <c r="GG147" s="79" cm="1">
        <f t="array" ref="GG147">SUMPRODUCT(($B$2:$B$126=3)*(GG$2:GG$126&gt;=28)*(GG$2:GG$126&lt;=999)*(GG$2:GG$126&lt;&gt;"")*($J$2:$J$126))</f>
        <v>538.76</v>
      </c>
      <c r="GH147" s="79" cm="1">
        <f t="array" ref="GH147">SUMPRODUCT(($B$2:$B$126=3)*(GH$2:GH$126&gt;=28)*(GH$2:GH$126&lt;=999)*(GH$2:GH$126&lt;&gt;"")*($J$2:$J$126))</f>
        <v>538.76</v>
      </c>
      <c r="GI147" s="79" cm="1">
        <f t="array" ref="GI147">SUMPRODUCT(($B$2:$B$126=3)*(GI$2:GI$126&gt;=28)*(GI$2:GI$126&lt;=999)*(GI$2:GI$126&lt;&gt;"")*($J$2:$J$126))</f>
        <v>538.76</v>
      </c>
      <c r="GJ147" s="79" cm="1">
        <f t="array" ref="GJ147">SUMPRODUCT(($B$2:$B$126=3)*(GJ$2:GJ$126&gt;=28)*(GJ$2:GJ$126&lt;=999)*(GJ$2:GJ$126&lt;&gt;"")*($J$2:$J$126))</f>
        <v>538.76</v>
      </c>
      <c r="GK147" s="79" cm="1">
        <f t="array" ref="GK147">SUMPRODUCT(($B$2:$B$126=3)*(GK$2:GK$126&gt;=28)*(GK$2:GK$126&lt;=999)*(GK$2:GK$126&lt;&gt;"")*($J$2:$J$126))</f>
        <v>538.76</v>
      </c>
      <c r="GL147" s="79" cm="1">
        <f t="array" ref="GL147">SUMPRODUCT(($B$2:$B$126=3)*(GL$2:GL$126&gt;=28)*(GL$2:GL$126&lt;=999)*(GL$2:GL$126&lt;&gt;"")*($J$2:$J$126))</f>
        <v>538.76</v>
      </c>
      <c r="GM147" s="79" cm="1">
        <f t="array" ref="GM147">SUMPRODUCT(($B$2:$B$126=3)*(GM$2:GM$126&gt;=28)*(GM$2:GM$126&lt;=999)*(GM$2:GM$126&lt;&gt;"")*($J$2:$J$126))</f>
        <v>538.76</v>
      </c>
      <c r="GN147" s="79" cm="1">
        <f t="array" ref="GN147">SUMPRODUCT(($B$2:$B$126=3)*(GN$2:GN$126&gt;=28)*(GN$2:GN$126&lt;=999)*(GN$2:GN$126&lt;&gt;"")*($J$2:$J$126))</f>
        <v>538.76</v>
      </c>
      <c r="GO147" s="79" cm="1">
        <f t="array" ref="GO147">SUMPRODUCT(($B$2:$B$126=3)*(GO$2:GO$126&gt;=28)*(GO$2:GO$126&lt;=999)*(GO$2:GO$126&lt;&gt;"")*($J$2:$J$126))</f>
        <v>538.76</v>
      </c>
      <c r="GP147" s="79" cm="1">
        <f t="array" ref="GP147">SUMPRODUCT(($B$2:$B$126=3)*(GP$2:GP$126&gt;=28)*(GP$2:GP$126&lt;=999)*(GP$2:GP$126&lt;&gt;"")*($J$2:$J$126))</f>
        <v>538.76</v>
      </c>
      <c r="GQ147" s="79" cm="1">
        <f t="array" ref="GQ147">SUMPRODUCT(($B$2:$B$126=3)*(GQ$2:GQ$126&gt;=28)*(GQ$2:GQ$126&lt;=999)*(GQ$2:GQ$126&lt;&gt;"")*($J$2:$J$126))</f>
        <v>538.76</v>
      </c>
      <c r="GR147" s="79" cm="1">
        <f t="array" ref="GR147">SUMPRODUCT(($B$2:$B$126=3)*(GR$2:GR$126&gt;=28)*(GR$2:GR$126&lt;=999)*(GR$2:GR$126&lt;&gt;"")*($J$2:$J$126))</f>
        <v>538.76</v>
      </c>
      <c r="GS147" s="79" cm="1">
        <f t="array" ref="GS147">SUMPRODUCT(($B$2:$B$126=3)*(GS$2:GS$126&gt;=28)*(GS$2:GS$126&lt;=999)*(GS$2:GS$126&lt;&gt;"")*($J$2:$J$126))</f>
        <v>538.76</v>
      </c>
      <c r="GT147" s="79" cm="1">
        <f t="array" ref="GT147">SUMPRODUCT(($B$2:$B$126=3)*(GT$2:GT$126&gt;=28)*(GT$2:GT$126&lt;=999)*(GT$2:GT$126&lt;&gt;"")*($J$2:$J$126))</f>
        <v>538.76</v>
      </c>
      <c r="GU147" s="79" cm="1">
        <f t="array" ref="GU147">SUMPRODUCT(($B$2:$B$126=3)*(GU$2:GU$126&gt;=28)*(GU$2:GU$126&lt;=999)*(GU$2:GU$126&lt;&gt;"")*($J$2:$J$126))</f>
        <v>538.76</v>
      </c>
      <c r="GV147" s="79" cm="1">
        <f t="array" ref="GV147">SUMPRODUCT(($B$2:$B$126=3)*(GV$2:GV$126&gt;=28)*(GV$2:GV$126&lt;=999)*(GV$2:GV$126&lt;&gt;"")*($J$2:$J$126))</f>
        <v>538.76</v>
      </c>
      <c r="GW147" s="79" cm="1">
        <f t="array" ref="GW147">SUMPRODUCT(($B$2:$B$126=3)*(GW$2:GW$126&gt;=28)*(GW$2:GW$126&lt;=999)*(GW$2:GW$126&lt;&gt;"")*($J$2:$J$126))</f>
        <v>538.76</v>
      </c>
      <c r="GX147" s="79" cm="1">
        <f t="array" ref="GX147">SUMPRODUCT(($B$2:$B$126=3)*(GX$2:GX$126&gt;=28)*(GX$2:GX$126&lt;=999)*(GX$2:GX$126&lt;&gt;"")*($J$2:$J$126))</f>
        <v>538.76</v>
      </c>
    </row>
    <row r="148" spans="1:206" s="102" customFormat="1" x14ac:dyDescent="0.2">
      <c r="A148" s="101"/>
      <c r="B148" s="101" t="s">
        <v>263</v>
      </c>
      <c r="W148" s="103">
        <f>SUM(W143:W147)</f>
        <v>427</v>
      </c>
      <c r="X148" s="103">
        <f t="shared" ref="X148:CI148" si="168">SUM(X143:X147)</f>
        <v>467.90999999999997</v>
      </c>
      <c r="Y148" s="103">
        <f t="shared" si="168"/>
        <v>538.76</v>
      </c>
      <c r="Z148" s="103">
        <f t="shared" si="168"/>
        <v>538.76</v>
      </c>
      <c r="AA148" s="103">
        <f t="shared" si="168"/>
        <v>538.76</v>
      </c>
      <c r="AB148" s="103">
        <f t="shared" si="168"/>
        <v>538.76</v>
      </c>
      <c r="AC148" s="103">
        <f t="shared" si="168"/>
        <v>538.76</v>
      </c>
      <c r="AD148" s="103">
        <f t="shared" si="168"/>
        <v>538.76</v>
      </c>
      <c r="AE148" s="103">
        <f t="shared" si="168"/>
        <v>538.76</v>
      </c>
      <c r="AF148" s="103">
        <f t="shared" si="168"/>
        <v>538.76</v>
      </c>
      <c r="AG148" s="103">
        <f t="shared" si="168"/>
        <v>538.76</v>
      </c>
      <c r="AH148" s="103">
        <f t="shared" si="168"/>
        <v>538.76</v>
      </c>
      <c r="AI148" s="103">
        <f t="shared" si="168"/>
        <v>538.76</v>
      </c>
      <c r="AJ148" s="103">
        <f t="shared" si="168"/>
        <v>538.76</v>
      </c>
      <c r="AK148" s="103">
        <f t="shared" si="168"/>
        <v>538.76</v>
      </c>
      <c r="AL148" s="103">
        <f t="shared" si="168"/>
        <v>538.76</v>
      </c>
      <c r="AM148" s="103">
        <f t="shared" si="168"/>
        <v>538.76</v>
      </c>
      <c r="AN148" s="103">
        <f t="shared" si="168"/>
        <v>538.76</v>
      </c>
      <c r="AO148" s="103">
        <f t="shared" si="168"/>
        <v>538.76</v>
      </c>
      <c r="AP148" s="103">
        <f t="shared" si="168"/>
        <v>538.76</v>
      </c>
      <c r="AQ148" s="103">
        <f t="shared" si="168"/>
        <v>538.76</v>
      </c>
      <c r="AR148" s="103">
        <f t="shared" si="168"/>
        <v>538.76</v>
      </c>
      <c r="AS148" s="103">
        <f t="shared" si="168"/>
        <v>538.76</v>
      </c>
      <c r="AT148" s="103">
        <f t="shared" si="168"/>
        <v>538.7600000000001</v>
      </c>
      <c r="AU148" s="103">
        <f t="shared" si="168"/>
        <v>538.76</v>
      </c>
      <c r="AV148" s="103">
        <f t="shared" si="168"/>
        <v>538.76</v>
      </c>
      <c r="AW148" s="103">
        <f t="shared" si="168"/>
        <v>538.76</v>
      </c>
      <c r="AX148" s="103">
        <f t="shared" si="168"/>
        <v>538.76</v>
      </c>
      <c r="AY148" s="103">
        <f t="shared" si="168"/>
        <v>538.75999999999988</v>
      </c>
      <c r="AZ148" s="103">
        <f t="shared" si="168"/>
        <v>538.76</v>
      </c>
      <c r="BA148" s="103">
        <f t="shared" si="168"/>
        <v>538.76</v>
      </c>
      <c r="BB148" s="103">
        <f t="shared" si="168"/>
        <v>538.76</v>
      </c>
      <c r="BC148" s="103">
        <f t="shared" si="168"/>
        <v>538.76</v>
      </c>
      <c r="BD148" s="103">
        <f t="shared" si="168"/>
        <v>538.76</v>
      </c>
      <c r="BE148" s="103">
        <f t="shared" si="168"/>
        <v>538.76</v>
      </c>
      <c r="BF148" s="103">
        <f t="shared" si="168"/>
        <v>538.76</v>
      </c>
      <c r="BG148" s="103">
        <f t="shared" si="168"/>
        <v>538.76</v>
      </c>
      <c r="BH148" s="103">
        <f t="shared" si="168"/>
        <v>538.76</v>
      </c>
      <c r="BI148" s="103">
        <f t="shared" si="168"/>
        <v>538.76</v>
      </c>
      <c r="BJ148" s="103">
        <f t="shared" si="168"/>
        <v>538.75999999999988</v>
      </c>
      <c r="BK148" s="103">
        <f t="shared" si="168"/>
        <v>538.75999999999988</v>
      </c>
      <c r="BL148" s="103">
        <f t="shared" si="168"/>
        <v>538.75999999999988</v>
      </c>
      <c r="BM148" s="103">
        <f t="shared" si="168"/>
        <v>538.76</v>
      </c>
      <c r="BN148" s="103">
        <f t="shared" si="168"/>
        <v>538.76</v>
      </c>
      <c r="BO148" s="103">
        <f t="shared" si="168"/>
        <v>538.76</v>
      </c>
      <c r="BP148" s="103">
        <f t="shared" si="168"/>
        <v>538.76</v>
      </c>
      <c r="BQ148" s="103">
        <f t="shared" si="168"/>
        <v>538.76</v>
      </c>
      <c r="BR148" s="103">
        <f t="shared" si="168"/>
        <v>538.76</v>
      </c>
      <c r="BS148" s="103">
        <f t="shared" si="168"/>
        <v>538.76</v>
      </c>
      <c r="BT148" s="103">
        <f t="shared" si="168"/>
        <v>538.75999999999988</v>
      </c>
      <c r="BU148" s="103">
        <f t="shared" si="168"/>
        <v>538.76</v>
      </c>
      <c r="BV148" s="103">
        <f t="shared" si="168"/>
        <v>538.75999999999988</v>
      </c>
      <c r="BW148" s="103">
        <f t="shared" si="168"/>
        <v>538.75999999999988</v>
      </c>
      <c r="BX148" s="103">
        <f t="shared" si="168"/>
        <v>538.76</v>
      </c>
      <c r="BY148" s="103">
        <f t="shared" si="168"/>
        <v>538.75999999999988</v>
      </c>
      <c r="BZ148" s="103">
        <f t="shared" si="168"/>
        <v>538.76</v>
      </c>
      <c r="CA148" s="103">
        <f t="shared" si="168"/>
        <v>538.75999999999988</v>
      </c>
      <c r="CB148" s="103">
        <f t="shared" si="168"/>
        <v>538.76</v>
      </c>
      <c r="CC148" s="103">
        <f t="shared" si="168"/>
        <v>538.76</v>
      </c>
      <c r="CD148" s="103">
        <f t="shared" si="168"/>
        <v>538.76</v>
      </c>
      <c r="CE148" s="103">
        <f t="shared" si="168"/>
        <v>538.76</v>
      </c>
      <c r="CF148" s="103">
        <f t="shared" si="168"/>
        <v>538.76</v>
      </c>
      <c r="CG148" s="103">
        <f t="shared" si="168"/>
        <v>538.76</v>
      </c>
      <c r="CH148" s="103">
        <f t="shared" si="168"/>
        <v>538.76</v>
      </c>
      <c r="CI148" s="103">
        <f t="shared" si="168"/>
        <v>538.76</v>
      </c>
      <c r="CJ148" s="103">
        <f t="shared" ref="CJ148:EU148" si="169">SUM(CJ143:CJ147)</f>
        <v>538.76</v>
      </c>
      <c r="CK148" s="103">
        <f t="shared" si="169"/>
        <v>538.76</v>
      </c>
      <c r="CL148" s="103">
        <f t="shared" si="169"/>
        <v>538.76</v>
      </c>
      <c r="CM148" s="103">
        <f t="shared" si="169"/>
        <v>538.76</v>
      </c>
      <c r="CN148" s="103">
        <f t="shared" si="169"/>
        <v>538.76</v>
      </c>
      <c r="CO148" s="103">
        <f t="shared" si="169"/>
        <v>538.76</v>
      </c>
      <c r="CP148" s="103">
        <f t="shared" si="169"/>
        <v>538.76</v>
      </c>
      <c r="CQ148" s="103">
        <f t="shared" si="169"/>
        <v>538.76</v>
      </c>
      <c r="CR148" s="103">
        <f t="shared" si="169"/>
        <v>538.76</v>
      </c>
      <c r="CS148" s="103">
        <f t="shared" si="169"/>
        <v>538.76</v>
      </c>
      <c r="CT148" s="103">
        <f t="shared" si="169"/>
        <v>538.76</v>
      </c>
      <c r="CU148" s="103">
        <f t="shared" si="169"/>
        <v>538.76</v>
      </c>
      <c r="CV148" s="103">
        <f t="shared" si="169"/>
        <v>538.76</v>
      </c>
      <c r="CW148" s="103">
        <f t="shared" si="169"/>
        <v>538.76</v>
      </c>
      <c r="CX148" s="103">
        <f t="shared" si="169"/>
        <v>538.76</v>
      </c>
      <c r="CY148" s="103">
        <f t="shared" si="169"/>
        <v>538.76</v>
      </c>
      <c r="CZ148" s="103">
        <f t="shared" si="169"/>
        <v>538.76</v>
      </c>
      <c r="DA148" s="103">
        <f t="shared" si="169"/>
        <v>538.76</v>
      </c>
      <c r="DB148" s="103">
        <f t="shared" si="169"/>
        <v>538.76</v>
      </c>
      <c r="DC148" s="103">
        <f t="shared" si="169"/>
        <v>538.76</v>
      </c>
      <c r="DD148" s="103">
        <f t="shared" si="169"/>
        <v>538.76</v>
      </c>
      <c r="DE148" s="103">
        <f t="shared" si="169"/>
        <v>538.76</v>
      </c>
      <c r="DF148" s="103">
        <f t="shared" si="169"/>
        <v>538.76</v>
      </c>
      <c r="DG148" s="103">
        <f t="shared" si="169"/>
        <v>538.76</v>
      </c>
      <c r="DH148" s="103">
        <f t="shared" si="169"/>
        <v>538.76</v>
      </c>
      <c r="DI148" s="103">
        <f t="shared" si="169"/>
        <v>538.76</v>
      </c>
      <c r="DJ148" s="103">
        <f t="shared" si="169"/>
        <v>538.76</v>
      </c>
      <c r="DK148" s="103">
        <f t="shared" si="169"/>
        <v>538.76</v>
      </c>
      <c r="DL148" s="103">
        <f t="shared" si="169"/>
        <v>538.76</v>
      </c>
      <c r="DM148" s="103">
        <f t="shared" si="169"/>
        <v>538.76</v>
      </c>
      <c r="DN148" s="103">
        <f t="shared" si="169"/>
        <v>538.76</v>
      </c>
      <c r="DO148" s="103">
        <f t="shared" si="169"/>
        <v>538.76</v>
      </c>
      <c r="DP148" s="103">
        <f t="shared" si="169"/>
        <v>538.76</v>
      </c>
      <c r="DQ148" s="103">
        <f t="shared" si="169"/>
        <v>538.76</v>
      </c>
      <c r="DR148" s="103">
        <f t="shared" si="169"/>
        <v>538.76</v>
      </c>
      <c r="DS148" s="103">
        <f t="shared" si="169"/>
        <v>538.76</v>
      </c>
      <c r="DT148" s="103">
        <f t="shared" si="169"/>
        <v>538.76</v>
      </c>
      <c r="DU148" s="103">
        <f t="shared" si="169"/>
        <v>538.76</v>
      </c>
      <c r="DV148" s="103">
        <f t="shared" si="169"/>
        <v>538.76</v>
      </c>
      <c r="DW148" s="103">
        <f t="shared" si="169"/>
        <v>538.76</v>
      </c>
      <c r="DX148" s="103">
        <f t="shared" si="169"/>
        <v>538.76</v>
      </c>
      <c r="DY148" s="103">
        <f t="shared" si="169"/>
        <v>538.76</v>
      </c>
      <c r="DZ148" s="103">
        <f t="shared" si="169"/>
        <v>538.76</v>
      </c>
      <c r="EA148" s="103">
        <f t="shared" si="169"/>
        <v>538.76</v>
      </c>
      <c r="EB148" s="103">
        <f t="shared" si="169"/>
        <v>538.76</v>
      </c>
      <c r="EC148" s="103">
        <f t="shared" si="169"/>
        <v>538.76</v>
      </c>
      <c r="ED148" s="103">
        <f t="shared" si="169"/>
        <v>538.76</v>
      </c>
      <c r="EE148" s="103">
        <f t="shared" si="169"/>
        <v>538.76</v>
      </c>
      <c r="EF148" s="103">
        <f t="shared" si="169"/>
        <v>538.76</v>
      </c>
      <c r="EG148" s="103">
        <f t="shared" si="169"/>
        <v>538.76</v>
      </c>
      <c r="EH148" s="103">
        <f t="shared" si="169"/>
        <v>538.76</v>
      </c>
      <c r="EI148" s="103">
        <f t="shared" si="169"/>
        <v>538.76</v>
      </c>
      <c r="EJ148" s="103">
        <f t="shared" si="169"/>
        <v>538.76</v>
      </c>
      <c r="EK148" s="103">
        <f t="shared" si="169"/>
        <v>538.76</v>
      </c>
      <c r="EL148" s="103">
        <f t="shared" si="169"/>
        <v>538.76</v>
      </c>
      <c r="EM148" s="103">
        <f t="shared" si="169"/>
        <v>538.76</v>
      </c>
      <c r="EN148" s="103">
        <f t="shared" si="169"/>
        <v>538.76</v>
      </c>
      <c r="EO148" s="103">
        <f t="shared" si="169"/>
        <v>538.76</v>
      </c>
      <c r="EP148" s="103">
        <f t="shared" si="169"/>
        <v>538.76</v>
      </c>
      <c r="EQ148" s="103">
        <f t="shared" si="169"/>
        <v>538.76</v>
      </c>
      <c r="ER148" s="103">
        <f t="shared" si="169"/>
        <v>538.76</v>
      </c>
      <c r="ES148" s="103">
        <f t="shared" si="169"/>
        <v>538.76</v>
      </c>
      <c r="ET148" s="103">
        <f t="shared" si="169"/>
        <v>538.76</v>
      </c>
      <c r="EU148" s="103">
        <f t="shared" si="169"/>
        <v>538.76</v>
      </c>
      <c r="EV148" s="103">
        <f t="shared" ref="EV148:GX148" si="170">SUM(EV143:EV147)</f>
        <v>538.76</v>
      </c>
      <c r="EW148" s="103">
        <f t="shared" si="170"/>
        <v>538.76</v>
      </c>
      <c r="EX148" s="103">
        <f t="shared" si="170"/>
        <v>538.76</v>
      </c>
      <c r="EY148" s="103">
        <f t="shared" si="170"/>
        <v>538.76</v>
      </c>
      <c r="EZ148" s="103">
        <f t="shared" si="170"/>
        <v>538.76</v>
      </c>
      <c r="FA148" s="103">
        <f t="shared" si="170"/>
        <v>538.76</v>
      </c>
      <c r="FB148" s="103">
        <f t="shared" si="170"/>
        <v>538.76</v>
      </c>
      <c r="FC148" s="103">
        <f t="shared" si="170"/>
        <v>538.76</v>
      </c>
      <c r="FD148" s="103">
        <f t="shared" si="170"/>
        <v>538.76</v>
      </c>
      <c r="FE148" s="103">
        <f t="shared" si="170"/>
        <v>538.76</v>
      </c>
      <c r="FF148" s="103">
        <f t="shared" si="170"/>
        <v>538.76</v>
      </c>
      <c r="FG148" s="103">
        <f t="shared" si="170"/>
        <v>538.76</v>
      </c>
      <c r="FH148" s="103">
        <f t="shared" si="170"/>
        <v>538.76</v>
      </c>
      <c r="FI148" s="103">
        <f t="shared" si="170"/>
        <v>538.76</v>
      </c>
      <c r="FJ148" s="103">
        <f t="shared" si="170"/>
        <v>538.76</v>
      </c>
      <c r="FK148" s="103">
        <f t="shared" si="170"/>
        <v>538.76</v>
      </c>
      <c r="FL148" s="103">
        <f t="shared" si="170"/>
        <v>538.76</v>
      </c>
      <c r="FM148" s="103">
        <f t="shared" si="170"/>
        <v>538.76</v>
      </c>
      <c r="FN148" s="103">
        <f t="shared" si="170"/>
        <v>538.76</v>
      </c>
      <c r="FO148" s="103">
        <f t="shared" si="170"/>
        <v>538.76</v>
      </c>
      <c r="FP148" s="103">
        <f t="shared" si="170"/>
        <v>538.76</v>
      </c>
      <c r="FQ148" s="103">
        <f t="shared" si="170"/>
        <v>538.76</v>
      </c>
      <c r="FR148" s="103">
        <f t="shared" si="170"/>
        <v>538.76</v>
      </c>
      <c r="FS148" s="103">
        <f t="shared" si="170"/>
        <v>538.76</v>
      </c>
      <c r="FT148" s="103">
        <f t="shared" si="170"/>
        <v>538.76</v>
      </c>
      <c r="FU148" s="103">
        <f t="shared" si="170"/>
        <v>538.76</v>
      </c>
      <c r="FV148" s="103">
        <f t="shared" si="170"/>
        <v>538.76</v>
      </c>
      <c r="FW148" s="103">
        <f t="shared" si="170"/>
        <v>538.76</v>
      </c>
      <c r="FX148" s="103">
        <f t="shared" si="170"/>
        <v>538.76</v>
      </c>
      <c r="FY148" s="103">
        <f t="shared" si="170"/>
        <v>538.76</v>
      </c>
      <c r="FZ148" s="103">
        <f t="shared" si="170"/>
        <v>538.76</v>
      </c>
      <c r="GA148" s="103">
        <f t="shared" si="170"/>
        <v>538.76</v>
      </c>
      <c r="GB148" s="103">
        <f t="shared" si="170"/>
        <v>538.76</v>
      </c>
      <c r="GC148" s="103">
        <f t="shared" si="170"/>
        <v>538.76</v>
      </c>
      <c r="GD148" s="103">
        <f t="shared" si="170"/>
        <v>538.76</v>
      </c>
      <c r="GE148" s="103">
        <f t="shared" si="170"/>
        <v>538.76</v>
      </c>
      <c r="GF148" s="103">
        <f t="shared" si="170"/>
        <v>538.76</v>
      </c>
      <c r="GG148" s="103">
        <f t="shared" si="170"/>
        <v>538.76</v>
      </c>
      <c r="GH148" s="103">
        <f t="shared" si="170"/>
        <v>538.76</v>
      </c>
      <c r="GI148" s="103">
        <f t="shared" si="170"/>
        <v>538.76</v>
      </c>
      <c r="GJ148" s="103">
        <f t="shared" si="170"/>
        <v>538.76</v>
      </c>
      <c r="GK148" s="103">
        <f t="shared" si="170"/>
        <v>538.76</v>
      </c>
      <c r="GL148" s="103">
        <f t="shared" si="170"/>
        <v>538.76</v>
      </c>
      <c r="GM148" s="103">
        <f t="shared" si="170"/>
        <v>538.76</v>
      </c>
      <c r="GN148" s="103">
        <f t="shared" si="170"/>
        <v>538.76</v>
      </c>
      <c r="GO148" s="103">
        <f t="shared" si="170"/>
        <v>538.76</v>
      </c>
      <c r="GP148" s="103">
        <f t="shared" si="170"/>
        <v>538.76</v>
      </c>
      <c r="GQ148" s="103">
        <f t="shared" si="170"/>
        <v>538.76</v>
      </c>
      <c r="GR148" s="103">
        <f t="shared" si="170"/>
        <v>538.76</v>
      </c>
      <c r="GS148" s="103">
        <f t="shared" si="170"/>
        <v>538.76</v>
      </c>
      <c r="GT148" s="103">
        <f t="shared" si="170"/>
        <v>538.76</v>
      </c>
      <c r="GU148" s="103">
        <f t="shared" si="170"/>
        <v>538.76</v>
      </c>
      <c r="GV148" s="103">
        <f t="shared" si="170"/>
        <v>538.76</v>
      </c>
      <c r="GW148" s="103">
        <f t="shared" si="170"/>
        <v>538.76</v>
      </c>
      <c r="GX148" s="103">
        <f t="shared" si="170"/>
        <v>538.76</v>
      </c>
    </row>
    <row r="149" spans="1:206" x14ac:dyDescent="0.2">
      <c r="A149" s="84">
        <v>4</v>
      </c>
      <c r="B149" s="84" t="s">
        <v>11</v>
      </c>
      <c r="W149" s="79" cm="1">
        <f t="array" ref="W149">SUMPRODUCT(($B$2:$B$126=4)*(W$2:W$126&gt;=0)*(W$2:W$126&lt;=12)*(W$2:W$126&lt;&gt;"")*($J$2:$J$126))</f>
        <v>300.77000000000004</v>
      </c>
      <c r="X149" s="79" cm="1">
        <f t="array" ref="X149">SUMPRODUCT(($B$2:$B$126=4)*(X$2:X$126&gt;=0)*(X$2:X$126&lt;=12)*(X$2:X$126&lt;&gt;"")*($J$2:$J$126))</f>
        <v>320.97000000000008</v>
      </c>
      <c r="Y149" s="79" cm="1">
        <f t="array" ref="Y149">SUMPRODUCT(($B$2:$B$126=4)*(Y$2:Y$126&gt;=0)*(Y$2:Y$126&lt;=12)*(Y$2:Y$126&lt;&gt;"")*($J$2:$J$126))</f>
        <v>251.23000000000002</v>
      </c>
      <c r="Z149" s="79" cm="1">
        <f t="array" ref="Z149">SUMPRODUCT(($B$2:$B$126=4)*(Z$2:Z$126&gt;=0)*(Z$2:Z$126&lt;=12)*(Z$2:Z$126&lt;&gt;"")*($J$2:$J$126))</f>
        <v>284.87</v>
      </c>
      <c r="AA149" s="79" cm="1">
        <f t="array" ref="AA149">SUMPRODUCT(($B$2:$B$126=4)*(AA$2:AA$126&gt;=0)*(AA$2:AA$126&lt;=12)*(AA$2:AA$126&lt;&gt;"")*($J$2:$J$126))</f>
        <v>284.87</v>
      </c>
      <c r="AB149" s="79" cm="1">
        <f t="array" ref="AB149">SUMPRODUCT(($B$2:$B$126=4)*(AB$2:AB$126&gt;=0)*(AB$2:AB$126&lt;=12)*(AB$2:AB$126&lt;&gt;"")*($J$2:$J$126))</f>
        <v>284.87</v>
      </c>
      <c r="AC149" s="79" cm="1">
        <f t="array" ref="AC149">SUMPRODUCT(($B$2:$B$126=4)*(AC$2:AC$126&gt;=0)*(AC$2:AC$126&lt;=12)*(AC$2:AC$126&lt;&gt;"")*($J$2:$J$126))</f>
        <v>326.81</v>
      </c>
      <c r="AD149" s="79" cm="1">
        <f t="array" ref="AD149">SUMPRODUCT(($B$2:$B$126=4)*(AD$2:AD$126&gt;=0)*(AD$2:AD$126&lt;=12)*(AD$2:AD$126&lt;&gt;"")*($J$2:$J$126))</f>
        <v>273.35000000000002</v>
      </c>
      <c r="AE149" s="79" cm="1">
        <f t="array" ref="AE149">SUMPRODUCT(($B$2:$B$126=4)*(AE$2:AE$126&gt;=0)*(AE$2:AE$126&lt;=12)*(AE$2:AE$126&lt;&gt;"")*($J$2:$J$126))</f>
        <v>252.13</v>
      </c>
      <c r="AF149" s="79" cm="1">
        <f t="array" ref="AF149">SUMPRODUCT(($B$2:$B$126=4)*(AF$2:AF$126&gt;=0)*(AF$2:AF$126&lt;=12)*(AF$2:AF$126&lt;&gt;"")*($J$2:$J$126))</f>
        <v>272.66000000000003</v>
      </c>
      <c r="AG149" s="79" cm="1">
        <f t="array" ref="AG149">SUMPRODUCT(($B$2:$B$126=4)*(AG$2:AG$126&gt;=0)*(AG$2:AG$126&lt;=12)*(AG$2:AG$126&lt;&gt;"")*($J$2:$J$126))</f>
        <v>295.51</v>
      </c>
      <c r="AH149" s="79" cm="1">
        <f t="array" ref="AH149">SUMPRODUCT(($B$2:$B$126=4)*(AH$2:AH$126&gt;=0)*(AH$2:AH$126&lt;=12)*(AH$2:AH$126&lt;&gt;"")*($J$2:$J$126))</f>
        <v>268.57000000000005</v>
      </c>
      <c r="AI149" s="79" cm="1">
        <f t="array" ref="AI149">SUMPRODUCT(($B$2:$B$126=4)*(AI$2:AI$126&gt;=0)*(AI$2:AI$126&lt;=12)*(AI$2:AI$126&lt;&gt;"")*($J$2:$J$126))</f>
        <v>265.55</v>
      </c>
      <c r="AJ149" s="79" cm="1">
        <f t="array" ref="AJ149">SUMPRODUCT(($B$2:$B$126=4)*(AJ$2:AJ$126&gt;=0)*(AJ$2:AJ$126&lt;=12)*(AJ$2:AJ$126&lt;&gt;"")*($J$2:$J$126))</f>
        <v>249.16000000000003</v>
      </c>
      <c r="AK149" s="79" cm="1">
        <f t="array" ref="AK149">SUMPRODUCT(($B$2:$B$126=4)*(AK$2:AK$126&gt;=0)*(AK$2:AK$126&lt;=12)*(AK$2:AK$126&lt;&gt;"")*($J$2:$J$126))</f>
        <v>306.71999999999997</v>
      </c>
      <c r="AL149" s="79" cm="1">
        <f t="array" ref="AL149">SUMPRODUCT(($B$2:$B$126=4)*(AL$2:AL$126&gt;=0)*(AL$2:AL$126&lt;=12)*(AL$2:AL$126&lt;&gt;"")*($J$2:$J$126))</f>
        <v>316.88</v>
      </c>
      <c r="AM149" s="79" cm="1">
        <f t="array" ref="AM149">SUMPRODUCT(($B$2:$B$126=4)*(AM$2:AM$126&gt;=0)*(AM$2:AM$126&lt;=12)*(AM$2:AM$126&lt;&gt;"")*($J$2:$J$126))</f>
        <v>343.30000000000007</v>
      </c>
      <c r="AN149" s="79" cm="1">
        <f t="array" ref="AN149">SUMPRODUCT(($B$2:$B$126=4)*(AN$2:AN$126&gt;=0)*(AN$2:AN$126&lt;=12)*(AN$2:AN$126&lt;&gt;"")*($J$2:$J$126))</f>
        <v>365.48</v>
      </c>
      <c r="AO149" s="79" cm="1">
        <f t="array" ref="AO149">SUMPRODUCT(($B$2:$B$126=4)*(AO$2:AO$126&gt;=0)*(AO$2:AO$126&lt;=12)*(AO$2:AO$126&lt;&gt;"")*($J$2:$J$126))</f>
        <v>365.48</v>
      </c>
      <c r="AP149" s="79" cm="1">
        <f t="array" ref="AP149">SUMPRODUCT(($B$2:$B$126=4)*(AP$2:AP$126&gt;=0)*(AP$2:AP$126&lt;=12)*(AP$2:AP$126&lt;&gt;"")*($J$2:$J$126))</f>
        <v>306.62</v>
      </c>
      <c r="AQ149" s="79" cm="1">
        <f t="array" ref="AQ149">SUMPRODUCT(($B$2:$B$126=4)*(AQ$2:AQ$126&gt;=0)*(AQ$2:AQ$126&lt;=12)*(AQ$2:AQ$126&lt;&gt;"")*($J$2:$J$126))</f>
        <v>300.98</v>
      </c>
      <c r="AR149" s="79" cm="1">
        <f t="array" ref="AR149">SUMPRODUCT(($B$2:$B$126=4)*(AR$2:AR$126&gt;=0)*(AR$2:AR$126&lt;=12)*(AR$2:AR$126&lt;&gt;"")*($J$2:$J$126))</f>
        <v>403.25000000000011</v>
      </c>
      <c r="AS149" s="79" cm="1">
        <f t="array" ref="AS149">SUMPRODUCT(($B$2:$B$126=4)*(AS$2:AS$126&gt;=0)*(AS$2:AS$126&lt;=12)*(AS$2:AS$126&lt;&gt;"")*($J$2:$J$126))</f>
        <v>462.21000000000004</v>
      </c>
      <c r="AT149" s="79" cm="1">
        <f t="array" ref="AT149">SUMPRODUCT(($B$2:$B$126=4)*(AT$2:AT$126&gt;=0)*(AT$2:AT$126&lt;=12)*(AT$2:AT$126&lt;&gt;"")*($J$2:$J$126))</f>
        <v>496.22</v>
      </c>
      <c r="AU149" s="79" cm="1">
        <f t="array" ref="AU149">SUMPRODUCT(($B$2:$B$126=4)*(AU$2:AU$126&gt;=0)*(AU$2:AU$126&lt;=12)*(AU$2:AU$126&lt;&gt;"")*($J$2:$J$126))</f>
        <v>536.38000000000011</v>
      </c>
      <c r="AV149" s="79" cm="1">
        <f t="array" ref="AV149">SUMPRODUCT(($B$2:$B$126=4)*(AV$2:AV$126&gt;=0)*(AV$2:AV$126&lt;=12)*(AV$2:AV$126&lt;&gt;"")*($J$2:$J$126))</f>
        <v>536.38000000000011</v>
      </c>
      <c r="AW149" s="79" cm="1">
        <f t="array" ref="AW149">SUMPRODUCT(($B$2:$B$126=4)*(AW$2:AW$126&gt;=0)*(AW$2:AW$126&lt;=12)*(AW$2:AW$126&lt;&gt;"")*($J$2:$J$126))</f>
        <v>516.43000000000006</v>
      </c>
      <c r="AX149" s="79" cm="1">
        <f t="array" ref="AX149">SUMPRODUCT(($B$2:$B$126=4)*(AX$2:AX$126&gt;=0)*(AX$2:AX$126&lt;=12)*(AX$2:AX$126&lt;&gt;"")*($J$2:$J$126))</f>
        <v>438.67000000000007</v>
      </c>
      <c r="AY149" s="79" cm="1">
        <f t="array" ref="AY149">SUMPRODUCT(($B$2:$B$126=4)*(AY$2:AY$126&gt;=0)*(AY$2:AY$126&lt;=12)*(AY$2:AY$126&lt;&gt;"")*($J$2:$J$126))</f>
        <v>428.51000000000005</v>
      </c>
      <c r="AZ149" s="79" cm="1">
        <f t="array" ref="AZ149">SUMPRODUCT(($B$2:$B$126=4)*(AZ$2:AZ$126&gt;=0)*(AZ$2:AZ$126&lt;=12)*(AZ$2:AZ$126&lt;&gt;"")*($J$2:$J$126))</f>
        <v>346.88</v>
      </c>
      <c r="BA149" s="79" cm="1">
        <f t="array" ref="BA149">SUMPRODUCT(($B$2:$B$126=4)*(BA$2:BA$126&gt;=0)*(BA$2:BA$126&lt;=12)*(BA$2:BA$126&lt;&gt;"")*($J$2:$J$126))</f>
        <v>324.7</v>
      </c>
      <c r="BB149" s="79" cm="1">
        <f t="array" ref="BB149">SUMPRODUCT(($B$2:$B$126=4)*(BB$2:BB$126&gt;=0)*(BB$2:BB$126&lt;=12)*(BB$2:BB$126&lt;&gt;"")*($J$2:$J$126))</f>
        <v>354.81</v>
      </c>
      <c r="BC149" s="79" cm="1">
        <f t="array" ref="BC149">SUMPRODUCT(($B$2:$B$126=4)*(BC$2:BC$126&gt;=0)*(BC$2:BC$126&lt;=12)*(BC$2:BC$126&lt;&gt;"")*($J$2:$J$126))</f>
        <v>354.81</v>
      </c>
      <c r="BD149" s="79" cm="1">
        <f t="array" ref="BD149">SUMPRODUCT(($B$2:$B$126=4)*(BD$2:BD$126&gt;=0)*(BD$2:BD$126&lt;=12)*(BD$2:BD$126&lt;&gt;"")*($J$2:$J$126))</f>
        <v>461.47</v>
      </c>
      <c r="BE149" s="79" cm="1">
        <f t="array" ref="BE149">SUMPRODUCT(($B$2:$B$126=4)*(BE$2:BE$126&gt;=0)*(BE$2:BE$126&lt;=12)*(BE$2:BE$126&lt;&gt;"")*($J$2:$J$126))</f>
        <v>367.21999999999997</v>
      </c>
      <c r="BF149" s="79" cm="1">
        <f t="array" ref="BF149">SUMPRODUCT(($B$2:$B$126=4)*(BF$2:BF$126&gt;=0)*(BF$2:BF$126&lt;=12)*(BF$2:BF$126&lt;&gt;"")*($J$2:$J$126))</f>
        <v>337.89</v>
      </c>
      <c r="BG149" s="79" cm="1">
        <f t="array" ref="BG149">SUMPRODUCT(($B$2:$B$126=4)*(BG$2:BG$126&gt;=0)*(BG$2:BG$126&lt;=12)*(BG$2:BG$126&lt;&gt;"")*($J$2:$J$126))</f>
        <v>315.48</v>
      </c>
      <c r="BH149" s="79" cm="1">
        <f t="array" ref="BH149">SUMPRODUCT(($B$2:$B$126=4)*(BH$2:BH$126&gt;=0)*(BH$2:BH$126&lt;=12)*(BH$2:BH$126&lt;&gt;"")*($J$2:$J$126))</f>
        <v>293.32</v>
      </c>
      <c r="BI149" s="79" cm="1">
        <f t="array" ref="BI149">SUMPRODUCT(($B$2:$B$126=4)*(BI$2:BI$126&gt;=0)*(BI$2:BI$126&lt;=12)*(BI$2:BI$126&lt;&gt;"")*($J$2:$J$126))</f>
        <v>327.21999999999997</v>
      </c>
      <c r="BJ149" s="79" cm="1">
        <f t="array" ref="BJ149">SUMPRODUCT(($B$2:$B$126=4)*(BJ$2:BJ$126&gt;=0)*(BJ$2:BJ$126&lt;=12)*(BJ$2:BJ$126&lt;&gt;"")*($J$2:$J$126))</f>
        <v>327.21999999999997</v>
      </c>
      <c r="BK149" s="79" cm="1">
        <f t="array" ref="BK149">SUMPRODUCT(($B$2:$B$126=4)*(BK$2:BK$126&gt;=0)*(BK$2:BK$126&lt;=12)*(BK$2:BK$126&lt;&gt;"")*($J$2:$J$126))</f>
        <v>397.31000000000006</v>
      </c>
      <c r="BL149" s="79" cm="1">
        <f t="array" ref="BL149">SUMPRODUCT(($B$2:$B$126=4)*(BL$2:BL$126&gt;=0)*(BL$2:BL$126&lt;=12)*(BL$2:BL$126&lt;&gt;"")*($J$2:$J$126))</f>
        <v>441.44000000000005</v>
      </c>
      <c r="BM149" s="79" cm="1">
        <f t="array" ref="BM149">SUMPRODUCT(($B$2:$B$126=4)*(BM$2:BM$126&gt;=0)*(BM$2:BM$126&lt;=12)*(BM$2:BM$126&lt;&gt;"")*($J$2:$J$126))</f>
        <v>467.61000000000007</v>
      </c>
      <c r="BN149" s="79" cm="1">
        <f t="array" ref="BN149">SUMPRODUCT(($B$2:$B$126=4)*(BN$2:BN$126&gt;=0)*(BN$2:BN$126&lt;=12)*(BN$2:BN$126&lt;&gt;"")*($J$2:$J$126))</f>
        <v>509.77000000000004</v>
      </c>
      <c r="BO149" s="79" cm="1">
        <f t="array" ref="BO149">SUMPRODUCT(($B$2:$B$126=4)*(BO$2:BO$126&gt;=0)*(BO$2:BO$126&lt;=12)*(BO$2:BO$126&lt;&gt;"")*($J$2:$J$126))</f>
        <v>506.27000000000004</v>
      </c>
      <c r="BP149" s="79" cm="1">
        <f t="array" ref="BP149">SUMPRODUCT(($B$2:$B$126=4)*(BP$2:BP$126&gt;=0)*(BP$2:BP$126&lt;=12)*(BP$2:BP$126&lt;&gt;"")*($J$2:$J$126))</f>
        <v>506.27000000000004</v>
      </c>
      <c r="BQ149" s="79" cm="1">
        <f t="array" ref="BQ149">SUMPRODUCT(($B$2:$B$126=4)*(BQ$2:BQ$126&gt;=0)*(BQ$2:BQ$126&lt;=12)*(BQ$2:BQ$126&lt;&gt;"")*($J$2:$J$126))</f>
        <v>399.61</v>
      </c>
      <c r="BR149" s="79" cm="1">
        <f t="array" ref="BR149">SUMPRODUCT(($B$2:$B$126=4)*(BR$2:BR$126&gt;=0)*(BR$2:BR$126&lt;=12)*(BR$2:BR$126&lt;&gt;"")*($J$2:$J$126))</f>
        <v>391.59000000000003</v>
      </c>
      <c r="BS149" s="79" cm="1">
        <f t="array" ref="BS149">SUMPRODUCT(($B$2:$B$126=4)*(BS$2:BS$126&gt;=0)*(BS$2:BS$126&lt;=12)*(BS$2:BS$126&lt;&gt;"")*($J$2:$J$126))</f>
        <v>341.43</v>
      </c>
      <c r="BT149" s="79" cm="1">
        <f t="array" ref="BT149">SUMPRODUCT(($B$2:$B$126=4)*(BT$2:BT$126&gt;=0)*(BT$2:BT$126&lt;=12)*(BT$2:BT$126&lt;&gt;"")*($J$2:$J$126))</f>
        <v>261.06</v>
      </c>
      <c r="BU149" s="79" cm="1">
        <f t="array" ref="BU149">SUMPRODUCT(($B$2:$B$126=4)*(BU$2:BU$126&gt;=0)*(BU$2:BU$126&lt;=12)*(BU$2:BU$126&lt;&gt;"")*($J$2:$J$126))</f>
        <v>243.06</v>
      </c>
      <c r="BV149" s="79" cm="1">
        <f t="array" ref="BV149">SUMPRODUCT(($B$2:$B$126=4)*(BV$2:BV$126&gt;=0)*(BV$2:BV$126&lt;=12)*(BV$2:BV$126&lt;&gt;"")*($J$2:$J$126))</f>
        <v>209.16000000000003</v>
      </c>
      <c r="BW149" s="79" cm="1">
        <f t="array" ref="BW149">SUMPRODUCT(($B$2:$B$126=4)*(BW$2:BW$126&gt;=0)*(BW$2:BW$126&lt;=12)*(BW$2:BW$126&lt;&gt;"")*($J$2:$J$126))</f>
        <v>209.16000000000003</v>
      </c>
      <c r="BX149" s="79" cm="1">
        <f t="array" ref="BX149">SUMPRODUCT(($B$2:$B$126=4)*(BX$2:BX$126&gt;=0)*(BX$2:BX$126&lt;=12)*(BX$2:BX$126&lt;&gt;"")*($J$2:$J$126))</f>
        <v>139.07</v>
      </c>
      <c r="BY149" s="79" cm="1">
        <f t="array" ref="BY149">SUMPRODUCT(($B$2:$B$126=4)*(BY$2:BY$126&gt;=0)*(BY$2:BY$126&lt;=12)*(BY$2:BY$126&lt;&gt;"")*($J$2:$J$126))</f>
        <v>94.94</v>
      </c>
      <c r="BZ149" s="79" cm="1">
        <f t="array" ref="BZ149">SUMPRODUCT(($B$2:$B$126=4)*(BZ$2:BZ$126&gt;=0)*(BZ$2:BZ$126&lt;=12)*(BZ$2:BZ$126&lt;&gt;"")*($J$2:$J$126))</f>
        <v>68.77</v>
      </c>
      <c r="CA149" s="79" cm="1">
        <f t="array" ref="CA149">SUMPRODUCT(($B$2:$B$126=4)*(CA$2:CA$126&gt;=0)*(CA$2:CA$126&lt;=12)*(CA$2:CA$126&lt;&gt;"")*($J$2:$J$126))</f>
        <v>26.61</v>
      </c>
      <c r="CB149" s="79" cm="1">
        <f t="array" ref="CB149">SUMPRODUCT(($B$2:$B$126=4)*(CB$2:CB$126&gt;=0)*(CB$2:CB$126&lt;=12)*(CB$2:CB$126&lt;&gt;"")*($J$2:$J$126))</f>
        <v>0</v>
      </c>
      <c r="CC149" s="79" cm="1">
        <f t="array" ref="CC149">SUMPRODUCT(($B$2:$B$126=4)*(CC$2:CC$126&gt;=0)*(CC$2:CC$126&lt;=12)*(CC$2:CC$126&lt;&gt;"")*($J$2:$J$126))</f>
        <v>0</v>
      </c>
      <c r="CD149" s="79" cm="1">
        <f t="array" ref="CD149">SUMPRODUCT(($B$2:$B$126=4)*(CD$2:CD$126&gt;=0)*(CD$2:CD$126&lt;=12)*(CD$2:CD$126&lt;&gt;"")*($J$2:$J$126))</f>
        <v>0</v>
      </c>
      <c r="CE149" s="79" cm="1">
        <f t="array" ref="CE149">SUMPRODUCT(($B$2:$B$126=4)*(CE$2:CE$126&gt;=0)*(CE$2:CE$126&lt;=12)*(CE$2:CE$126&lt;&gt;"")*($J$2:$J$126))</f>
        <v>0</v>
      </c>
      <c r="CF149" s="79" cm="1">
        <f t="array" ref="CF149">SUMPRODUCT(($B$2:$B$126=4)*(CF$2:CF$126&gt;=0)*(CF$2:CF$126&lt;=12)*(CF$2:CF$126&lt;&gt;"")*($J$2:$J$126))</f>
        <v>0</v>
      </c>
      <c r="CG149" s="79" cm="1">
        <f t="array" ref="CG149">SUMPRODUCT(($B$2:$B$126=4)*(CG$2:CG$126&gt;=0)*(CG$2:CG$126&lt;=12)*(CG$2:CG$126&lt;&gt;"")*($J$2:$J$126))</f>
        <v>0</v>
      </c>
      <c r="CH149" s="79" cm="1">
        <f t="array" ref="CH149">SUMPRODUCT(($B$2:$B$126=4)*(CH$2:CH$126&gt;=0)*(CH$2:CH$126&lt;=12)*(CH$2:CH$126&lt;&gt;"")*($J$2:$J$126))</f>
        <v>0</v>
      </c>
      <c r="CI149" s="79" cm="1">
        <f t="array" ref="CI149">SUMPRODUCT(($B$2:$B$126=4)*(CI$2:CI$126&gt;=0)*(CI$2:CI$126&lt;=12)*(CI$2:CI$126&lt;&gt;"")*($J$2:$J$126))</f>
        <v>0</v>
      </c>
      <c r="CJ149" s="79" cm="1">
        <f t="array" ref="CJ149">SUMPRODUCT(($B$2:$B$126=4)*(CJ$2:CJ$126&gt;=0)*(CJ$2:CJ$126&lt;=12)*(CJ$2:CJ$126&lt;&gt;"")*($J$2:$J$126))</f>
        <v>0</v>
      </c>
      <c r="CK149" s="79" cm="1">
        <f t="array" ref="CK149">SUMPRODUCT(($B$2:$B$126=4)*(CK$2:CK$126&gt;=0)*(CK$2:CK$126&lt;=12)*(CK$2:CK$126&lt;&gt;"")*($J$2:$J$126))</f>
        <v>0</v>
      </c>
      <c r="CL149" s="79" cm="1">
        <f t="array" ref="CL149">SUMPRODUCT(($B$2:$B$126=4)*(CL$2:CL$126&gt;=0)*(CL$2:CL$126&lt;=12)*(CL$2:CL$126&lt;&gt;"")*($J$2:$J$126))</f>
        <v>0</v>
      </c>
      <c r="CM149" s="79" cm="1">
        <f t="array" ref="CM149">SUMPRODUCT(($B$2:$B$126=4)*(CM$2:CM$126&gt;=0)*(CM$2:CM$126&lt;=12)*(CM$2:CM$126&lt;&gt;"")*($J$2:$J$126))</f>
        <v>0</v>
      </c>
      <c r="CN149" s="79" cm="1">
        <f t="array" ref="CN149">SUMPRODUCT(($B$2:$B$126=4)*(CN$2:CN$126&gt;=0)*(CN$2:CN$126&lt;=12)*(CN$2:CN$126&lt;&gt;"")*($J$2:$J$126))</f>
        <v>0</v>
      </c>
      <c r="CO149" s="79" cm="1">
        <f t="array" ref="CO149">SUMPRODUCT(($B$2:$B$126=4)*(CO$2:CO$126&gt;=0)*(CO$2:CO$126&lt;=12)*(CO$2:CO$126&lt;&gt;"")*($J$2:$J$126))</f>
        <v>0</v>
      </c>
      <c r="CP149" s="79" cm="1">
        <f t="array" ref="CP149">SUMPRODUCT(($B$2:$B$126=4)*(CP$2:CP$126&gt;=0)*(CP$2:CP$126&lt;=12)*(CP$2:CP$126&lt;&gt;"")*($J$2:$J$126))</f>
        <v>0</v>
      </c>
      <c r="CQ149" s="79" cm="1">
        <f t="array" ref="CQ149">SUMPRODUCT(($B$2:$B$126=4)*(CQ$2:CQ$126&gt;=0)*(CQ$2:CQ$126&lt;=12)*(CQ$2:CQ$126&lt;&gt;"")*($J$2:$J$126))</f>
        <v>0</v>
      </c>
      <c r="CR149" s="79" cm="1">
        <f t="array" ref="CR149">SUMPRODUCT(($B$2:$B$126=4)*(CR$2:CR$126&gt;=0)*(CR$2:CR$126&lt;=12)*(CR$2:CR$126&lt;&gt;"")*($J$2:$J$126))</f>
        <v>0</v>
      </c>
      <c r="CS149" s="79" cm="1">
        <f t="array" ref="CS149">SUMPRODUCT(($B$2:$B$126=4)*(CS$2:CS$126&gt;=0)*(CS$2:CS$126&lt;=12)*(CS$2:CS$126&lt;&gt;"")*($J$2:$J$126))</f>
        <v>0</v>
      </c>
      <c r="CT149" s="79" cm="1">
        <f t="array" ref="CT149">SUMPRODUCT(($B$2:$B$126=4)*(CT$2:CT$126&gt;=0)*(CT$2:CT$126&lt;=12)*(CT$2:CT$126&lt;&gt;"")*($J$2:$J$126))</f>
        <v>0</v>
      </c>
      <c r="CU149" s="79" cm="1">
        <f t="array" ref="CU149">SUMPRODUCT(($B$2:$B$126=4)*(CU$2:CU$126&gt;=0)*(CU$2:CU$126&lt;=12)*(CU$2:CU$126&lt;&gt;"")*($J$2:$J$126))</f>
        <v>0</v>
      </c>
      <c r="CV149" s="79" cm="1">
        <f t="array" ref="CV149">SUMPRODUCT(($B$2:$B$126=4)*(CV$2:CV$126&gt;=0)*(CV$2:CV$126&lt;=12)*(CV$2:CV$126&lt;&gt;"")*($J$2:$J$126))</f>
        <v>0</v>
      </c>
      <c r="CW149" s="79" cm="1">
        <f t="array" ref="CW149">SUMPRODUCT(($B$2:$B$126=4)*(CW$2:CW$126&gt;=0)*(CW$2:CW$126&lt;=12)*(CW$2:CW$126&lt;&gt;"")*($J$2:$J$126))</f>
        <v>0</v>
      </c>
      <c r="CX149" s="79" cm="1">
        <f t="array" ref="CX149">SUMPRODUCT(($B$2:$B$126=4)*(CX$2:CX$126&gt;=0)*(CX$2:CX$126&lt;=12)*(CX$2:CX$126&lt;&gt;"")*($J$2:$J$126))</f>
        <v>0</v>
      </c>
      <c r="CY149" s="79" cm="1">
        <f t="array" ref="CY149">SUMPRODUCT(($B$2:$B$126=4)*(CY$2:CY$126&gt;=0)*(CY$2:CY$126&lt;=12)*(CY$2:CY$126&lt;&gt;"")*($J$2:$J$126))</f>
        <v>0</v>
      </c>
      <c r="CZ149" s="79" cm="1">
        <f t="array" ref="CZ149">SUMPRODUCT(($B$2:$B$126=4)*(CZ$2:CZ$126&gt;=0)*(CZ$2:CZ$126&lt;=12)*(CZ$2:CZ$126&lt;&gt;"")*($J$2:$J$126))</f>
        <v>0</v>
      </c>
      <c r="DA149" s="79" cm="1">
        <f t="array" ref="DA149">SUMPRODUCT(($B$2:$B$126=4)*(DA$2:DA$126&gt;=0)*(DA$2:DA$126&lt;=12)*(DA$2:DA$126&lt;&gt;"")*($J$2:$J$126))</f>
        <v>0</v>
      </c>
      <c r="DB149" s="79" cm="1">
        <f t="array" ref="DB149">SUMPRODUCT(($B$2:$B$126=4)*(DB$2:DB$126&gt;=0)*(DB$2:DB$126&lt;=12)*(DB$2:DB$126&lt;&gt;"")*($J$2:$J$126))</f>
        <v>0</v>
      </c>
      <c r="DC149" s="79" cm="1">
        <f t="array" ref="DC149">SUMPRODUCT(($B$2:$B$126=4)*(DC$2:DC$126&gt;=0)*(DC$2:DC$126&lt;=12)*(DC$2:DC$126&lt;&gt;"")*($J$2:$J$126))</f>
        <v>0</v>
      </c>
      <c r="DD149" s="79" cm="1">
        <f t="array" ref="DD149">SUMPRODUCT(($B$2:$B$126=4)*(DD$2:DD$126&gt;=0)*(DD$2:DD$126&lt;=12)*(DD$2:DD$126&lt;&gt;"")*($J$2:$J$126))</f>
        <v>0</v>
      </c>
      <c r="DE149" s="79" cm="1">
        <f t="array" ref="DE149">SUMPRODUCT(($B$2:$B$126=4)*(DE$2:DE$126&gt;=0)*(DE$2:DE$126&lt;=12)*(DE$2:DE$126&lt;&gt;"")*($J$2:$J$126))</f>
        <v>0</v>
      </c>
      <c r="DF149" s="79" cm="1">
        <f t="array" ref="DF149">SUMPRODUCT(($B$2:$B$126=4)*(DF$2:DF$126&gt;=0)*(DF$2:DF$126&lt;=12)*(DF$2:DF$126&lt;&gt;"")*($J$2:$J$126))</f>
        <v>0</v>
      </c>
      <c r="DG149" s="79" cm="1">
        <f t="array" ref="DG149">SUMPRODUCT(($B$2:$B$126=4)*(DG$2:DG$126&gt;=0)*(DG$2:DG$126&lt;=12)*(DG$2:DG$126&lt;&gt;"")*($J$2:$J$126))</f>
        <v>0</v>
      </c>
      <c r="DH149" s="79" cm="1">
        <f t="array" ref="DH149">SUMPRODUCT(($B$2:$B$126=4)*(DH$2:DH$126&gt;=0)*(DH$2:DH$126&lt;=12)*(DH$2:DH$126&lt;&gt;"")*($J$2:$J$126))</f>
        <v>0</v>
      </c>
      <c r="DI149" s="79" cm="1">
        <f t="array" ref="DI149">SUMPRODUCT(($B$2:$B$126=4)*(DI$2:DI$126&gt;=0)*(DI$2:DI$126&lt;=12)*(DI$2:DI$126&lt;&gt;"")*($J$2:$J$126))</f>
        <v>0</v>
      </c>
      <c r="DJ149" s="79" cm="1">
        <f t="array" ref="DJ149">SUMPRODUCT(($B$2:$B$126=4)*(DJ$2:DJ$126&gt;=0)*(DJ$2:DJ$126&lt;=12)*(DJ$2:DJ$126&lt;&gt;"")*($J$2:$J$126))</f>
        <v>0</v>
      </c>
      <c r="DK149" s="79" cm="1">
        <f t="array" ref="DK149">SUMPRODUCT(($B$2:$B$126=4)*(DK$2:DK$126&gt;=0)*(DK$2:DK$126&lt;=12)*(DK$2:DK$126&lt;&gt;"")*($J$2:$J$126))</f>
        <v>0</v>
      </c>
      <c r="DL149" s="79" cm="1">
        <f t="array" ref="DL149">SUMPRODUCT(($B$2:$B$126=4)*(DL$2:DL$126&gt;=0)*(DL$2:DL$126&lt;=12)*(DL$2:DL$126&lt;&gt;"")*($J$2:$J$126))</f>
        <v>0</v>
      </c>
      <c r="DM149" s="79" cm="1">
        <f t="array" ref="DM149">SUMPRODUCT(($B$2:$B$126=4)*(DM$2:DM$126&gt;=0)*(DM$2:DM$126&lt;=12)*(DM$2:DM$126&lt;&gt;"")*($J$2:$J$126))</f>
        <v>0</v>
      </c>
      <c r="DN149" s="79" cm="1">
        <f t="array" ref="DN149">SUMPRODUCT(($B$2:$B$126=4)*(DN$2:DN$126&gt;=0)*(DN$2:DN$126&lt;=12)*(DN$2:DN$126&lt;&gt;"")*($J$2:$J$126))</f>
        <v>0</v>
      </c>
      <c r="DO149" s="79" cm="1">
        <f t="array" ref="DO149">SUMPRODUCT(($B$2:$B$126=4)*(DO$2:DO$126&gt;=0)*(DO$2:DO$126&lt;=12)*(DO$2:DO$126&lt;&gt;"")*($J$2:$J$126))</f>
        <v>0</v>
      </c>
      <c r="DP149" s="79" cm="1">
        <f t="array" ref="DP149">SUMPRODUCT(($B$2:$B$126=4)*(DP$2:DP$126&gt;=0)*(DP$2:DP$126&lt;=12)*(DP$2:DP$126&lt;&gt;"")*($J$2:$J$126))</f>
        <v>0</v>
      </c>
      <c r="DQ149" s="79" cm="1">
        <f t="array" ref="DQ149">SUMPRODUCT(($B$2:$B$126=4)*(DQ$2:DQ$126&gt;=0)*(DQ$2:DQ$126&lt;=12)*(DQ$2:DQ$126&lt;&gt;"")*($J$2:$J$126))</f>
        <v>0</v>
      </c>
      <c r="DR149" s="79" cm="1">
        <f t="array" ref="DR149">SUMPRODUCT(($B$2:$B$126=4)*(DR$2:DR$126&gt;=0)*(DR$2:DR$126&lt;=12)*(DR$2:DR$126&lt;&gt;"")*($J$2:$J$126))</f>
        <v>0</v>
      </c>
      <c r="DS149" s="79" cm="1">
        <f t="array" ref="DS149">SUMPRODUCT(($B$2:$B$126=4)*(DS$2:DS$126&gt;=0)*(DS$2:DS$126&lt;=12)*(DS$2:DS$126&lt;&gt;"")*($J$2:$J$126))</f>
        <v>0</v>
      </c>
      <c r="DT149" s="79" cm="1">
        <f t="array" ref="DT149">SUMPRODUCT(($B$2:$B$126=4)*(DT$2:DT$126&gt;=0)*(DT$2:DT$126&lt;=12)*(DT$2:DT$126&lt;&gt;"")*($J$2:$J$126))</f>
        <v>0</v>
      </c>
      <c r="DU149" s="79" cm="1">
        <f t="array" ref="DU149">SUMPRODUCT(($B$2:$B$126=4)*(DU$2:DU$126&gt;=0)*(DU$2:DU$126&lt;=12)*(DU$2:DU$126&lt;&gt;"")*($J$2:$J$126))</f>
        <v>0</v>
      </c>
      <c r="DV149" s="79" cm="1">
        <f t="array" ref="DV149">SUMPRODUCT(($B$2:$B$126=4)*(DV$2:DV$126&gt;=0)*(DV$2:DV$126&lt;=12)*(DV$2:DV$126&lt;&gt;"")*($J$2:$J$126))</f>
        <v>0</v>
      </c>
      <c r="DW149" s="79" cm="1">
        <f t="array" ref="DW149">SUMPRODUCT(($B$2:$B$126=4)*(DW$2:DW$126&gt;=0)*(DW$2:DW$126&lt;=12)*(DW$2:DW$126&lt;&gt;"")*($J$2:$J$126))</f>
        <v>0</v>
      </c>
      <c r="DX149" s="79" cm="1">
        <f t="array" ref="DX149">SUMPRODUCT(($B$2:$B$126=4)*(DX$2:DX$126&gt;=0)*(DX$2:DX$126&lt;=12)*(DX$2:DX$126&lt;&gt;"")*($J$2:$J$126))</f>
        <v>0</v>
      </c>
      <c r="DY149" s="79" cm="1">
        <f t="array" ref="DY149">SUMPRODUCT(($B$2:$B$126=4)*(DY$2:DY$126&gt;=0)*(DY$2:DY$126&lt;=12)*(DY$2:DY$126&lt;&gt;"")*($J$2:$J$126))</f>
        <v>0</v>
      </c>
      <c r="DZ149" s="79" cm="1">
        <f t="array" ref="DZ149">SUMPRODUCT(($B$2:$B$126=4)*(DZ$2:DZ$126&gt;=0)*(DZ$2:DZ$126&lt;=12)*(DZ$2:DZ$126&lt;&gt;"")*($J$2:$J$126))</f>
        <v>0</v>
      </c>
      <c r="EA149" s="79" cm="1">
        <f t="array" ref="EA149">SUMPRODUCT(($B$2:$B$126=4)*(EA$2:EA$126&gt;=0)*(EA$2:EA$126&lt;=12)*(EA$2:EA$126&lt;&gt;"")*($J$2:$J$126))</f>
        <v>0</v>
      </c>
      <c r="EB149" s="79" cm="1">
        <f t="array" ref="EB149">SUMPRODUCT(($B$2:$B$126=4)*(EB$2:EB$126&gt;=0)*(EB$2:EB$126&lt;=12)*(EB$2:EB$126&lt;&gt;"")*($J$2:$J$126))</f>
        <v>0</v>
      </c>
      <c r="EC149" s="79" cm="1">
        <f t="array" ref="EC149">SUMPRODUCT(($B$2:$B$126=4)*(EC$2:EC$126&gt;=0)*(EC$2:EC$126&lt;=12)*(EC$2:EC$126&lt;&gt;"")*($J$2:$J$126))</f>
        <v>0</v>
      </c>
      <c r="ED149" s="79" cm="1">
        <f t="array" ref="ED149">SUMPRODUCT(($B$2:$B$126=4)*(ED$2:ED$126&gt;=0)*(ED$2:ED$126&lt;=12)*(ED$2:ED$126&lt;&gt;"")*($J$2:$J$126))</f>
        <v>0</v>
      </c>
      <c r="EE149" s="79" cm="1">
        <f t="array" ref="EE149">SUMPRODUCT(($B$2:$B$126=4)*(EE$2:EE$126&gt;=0)*(EE$2:EE$126&lt;=12)*(EE$2:EE$126&lt;&gt;"")*($J$2:$J$126))</f>
        <v>0</v>
      </c>
      <c r="EF149" s="79" cm="1">
        <f t="array" ref="EF149">SUMPRODUCT(($B$2:$B$126=4)*(EF$2:EF$126&gt;=0)*(EF$2:EF$126&lt;=12)*(EF$2:EF$126&lt;&gt;"")*($J$2:$J$126))</f>
        <v>0</v>
      </c>
      <c r="EG149" s="79" cm="1">
        <f t="array" ref="EG149">SUMPRODUCT(($B$2:$B$126=4)*(EG$2:EG$126&gt;=0)*(EG$2:EG$126&lt;=12)*(EG$2:EG$126&lt;&gt;"")*($J$2:$J$126))</f>
        <v>0</v>
      </c>
      <c r="EH149" s="79" cm="1">
        <f t="array" ref="EH149">SUMPRODUCT(($B$2:$B$126=4)*(EH$2:EH$126&gt;=0)*(EH$2:EH$126&lt;=12)*(EH$2:EH$126&lt;&gt;"")*($J$2:$J$126))</f>
        <v>0</v>
      </c>
      <c r="EI149" s="79" cm="1">
        <f t="array" ref="EI149">SUMPRODUCT(($B$2:$B$126=4)*(EI$2:EI$126&gt;=0)*(EI$2:EI$126&lt;=12)*(EI$2:EI$126&lt;&gt;"")*($J$2:$J$126))</f>
        <v>0</v>
      </c>
      <c r="EJ149" s="79" cm="1">
        <f t="array" ref="EJ149">SUMPRODUCT(($B$2:$B$126=4)*(EJ$2:EJ$126&gt;=0)*(EJ$2:EJ$126&lt;=12)*(EJ$2:EJ$126&lt;&gt;"")*($J$2:$J$126))</f>
        <v>0</v>
      </c>
      <c r="EK149" s="79" cm="1">
        <f t="array" ref="EK149">SUMPRODUCT(($B$2:$B$126=4)*(EK$2:EK$126&gt;=0)*(EK$2:EK$126&lt;=12)*(EK$2:EK$126&lt;&gt;"")*($J$2:$J$126))</f>
        <v>0</v>
      </c>
      <c r="EL149" s="79" cm="1">
        <f t="array" ref="EL149">SUMPRODUCT(($B$2:$B$126=4)*(EL$2:EL$126&gt;=0)*(EL$2:EL$126&lt;=12)*(EL$2:EL$126&lt;&gt;"")*($J$2:$J$126))</f>
        <v>0</v>
      </c>
      <c r="EM149" s="79" cm="1">
        <f t="array" ref="EM149">SUMPRODUCT(($B$2:$B$126=4)*(EM$2:EM$126&gt;=0)*(EM$2:EM$126&lt;=12)*(EM$2:EM$126&lt;&gt;"")*($J$2:$J$126))</f>
        <v>0</v>
      </c>
      <c r="EN149" s="79" cm="1">
        <f t="array" ref="EN149">SUMPRODUCT(($B$2:$B$126=4)*(EN$2:EN$126&gt;=0)*(EN$2:EN$126&lt;=12)*(EN$2:EN$126&lt;&gt;"")*($J$2:$J$126))</f>
        <v>0</v>
      </c>
      <c r="EO149" s="79" cm="1">
        <f t="array" ref="EO149">SUMPRODUCT(($B$2:$B$126=4)*(EO$2:EO$126&gt;=0)*(EO$2:EO$126&lt;=12)*(EO$2:EO$126&lt;&gt;"")*($J$2:$J$126))</f>
        <v>0</v>
      </c>
      <c r="EP149" s="79" cm="1">
        <f t="array" ref="EP149">SUMPRODUCT(($B$2:$B$126=4)*(EP$2:EP$126&gt;=0)*(EP$2:EP$126&lt;=12)*(EP$2:EP$126&lt;&gt;"")*($J$2:$J$126))</f>
        <v>0</v>
      </c>
      <c r="EQ149" s="79" cm="1">
        <f t="array" ref="EQ149">SUMPRODUCT(($B$2:$B$126=4)*(EQ$2:EQ$126&gt;=0)*(EQ$2:EQ$126&lt;=12)*(EQ$2:EQ$126&lt;&gt;"")*($J$2:$J$126))</f>
        <v>0</v>
      </c>
      <c r="ER149" s="79" cm="1">
        <f t="array" ref="ER149">SUMPRODUCT(($B$2:$B$126=4)*(ER$2:ER$126&gt;=0)*(ER$2:ER$126&lt;=12)*(ER$2:ER$126&lt;&gt;"")*($J$2:$J$126))</f>
        <v>0</v>
      </c>
      <c r="ES149" s="79" cm="1">
        <f t="array" ref="ES149">SUMPRODUCT(($B$2:$B$126=4)*(ES$2:ES$126&gt;=0)*(ES$2:ES$126&lt;=12)*(ES$2:ES$126&lt;&gt;"")*($J$2:$J$126))</f>
        <v>0</v>
      </c>
      <c r="ET149" s="79" cm="1">
        <f t="array" ref="ET149">SUMPRODUCT(($B$2:$B$126=4)*(ET$2:ET$126&gt;=0)*(ET$2:ET$126&lt;=12)*(ET$2:ET$126&lt;&gt;"")*($J$2:$J$126))</f>
        <v>0</v>
      </c>
      <c r="EU149" s="79" cm="1">
        <f t="array" ref="EU149">SUMPRODUCT(($B$2:$B$126=4)*(EU$2:EU$126&gt;=0)*(EU$2:EU$126&lt;=12)*(EU$2:EU$126&lt;&gt;"")*($J$2:$J$126))</f>
        <v>0</v>
      </c>
      <c r="EV149" s="79" cm="1">
        <f t="array" ref="EV149">SUMPRODUCT(($B$2:$B$126=4)*(EV$2:EV$126&gt;=0)*(EV$2:EV$126&lt;=12)*(EV$2:EV$126&lt;&gt;"")*($J$2:$J$126))</f>
        <v>0</v>
      </c>
      <c r="EW149" s="79" cm="1">
        <f t="array" ref="EW149">SUMPRODUCT(($B$2:$B$126=4)*(EW$2:EW$126&gt;=0)*(EW$2:EW$126&lt;=12)*(EW$2:EW$126&lt;&gt;"")*($J$2:$J$126))</f>
        <v>0</v>
      </c>
      <c r="EX149" s="79" cm="1">
        <f t="array" ref="EX149">SUMPRODUCT(($B$2:$B$126=4)*(EX$2:EX$126&gt;=0)*(EX$2:EX$126&lt;=12)*(EX$2:EX$126&lt;&gt;"")*($J$2:$J$126))</f>
        <v>0</v>
      </c>
      <c r="EY149" s="79" cm="1">
        <f t="array" ref="EY149">SUMPRODUCT(($B$2:$B$126=4)*(EY$2:EY$126&gt;=0)*(EY$2:EY$126&lt;=12)*(EY$2:EY$126&lt;&gt;"")*($J$2:$J$126))</f>
        <v>0</v>
      </c>
      <c r="EZ149" s="79" cm="1">
        <f t="array" ref="EZ149">SUMPRODUCT(($B$2:$B$126=4)*(EZ$2:EZ$126&gt;=0)*(EZ$2:EZ$126&lt;=12)*(EZ$2:EZ$126&lt;&gt;"")*($J$2:$J$126))</f>
        <v>0</v>
      </c>
      <c r="FA149" s="79" cm="1">
        <f t="array" ref="FA149">SUMPRODUCT(($B$2:$B$126=4)*(FA$2:FA$126&gt;=0)*(FA$2:FA$126&lt;=12)*(FA$2:FA$126&lt;&gt;"")*($J$2:$J$126))</f>
        <v>0</v>
      </c>
      <c r="FB149" s="79" cm="1">
        <f t="array" ref="FB149">SUMPRODUCT(($B$2:$B$126=4)*(FB$2:FB$126&gt;=0)*(FB$2:FB$126&lt;=12)*(FB$2:FB$126&lt;&gt;"")*($J$2:$J$126))</f>
        <v>0</v>
      </c>
      <c r="FC149" s="79" cm="1">
        <f t="array" ref="FC149">SUMPRODUCT(($B$2:$B$126=4)*(FC$2:FC$126&gt;=0)*(FC$2:FC$126&lt;=12)*(FC$2:FC$126&lt;&gt;"")*($J$2:$J$126))</f>
        <v>0</v>
      </c>
      <c r="FD149" s="79" cm="1">
        <f t="array" ref="FD149">SUMPRODUCT(($B$2:$B$126=4)*(FD$2:FD$126&gt;=0)*(FD$2:FD$126&lt;=12)*(FD$2:FD$126&lt;&gt;"")*($J$2:$J$126))</f>
        <v>0</v>
      </c>
      <c r="FE149" s="79" cm="1">
        <f t="array" ref="FE149">SUMPRODUCT(($B$2:$B$126=4)*(FE$2:FE$126&gt;=0)*(FE$2:FE$126&lt;=12)*(FE$2:FE$126&lt;&gt;"")*($J$2:$J$126))</f>
        <v>0</v>
      </c>
      <c r="FF149" s="79" cm="1">
        <f t="array" ref="FF149">SUMPRODUCT(($B$2:$B$126=4)*(FF$2:FF$126&gt;=0)*(FF$2:FF$126&lt;=12)*(FF$2:FF$126&lt;&gt;"")*($J$2:$J$126))</f>
        <v>0</v>
      </c>
      <c r="FG149" s="79" cm="1">
        <f t="array" ref="FG149">SUMPRODUCT(($B$2:$B$126=4)*(FG$2:FG$126&gt;=0)*(FG$2:FG$126&lt;=12)*(FG$2:FG$126&lt;&gt;"")*($J$2:$J$126))</f>
        <v>0</v>
      </c>
      <c r="FH149" s="79" cm="1">
        <f t="array" ref="FH149">SUMPRODUCT(($B$2:$B$126=4)*(FH$2:FH$126&gt;=0)*(FH$2:FH$126&lt;=12)*(FH$2:FH$126&lt;&gt;"")*($J$2:$J$126))</f>
        <v>0</v>
      </c>
      <c r="FI149" s="79" cm="1">
        <f t="array" ref="FI149">SUMPRODUCT(($B$2:$B$126=4)*(FI$2:FI$126&gt;=0)*(FI$2:FI$126&lt;=12)*(FI$2:FI$126&lt;&gt;"")*($J$2:$J$126))</f>
        <v>0</v>
      </c>
      <c r="FJ149" s="79" cm="1">
        <f t="array" ref="FJ149">SUMPRODUCT(($B$2:$B$126=4)*(FJ$2:FJ$126&gt;=0)*(FJ$2:FJ$126&lt;=12)*(FJ$2:FJ$126&lt;&gt;"")*($J$2:$J$126))</f>
        <v>0</v>
      </c>
      <c r="FK149" s="79" cm="1">
        <f t="array" ref="FK149">SUMPRODUCT(($B$2:$B$126=4)*(FK$2:FK$126&gt;=0)*(FK$2:FK$126&lt;=12)*(FK$2:FK$126&lt;&gt;"")*($J$2:$J$126))</f>
        <v>0</v>
      </c>
      <c r="FL149" s="79" cm="1">
        <f t="array" ref="FL149">SUMPRODUCT(($B$2:$B$126=4)*(FL$2:FL$126&gt;=0)*(FL$2:FL$126&lt;=12)*(FL$2:FL$126&lt;&gt;"")*($J$2:$J$126))</f>
        <v>0</v>
      </c>
      <c r="FM149" s="79" cm="1">
        <f t="array" ref="FM149">SUMPRODUCT(($B$2:$B$126=4)*(FM$2:FM$126&gt;=0)*(FM$2:FM$126&lt;=12)*(FM$2:FM$126&lt;&gt;"")*($J$2:$J$126))</f>
        <v>0</v>
      </c>
      <c r="FN149" s="79" cm="1">
        <f t="array" ref="FN149">SUMPRODUCT(($B$2:$B$126=4)*(FN$2:FN$126&gt;=0)*(FN$2:FN$126&lt;=12)*(FN$2:FN$126&lt;&gt;"")*($J$2:$J$126))</f>
        <v>0</v>
      </c>
      <c r="FO149" s="79" cm="1">
        <f t="array" ref="FO149">SUMPRODUCT(($B$2:$B$126=4)*(FO$2:FO$126&gt;=0)*(FO$2:FO$126&lt;=12)*(FO$2:FO$126&lt;&gt;"")*($J$2:$J$126))</f>
        <v>0</v>
      </c>
      <c r="FP149" s="79" cm="1">
        <f t="array" ref="FP149">SUMPRODUCT(($B$2:$B$126=4)*(FP$2:FP$126&gt;=0)*(FP$2:FP$126&lt;=12)*(FP$2:FP$126&lt;&gt;"")*($J$2:$J$126))</f>
        <v>0</v>
      </c>
      <c r="FQ149" s="79" cm="1">
        <f t="array" ref="FQ149">SUMPRODUCT(($B$2:$B$126=4)*(FQ$2:FQ$126&gt;=0)*(FQ$2:FQ$126&lt;=12)*(FQ$2:FQ$126&lt;&gt;"")*($J$2:$J$126))</f>
        <v>0</v>
      </c>
      <c r="FR149" s="79" cm="1">
        <f t="array" ref="FR149">SUMPRODUCT(($B$2:$B$126=4)*(FR$2:FR$126&gt;=0)*(FR$2:FR$126&lt;=12)*(FR$2:FR$126&lt;&gt;"")*($J$2:$J$126))</f>
        <v>0</v>
      </c>
      <c r="FS149" s="79" cm="1">
        <f t="array" ref="FS149">SUMPRODUCT(($B$2:$B$126=4)*(FS$2:FS$126&gt;=0)*(FS$2:FS$126&lt;=12)*(FS$2:FS$126&lt;&gt;"")*($J$2:$J$126))</f>
        <v>0</v>
      </c>
      <c r="FT149" s="79" cm="1">
        <f t="array" ref="FT149">SUMPRODUCT(($B$2:$B$126=4)*(FT$2:FT$126&gt;=0)*(FT$2:FT$126&lt;=12)*(FT$2:FT$126&lt;&gt;"")*($J$2:$J$126))</f>
        <v>0</v>
      </c>
      <c r="FU149" s="79" cm="1">
        <f t="array" ref="FU149">SUMPRODUCT(($B$2:$B$126=4)*(FU$2:FU$126&gt;=0)*(FU$2:FU$126&lt;=12)*(FU$2:FU$126&lt;&gt;"")*($J$2:$J$126))</f>
        <v>0</v>
      </c>
      <c r="FV149" s="79" cm="1">
        <f t="array" ref="FV149">SUMPRODUCT(($B$2:$B$126=4)*(FV$2:FV$126&gt;=0)*(FV$2:FV$126&lt;=12)*(FV$2:FV$126&lt;&gt;"")*($J$2:$J$126))</f>
        <v>0</v>
      </c>
      <c r="FW149" s="79" cm="1">
        <f t="array" ref="FW149">SUMPRODUCT(($B$2:$B$126=4)*(FW$2:FW$126&gt;=0)*(FW$2:FW$126&lt;=12)*(FW$2:FW$126&lt;&gt;"")*($J$2:$J$126))</f>
        <v>0</v>
      </c>
      <c r="FX149" s="79" cm="1">
        <f t="array" ref="FX149">SUMPRODUCT(($B$2:$B$126=4)*(FX$2:FX$126&gt;=0)*(FX$2:FX$126&lt;=12)*(FX$2:FX$126&lt;&gt;"")*($J$2:$J$126))</f>
        <v>0</v>
      </c>
      <c r="FY149" s="79" cm="1">
        <f t="array" ref="FY149">SUMPRODUCT(($B$2:$B$126=4)*(FY$2:FY$126&gt;=0)*(FY$2:FY$126&lt;=12)*(FY$2:FY$126&lt;&gt;"")*($J$2:$J$126))</f>
        <v>0</v>
      </c>
      <c r="FZ149" s="79" cm="1">
        <f t="array" ref="FZ149">SUMPRODUCT(($B$2:$B$126=4)*(FZ$2:FZ$126&gt;=0)*(FZ$2:FZ$126&lt;=12)*(FZ$2:FZ$126&lt;&gt;"")*($J$2:$J$126))</f>
        <v>0</v>
      </c>
      <c r="GA149" s="79" cm="1">
        <f t="array" ref="GA149">SUMPRODUCT(($B$2:$B$126=4)*(GA$2:GA$126&gt;=0)*(GA$2:GA$126&lt;=12)*(GA$2:GA$126&lt;&gt;"")*($J$2:$J$126))</f>
        <v>0</v>
      </c>
      <c r="GB149" s="79" cm="1">
        <f t="array" ref="GB149">SUMPRODUCT(($B$2:$B$126=4)*(GB$2:GB$126&gt;=0)*(GB$2:GB$126&lt;=12)*(GB$2:GB$126&lt;&gt;"")*($J$2:$J$126))</f>
        <v>0</v>
      </c>
      <c r="GC149" s="79" cm="1">
        <f t="array" ref="GC149">SUMPRODUCT(($B$2:$B$126=4)*(GC$2:GC$126&gt;=0)*(GC$2:GC$126&lt;=12)*(GC$2:GC$126&lt;&gt;"")*($J$2:$J$126))</f>
        <v>0</v>
      </c>
      <c r="GD149" s="79" cm="1">
        <f t="array" ref="GD149">SUMPRODUCT(($B$2:$B$126=4)*(GD$2:GD$126&gt;=0)*(GD$2:GD$126&lt;=12)*(GD$2:GD$126&lt;&gt;"")*($J$2:$J$126))</f>
        <v>0</v>
      </c>
      <c r="GE149" s="79" cm="1">
        <f t="array" ref="GE149">SUMPRODUCT(($B$2:$B$126=4)*(GE$2:GE$126&gt;=0)*(GE$2:GE$126&lt;=12)*(GE$2:GE$126&lt;&gt;"")*($J$2:$J$126))</f>
        <v>0</v>
      </c>
      <c r="GF149" s="79" cm="1">
        <f t="array" ref="GF149">SUMPRODUCT(($B$2:$B$126=4)*(GF$2:GF$126&gt;=0)*(GF$2:GF$126&lt;=12)*(GF$2:GF$126&lt;&gt;"")*($J$2:$J$126))</f>
        <v>0</v>
      </c>
      <c r="GG149" s="79" cm="1">
        <f t="array" ref="GG149">SUMPRODUCT(($B$2:$B$126=4)*(GG$2:GG$126&gt;=0)*(GG$2:GG$126&lt;=12)*(GG$2:GG$126&lt;&gt;"")*($J$2:$J$126))</f>
        <v>0</v>
      </c>
      <c r="GH149" s="79" cm="1">
        <f t="array" ref="GH149">SUMPRODUCT(($B$2:$B$126=4)*(GH$2:GH$126&gt;=0)*(GH$2:GH$126&lt;=12)*(GH$2:GH$126&lt;&gt;"")*($J$2:$J$126))</f>
        <v>0</v>
      </c>
      <c r="GI149" s="79" cm="1">
        <f t="array" ref="GI149">SUMPRODUCT(($B$2:$B$126=4)*(GI$2:GI$126&gt;=0)*(GI$2:GI$126&lt;=12)*(GI$2:GI$126&lt;&gt;"")*($J$2:$J$126))</f>
        <v>0</v>
      </c>
      <c r="GJ149" s="79" cm="1">
        <f t="array" ref="GJ149">SUMPRODUCT(($B$2:$B$126=4)*(GJ$2:GJ$126&gt;=0)*(GJ$2:GJ$126&lt;=12)*(GJ$2:GJ$126&lt;&gt;"")*($J$2:$J$126))</f>
        <v>0</v>
      </c>
      <c r="GK149" s="79" cm="1">
        <f t="array" ref="GK149">SUMPRODUCT(($B$2:$B$126=4)*(GK$2:GK$126&gt;=0)*(GK$2:GK$126&lt;=12)*(GK$2:GK$126&lt;&gt;"")*($J$2:$J$126))</f>
        <v>0</v>
      </c>
      <c r="GL149" s="79" cm="1">
        <f t="array" ref="GL149">SUMPRODUCT(($B$2:$B$126=4)*(GL$2:GL$126&gt;=0)*(GL$2:GL$126&lt;=12)*(GL$2:GL$126&lt;&gt;"")*($J$2:$J$126))</f>
        <v>0</v>
      </c>
      <c r="GM149" s="79" cm="1">
        <f t="array" ref="GM149">SUMPRODUCT(($B$2:$B$126=4)*(GM$2:GM$126&gt;=0)*(GM$2:GM$126&lt;=12)*(GM$2:GM$126&lt;&gt;"")*($J$2:$J$126))</f>
        <v>0</v>
      </c>
      <c r="GN149" s="79" cm="1">
        <f t="array" ref="GN149">SUMPRODUCT(($B$2:$B$126=4)*(GN$2:GN$126&gt;=0)*(GN$2:GN$126&lt;=12)*(GN$2:GN$126&lt;&gt;"")*($J$2:$J$126))</f>
        <v>0</v>
      </c>
      <c r="GO149" s="79" cm="1">
        <f t="array" ref="GO149">SUMPRODUCT(($B$2:$B$126=4)*(GO$2:GO$126&gt;=0)*(GO$2:GO$126&lt;=12)*(GO$2:GO$126&lt;&gt;"")*($J$2:$J$126))</f>
        <v>0</v>
      </c>
      <c r="GP149" s="79" cm="1">
        <f t="array" ref="GP149">SUMPRODUCT(($B$2:$B$126=4)*(GP$2:GP$126&gt;=0)*(GP$2:GP$126&lt;=12)*(GP$2:GP$126&lt;&gt;"")*($J$2:$J$126))</f>
        <v>0</v>
      </c>
      <c r="GQ149" s="79" cm="1">
        <f t="array" ref="GQ149">SUMPRODUCT(($B$2:$B$126=4)*(GQ$2:GQ$126&gt;=0)*(GQ$2:GQ$126&lt;=12)*(GQ$2:GQ$126&lt;&gt;"")*($J$2:$J$126))</f>
        <v>0</v>
      </c>
      <c r="GR149" s="79" cm="1">
        <f t="array" ref="GR149">SUMPRODUCT(($B$2:$B$126=4)*(GR$2:GR$126&gt;=0)*(GR$2:GR$126&lt;=12)*(GR$2:GR$126&lt;&gt;"")*($J$2:$J$126))</f>
        <v>0</v>
      </c>
      <c r="GS149" s="79" cm="1">
        <f t="array" ref="GS149">SUMPRODUCT(($B$2:$B$126=4)*(GS$2:GS$126&gt;=0)*(GS$2:GS$126&lt;=12)*(GS$2:GS$126&lt;&gt;"")*($J$2:$J$126))</f>
        <v>0</v>
      </c>
      <c r="GT149" s="79" cm="1">
        <f t="array" ref="GT149">SUMPRODUCT(($B$2:$B$126=4)*(GT$2:GT$126&gt;=0)*(GT$2:GT$126&lt;=12)*(GT$2:GT$126&lt;&gt;"")*($J$2:$J$126))</f>
        <v>0</v>
      </c>
      <c r="GU149" s="79" cm="1">
        <f t="array" ref="GU149">SUMPRODUCT(($B$2:$B$126=4)*(GU$2:GU$126&gt;=0)*(GU$2:GU$126&lt;=12)*(GU$2:GU$126&lt;&gt;"")*($J$2:$J$126))</f>
        <v>0</v>
      </c>
      <c r="GV149" s="79" cm="1">
        <f t="array" ref="GV149">SUMPRODUCT(($B$2:$B$126=4)*(GV$2:GV$126&gt;=0)*(GV$2:GV$126&lt;=12)*(GV$2:GV$126&lt;&gt;"")*($J$2:$J$126))</f>
        <v>0</v>
      </c>
      <c r="GW149" s="79" cm="1">
        <f t="array" ref="GW149">SUMPRODUCT(($B$2:$B$126=4)*(GW$2:GW$126&gt;=0)*(GW$2:GW$126&lt;=12)*(GW$2:GW$126&lt;&gt;"")*($J$2:$J$126))</f>
        <v>0</v>
      </c>
      <c r="GX149" s="79" cm="1">
        <f t="array" ref="GX149">SUMPRODUCT(($B$2:$B$126=4)*(GX$2:GX$126&gt;=0)*(GX$2:GX$126&lt;=12)*(GX$2:GX$126&lt;&gt;"")*($J$2:$J$126))</f>
        <v>0</v>
      </c>
    </row>
    <row r="150" spans="1:206" x14ac:dyDescent="0.2">
      <c r="A150" s="84">
        <v>4</v>
      </c>
      <c r="B150" s="84" t="s">
        <v>255</v>
      </c>
      <c r="W150" s="79" cm="1">
        <f t="array" ref="W150">SUMPRODUCT(($B$2:$B$126=4)*(W$2:W$126&gt;=13)*(W$2:W$126&lt;=17)*(W$2:W$126&lt;&gt;"")*($J$2:$J$126))</f>
        <v>19.95</v>
      </c>
      <c r="X150" s="79" cm="1">
        <f t="array" ref="X150">SUMPRODUCT(($B$2:$B$126=4)*(X$2:X$126&gt;=13)*(X$2:X$126&lt;=17)*(X$2:X$126&lt;&gt;"")*($J$2:$J$126))</f>
        <v>19.95</v>
      </c>
      <c r="Y150" s="79" cm="1">
        <f t="array" ref="Y150">SUMPRODUCT(($B$2:$B$126=4)*(Y$2:Y$126&gt;=13)*(Y$2:Y$126&lt;=17)*(Y$2:Y$126&lt;&gt;"")*($J$2:$J$126))</f>
        <v>89.69</v>
      </c>
      <c r="Z150" s="79" cm="1">
        <f t="array" ref="Z150">SUMPRODUCT(($B$2:$B$126=4)*(Z$2:Z$126&gt;=13)*(Z$2:Z$126&lt;=17)*(Z$2:Z$126&lt;&gt;"")*($J$2:$J$126))</f>
        <v>111.25999999999999</v>
      </c>
      <c r="AA150" s="79" cm="1">
        <f t="array" ref="AA150">SUMPRODUCT(($B$2:$B$126=4)*(AA$2:AA$126&gt;=13)*(AA$2:AA$126&lt;=17)*(AA$2:AA$126&lt;&gt;"")*($J$2:$J$126))</f>
        <v>91.309999999999988</v>
      </c>
      <c r="AB150" s="79" cm="1">
        <f t="array" ref="AB150">SUMPRODUCT(($B$2:$B$126=4)*(AB$2:AB$126&gt;=13)*(AB$2:AB$126&lt;=17)*(AB$2:AB$126&lt;&gt;"")*($J$2:$J$126))</f>
        <v>91.309999999999988</v>
      </c>
      <c r="AC150" s="79" cm="1">
        <f t="array" ref="AC150">SUMPRODUCT(($B$2:$B$126=4)*(AC$2:AC$126&gt;=13)*(AC$2:AC$126&lt;=17)*(AC$2:AC$126&lt;&gt;"")*($J$2:$J$126))</f>
        <v>94.679999999999993</v>
      </c>
      <c r="AD150" s="79" cm="1">
        <f t="array" ref="AD150">SUMPRODUCT(($B$2:$B$126=4)*(AD$2:AD$126&gt;=13)*(AD$2:AD$126&lt;=17)*(AD$2:AD$126&lt;&gt;"")*($J$2:$J$126))</f>
        <v>84.039999999999992</v>
      </c>
      <c r="AE150" s="79" cm="1">
        <f t="array" ref="AE150">SUMPRODUCT(($B$2:$B$126=4)*(AE$2:AE$126&gt;=13)*(AE$2:AE$126&lt;=17)*(AE$2:AE$126&lt;&gt;"")*($J$2:$J$126))</f>
        <v>97.24</v>
      </c>
      <c r="AF150" s="79" cm="1">
        <f t="array" ref="AF150">SUMPRODUCT(($B$2:$B$126=4)*(AF$2:AF$126&gt;=13)*(AF$2:AF$126&lt;=17)*(AF$2:AF$126&lt;&gt;"")*($J$2:$J$126))</f>
        <v>97.24</v>
      </c>
      <c r="AG150" s="79" cm="1">
        <f t="array" ref="AG150">SUMPRODUCT(($B$2:$B$126=4)*(AG$2:AG$126&gt;=13)*(AG$2:AG$126&lt;=17)*(AG$2:AG$126&lt;&gt;"")*($J$2:$J$126))</f>
        <v>143.16000000000003</v>
      </c>
      <c r="AH150" s="79" cm="1">
        <f t="array" ref="AH150">SUMPRODUCT(($B$2:$B$126=4)*(AH$2:AH$126&gt;=13)*(AH$2:AH$126&lt;=17)*(AH$2:AH$126&lt;&gt;"")*($J$2:$J$126))</f>
        <v>153.18</v>
      </c>
      <c r="AI150" s="79" cm="1">
        <f t="array" ref="AI150">SUMPRODUCT(($B$2:$B$126=4)*(AI$2:AI$126&gt;=13)*(AI$2:AI$126&lt;=17)*(AI$2:AI$126&lt;&gt;"")*($J$2:$J$126))</f>
        <v>97.1</v>
      </c>
      <c r="AJ150" s="79" cm="1">
        <f t="array" ref="AJ150">SUMPRODUCT(($B$2:$B$126=4)*(AJ$2:AJ$126&gt;=13)*(AJ$2:AJ$126&lt;=17)*(AJ$2:AJ$126&lt;&gt;"")*($J$2:$J$126))</f>
        <v>112.22</v>
      </c>
      <c r="AK150" s="79" cm="1">
        <f t="array" ref="AK150">SUMPRODUCT(($B$2:$B$126=4)*(AK$2:AK$126&gt;=13)*(AK$2:AK$126&lt;=17)*(AK$2:AK$126&lt;&gt;"")*($J$2:$J$126))</f>
        <v>132.42000000000002</v>
      </c>
      <c r="AL150" s="79" cm="1">
        <f t="array" ref="AL150">SUMPRODUCT(($B$2:$B$126=4)*(AL$2:AL$126&gt;=13)*(AL$2:AL$126&lt;=17)*(AL$2:AL$126&lt;&gt;"")*($J$2:$J$126))</f>
        <v>86.5</v>
      </c>
      <c r="AM150" s="79" cm="1">
        <f t="array" ref="AM150">SUMPRODUCT(($B$2:$B$126=4)*(AM$2:AM$126&gt;=13)*(AM$2:AM$126&lt;=17)*(AM$2:AM$126&lt;&gt;"")*($J$2:$J$126))</f>
        <v>114.77000000000001</v>
      </c>
      <c r="AN150" s="79" cm="1">
        <f t="array" ref="AN150">SUMPRODUCT(($B$2:$B$126=4)*(AN$2:AN$126&gt;=13)*(AN$2:AN$126&lt;=17)*(AN$2:AN$126&lt;&gt;"")*($J$2:$J$126))</f>
        <v>111.75000000000001</v>
      </c>
      <c r="AO150" s="79" cm="1">
        <f t="array" ref="AO150">SUMPRODUCT(($B$2:$B$126=4)*(AO$2:AO$126&gt;=13)*(AO$2:AO$126&lt;=17)*(AO$2:AO$126&lt;&gt;"")*($J$2:$J$126))</f>
        <v>75.41</v>
      </c>
      <c r="AP150" s="79" cm="1">
        <f t="array" ref="AP150">SUMPRODUCT(($B$2:$B$126=4)*(AP$2:AP$126&gt;=13)*(AP$2:AP$126&lt;=17)*(AP$2:AP$126&lt;&gt;"")*($J$2:$J$126))</f>
        <v>114.07000000000001</v>
      </c>
      <c r="AQ150" s="79" cm="1">
        <f t="array" ref="AQ150">SUMPRODUCT(($B$2:$B$126=4)*(AQ$2:AQ$126&gt;=13)*(AQ$2:AQ$126&lt;=17)*(AQ$2:AQ$126&lt;&gt;"")*($J$2:$J$126))</f>
        <v>119.71000000000001</v>
      </c>
      <c r="AR150" s="79" cm="1">
        <f t="array" ref="AR150">SUMPRODUCT(($B$2:$B$126=4)*(AR$2:AR$126&gt;=13)*(AR$2:AR$126&lt;=17)*(AR$2:AR$126&lt;&gt;"")*($J$2:$J$126))</f>
        <v>42.56</v>
      </c>
      <c r="AS150" s="79" cm="1">
        <f t="array" ref="AS150">SUMPRODUCT(($B$2:$B$126=4)*(AS$2:AS$126&gt;=13)*(AS$2:AS$126&lt;=17)*(AS$2:AS$126&lt;&gt;"")*($J$2:$J$126))</f>
        <v>39.72</v>
      </c>
      <c r="AT150" s="79" cm="1">
        <f t="array" ref="AT150">SUMPRODUCT(($B$2:$B$126=4)*(AT$2:AT$126&gt;=13)*(AT$2:AT$126&lt;=17)*(AT$2:AT$126&lt;&gt;"")*($J$2:$J$126))</f>
        <v>40.159999999999997</v>
      </c>
      <c r="AU150" s="79" cm="1">
        <f t="array" ref="AU150">SUMPRODUCT(($B$2:$B$126=4)*(AU$2:AU$126&gt;=13)*(AU$2:AU$126&lt;=17)*(AU$2:AU$126&lt;&gt;"")*($J$2:$J$126))</f>
        <v>0</v>
      </c>
      <c r="AV150" s="79" cm="1">
        <f t="array" ref="AV150">SUMPRODUCT(($B$2:$B$126=4)*(AV$2:AV$126&gt;=13)*(AV$2:AV$126&lt;=17)*(AV$2:AV$126&lt;&gt;"")*($J$2:$J$126))</f>
        <v>0</v>
      </c>
      <c r="AW150" s="79" cm="1">
        <f t="array" ref="AW150">SUMPRODUCT(($B$2:$B$126=4)*(AW$2:AW$126&gt;=13)*(AW$2:AW$126&lt;=17)*(AW$2:AW$126&lt;&gt;"")*($J$2:$J$126))</f>
        <v>19.95</v>
      </c>
      <c r="AX150" s="79" cm="1">
        <f t="array" ref="AX150">SUMPRODUCT(($B$2:$B$126=4)*(AX$2:AX$126&gt;=13)*(AX$2:AX$126&lt;=17)*(AX$2:AX$126&lt;&gt;"")*($J$2:$J$126))</f>
        <v>97.71</v>
      </c>
      <c r="AY150" s="79" cm="1">
        <f t="array" ref="AY150">SUMPRODUCT(($B$2:$B$126=4)*(AY$2:AY$126&gt;=13)*(AY$2:AY$126&lt;=17)*(AY$2:AY$126&lt;&gt;"")*($J$2:$J$126))</f>
        <v>107.86999999999999</v>
      </c>
      <c r="AZ150" s="79" cm="1">
        <f t="array" ref="AZ150">SUMPRODUCT(($B$2:$B$126=4)*(AZ$2:AZ$126&gt;=13)*(AZ$2:AZ$126&lt;=17)*(AZ$2:AZ$126&lt;&gt;"")*($J$2:$J$126))</f>
        <v>189.5</v>
      </c>
      <c r="BA150" s="79" cm="1">
        <f t="array" ref="BA150">SUMPRODUCT(($B$2:$B$126=4)*(BA$2:BA$126&gt;=13)*(BA$2:BA$126&lt;=17)*(BA$2:BA$126&lt;&gt;"")*($J$2:$J$126))</f>
        <v>211.68</v>
      </c>
      <c r="BB150" s="79" cm="1">
        <f t="array" ref="BB150">SUMPRODUCT(($B$2:$B$126=4)*(BB$2:BB$126&gt;=13)*(BB$2:BB$126&lt;=17)*(BB$2:BB$126&lt;&gt;"")*($J$2:$J$126))</f>
        <v>181.57</v>
      </c>
      <c r="BC150" s="79" cm="1">
        <f t="array" ref="BC150">SUMPRODUCT(($B$2:$B$126=4)*(BC$2:BC$126&gt;=13)*(BC$2:BC$126&lt;=17)*(BC$2:BC$126&lt;&gt;"")*($J$2:$J$126))</f>
        <v>103.81</v>
      </c>
      <c r="BD150" s="79" cm="1">
        <f t="array" ref="BD150">SUMPRODUCT(($B$2:$B$126=4)*(BD$2:BD$126&gt;=13)*(BD$2:BD$126&lt;=17)*(BD$2:BD$126&lt;&gt;"")*($J$2:$J$126))</f>
        <v>66.89</v>
      </c>
      <c r="BE150" s="79" cm="1">
        <f t="array" ref="BE150">SUMPRODUCT(($B$2:$B$126=4)*(BE$2:BE$126&gt;=13)*(BE$2:BE$126&lt;=17)*(BE$2:BE$126&lt;&gt;"")*($J$2:$J$126))</f>
        <v>124.45000000000002</v>
      </c>
      <c r="BF150" s="79" cm="1">
        <f t="array" ref="BF150">SUMPRODUCT(($B$2:$B$126=4)*(BF$2:BF$126&gt;=13)*(BF$2:BF$126&lt;=17)*(BF$2:BF$126&lt;&gt;"")*($J$2:$J$126))</f>
        <v>160.54000000000002</v>
      </c>
      <c r="BG150" s="79" cm="1">
        <f t="array" ref="BG150">SUMPRODUCT(($B$2:$B$126=4)*(BG$2:BG$126&gt;=13)*(BG$2:BG$126&lt;=17)*(BG$2:BG$126&lt;&gt;"")*($J$2:$J$126))</f>
        <v>220.89999999999998</v>
      </c>
      <c r="BH150" s="79" cm="1">
        <f t="array" ref="BH150">SUMPRODUCT(($B$2:$B$126=4)*(BH$2:BH$126&gt;=13)*(BH$2:BH$126&lt;=17)*(BH$2:BH$126&lt;&gt;"")*($J$2:$J$126))</f>
        <v>243.06</v>
      </c>
      <c r="BI150" s="79" cm="1">
        <f t="array" ref="BI150">SUMPRODUCT(($B$2:$B$126=4)*(BI$2:BI$126&gt;=13)*(BI$2:BI$126&lt;=17)*(BI$2:BI$126&lt;&gt;"")*($J$2:$J$126))</f>
        <v>209.16000000000003</v>
      </c>
      <c r="BJ150" s="79" cm="1">
        <f t="array" ref="BJ150">SUMPRODUCT(($B$2:$B$126=4)*(BJ$2:BJ$126&gt;=13)*(BJ$2:BJ$126&lt;=17)*(BJ$2:BJ$126&lt;&gt;"")*($J$2:$J$126))</f>
        <v>184.95999999999998</v>
      </c>
      <c r="BK150" s="79" cm="1">
        <f t="array" ref="BK150">SUMPRODUCT(($B$2:$B$126=4)*(BK$2:BK$126&gt;=13)*(BK$2:BK$126&lt;=17)*(BK$2:BK$126&lt;&gt;"")*($J$2:$J$126))</f>
        <v>94.94</v>
      </c>
      <c r="BL150" s="79" cm="1">
        <f t="array" ref="BL150">SUMPRODUCT(($B$2:$B$126=4)*(BL$2:BL$126&gt;=13)*(BL$2:BL$126&lt;=17)*(BL$2:BL$126&lt;&gt;"")*($J$2:$J$126))</f>
        <v>26.61</v>
      </c>
      <c r="BM150" s="79" cm="1">
        <f t="array" ref="BM150">SUMPRODUCT(($B$2:$B$126=4)*(BM$2:BM$126&gt;=13)*(BM$2:BM$126&lt;=17)*(BM$2:BM$126&lt;&gt;"")*($J$2:$J$126))</f>
        <v>0</v>
      </c>
      <c r="BN150" s="79" cm="1">
        <f t="array" ref="BN150">SUMPRODUCT(($B$2:$B$126=4)*(BN$2:BN$126&gt;=13)*(BN$2:BN$126&lt;=17)*(BN$2:BN$126&lt;&gt;"")*($J$2:$J$126))</f>
        <v>0</v>
      </c>
      <c r="BO150" s="79" cm="1">
        <f t="array" ref="BO150">SUMPRODUCT(($B$2:$B$126=4)*(BO$2:BO$126&gt;=13)*(BO$2:BO$126&lt;=17)*(BO$2:BO$126&lt;&gt;"")*($J$2:$J$126))</f>
        <v>30.11</v>
      </c>
      <c r="BP150" s="79" cm="1">
        <f t="array" ref="BP150">SUMPRODUCT(($B$2:$B$126=4)*(BP$2:BP$126&gt;=13)*(BP$2:BP$126&lt;=17)*(BP$2:BP$126&lt;&gt;"")*($J$2:$J$126))</f>
        <v>30.11</v>
      </c>
      <c r="BQ150" s="79" cm="1">
        <f t="array" ref="BQ150">SUMPRODUCT(($B$2:$B$126=4)*(BQ$2:BQ$126&gt;=13)*(BQ$2:BQ$126&lt;=17)*(BQ$2:BQ$126&lt;&gt;"")*($J$2:$J$126))</f>
        <v>136.76999999999998</v>
      </c>
      <c r="BR150" s="79" cm="1">
        <f t="array" ref="BR150">SUMPRODUCT(($B$2:$B$126=4)*(BR$2:BR$126&gt;=13)*(BR$2:BR$126&lt;=17)*(BR$2:BR$126&lt;&gt;"")*($J$2:$J$126))</f>
        <v>144.79</v>
      </c>
      <c r="BS150" s="79" cm="1">
        <f t="array" ref="BS150">SUMPRODUCT(($B$2:$B$126=4)*(BS$2:BS$126&gt;=13)*(BS$2:BS$126&lt;=17)*(BS$2:BS$126&lt;&gt;"")*($J$2:$J$126))</f>
        <v>194.95</v>
      </c>
      <c r="BT150" s="79" cm="1">
        <f t="array" ref="BT150">SUMPRODUCT(($B$2:$B$126=4)*(BT$2:BT$126&gt;=13)*(BT$2:BT$126&lt;=17)*(BT$2:BT$126&lt;&gt;"")*($J$2:$J$126))</f>
        <v>245.21000000000004</v>
      </c>
      <c r="BU150" s="79" cm="1">
        <f t="array" ref="BU150">SUMPRODUCT(($B$2:$B$126=4)*(BU$2:BU$126&gt;=13)*(BU$2:BU$126&lt;=17)*(BU$2:BU$126&lt;&gt;"")*($J$2:$J$126))</f>
        <v>263.21000000000004</v>
      </c>
      <c r="BV150" s="79" cm="1">
        <f t="array" ref="BV150">SUMPRODUCT(($B$2:$B$126=4)*(BV$2:BV$126&gt;=13)*(BV$2:BV$126&lt;=17)*(BV$2:BV$126&lt;&gt;"")*($J$2:$J$126))</f>
        <v>190.45000000000005</v>
      </c>
      <c r="BW150" s="79" cm="1">
        <f t="array" ref="BW150">SUMPRODUCT(($B$2:$B$126=4)*(BW$2:BW$126&gt;=13)*(BW$2:BW$126&lt;=17)*(BW$2:BW$126&lt;&gt;"")*($J$2:$J$126))</f>
        <v>182.43</v>
      </c>
      <c r="BX150" s="79" cm="1">
        <f t="array" ref="BX150">SUMPRODUCT(($B$2:$B$126=4)*(BX$2:BX$126&gt;=13)*(BX$2:BX$126&lt;=17)*(BX$2:BX$126&lt;&gt;"")*($J$2:$J$126))</f>
        <v>202.36</v>
      </c>
      <c r="BY150" s="79" cm="1">
        <f t="array" ref="BY150">SUMPRODUCT(($B$2:$B$126=4)*(BY$2:BY$126&gt;=13)*(BY$2:BY$126&lt;=17)*(BY$2:BY$126&lt;&gt;"")*($J$2:$J$126))</f>
        <v>166.12</v>
      </c>
      <c r="BZ150" s="79" cm="1">
        <f t="array" ref="BZ150">SUMPRODUCT(($B$2:$B$126=4)*(BZ$2:BZ$126&gt;=13)*(BZ$2:BZ$126&lt;=17)*(BZ$2:BZ$126&lt;&gt;"")*($J$2:$J$126))</f>
        <v>174.29000000000002</v>
      </c>
      <c r="CA150" s="79" cm="1">
        <f t="array" ref="CA150">SUMPRODUCT(($B$2:$B$126=4)*(CA$2:CA$126&gt;=13)*(CA$2:CA$126&lt;=17)*(CA$2:CA$126&lt;&gt;"")*($J$2:$J$126))</f>
        <v>182.55</v>
      </c>
      <c r="CB150" s="79" cm="1">
        <f t="array" ref="CB150">SUMPRODUCT(($B$2:$B$126=4)*(CB$2:CB$126&gt;=13)*(CB$2:CB$126&lt;=17)*(CB$2:CB$126&lt;&gt;"")*($J$2:$J$126))</f>
        <v>209.16000000000003</v>
      </c>
      <c r="CC150" s="79" cm="1">
        <f t="array" ref="CC150">SUMPRODUCT(($B$2:$B$126=4)*(CC$2:CC$126&gt;=13)*(CC$2:CC$126&lt;=17)*(CC$2:CC$126&lt;&gt;"")*($J$2:$J$126))</f>
        <v>139.07</v>
      </c>
      <c r="CD150" s="79" cm="1">
        <f t="array" ref="CD150">SUMPRODUCT(($B$2:$B$126=4)*(CD$2:CD$126&gt;=13)*(CD$2:CD$126&lt;=17)*(CD$2:CD$126&lt;&gt;"")*($J$2:$J$126))</f>
        <v>94.94</v>
      </c>
      <c r="CE150" s="79" cm="1">
        <f t="array" ref="CE150">SUMPRODUCT(($B$2:$B$126=4)*(CE$2:CE$126&gt;=13)*(CE$2:CE$126&lt;=17)*(CE$2:CE$126&lt;&gt;"")*($J$2:$J$126))</f>
        <v>68.77</v>
      </c>
      <c r="CF150" s="79" cm="1">
        <f t="array" ref="CF150">SUMPRODUCT(($B$2:$B$126=4)*(CF$2:CF$126&gt;=13)*(CF$2:CF$126&lt;=17)*(CF$2:CF$126&lt;&gt;"")*($J$2:$J$126))</f>
        <v>26.61</v>
      </c>
      <c r="CG150" s="79" cm="1">
        <f t="array" ref="CG150">SUMPRODUCT(($B$2:$B$126=4)*(CG$2:CG$126&gt;=13)*(CG$2:CG$126&lt;=17)*(CG$2:CG$126&lt;&gt;"")*($J$2:$J$126))</f>
        <v>0</v>
      </c>
      <c r="CH150" s="79" cm="1">
        <f t="array" ref="CH150">SUMPRODUCT(($B$2:$B$126=4)*(CH$2:CH$126&gt;=13)*(CH$2:CH$126&lt;=17)*(CH$2:CH$126&lt;&gt;"")*($J$2:$J$126))</f>
        <v>0</v>
      </c>
      <c r="CI150" s="79" cm="1">
        <f t="array" ref="CI150">SUMPRODUCT(($B$2:$B$126=4)*(CI$2:CI$126&gt;=13)*(CI$2:CI$126&lt;=17)*(CI$2:CI$126&lt;&gt;"")*($J$2:$J$126))</f>
        <v>0</v>
      </c>
      <c r="CJ150" s="79" cm="1">
        <f t="array" ref="CJ150">SUMPRODUCT(($B$2:$B$126=4)*(CJ$2:CJ$126&gt;=13)*(CJ$2:CJ$126&lt;=17)*(CJ$2:CJ$126&lt;&gt;"")*($J$2:$J$126))</f>
        <v>0</v>
      </c>
      <c r="CK150" s="79" cm="1">
        <f t="array" ref="CK150">SUMPRODUCT(($B$2:$B$126=4)*(CK$2:CK$126&gt;=13)*(CK$2:CK$126&lt;=17)*(CK$2:CK$126&lt;&gt;"")*($J$2:$J$126))</f>
        <v>0</v>
      </c>
      <c r="CL150" s="79" cm="1">
        <f t="array" ref="CL150">SUMPRODUCT(($B$2:$B$126=4)*(CL$2:CL$126&gt;=13)*(CL$2:CL$126&lt;=17)*(CL$2:CL$126&lt;&gt;"")*($J$2:$J$126))</f>
        <v>0</v>
      </c>
      <c r="CM150" s="79" cm="1">
        <f t="array" ref="CM150">SUMPRODUCT(($B$2:$B$126=4)*(CM$2:CM$126&gt;=13)*(CM$2:CM$126&lt;=17)*(CM$2:CM$126&lt;&gt;"")*($J$2:$J$126))</f>
        <v>0</v>
      </c>
      <c r="CN150" s="79" cm="1">
        <f t="array" ref="CN150">SUMPRODUCT(($B$2:$B$126=4)*(CN$2:CN$126&gt;=13)*(CN$2:CN$126&lt;=17)*(CN$2:CN$126&lt;&gt;"")*($J$2:$J$126))</f>
        <v>0</v>
      </c>
      <c r="CO150" s="79" cm="1">
        <f t="array" ref="CO150">SUMPRODUCT(($B$2:$B$126=4)*(CO$2:CO$126&gt;=13)*(CO$2:CO$126&lt;=17)*(CO$2:CO$126&lt;&gt;"")*($J$2:$J$126))</f>
        <v>0</v>
      </c>
      <c r="CP150" s="79" cm="1">
        <f t="array" ref="CP150">SUMPRODUCT(($B$2:$B$126=4)*(CP$2:CP$126&gt;=13)*(CP$2:CP$126&lt;=17)*(CP$2:CP$126&lt;&gt;"")*($J$2:$J$126))</f>
        <v>0</v>
      </c>
      <c r="CQ150" s="79" cm="1">
        <f t="array" ref="CQ150">SUMPRODUCT(($B$2:$B$126=4)*(CQ$2:CQ$126&gt;=13)*(CQ$2:CQ$126&lt;=17)*(CQ$2:CQ$126&lt;&gt;"")*($J$2:$J$126))</f>
        <v>0</v>
      </c>
      <c r="CR150" s="79" cm="1">
        <f t="array" ref="CR150">SUMPRODUCT(($B$2:$B$126=4)*(CR$2:CR$126&gt;=13)*(CR$2:CR$126&lt;=17)*(CR$2:CR$126&lt;&gt;"")*($J$2:$J$126))</f>
        <v>0</v>
      </c>
      <c r="CS150" s="79" cm="1">
        <f t="array" ref="CS150">SUMPRODUCT(($B$2:$B$126=4)*(CS$2:CS$126&gt;=13)*(CS$2:CS$126&lt;=17)*(CS$2:CS$126&lt;&gt;"")*($J$2:$J$126))</f>
        <v>0</v>
      </c>
      <c r="CT150" s="79" cm="1">
        <f t="array" ref="CT150">SUMPRODUCT(($B$2:$B$126=4)*(CT$2:CT$126&gt;=13)*(CT$2:CT$126&lt;=17)*(CT$2:CT$126&lt;&gt;"")*($J$2:$J$126))</f>
        <v>0</v>
      </c>
      <c r="CU150" s="79" cm="1">
        <f t="array" ref="CU150">SUMPRODUCT(($B$2:$B$126=4)*(CU$2:CU$126&gt;=13)*(CU$2:CU$126&lt;=17)*(CU$2:CU$126&lt;&gt;"")*($J$2:$J$126))</f>
        <v>0</v>
      </c>
      <c r="CV150" s="79" cm="1">
        <f t="array" ref="CV150">SUMPRODUCT(($B$2:$B$126=4)*(CV$2:CV$126&gt;=13)*(CV$2:CV$126&lt;=17)*(CV$2:CV$126&lt;&gt;"")*($J$2:$J$126))</f>
        <v>0</v>
      </c>
      <c r="CW150" s="79" cm="1">
        <f t="array" ref="CW150">SUMPRODUCT(($B$2:$B$126=4)*(CW$2:CW$126&gt;=13)*(CW$2:CW$126&lt;=17)*(CW$2:CW$126&lt;&gt;"")*($J$2:$J$126))</f>
        <v>0</v>
      </c>
      <c r="CX150" s="79" cm="1">
        <f t="array" ref="CX150">SUMPRODUCT(($B$2:$B$126=4)*(CX$2:CX$126&gt;=13)*(CX$2:CX$126&lt;=17)*(CX$2:CX$126&lt;&gt;"")*($J$2:$J$126))</f>
        <v>0</v>
      </c>
      <c r="CY150" s="79" cm="1">
        <f t="array" ref="CY150">SUMPRODUCT(($B$2:$B$126=4)*(CY$2:CY$126&gt;=13)*(CY$2:CY$126&lt;=17)*(CY$2:CY$126&lt;&gt;"")*($J$2:$J$126))</f>
        <v>0</v>
      </c>
      <c r="CZ150" s="79" cm="1">
        <f t="array" ref="CZ150">SUMPRODUCT(($B$2:$B$126=4)*(CZ$2:CZ$126&gt;=13)*(CZ$2:CZ$126&lt;=17)*(CZ$2:CZ$126&lt;&gt;"")*($J$2:$J$126))</f>
        <v>0</v>
      </c>
      <c r="DA150" s="79" cm="1">
        <f t="array" ref="DA150">SUMPRODUCT(($B$2:$B$126=4)*(DA$2:DA$126&gt;=13)*(DA$2:DA$126&lt;=17)*(DA$2:DA$126&lt;&gt;"")*($J$2:$J$126))</f>
        <v>0</v>
      </c>
      <c r="DB150" s="79" cm="1">
        <f t="array" ref="DB150">SUMPRODUCT(($B$2:$B$126=4)*(DB$2:DB$126&gt;=13)*(DB$2:DB$126&lt;=17)*(DB$2:DB$126&lt;&gt;"")*($J$2:$J$126))</f>
        <v>0</v>
      </c>
      <c r="DC150" s="79" cm="1">
        <f t="array" ref="DC150">SUMPRODUCT(($B$2:$B$126=4)*(DC$2:DC$126&gt;=13)*(DC$2:DC$126&lt;=17)*(DC$2:DC$126&lt;&gt;"")*($J$2:$J$126))</f>
        <v>0</v>
      </c>
      <c r="DD150" s="79" cm="1">
        <f t="array" ref="DD150">SUMPRODUCT(($B$2:$B$126=4)*(DD$2:DD$126&gt;=13)*(DD$2:DD$126&lt;=17)*(DD$2:DD$126&lt;&gt;"")*($J$2:$J$126))</f>
        <v>0</v>
      </c>
      <c r="DE150" s="79" cm="1">
        <f t="array" ref="DE150">SUMPRODUCT(($B$2:$B$126=4)*(DE$2:DE$126&gt;=13)*(DE$2:DE$126&lt;=17)*(DE$2:DE$126&lt;&gt;"")*($J$2:$J$126))</f>
        <v>0</v>
      </c>
      <c r="DF150" s="79" cm="1">
        <f t="array" ref="DF150">SUMPRODUCT(($B$2:$B$126=4)*(DF$2:DF$126&gt;=13)*(DF$2:DF$126&lt;=17)*(DF$2:DF$126&lt;&gt;"")*($J$2:$J$126))</f>
        <v>0</v>
      </c>
      <c r="DG150" s="79" cm="1">
        <f t="array" ref="DG150">SUMPRODUCT(($B$2:$B$126=4)*(DG$2:DG$126&gt;=13)*(DG$2:DG$126&lt;=17)*(DG$2:DG$126&lt;&gt;"")*($J$2:$J$126))</f>
        <v>0</v>
      </c>
      <c r="DH150" s="79" cm="1">
        <f t="array" ref="DH150">SUMPRODUCT(($B$2:$B$126=4)*(DH$2:DH$126&gt;=13)*(DH$2:DH$126&lt;=17)*(DH$2:DH$126&lt;&gt;"")*($J$2:$J$126))</f>
        <v>0</v>
      </c>
      <c r="DI150" s="79" cm="1">
        <f t="array" ref="DI150">SUMPRODUCT(($B$2:$B$126=4)*(DI$2:DI$126&gt;=13)*(DI$2:DI$126&lt;=17)*(DI$2:DI$126&lt;&gt;"")*($J$2:$J$126))</f>
        <v>0</v>
      </c>
      <c r="DJ150" s="79" cm="1">
        <f t="array" ref="DJ150">SUMPRODUCT(($B$2:$B$126=4)*(DJ$2:DJ$126&gt;=13)*(DJ$2:DJ$126&lt;=17)*(DJ$2:DJ$126&lt;&gt;"")*($J$2:$J$126))</f>
        <v>0</v>
      </c>
      <c r="DK150" s="79" cm="1">
        <f t="array" ref="DK150">SUMPRODUCT(($B$2:$B$126=4)*(DK$2:DK$126&gt;=13)*(DK$2:DK$126&lt;=17)*(DK$2:DK$126&lt;&gt;"")*($J$2:$J$126))</f>
        <v>0</v>
      </c>
      <c r="DL150" s="79" cm="1">
        <f t="array" ref="DL150">SUMPRODUCT(($B$2:$B$126=4)*(DL$2:DL$126&gt;=13)*(DL$2:DL$126&lt;=17)*(DL$2:DL$126&lt;&gt;"")*($J$2:$J$126))</f>
        <v>0</v>
      </c>
      <c r="DM150" s="79" cm="1">
        <f t="array" ref="DM150">SUMPRODUCT(($B$2:$B$126=4)*(DM$2:DM$126&gt;=13)*(DM$2:DM$126&lt;=17)*(DM$2:DM$126&lt;&gt;"")*($J$2:$J$126))</f>
        <v>0</v>
      </c>
      <c r="DN150" s="79" cm="1">
        <f t="array" ref="DN150">SUMPRODUCT(($B$2:$B$126=4)*(DN$2:DN$126&gt;=13)*(DN$2:DN$126&lt;=17)*(DN$2:DN$126&lt;&gt;"")*($J$2:$J$126))</f>
        <v>0</v>
      </c>
      <c r="DO150" s="79" cm="1">
        <f t="array" ref="DO150">SUMPRODUCT(($B$2:$B$126=4)*(DO$2:DO$126&gt;=13)*(DO$2:DO$126&lt;=17)*(DO$2:DO$126&lt;&gt;"")*($J$2:$J$126))</f>
        <v>0</v>
      </c>
      <c r="DP150" s="79" cm="1">
        <f t="array" ref="DP150">SUMPRODUCT(($B$2:$B$126=4)*(DP$2:DP$126&gt;=13)*(DP$2:DP$126&lt;=17)*(DP$2:DP$126&lt;&gt;"")*($J$2:$J$126))</f>
        <v>0</v>
      </c>
      <c r="DQ150" s="79" cm="1">
        <f t="array" ref="DQ150">SUMPRODUCT(($B$2:$B$126=4)*(DQ$2:DQ$126&gt;=13)*(DQ$2:DQ$126&lt;=17)*(DQ$2:DQ$126&lt;&gt;"")*($J$2:$J$126))</f>
        <v>0</v>
      </c>
      <c r="DR150" s="79" cm="1">
        <f t="array" ref="DR150">SUMPRODUCT(($B$2:$B$126=4)*(DR$2:DR$126&gt;=13)*(DR$2:DR$126&lt;=17)*(DR$2:DR$126&lt;&gt;"")*($J$2:$J$126))</f>
        <v>0</v>
      </c>
      <c r="DS150" s="79" cm="1">
        <f t="array" ref="DS150">SUMPRODUCT(($B$2:$B$126=4)*(DS$2:DS$126&gt;=13)*(DS$2:DS$126&lt;=17)*(DS$2:DS$126&lt;&gt;"")*($J$2:$J$126))</f>
        <v>0</v>
      </c>
      <c r="DT150" s="79" cm="1">
        <f t="array" ref="DT150">SUMPRODUCT(($B$2:$B$126=4)*(DT$2:DT$126&gt;=13)*(DT$2:DT$126&lt;=17)*(DT$2:DT$126&lt;&gt;"")*($J$2:$J$126))</f>
        <v>0</v>
      </c>
      <c r="DU150" s="79" cm="1">
        <f t="array" ref="DU150">SUMPRODUCT(($B$2:$B$126=4)*(DU$2:DU$126&gt;=13)*(DU$2:DU$126&lt;=17)*(DU$2:DU$126&lt;&gt;"")*($J$2:$J$126))</f>
        <v>0</v>
      </c>
      <c r="DV150" s="79" cm="1">
        <f t="array" ref="DV150">SUMPRODUCT(($B$2:$B$126=4)*(DV$2:DV$126&gt;=13)*(DV$2:DV$126&lt;=17)*(DV$2:DV$126&lt;&gt;"")*($J$2:$J$126))</f>
        <v>0</v>
      </c>
      <c r="DW150" s="79" cm="1">
        <f t="array" ref="DW150">SUMPRODUCT(($B$2:$B$126=4)*(DW$2:DW$126&gt;=13)*(DW$2:DW$126&lt;=17)*(DW$2:DW$126&lt;&gt;"")*($J$2:$J$126))</f>
        <v>0</v>
      </c>
      <c r="DX150" s="79" cm="1">
        <f t="array" ref="DX150">SUMPRODUCT(($B$2:$B$126=4)*(DX$2:DX$126&gt;=13)*(DX$2:DX$126&lt;=17)*(DX$2:DX$126&lt;&gt;"")*($J$2:$J$126))</f>
        <v>0</v>
      </c>
      <c r="DY150" s="79" cm="1">
        <f t="array" ref="DY150">SUMPRODUCT(($B$2:$B$126=4)*(DY$2:DY$126&gt;=13)*(DY$2:DY$126&lt;=17)*(DY$2:DY$126&lt;&gt;"")*($J$2:$J$126))</f>
        <v>0</v>
      </c>
      <c r="DZ150" s="79" cm="1">
        <f t="array" ref="DZ150">SUMPRODUCT(($B$2:$B$126=4)*(DZ$2:DZ$126&gt;=13)*(DZ$2:DZ$126&lt;=17)*(DZ$2:DZ$126&lt;&gt;"")*($J$2:$J$126))</f>
        <v>0</v>
      </c>
      <c r="EA150" s="79" cm="1">
        <f t="array" ref="EA150">SUMPRODUCT(($B$2:$B$126=4)*(EA$2:EA$126&gt;=13)*(EA$2:EA$126&lt;=17)*(EA$2:EA$126&lt;&gt;"")*($J$2:$J$126))</f>
        <v>0</v>
      </c>
      <c r="EB150" s="79" cm="1">
        <f t="array" ref="EB150">SUMPRODUCT(($B$2:$B$126=4)*(EB$2:EB$126&gt;=13)*(EB$2:EB$126&lt;=17)*(EB$2:EB$126&lt;&gt;"")*($J$2:$J$126))</f>
        <v>0</v>
      </c>
      <c r="EC150" s="79" cm="1">
        <f t="array" ref="EC150">SUMPRODUCT(($B$2:$B$126=4)*(EC$2:EC$126&gt;=13)*(EC$2:EC$126&lt;=17)*(EC$2:EC$126&lt;&gt;"")*($J$2:$J$126))</f>
        <v>0</v>
      </c>
      <c r="ED150" s="79" cm="1">
        <f t="array" ref="ED150">SUMPRODUCT(($B$2:$B$126=4)*(ED$2:ED$126&gt;=13)*(ED$2:ED$126&lt;=17)*(ED$2:ED$126&lt;&gt;"")*($J$2:$J$126))</f>
        <v>0</v>
      </c>
      <c r="EE150" s="79" cm="1">
        <f t="array" ref="EE150">SUMPRODUCT(($B$2:$B$126=4)*(EE$2:EE$126&gt;=13)*(EE$2:EE$126&lt;=17)*(EE$2:EE$126&lt;&gt;"")*($J$2:$J$126))</f>
        <v>0</v>
      </c>
      <c r="EF150" s="79" cm="1">
        <f t="array" ref="EF150">SUMPRODUCT(($B$2:$B$126=4)*(EF$2:EF$126&gt;=13)*(EF$2:EF$126&lt;=17)*(EF$2:EF$126&lt;&gt;"")*($J$2:$J$126))</f>
        <v>0</v>
      </c>
      <c r="EG150" s="79" cm="1">
        <f t="array" ref="EG150">SUMPRODUCT(($B$2:$B$126=4)*(EG$2:EG$126&gt;=13)*(EG$2:EG$126&lt;=17)*(EG$2:EG$126&lt;&gt;"")*($J$2:$J$126))</f>
        <v>0</v>
      </c>
      <c r="EH150" s="79" cm="1">
        <f t="array" ref="EH150">SUMPRODUCT(($B$2:$B$126=4)*(EH$2:EH$126&gt;=13)*(EH$2:EH$126&lt;=17)*(EH$2:EH$126&lt;&gt;"")*($J$2:$J$126))</f>
        <v>0</v>
      </c>
      <c r="EI150" s="79" cm="1">
        <f t="array" ref="EI150">SUMPRODUCT(($B$2:$B$126=4)*(EI$2:EI$126&gt;=13)*(EI$2:EI$126&lt;=17)*(EI$2:EI$126&lt;&gt;"")*($J$2:$J$126))</f>
        <v>0</v>
      </c>
      <c r="EJ150" s="79" cm="1">
        <f t="array" ref="EJ150">SUMPRODUCT(($B$2:$B$126=4)*(EJ$2:EJ$126&gt;=13)*(EJ$2:EJ$126&lt;=17)*(EJ$2:EJ$126&lt;&gt;"")*($J$2:$J$126))</f>
        <v>0</v>
      </c>
      <c r="EK150" s="79" cm="1">
        <f t="array" ref="EK150">SUMPRODUCT(($B$2:$B$126=4)*(EK$2:EK$126&gt;=13)*(EK$2:EK$126&lt;=17)*(EK$2:EK$126&lt;&gt;"")*($J$2:$J$126))</f>
        <v>0</v>
      </c>
      <c r="EL150" s="79" cm="1">
        <f t="array" ref="EL150">SUMPRODUCT(($B$2:$B$126=4)*(EL$2:EL$126&gt;=13)*(EL$2:EL$126&lt;=17)*(EL$2:EL$126&lt;&gt;"")*($J$2:$J$126))</f>
        <v>0</v>
      </c>
      <c r="EM150" s="79" cm="1">
        <f t="array" ref="EM150">SUMPRODUCT(($B$2:$B$126=4)*(EM$2:EM$126&gt;=13)*(EM$2:EM$126&lt;=17)*(EM$2:EM$126&lt;&gt;"")*($J$2:$J$126))</f>
        <v>0</v>
      </c>
      <c r="EN150" s="79" cm="1">
        <f t="array" ref="EN150">SUMPRODUCT(($B$2:$B$126=4)*(EN$2:EN$126&gt;=13)*(EN$2:EN$126&lt;=17)*(EN$2:EN$126&lt;&gt;"")*($J$2:$J$126))</f>
        <v>0</v>
      </c>
      <c r="EO150" s="79" cm="1">
        <f t="array" ref="EO150">SUMPRODUCT(($B$2:$B$126=4)*(EO$2:EO$126&gt;=13)*(EO$2:EO$126&lt;=17)*(EO$2:EO$126&lt;&gt;"")*($J$2:$J$126))</f>
        <v>0</v>
      </c>
      <c r="EP150" s="79" cm="1">
        <f t="array" ref="EP150">SUMPRODUCT(($B$2:$B$126=4)*(EP$2:EP$126&gt;=13)*(EP$2:EP$126&lt;=17)*(EP$2:EP$126&lt;&gt;"")*($J$2:$J$126))</f>
        <v>0</v>
      </c>
      <c r="EQ150" s="79" cm="1">
        <f t="array" ref="EQ150">SUMPRODUCT(($B$2:$B$126=4)*(EQ$2:EQ$126&gt;=13)*(EQ$2:EQ$126&lt;=17)*(EQ$2:EQ$126&lt;&gt;"")*($J$2:$J$126))</f>
        <v>0</v>
      </c>
      <c r="ER150" s="79" cm="1">
        <f t="array" ref="ER150">SUMPRODUCT(($B$2:$B$126=4)*(ER$2:ER$126&gt;=13)*(ER$2:ER$126&lt;=17)*(ER$2:ER$126&lt;&gt;"")*($J$2:$J$126))</f>
        <v>0</v>
      </c>
      <c r="ES150" s="79" cm="1">
        <f t="array" ref="ES150">SUMPRODUCT(($B$2:$B$126=4)*(ES$2:ES$126&gt;=13)*(ES$2:ES$126&lt;=17)*(ES$2:ES$126&lt;&gt;"")*($J$2:$J$126))</f>
        <v>0</v>
      </c>
      <c r="ET150" s="79" cm="1">
        <f t="array" ref="ET150">SUMPRODUCT(($B$2:$B$126=4)*(ET$2:ET$126&gt;=13)*(ET$2:ET$126&lt;=17)*(ET$2:ET$126&lt;&gt;"")*($J$2:$J$126))</f>
        <v>0</v>
      </c>
      <c r="EU150" s="79" cm="1">
        <f t="array" ref="EU150">SUMPRODUCT(($B$2:$B$126=4)*(EU$2:EU$126&gt;=13)*(EU$2:EU$126&lt;=17)*(EU$2:EU$126&lt;&gt;"")*($J$2:$J$126))</f>
        <v>0</v>
      </c>
      <c r="EV150" s="79" cm="1">
        <f t="array" ref="EV150">SUMPRODUCT(($B$2:$B$126=4)*(EV$2:EV$126&gt;=13)*(EV$2:EV$126&lt;=17)*(EV$2:EV$126&lt;&gt;"")*($J$2:$J$126))</f>
        <v>0</v>
      </c>
      <c r="EW150" s="79" cm="1">
        <f t="array" ref="EW150">SUMPRODUCT(($B$2:$B$126=4)*(EW$2:EW$126&gt;=13)*(EW$2:EW$126&lt;=17)*(EW$2:EW$126&lt;&gt;"")*($J$2:$J$126))</f>
        <v>0</v>
      </c>
      <c r="EX150" s="79" cm="1">
        <f t="array" ref="EX150">SUMPRODUCT(($B$2:$B$126=4)*(EX$2:EX$126&gt;=13)*(EX$2:EX$126&lt;=17)*(EX$2:EX$126&lt;&gt;"")*($J$2:$J$126))</f>
        <v>0</v>
      </c>
      <c r="EY150" s="79" cm="1">
        <f t="array" ref="EY150">SUMPRODUCT(($B$2:$B$126=4)*(EY$2:EY$126&gt;=13)*(EY$2:EY$126&lt;=17)*(EY$2:EY$126&lt;&gt;"")*($J$2:$J$126))</f>
        <v>0</v>
      </c>
      <c r="EZ150" s="79" cm="1">
        <f t="array" ref="EZ150">SUMPRODUCT(($B$2:$B$126=4)*(EZ$2:EZ$126&gt;=13)*(EZ$2:EZ$126&lt;=17)*(EZ$2:EZ$126&lt;&gt;"")*($J$2:$J$126))</f>
        <v>0</v>
      </c>
      <c r="FA150" s="79" cm="1">
        <f t="array" ref="FA150">SUMPRODUCT(($B$2:$B$126=4)*(FA$2:FA$126&gt;=13)*(FA$2:FA$126&lt;=17)*(FA$2:FA$126&lt;&gt;"")*($J$2:$J$126))</f>
        <v>0</v>
      </c>
      <c r="FB150" s="79" cm="1">
        <f t="array" ref="FB150">SUMPRODUCT(($B$2:$B$126=4)*(FB$2:FB$126&gt;=13)*(FB$2:FB$126&lt;=17)*(FB$2:FB$126&lt;&gt;"")*($J$2:$J$126))</f>
        <v>0</v>
      </c>
      <c r="FC150" s="79" cm="1">
        <f t="array" ref="FC150">SUMPRODUCT(($B$2:$B$126=4)*(FC$2:FC$126&gt;=13)*(FC$2:FC$126&lt;=17)*(FC$2:FC$126&lt;&gt;"")*($J$2:$J$126))</f>
        <v>0</v>
      </c>
      <c r="FD150" s="79" cm="1">
        <f t="array" ref="FD150">SUMPRODUCT(($B$2:$B$126=4)*(FD$2:FD$126&gt;=13)*(FD$2:FD$126&lt;=17)*(FD$2:FD$126&lt;&gt;"")*($J$2:$J$126))</f>
        <v>0</v>
      </c>
      <c r="FE150" s="79" cm="1">
        <f t="array" ref="FE150">SUMPRODUCT(($B$2:$B$126=4)*(FE$2:FE$126&gt;=13)*(FE$2:FE$126&lt;=17)*(FE$2:FE$126&lt;&gt;"")*($J$2:$J$126))</f>
        <v>0</v>
      </c>
      <c r="FF150" s="79" cm="1">
        <f t="array" ref="FF150">SUMPRODUCT(($B$2:$B$126=4)*(FF$2:FF$126&gt;=13)*(FF$2:FF$126&lt;=17)*(FF$2:FF$126&lt;&gt;"")*($J$2:$J$126))</f>
        <v>0</v>
      </c>
      <c r="FG150" s="79" cm="1">
        <f t="array" ref="FG150">SUMPRODUCT(($B$2:$B$126=4)*(FG$2:FG$126&gt;=13)*(FG$2:FG$126&lt;=17)*(FG$2:FG$126&lt;&gt;"")*($J$2:$J$126))</f>
        <v>0</v>
      </c>
      <c r="FH150" s="79" cm="1">
        <f t="array" ref="FH150">SUMPRODUCT(($B$2:$B$126=4)*(FH$2:FH$126&gt;=13)*(FH$2:FH$126&lt;=17)*(FH$2:FH$126&lt;&gt;"")*($J$2:$J$126))</f>
        <v>0</v>
      </c>
      <c r="FI150" s="79" cm="1">
        <f t="array" ref="FI150">SUMPRODUCT(($B$2:$B$126=4)*(FI$2:FI$126&gt;=13)*(FI$2:FI$126&lt;=17)*(FI$2:FI$126&lt;&gt;"")*($J$2:$J$126))</f>
        <v>0</v>
      </c>
      <c r="FJ150" s="79" cm="1">
        <f t="array" ref="FJ150">SUMPRODUCT(($B$2:$B$126=4)*(FJ$2:FJ$126&gt;=13)*(FJ$2:FJ$126&lt;=17)*(FJ$2:FJ$126&lt;&gt;"")*($J$2:$J$126))</f>
        <v>0</v>
      </c>
      <c r="FK150" s="79" cm="1">
        <f t="array" ref="FK150">SUMPRODUCT(($B$2:$B$126=4)*(FK$2:FK$126&gt;=13)*(FK$2:FK$126&lt;=17)*(FK$2:FK$126&lt;&gt;"")*($J$2:$J$126))</f>
        <v>0</v>
      </c>
      <c r="FL150" s="79" cm="1">
        <f t="array" ref="FL150">SUMPRODUCT(($B$2:$B$126=4)*(FL$2:FL$126&gt;=13)*(FL$2:FL$126&lt;=17)*(FL$2:FL$126&lt;&gt;"")*($J$2:$J$126))</f>
        <v>0</v>
      </c>
      <c r="FM150" s="79" cm="1">
        <f t="array" ref="FM150">SUMPRODUCT(($B$2:$B$126=4)*(FM$2:FM$126&gt;=13)*(FM$2:FM$126&lt;=17)*(FM$2:FM$126&lt;&gt;"")*($J$2:$J$126))</f>
        <v>0</v>
      </c>
      <c r="FN150" s="79" cm="1">
        <f t="array" ref="FN150">SUMPRODUCT(($B$2:$B$126=4)*(FN$2:FN$126&gt;=13)*(FN$2:FN$126&lt;=17)*(FN$2:FN$126&lt;&gt;"")*($J$2:$J$126))</f>
        <v>0</v>
      </c>
      <c r="FO150" s="79" cm="1">
        <f t="array" ref="FO150">SUMPRODUCT(($B$2:$B$126=4)*(FO$2:FO$126&gt;=13)*(FO$2:FO$126&lt;=17)*(FO$2:FO$126&lt;&gt;"")*($J$2:$J$126))</f>
        <v>0</v>
      </c>
      <c r="FP150" s="79" cm="1">
        <f t="array" ref="FP150">SUMPRODUCT(($B$2:$B$126=4)*(FP$2:FP$126&gt;=13)*(FP$2:FP$126&lt;=17)*(FP$2:FP$126&lt;&gt;"")*($J$2:$J$126))</f>
        <v>0</v>
      </c>
      <c r="FQ150" s="79" cm="1">
        <f t="array" ref="FQ150">SUMPRODUCT(($B$2:$B$126=4)*(FQ$2:FQ$126&gt;=13)*(FQ$2:FQ$126&lt;=17)*(FQ$2:FQ$126&lt;&gt;"")*($J$2:$J$126))</f>
        <v>0</v>
      </c>
      <c r="FR150" s="79" cm="1">
        <f t="array" ref="FR150">SUMPRODUCT(($B$2:$B$126=4)*(FR$2:FR$126&gt;=13)*(FR$2:FR$126&lt;=17)*(FR$2:FR$126&lt;&gt;"")*($J$2:$J$126))</f>
        <v>0</v>
      </c>
      <c r="FS150" s="79" cm="1">
        <f t="array" ref="FS150">SUMPRODUCT(($B$2:$B$126=4)*(FS$2:FS$126&gt;=13)*(FS$2:FS$126&lt;=17)*(FS$2:FS$126&lt;&gt;"")*($J$2:$J$126))</f>
        <v>0</v>
      </c>
      <c r="FT150" s="79" cm="1">
        <f t="array" ref="FT150">SUMPRODUCT(($B$2:$B$126=4)*(FT$2:FT$126&gt;=13)*(FT$2:FT$126&lt;=17)*(FT$2:FT$126&lt;&gt;"")*($J$2:$J$126))</f>
        <v>0</v>
      </c>
      <c r="FU150" s="79" cm="1">
        <f t="array" ref="FU150">SUMPRODUCT(($B$2:$B$126=4)*(FU$2:FU$126&gt;=13)*(FU$2:FU$126&lt;=17)*(FU$2:FU$126&lt;&gt;"")*($J$2:$J$126))</f>
        <v>0</v>
      </c>
      <c r="FV150" s="79" cm="1">
        <f t="array" ref="FV150">SUMPRODUCT(($B$2:$B$126=4)*(FV$2:FV$126&gt;=13)*(FV$2:FV$126&lt;=17)*(FV$2:FV$126&lt;&gt;"")*($J$2:$J$126))</f>
        <v>0</v>
      </c>
      <c r="FW150" s="79" cm="1">
        <f t="array" ref="FW150">SUMPRODUCT(($B$2:$B$126=4)*(FW$2:FW$126&gt;=13)*(FW$2:FW$126&lt;=17)*(FW$2:FW$126&lt;&gt;"")*($J$2:$J$126))</f>
        <v>0</v>
      </c>
      <c r="FX150" s="79" cm="1">
        <f t="array" ref="FX150">SUMPRODUCT(($B$2:$B$126=4)*(FX$2:FX$126&gt;=13)*(FX$2:FX$126&lt;=17)*(FX$2:FX$126&lt;&gt;"")*($J$2:$J$126))</f>
        <v>0</v>
      </c>
      <c r="FY150" s="79" cm="1">
        <f t="array" ref="FY150">SUMPRODUCT(($B$2:$B$126=4)*(FY$2:FY$126&gt;=13)*(FY$2:FY$126&lt;=17)*(FY$2:FY$126&lt;&gt;"")*($J$2:$J$126))</f>
        <v>0</v>
      </c>
      <c r="FZ150" s="79" cm="1">
        <f t="array" ref="FZ150">SUMPRODUCT(($B$2:$B$126=4)*(FZ$2:FZ$126&gt;=13)*(FZ$2:FZ$126&lt;=17)*(FZ$2:FZ$126&lt;&gt;"")*($J$2:$J$126))</f>
        <v>0</v>
      </c>
      <c r="GA150" s="79" cm="1">
        <f t="array" ref="GA150">SUMPRODUCT(($B$2:$B$126=4)*(GA$2:GA$126&gt;=13)*(GA$2:GA$126&lt;=17)*(GA$2:GA$126&lt;&gt;"")*($J$2:$J$126))</f>
        <v>0</v>
      </c>
      <c r="GB150" s="79" cm="1">
        <f t="array" ref="GB150">SUMPRODUCT(($B$2:$B$126=4)*(GB$2:GB$126&gt;=13)*(GB$2:GB$126&lt;=17)*(GB$2:GB$126&lt;&gt;"")*($J$2:$J$126))</f>
        <v>0</v>
      </c>
      <c r="GC150" s="79" cm="1">
        <f t="array" ref="GC150">SUMPRODUCT(($B$2:$B$126=4)*(GC$2:GC$126&gt;=13)*(GC$2:GC$126&lt;=17)*(GC$2:GC$126&lt;&gt;"")*($J$2:$J$126))</f>
        <v>0</v>
      </c>
      <c r="GD150" s="79" cm="1">
        <f t="array" ref="GD150">SUMPRODUCT(($B$2:$B$126=4)*(GD$2:GD$126&gt;=13)*(GD$2:GD$126&lt;=17)*(GD$2:GD$126&lt;&gt;"")*($J$2:$J$126))</f>
        <v>0</v>
      </c>
      <c r="GE150" s="79" cm="1">
        <f t="array" ref="GE150">SUMPRODUCT(($B$2:$B$126=4)*(GE$2:GE$126&gt;=13)*(GE$2:GE$126&lt;=17)*(GE$2:GE$126&lt;&gt;"")*($J$2:$J$126))</f>
        <v>0</v>
      </c>
      <c r="GF150" s="79" cm="1">
        <f t="array" ref="GF150">SUMPRODUCT(($B$2:$B$126=4)*(GF$2:GF$126&gt;=13)*(GF$2:GF$126&lt;=17)*(GF$2:GF$126&lt;&gt;"")*($J$2:$J$126))</f>
        <v>0</v>
      </c>
      <c r="GG150" s="79" cm="1">
        <f t="array" ref="GG150">SUMPRODUCT(($B$2:$B$126=4)*(GG$2:GG$126&gt;=13)*(GG$2:GG$126&lt;=17)*(GG$2:GG$126&lt;&gt;"")*($J$2:$J$126))</f>
        <v>0</v>
      </c>
      <c r="GH150" s="79" cm="1">
        <f t="array" ref="GH150">SUMPRODUCT(($B$2:$B$126=4)*(GH$2:GH$126&gt;=13)*(GH$2:GH$126&lt;=17)*(GH$2:GH$126&lt;&gt;"")*($J$2:$J$126))</f>
        <v>0</v>
      </c>
      <c r="GI150" s="79" cm="1">
        <f t="array" ref="GI150">SUMPRODUCT(($B$2:$B$126=4)*(GI$2:GI$126&gt;=13)*(GI$2:GI$126&lt;=17)*(GI$2:GI$126&lt;&gt;"")*($J$2:$J$126))</f>
        <v>0</v>
      </c>
      <c r="GJ150" s="79" cm="1">
        <f t="array" ref="GJ150">SUMPRODUCT(($B$2:$B$126=4)*(GJ$2:GJ$126&gt;=13)*(GJ$2:GJ$126&lt;=17)*(GJ$2:GJ$126&lt;&gt;"")*($J$2:$J$126))</f>
        <v>0</v>
      </c>
      <c r="GK150" s="79" cm="1">
        <f t="array" ref="GK150">SUMPRODUCT(($B$2:$B$126=4)*(GK$2:GK$126&gt;=13)*(GK$2:GK$126&lt;=17)*(GK$2:GK$126&lt;&gt;"")*($J$2:$J$126))</f>
        <v>0</v>
      </c>
      <c r="GL150" s="79" cm="1">
        <f t="array" ref="GL150">SUMPRODUCT(($B$2:$B$126=4)*(GL$2:GL$126&gt;=13)*(GL$2:GL$126&lt;=17)*(GL$2:GL$126&lt;&gt;"")*($J$2:$J$126))</f>
        <v>0</v>
      </c>
      <c r="GM150" s="79" cm="1">
        <f t="array" ref="GM150">SUMPRODUCT(($B$2:$B$126=4)*(GM$2:GM$126&gt;=13)*(GM$2:GM$126&lt;=17)*(GM$2:GM$126&lt;&gt;"")*($J$2:$J$126))</f>
        <v>0</v>
      </c>
      <c r="GN150" s="79" cm="1">
        <f t="array" ref="GN150">SUMPRODUCT(($B$2:$B$126=4)*(GN$2:GN$126&gt;=13)*(GN$2:GN$126&lt;=17)*(GN$2:GN$126&lt;&gt;"")*($J$2:$J$126))</f>
        <v>0</v>
      </c>
      <c r="GO150" s="79" cm="1">
        <f t="array" ref="GO150">SUMPRODUCT(($B$2:$B$126=4)*(GO$2:GO$126&gt;=13)*(GO$2:GO$126&lt;=17)*(GO$2:GO$126&lt;&gt;"")*($J$2:$J$126))</f>
        <v>0</v>
      </c>
      <c r="GP150" s="79" cm="1">
        <f t="array" ref="GP150">SUMPRODUCT(($B$2:$B$126=4)*(GP$2:GP$126&gt;=13)*(GP$2:GP$126&lt;=17)*(GP$2:GP$126&lt;&gt;"")*($J$2:$J$126))</f>
        <v>0</v>
      </c>
      <c r="GQ150" s="79" cm="1">
        <f t="array" ref="GQ150">SUMPRODUCT(($B$2:$B$126=4)*(GQ$2:GQ$126&gt;=13)*(GQ$2:GQ$126&lt;=17)*(GQ$2:GQ$126&lt;&gt;"")*($J$2:$J$126))</f>
        <v>0</v>
      </c>
      <c r="GR150" s="79" cm="1">
        <f t="array" ref="GR150">SUMPRODUCT(($B$2:$B$126=4)*(GR$2:GR$126&gt;=13)*(GR$2:GR$126&lt;=17)*(GR$2:GR$126&lt;&gt;"")*($J$2:$J$126))</f>
        <v>0</v>
      </c>
      <c r="GS150" s="79" cm="1">
        <f t="array" ref="GS150">SUMPRODUCT(($B$2:$B$126=4)*(GS$2:GS$126&gt;=13)*(GS$2:GS$126&lt;=17)*(GS$2:GS$126&lt;&gt;"")*($J$2:$J$126))</f>
        <v>0</v>
      </c>
      <c r="GT150" s="79" cm="1">
        <f t="array" ref="GT150">SUMPRODUCT(($B$2:$B$126=4)*(GT$2:GT$126&gt;=13)*(GT$2:GT$126&lt;=17)*(GT$2:GT$126&lt;&gt;"")*($J$2:$J$126))</f>
        <v>0</v>
      </c>
      <c r="GU150" s="79" cm="1">
        <f t="array" ref="GU150">SUMPRODUCT(($B$2:$B$126=4)*(GU$2:GU$126&gt;=13)*(GU$2:GU$126&lt;=17)*(GU$2:GU$126&lt;&gt;"")*($J$2:$J$126))</f>
        <v>0</v>
      </c>
      <c r="GV150" s="79" cm="1">
        <f t="array" ref="GV150">SUMPRODUCT(($B$2:$B$126=4)*(GV$2:GV$126&gt;=13)*(GV$2:GV$126&lt;=17)*(GV$2:GV$126&lt;&gt;"")*($J$2:$J$126))</f>
        <v>0</v>
      </c>
      <c r="GW150" s="79" cm="1">
        <f t="array" ref="GW150">SUMPRODUCT(($B$2:$B$126=4)*(GW$2:GW$126&gt;=13)*(GW$2:GW$126&lt;=17)*(GW$2:GW$126&lt;&gt;"")*($J$2:$J$126))</f>
        <v>0</v>
      </c>
      <c r="GX150" s="79" cm="1">
        <f t="array" ref="GX150">SUMPRODUCT(($B$2:$B$126=4)*(GX$2:GX$126&gt;=13)*(GX$2:GX$126&lt;=17)*(GX$2:GX$126&lt;&gt;"")*($J$2:$J$126))</f>
        <v>0</v>
      </c>
    </row>
    <row r="151" spans="1:206" x14ac:dyDescent="0.2">
      <c r="A151" s="84">
        <v>4</v>
      </c>
      <c r="B151" s="84" t="s">
        <v>256</v>
      </c>
      <c r="W151" s="79" cm="1">
        <f t="array" ref="W151">SUMPRODUCT(($B$2:$B$126=4)*(W$2:W$126&gt;=18)*(W$2:W$126&lt;=22)*(W$2:W$126&lt;&gt;"")*($J$2:$J$126))</f>
        <v>68.77</v>
      </c>
      <c r="X151" s="79" cm="1">
        <f t="array" ref="X151">SUMPRODUCT(($B$2:$B$126=4)*(X$2:X$126&gt;=18)*(X$2:X$126&lt;=22)*(X$2:X$126&lt;&gt;"")*($J$2:$J$126))</f>
        <v>26.61</v>
      </c>
      <c r="Y151" s="79" cm="1">
        <f t="array" ref="Y151">SUMPRODUCT(($B$2:$B$126=4)*(Y$2:Y$126&gt;=18)*(Y$2:Y$126&lt;=22)*(Y$2:Y$126&lt;&gt;"")*($J$2:$J$126))</f>
        <v>26.61</v>
      </c>
      <c r="Z151" s="79" cm="1">
        <f t="array" ref="Z151">SUMPRODUCT(($B$2:$B$126=4)*(Z$2:Z$126&gt;=18)*(Z$2:Z$126&lt;=22)*(Z$2:Z$126&lt;&gt;"")*($J$2:$J$126))</f>
        <v>26.61</v>
      </c>
      <c r="AA151" s="79" cm="1">
        <f t="array" ref="AA151">SUMPRODUCT(($B$2:$B$126=4)*(AA$2:AA$126&gt;=18)*(AA$2:AA$126&lt;=22)*(AA$2:AA$126&lt;&gt;"")*($J$2:$J$126))</f>
        <v>19.95</v>
      </c>
      <c r="AB151" s="79" cm="1">
        <f t="array" ref="AB151">SUMPRODUCT(($B$2:$B$126=4)*(AB$2:AB$126&gt;=18)*(AB$2:AB$126&lt;=22)*(AB$2:AB$126&lt;&gt;"")*($J$2:$J$126))</f>
        <v>19.95</v>
      </c>
      <c r="AC151" s="79" cm="1">
        <f t="array" ref="AC151">SUMPRODUCT(($B$2:$B$126=4)*(AC$2:AC$126&gt;=18)*(AC$2:AC$126&lt;=22)*(AC$2:AC$126&lt;&gt;"")*($J$2:$J$126))</f>
        <v>19.95</v>
      </c>
      <c r="AD151" s="79" cm="1">
        <f t="array" ref="AD151">SUMPRODUCT(($B$2:$B$126=4)*(AD$2:AD$126&gt;=18)*(AD$2:AD$126&lt;=22)*(AD$2:AD$126&lt;&gt;"")*($J$2:$J$126))</f>
        <v>89.69</v>
      </c>
      <c r="AE151" s="79" cm="1">
        <f t="array" ref="AE151">SUMPRODUCT(($B$2:$B$126=4)*(AE$2:AE$126&gt;=18)*(AE$2:AE$126&lt;=22)*(AE$2:AE$126&lt;&gt;"")*($J$2:$J$126))</f>
        <v>97.71</v>
      </c>
      <c r="AF151" s="79" cm="1">
        <f t="array" ref="AF151">SUMPRODUCT(($B$2:$B$126=4)*(AF$2:AF$126&gt;=18)*(AF$2:AF$126&lt;=22)*(AF$2:AF$126&lt;&gt;"")*($J$2:$J$126))</f>
        <v>77.759999999999991</v>
      </c>
      <c r="AG151" s="79" cm="1">
        <f t="array" ref="AG151">SUMPRODUCT(($B$2:$B$126=4)*(AG$2:AG$126&gt;=18)*(AG$2:AG$126&lt;=22)*(AG$2:AG$126&lt;&gt;"")*($J$2:$J$126))</f>
        <v>77.759999999999991</v>
      </c>
      <c r="AH151" s="79" cm="1">
        <f t="array" ref="AH151">SUMPRODUCT(($B$2:$B$126=4)*(AH$2:AH$126&gt;=18)*(AH$2:AH$126&lt;=22)*(AH$2:AH$126&lt;&gt;"")*($J$2:$J$126))</f>
        <v>94.679999999999993</v>
      </c>
      <c r="AI151" s="79" cm="1">
        <f t="array" ref="AI151">SUMPRODUCT(($B$2:$B$126=4)*(AI$2:AI$126&gt;=18)*(AI$2:AI$126&lt;=22)*(AI$2:AI$126&lt;&gt;"")*($J$2:$J$126))</f>
        <v>84.039999999999992</v>
      </c>
      <c r="AJ151" s="79" cm="1">
        <f t="array" ref="AJ151">SUMPRODUCT(($B$2:$B$126=4)*(AJ$2:AJ$126&gt;=18)*(AJ$2:AJ$126&lt;=22)*(AJ$2:AJ$126&lt;&gt;"")*($J$2:$J$126))</f>
        <v>97.24</v>
      </c>
      <c r="AK151" s="79" cm="1">
        <f t="array" ref="AK151">SUMPRODUCT(($B$2:$B$126=4)*(AK$2:AK$126&gt;=18)*(AK$2:AK$126&lt;=22)*(AK$2:AK$126&lt;&gt;"")*($J$2:$J$126))</f>
        <v>97.24</v>
      </c>
      <c r="AL151" s="79" cm="1">
        <f t="array" ref="AL151">SUMPRODUCT(($B$2:$B$126=4)*(AL$2:AL$126&gt;=18)*(AL$2:AL$126&lt;=22)*(AL$2:AL$126&lt;&gt;"")*($J$2:$J$126))</f>
        <v>133</v>
      </c>
      <c r="AM151" s="79" cm="1">
        <f t="array" ref="AM151">SUMPRODUCT(($B$2:$B$126=4)*(AM$2:AM$126&gt;=18)*(AM$2:AM$126&lt;=22)*(AM$2:AM$126&lt;&gt;"")*($J$2:$J$126))</f>
        <v>78.31</v>
      </c>
      <c r="AN151" s="79" cm="1">
        <f t="array" ref="AN151">SUMPRODUCT(($B$2:$B$126=4)*(AN$2:AN$126&gt;=18)*(AN$2:AN$126&lt;=22)*(AN$2:AN$126&lt;&gt;"")*($J$2:$J$126))</f>
        <v>59.150000000000006</v>
      </c>
      <c r="AO151" s="79" cm="1">
        <f t="array" ref="AO151">SUMPRODUCT(($B$2:$B$126=4)*(AO$2:AO$126&gt;=18)*(AO$2:AO$126&lt;=22)*(AO$2:AO$126&lt;&gt;"")*($J$2:$J$126))</f>
        <v>74.27000000000001</v>
      </c>
      <c r="AP151" s="79" cm="1">
        <f t="array" ref="AP151">SUMPRODUCT(($B$2:$B$126=4)*(AP$2:AP$126&gt;=18)*(AP$2:AP$126&lt;=22)*(AP$2:AP$126&lt;&gt;"")*($J$2:$J$126))</f>
        <v>94.47</v>
      </c>
      <c r="AQ151" s="79" cm="1">
        <f t="array" ref="AQ151">SUMPRODUCT(($B$2:$B$126=4)*(AQ$2:AQ$126&gt;=18)*(AQ$2:AQ$126&lt;=22)*(AQ$2:AQ$126&lt;&gt;"")*($J$2:$J$126))</f>
        <v>86.5</v>
      </c>
      <c r="AR151" s="79" cm="1">
        <f t="array" ref="AR151">SUMPRODUCT(($B$2:$B$126=4)*(AR$2:AR$126&gt;=18)*(AR$2:AR$126&lt;=22)*(AR$2:AR$126&lt;&gt;"")*($J$2:$J$126))</f>
        <v>90.570000000000007</v>
      </c>
      <c r="AS151" s="79" cm="1">
        <f t="array" ref="AS151">SUMPRODUCT(($B$2:$B$126=4)*(AS$2:AS$126&gt;=18)*(AS$2:AS$126&lt;=22)*(AS$2:AS$126&lt;&gt;"")*($J$2:$J$126))</f>
        <v>34.450000000000003</v>
      </c>
      <c r="AT151" s="79" cm="1">
        <f t="array" ref="AT151">SUMPRODUCT(($B$2:$B$126=4)*(AT$2:AT$126&gt;=18)*(AT$2:AT$126&lt;=22)*(AT$2:AT$126&lt;&gt;"")*($J$2:$J$126))</f>
        <v>0</v>
      </c>
      <c r="AU151" s="79" cm="1">
        <f t="array" ref="AU151">SUMPRODUCT(($B$2:$B$126=4)*(AU$2:AU$126&gt;=18)*(AU$2:AU$126&lt;=22)*(AU$2:AU$126&lt;&gt;"")*($J$2:$J$126))</f>
        <v>0</v>
      </c>
      <c r="AV151" s="79" cm="1">
        <f t="array" ref="AV151">SUMPRODUCT(($B$2:$B$126=4)*(AV$2:AV$126&gt;=18)*(AV$2:AV$126&lt;=22)*(AV$2:AV$126&lt;&gt;"")*($J$2:$J$126))</f>
        <v>0</v>
      </c>
      <c r="AW151" s="79" cm="1">
        <f t="array" ref="AW151">SUMPRODUCT(($B$2:$B$126=4)*(AW$2:AW$126&gt;=18)*(AW$2:AW$126&lt;=22)*(AW$2:AW$126&lt;&gt;"")*($J$2:$J$126))</f>
        <v>0</v>
      </c>
      <c r="AX151" s="79" cm="1">
        <f t="array" ref="AX151">SUMPRODUCT(($B$2:$B$126=4)*(AX$2:AX$126&gt;=18)*(AX$2:AX$126&lt;=22)*(AX$2:AX$126&lt;&gt;"")*($J$2:$J$126))</f>
        <v>0</v>
      </c>
      <c r="AY151" s="79" cm="1">
        <f t="array" ref="AY151">SUMPRODUCT(($B$2:$B$126=4)*(AY$2:AY$126&gt;=18)*(AY$2:AY$126&lt;=22)*(AY$2:AY$126&lt;&gt;"")*($J$2:$J$126))</f>
        <v>0</v>
      </c>
      <c r="AZ151" s="79" cm="1">
        <f t="array" ref="AZ151">SUMPRODUCT(($B$2:$B$126=4)*(AZ$2:AZ$126&gt;=18)*(AZ$2:AZ$126&lt;=22)*(AZ$2:AZ$126&lt;&gt;"")*($J$2:$J$126))</f>
        <v>0</v>
      </c>
      <c r="BA151" s="79" cm="1">
        <f t="array" ref="BA151">SUMPRODUCT(($B$2:$B$126=4)*(BA$2:BA$126&gt;=18)*(BA$2:BA$126&lt;=22)*(BA$2:BA$126&lt;&gt;"")*($J$2:$J$126))</f>
        <v>0</v>
      </c>
      <c r="BB151" s="79" cm="1">
        <f t="array" ref="BB151">SUMPRODUCT(($B$2:$B$126=4)*(BB$2:BB$126&gt;=18)*(BB$2:BB$126&lt;=22)*(BB$2:BB$126&lt;&gt;"")*($J$2:$J$126))</f>
        <v>0</v>
      </c>
      <c r="BC151" s="79" cm="1">
        <f t="array" ref="BC151">SUMPRODUCT(($B$2:$B$126=4)*(BC$2:BC$126&gt;=18)*(BC$2:BC$126&lt;=22)*(BC$2:BC$126&lt;&gt;"")*($J$2:$J$126))</f>
        <v>77.759999999999991</v>
      </c>
      <c r="BD151" s="79" cm="1">
        <f t="array" ref="BD151">SUMPRODUCT(($B$2:$B$126=4)*(BD$2:BD$126&gt;=18)*(BD$2:BD$126&lt;=22)*(BD$2:BD$126&lt;&gt;"")*($J$2:$J$126))</f>
        <v>8.02</v>
      </c>
      <c r="BE151" s="79" cm="1">
        <f t="array" ref="BE151">SUMPRODUCT(($B$2:$B$126=4)*(BE$2:BE$126&gt;=18)*(BE$2:BE$126&lt;=22)*(BE$2:BE$126&lt;&gt;"")*($J$2:$J$126))</f>
        <v>44.71</v>
      </c>
      <c r="BF151" s="79" cm="1">
        <f t="array" ref="BF151">SUMPRODUCT(($B$2:$B$126=4)*(BF$2:BF$126&gt;=18)*(BF$2:BF$126&lt;=22)*(BF$2:BF$126&lt;&gt;"")*($J$2:$J$126))</f>
        <v>37.950000000000003</v>
      </c>
      <c r="BG151" s="79" cm="1">
        <f t="array" ref="BG151">SUMPRODUCT(($B$2:$B$126=4)*(BG$2:BG$126&gt;=18)*(BG$2:BG$126&lt;=22)*(BG$2:BG$126&lt;&gt;"")*($J$2:$J$126))</f>
        <v>0</v>
      </c>
      <c r="BH151" s="79" cm="1">
        <f t="array" ref="BH151">SUMPRODUCT(($B$2:$B$126=4)*(BH$2:BH$126&gt;=18)*(BH$2:BH$126&lt;=22)*(BH$2:BH$126&lt;&gt;"")*($J$2:$J$126))</f>
        <v>0</v>
      </c>
      <c r="BI151" s="79" cm="1">
        <f t="array" ref="BI151">SUMPRODUCT(($B$2:$B$126=4)*(BI$2:BI$126&gt;=18)*(BI$2:BI$126&lt;=22)*(BI$2:BI$126&lt;&gt;"")*($J$2:$J$126))</f>
        <v>0</v>
      </c>
      <c r="BJ151" s="79" cm="1">
        <f t="array" ref="BJ151">SUMPRODUCT(($B$2:$B$126=4)*(BJ$2:BJ$126&gt;=18)*(BJ$2:BJ$126&lt;=22)*(BJ$2:BJ$126&lt;&gt;"")*($J$2:$J$126))</f>
        <v>24.200000000000003</v>
      </c>
      <c r="BK151" s="79" cm="1">
        <f t="array" ref="BK151">SUMPRODUCT(($B$2:$B$126=4)*(BK$2:BK$126&gt;=18)*(BK$2:BK$126&lt;=22)*(BK$2:BK$126&lt;&gt;"")*($J$2:$J$126))</f>
        <v>44.13</v>
      </c>
      <c r="BL151" s="79" cm="1">
        <f t="array" ref="BL151">SUMPRODUCT(($B$2:$B$126=4)*(BL$2:BL$126&gt;=18)*(BL$2:BL$126&lt;=22)*(BL$2:BL$126&lt;&gt;"")*($J$2:$J$126))</f>
        <v>68.33</v>
      </c>
      <c r="BM151" s="79" cm="1">
        <f t="array" ref="BM151">SUMPRODUCT(($B$2:$B$126=4)*(BM$2:BM$126&gt;=18)*(BM$2:BM$126&lt;=22)*(BM$2:BM$126&lt;&gt;"")*($J$2:$J$126))</f>
        <v>68.77</v>
      </c>
      <c r="BN151" s="79" cm="1">
        <f t="array" ref="BN151">SUMPRODUCT(($B$2:$B$126=4)*(BN$2:BN$126&gt;=18)*(BN$2:BN$126&lt;=22)*(BN$2:BN$126&lt;&gt;"")*($J$2:$J$126))</f>
        <v>26.61</v>
      </c>
      <c r="BO151" s="79" cm="1">
        <f t="array" ref="BO151">SUMPRODUCT(($B$2:$B$126=4)*(BO$2:BO$126&gt;=18)*(BO$2:BO$126&lt;=22)*(BO$2:BO$126&lt;&gt;"")*($J$2:$J$126))</f>
        <v>0</v>
      </c>
      <c r="BP151" s="79" cm="1">
        <f t="array" ref="BP151">SUMPRODUCT(($B$2:$B$126=4)*(BP$2:BP$126&gt;=18)*(BP$2:BP$126&lt;=22)*(BP$2:BP$126&lt;&gt;"")*($J$2:$J$126))</f>
        <v>0</v>
      </c>
      <c r="BQ151" s="79" cm="1">
        <f t="array" ref="BQ151">SUMPRODUCT(($B$2:$B$126=4)*(BQ$2:BQ$126&gt;=18)*(BQ$2:BQ$126&lt;=22)*(BQ$2:BQ$126&lt;&gt;"")*($J$2:$J$126))</f>
        <v>0</v>
      </c>
      <c r="BR151" s="79" cm="1">
        <f t="array" ref="BR151">SUMPRODUCT(($B$2:$B$126=4)*(BR$2:BR$126&gt;=18)*(BR$2:BR$126&lt;=22)*(BR$2:BR$126&lt;&gt;"")*($J$2:$J$126))</f>
        <v>0</v>
      </c>
      <c r="BS151" s="79" cm="1">
        <f t="array" ref="BS151">SUMPRODUCT(($B$2:$B$126=4)*(BS$2:BS$126&gt;=18)*(BS$2:BS$126&lt;=22)*(BS$2:BS$126&lt;&gt;"")*($J$2:$J$126))</f>
        <v>0</v>
      </c>
      <c r="BT151" s="79" cm="1">
        <f t="array" ref="BT151">SUMPRODUCT(($B$2:$B$126=4)*(BT$2:BT$126&gt;=18)*(BT$2:BT$126&lt;=22)*(BT$2:BT$126&lt;&gt;"")*($J$2:$J$126))</f>
        <v>30.11</v>
      </c>
      <c r="BU151" s="79" cm="1">
        <f t="array" ref="BU151">SUMPRODUCT(($B$2:$B$126=4)*(BU$2:BU$126&gt;=18)*(BU$2:BU$126&lt;=22)*(BU$2:BU$126&lt;&gt;"")*($J$2:$J$126))</f>
        <v>30.11</v>
      </c>
      <c r="BV151" s="79" cm="1">
        <f t="array" ref="BV151">SUMPRODUCT(($B$2:$B$126=4)*(BV$2:BV$126&gt;=18)*(BV$2:BV$126&lt;=22)*(BV$2:BV$126&lt;&gt;"")*($J$2:$J$126))</f>
        <v>136.76999999999998</v>
      </c>
      <c r="BW151" s="79" cm="1">
        <f t="array" ref="BW151">SUMPRODUCT(($B$2:$B$126=4)*(BW$2:BW$126&gt;=18)*(BW$2:BW$126&lt;=22)*(BW$2:BW$126&lt;&gt;"")*($J$2:$J$126))</f>
        <v>144.79</v>
      </c>
      <c r="BX151" s="79" cm="1">
        <f t="array" ref="BX151">SUMPRODUCT(($B$2:$B$126=4)*(BX$2:BX$126&gt;=18)*(BX$2:BX$126&lt;=22)*(BX$2:BX$126&lt;&gt;"")*($J$2:$J$126))</f>
        <v>194.95</v>
      </c>
      <c r="BY151" s="79" cm="1">
        <f t="array" ref="BY151">SUMPRODUCT(($B$2:$B$126=4)*(BY$2:BY$126&gt;=18)*(BY$2:BY$126&lt;=22)*(BY$2:BY$126&lt;&gt;"")*($J$2:$J$126))</f>
        <v>245.21000000000004</v>
      </c>
      <c r="BZ151" s="79" cm="1">
        <f t="array" ref="BZ151">SUMPRODUCT(($B$2:$B$126=4)*(BZ$2:BZ$126&gt;=18)*(BZ$2:BZ$126&lt;=22)*(BZ$2:BZ$126&lt;&gt;"")*($J$2:$J$126))</f>
        <v>263.21000000000004</v>
      </c>
      <c r="CA151" s="79" cm="1">
        <f t="array" ref="CA151">SUMPRODUCT(($B$2:$B$126=4)*(CA$2:CA$126&gt;=18)*(CA$2:CA$126&lt;=22)*(CA$2:CA$126&lt;&gt;"")*($J$2:$J$126))</f>
        <v>190.45000000000005</v>
      </c>
      <c r="CB151" s="79" cm="1">
        <f t="array" ref="CB151">SUMPRODUCT(($B$2:$B$126=4)*(CB$2:CB$126&gt;=18)*(CB$2:CB$126&lt;=22)*(CB$2:CB$126&lt;&gt;"")*($J$2:$J$126))</f>
        <v>182.43</v>
      </c>
      <c r="CC151" s="79" cm="1">
        <f t="array" ref="CC151">SUMPRODUCT(($B$2:$B$126=4)*(CC$2:CC$126&gt;=18)*(CC$2:CC$126&lt;=22)*(CC$2:CC$126&lt;&gt;"")*($J$2:$J$126))</f>
        <v>202.36</v>
      </c>
      <c r="CD151" s="79" cm="1">
        <f t="array" ref="CD151">SUMPRODUCT(($B$2:$B$126=4)*(CD$2:CD$126&gt;=18)*(CD$2:CD$126&lt;=22)*(CD$2:CD$126&lt;&gt;"")*($J$2:$J$126))</f>
        <v>166.12</v>
      </c>
      <c r="CE151" s="79" cm="1">
        <f t="array" ref="CE151">SUMPRODUCT(($B$2:$B$126=4)*(CE$2:CE$126&gt;=18)*(CE$2:CE$126&lt;=22)*(CE$2:CE$126&lt;&gt;"")*($J$2:$J$126))</f>
        <v>174.29000000000002</v>
      </c>
      <c r="CF151" s="79" cm="1">
        <f t="array" ref="CF151">SUMPRODUCT(($B$2:$B$126=4)*(CF$2:CF$126&gt;=18)*(CF$2:CF$126&lt;=22)*(CF$2:CF$126&lt;&gt;"")*($J$2:$J$126))</f>
        <v>182.55</v>
      </c>
      <c r="CG151" s="79" cm="1">
        <f t="array" ref="CG151">SUMPRODUCT(($B$2:$B$126=4)*(CG$2:CG$126&gt;=18)*(CG$2:CG$126&lt;=22)*(CG$2:CG$126&lt;&gt;"")*($J$2:$J$126))</f>
        <v>209.16000000000003</v>
      </c>
      <c r="CH151" s="79" cm="1">
        <f t="array" ref="CH151">SUMPRODUCT(($B$2:$B$126=4)*(CH$2:CH$126&gt;=18)*(CH$2:CH$126&lt;=22)*(CH$2:CH$126&lt;&gt;"")*($J$2:$J$126))</f>
        <v>139.07</v>
      </c>
      <c r="CI151" s="79" cm="1">
        <f t="array" ref="CI151">SUMPRODUCT(($B$2:$B$126=4)*(CI$2:CI$126&gt;=18)*(CI$2:CI$126&lt;=22)*(CI$2:CI$126&lt;&gt;"")*($J$2:$J$126))</f>
        <v>94.94</v>
      </c>
      <c r="CJ151" s="79" cm="1">
        <f t="array" ref="CJ151">SUMPRODUCT(($B$2:$B$126=4)*(CJ$2:CJ$126&gt;=18)*(CJ$2:CJ$126&lt;=22)*(CJ$2:CJ$126&lt;&gt;"")*($J$2:$J$126))</f>
        <v>68.77</v>
      </c>
      <c r="CK151" s="79" cm="1">
        <f t="array" ref="CK151">SUMPRODUCT(($B$2:$B$126=4)*(CK$2:CK$126&gt;=18)*(CK$2:CK$126&lt;=22)*(CK$2:CK$126&lt;&gt;"")*($J$2:$J$126))</f>
        <v>26.61</v>
      </c>
      <c r="CL151" s="79" cm="1">
        <f t="array" ref="CL151">SUMPRODUCT(($B$2:$B$126=4)*(CL$2:CL$126&gt;=18)*(CL$2:CL$126&lt;=22)*(CL$2:CL$126&lt;&gt;"")*($J$2:$J$126))</f>
        <v>0</v>
      </c>
      <c r="CM151" s="79" cm="1">
        <f t="array" ref="CM151">SUMPRODUCT(($B$2:$B$126=4)*(CM$2:CM$126&gt;=18)*(CM$2:CM$126&lt;=22)*(CM$2:CM$126&lt;&gt;"")*($J$2:$J$126))</f>
        <v>0</v>
      </c>
      <c r="CN151" s="79" cm="1">
        <f t="array" ref="CN151">SUMPRODUCT(($B$2:$B$126=4)*(CN$2:CN$126&gt;=18)*(CN$2:CN$126&lt;=22)*(CN$2:CN$126&lt;&gt;"")*($J$2:$J$126))</f>
        <v>0</v>
      </c>
      <c r="CO151" s="79" cm="1">
        <f t="array" ref="CO151">SUMPRODUCT(($B$2:$B$126=4)*(CO$2:CO$126&gt;=18)*(CO$2:CO$126&lt;=22)*(CO$2:CO$126&lt;&gt;"")*($J$2:$J$126))</f>
        <v>0</v>
      </c>
      <c r="CP151" s="79" cm="1">
        <f t="array" ref="CP151">SUMPRODUCT(($B$2:$B$126=4)*(CP$2:CP$126&gt;=18)*(CP$2:CP$126&lt;=22)*(CP$2:CP$126&lt;&gt;"")*($J$2:$J$126))</f>
        <v>0</v>
      </c>
      <c r="CQ151" s="79" cm="1">
        <f t="array" ref="CQ151">SUMPRODUCT(($B$2:$B$126=4)*(CQ$2:CQ$126&gt;=18)*(CQ$2:CQ$126&lt;=22)*(CQ$2:CQ$126&lt;&gt;"")*($J$2:$J$126))</f>
        <v>0</v>
      </c>
      <c r="CR151" s="79" cm="1">
        <f t="array" ref="CR151">SUMPRODUCT(($B$2:$B$126=4)*(CR$2:CR$126&gt;=18)*(CR$2:CR$126&lt;=22)*(CR$2:CR$126&lt;&gt;"")*($J$2:$J$126))</f>
        <v>0</v>
      </c>
      <c r="CS151" s="79" cm="1">
        <f t="array" ref="CS151">SUMPRODUCT(($B$2:$B$126=4)*(CS$2:CS$126&gt;=18)*(CS$2:CS$126&lt;=22)*(CS$2:CS$126&lt;&gt;"")*($J$2:$J$126))</f>
        <v>0</v>
      </c>
      <c r="CT151" s="79" cm="1">
        <f t="array" ref="CT151">SUMPRODUCT(($B$2:$B$126=4)*(CT$2:CT$126&gt;=18)*(CT$2:CT$126&lt;=22)*(CT$2:CT$126&lt;&gt;"")*($J$2:$J$126))</f>
        <v>0</v>
      </c>
      <c r="CU151" s="79" cm="1">
        <f t="array" ref="CU151">SUMPRODUCT(($B$2:$B$126=4)*(CU$2:CU$126&gt;=18)*(CU$2:CU$126&lt;=22)*(CU$2:CU$126&lt;&gt;"")*($J$2:$J$126))</f>
        <v>0</v>
      </c>
      <c r="CV151" s="79" cm="1">
        <f t="array" ref="CV151">SUMPRODUCT(($B$2:$B$126=4)*(CV$2:CV$126&gt;=18)*(CV$2:CV$126&lt;=22)*(CV$2:CV$126&lt;&gt;"")*($J$2:$J$126))</f>
        <v>0</v>
      </c>
      <c r="CW151" s="79" cm="1">
        <f t="array" ref="CW151">SUMPRODUCT(($B$2:$B$126=4)*(CW$2:CW$126&gt;=18)*(CW$2:CW$126&lt;=22)*(CW$2:CW$126&lt;&gt;"")*($J$2:$J$126))</f>
        <v>0</v>
      </c>
      <c r="CX151" s="79" cm="1">
        <f t="array" ref="CX151">SUMPRODUCT(($B$2:$B$126=4)*(CX$2:CX$126&gt;=18)*(CX$2:CX$126&lt;=22)*(CX$2:CX$126&lt;&gt;"")*($J$2:$J$126))</f>
        <v>0</v>
      </c>
      <c r="CY151" s="79" cm="1">
        <f t="array" ref="CY151">SUMPRODUCT(($B$2:$B$126=4)*(CY$2:CY$126&gt;=18)*(CY$2:CY$126&lt;=22)*(CY$2:CY$126&lt;&gt;"")*($J$2:$J$126))</f>
        <v>0</v>
      </c>
      <c r="CZ151" s="79" cm="1">
        <f t="array" ref="CZ151">SUMPRODUCT(($B$2:$B$126=4)*(CZ$2:CZ$126&gt;=18)*(CZ$2:CZ$126&lt;=22)*(CZ$2:CZ$126&lt;&gt;"")*($J$2:$J$126))</f>
        <v>0</v>
      </c>
      <c r="DA151" s="79" cm="1">
        <f t="array" ref="DA151">SUMPRODUCT(($B$2:$B$126=4)*(DA$2:DA$126&gt;=18)*(DA$2:DA$126&lt;=22)*(DA$2:DA$126&lt;&gt;"")*($J$2:$J$126))</f>
        <v>0</v>
      </c>
      <c r="DB151" s="79" cm="1">
        <f t="array" ref="DB151">SUMPRODUCT(($B$2:$B$126=4)*(DB$2:DB$126&gt;=18)*(DB$2:DB$126&lt;=22)*(DB$2:DB$126&lt;&gt;"")*($J$2:$J$126))</f>
        <v>0</v>
      </c>
      <c r="DC151" s="79" cm="1">
        <f t="array" ref="DC151">SUMPRODUCT(($B$2:$B$126=4)*(DC$2:DC$126&gt;=18)*(DC$2:DC$126&lt;=22)*(DC$2:DC$126&lt;&gt;"")*($J$2:$J$126))</f>
        <v>0</v>
      </c>
      <c r="DD151" s="79" cm="1">
        <f t="array" ref="DD151">SUMPRODUCT(($B$2:$B$126=4)*(DD$2:DD$126&gt;=18)*(DD$2:DD$126&lt;=22)*(DD$2:DD$126&lt;&gt;"")*($J$2:$J$126))</f>
        <v>0</v>
      </c>
      <c r="DE151" s="79" cm="1">
        <f t="array" ref="DE151">SUMPRODUCT(($B$2:$B$126=4)*(DE$2:DE$126&gt;=18)*(DE$2:DE$126&lt;=22)*(DE$2:DE$126&lt;&gt;"")*($J$2:$J$126))</f>
        <v>0</v>
      </c>
      <c r="DF151" s="79" cm="1">
        <f t="array" ref="DF151">SUMPRODUCT(($B$2:$B$126=4)*(DF$2:DF$126&gt;=18)*(DF$2:DF$126&lt;=22)*(DF$2:DF$126&lt;&gt;"")*($J$2:$J$126))</f>
        <v>0</v>
      </c>
      <c r="DG151" s="79" cm="1">
        <f t="array" ref="DG151">SUMPRODUCT(($B$2:$B$126=4)*(DG$2:DG$126&gt;=18)*(DG$2:DG$126&lt;=22)*(DG$2:DG$126&lt;&gt;"")*($J$2:$J$126))</f>
        <v>0</v>
      </c>
      <c r="DH151" s="79" cm="1">
        <f t="array" ref="DH151">SUMPRODUCT(($B$2:$B$126=4)*(DH$2:DH$126&gt;=18)*(DH$2:DH$126&lt;=22)*(DH$2:DH$126&lt;&gt;"")*($J$2:$J$126))</f>
        <v>0</v>
      </c>
      <c r="DI151" s="79" cm="1">
        <f t="array" ref="DI151">SUMPRODUCT(($B$2:$B$126=4)*(DI$2:DI$126&gt;=18)*(DI$2:DI$126&lt;=22)*(DI$2:DI$126&lt;&gt;"")*($J$2:$J$126))</f>
        <v>0</v>
      </c>
      <c r="DJ151" s="79" cm="1">
        <f t="array" ref="DJ151">SUMPRODUCT(($B$2:$B$126=4)*(DJ$2:DJ$126&gt;=18)*(DJ$2:DJ$126&lt;=22)*(DJ$2:DJ$126&lt;&gt;"")*($J$2:$J$126))</f>
        <v>0</v>
      </c>
      <c r="DK151" s="79" cm="1">
        <f t="array" ref="DK151">SUMPRODUCT(($B$2:$B$126=4)*(DK$2:DK$126&gt;=18)*(DK$2:DK$126&lt;=22)*(DK$2:DK$126&lt;&gt;"")*($J$2:$J$126))</f>
        <v>0</v>
      </c>
      <c r="DL151" s="79" cm="1">
        <f t="array" ref="DL151">SUMPRODUCT(($B$2:$B$126=4)*(DL$2:DL$126&gt;=18)*(DL$2:DL$126&lt;=22)*(DL$2:DL$126&lt;&gt;"")*($J$2:$J$126))</f>
        <v>0</v>
      </c>
      <c r="DM151" s="79" cm="1">
        <f t="array" ref="DM151">SUMPRODUCT(($B$2:$B$126=4)*(DM$2:DM$126&gt;=18)*(DM$2:DM$126&lt;=22)*(DM$2:DM$126&lt;&gt;"")*($J$2:$J$126))</f>
        <v>0</v>
      </c>
      <c r="DN151" s="79" cm="1">
        <f t="array" ref="DN151">SUMPRODUCT(($B$2:$B$126=4)*(DN$2:DN$126&gt;=18)*(DN$2:DN$126&lt;=22)*(DN$2:DN$126&lt;&gt;"")*($J$2:$J$126))</f>
        <v>0</v>
      </c>
      <c r="DO151" s="79" cm="1">
        <f t="array" ref="DO151">SUMPRODUCT(($B$2:$B$126=4)*(DO$2:DO$126&gt;=18)*(DO$2:DO$126&lt;=22)*(DO$2:DO$126&lt;&gt;"")*($J$2:$J$126))</f>
        <v>0</v>
      </c>
      <c r="DP151" s="79" cm="1">
        <f t="array" ref="DP151">SUMPRODUCT(($B$2:$B$126=4)*(DP$2:DP$126&gt;=18)*(DP$2:DP$126&lt;=22)*(DP$2:DP$126&lt;&gt;"")*($J$2:$J$126))</f>
        <v>0</v>
      </c>
      <c r="DQ151" s="79" cm="1">
        <f t="array" ref="DQ151">SUMPRODUCT(($B$2:$B$126=4)*(DQ$2:DQ$126&gt;=18)*(DQ$2:DQ$126&lt;=22)*(DQ$2:DQ$126&lt;&gt;"")*($J$2:$J$126))</f>
        <v>0</v>
      </c>
      <c r="DR151" s="79" cm="1">
        <f t="array" ref="DR151">SUMPRODUCT(($B$2:$B$126=4)*(DR$2:DR$126&gt;=18)*(DR$2:DR$126&lt;=22)*(DR$2:DR$126&lt;&gt;"")*($J$2:$J$126))</f>
        <v>0</v>
      </c>
      <c r="DS151" s="79" cm="1">
        <f t="array" ref="DS151">SUMPRODUCT(($B$2:$B$126=4)*(DS$2:DS$126&gt;=18)*(DS$2:DS$126&lt;=22)*(DS$2:DS$126&lt;&gt;"")*($J$2:$J$126))</f>
        <v>0</v>
      </c>
      <c r="DT151" s="79" cm="1">
        <f t="array" ref="DT151">SUMPRODUCT(($B$2:$B$126=4)*(DT$2:DT$126&gt;=18)*(DT$2:DT$126&lt;=22)*(DT$2:DT$126&lt;&gt;"")*($J$2:$J$126))</f>
        <v>0</v>
      </c>
      <c r="DU151" s="79" cm="1">
        <f t="array" ref="DU151">SUMPRODUCT(($B$2:$B$126=4)*(DU$2:DU$126&gt;=18)*(DU$2:DU$126&lt;=22)*(DU$2:DU$126&lt;&gt;"")*($J$2:$J$126))</f>
        <v>0</v>
      </c>
      <c r="DV151" s="79" cm="1">
        <f t="array" ref="DV151">SUMPRODUCT(($B$2:$B$126=4)*(DV$2:DV$126&gt;=18)*(DV$2:DV$126&lt;=22)*(DV$2:DV$126&lt;&gt;"")*($J$2:$J$126))</f>
        <v>0</v>
      </c>
      <c r="DW151" s="79" cm="1">
        <f t="array" ref="DW151">SUMPRODUCT(($B$2:$B$126=4)*(DW$2:DW$126&gt;=18)*(DW$2:DW$126&lt;=22)*(DW$2:DW$126&lt;&gt;"")*($J$2:$J$126))</f>
        <v>0</v>
      </c>
      <c r="DX151" s="79" cm="1">
        <f t="array" ref="DX151">SUMPRODUCT(($B$2:$B$126=4)*(DX$2:DX$126&gt;=18)*(DX$2:DX$126&lt;=22)*(DX$2:DX$126&lt;&gt;"")*($J$2:$J$126))</f>
        <v>0</v>
      </c>
      <c r="DY151" s="79" cm="1">
        <f t="array" ref="DY151">SUMPRODUCT(($B$2:$B$126=4)*(DY$2:DY$126&gt;=18)*(DY$2:DY$126&lt;=22)*(DY$2:DY$126&lt;&gt;"")*($J$2:$J$126))</f>
        <v>0</v>
      </c>
      <c r="DZ151" s="79" cm="1">
        <f t="array" ref="DZ151">SUMPRODUCT(($B$2:$B$126=4)*(DZ$2:DZ$126&gt;=18)*(DZ$2:DZ$126&lt;=22)*(DZ$2:DZ$126&lt;&gt;"")*($J$2:$J$126))</f>
        <v>0</v>
      </c>
      <c r="EA151" s="79" cm="1">
        <f t="array" ref="EA151">SUMPRODUCT(($B$2:$B$126=4)*(EA$2:EA$126&gt;=18)*(EA$2:EA$126&lt;=22)*(EA$2:EA$126&lt;&gt;"")*($J$2:$J$126))</f>
        <v>0</v>
      </c>
      <c r="EB151" s="79" cm="1">
        <f t="array" ref="EB151">SUMPRODUCT(($B$2:$B$126=4)*(EB$2:EB$126&gt;=18)*(EB$2:EB$126&lt;=22)*(EB$2:EB$126&lt;&gt;"")*($J$2:$J$126))</f>
        <v>0</v>
      </c>
      <c r="EC151" s="79" cm="1">
        <f t="array" ref="EC151">SUMPRODUCT(($B$2:$B$126=4)*(EC$2:EC$126&gt;=18)*(EC$2:EC$126&lt;=22)*(EC$2:EC$126&lt;&gt;"")*($J$2:$J$126))</f>
        <v>0</v>
      </c>
      <c r="ED151" s="79" cm="1">
        <f t="array" ref="ED151">SUMPRODUCT(($B$2:$B$126=4)*(ED$2:ED$126&gt;=18)*(ED$2:ED$126&lt;=22)*(ED$2:ED$126&lt;&gt;"")*($J$2:$J$126))</f>
        <v>0</v>
      </c>
      <c r="EE151" s="79" cm="1">
        <f t="array" ref="EE151">SUMPRODUCT(($B$2:$B$126=4)*(EE$2:EE$126&gt;=18)*(EE$2:EE$126&lt;=22)*(EE$2:EE$126&lt;&gt;"")*($J$2:$J$126))</f>
        <v>0</v>
      </c>
      <c r="EF151" s="79" cm="1">
        <f t="array" ref="EF151">SUMPRODUCT(($B$2:$B$126=4)*(EF$2:EF$126&gt;=18)*(EF$2:EF$126&lt;=22)*(EF$2:EF$126&lt;&gt;"")*($J$2:$J$126))</f>
        <v>0</v>
      </c>
      <c r="EG151" s="79" cm="1">
        <f t="array" ref="EG151">SUMPRODUCT(($B$2:$B$126=4)*(EG$2:EG$126&gt;=18)*(EG$2:EG$126&lt;=22)*(EG$2:EG$126&lt;&gt;"")*($J$2:$J$126))</f>
        <v>0</v>
      </c>
      <c r="EH151" s="79" cm="1">
        <f t="array" ref="EH151">SUMPRODUCT(($B$2:$B$126=4)*(EH$2:EH$126&gt;=18)*(EH$2:EH$126&lt;=22)*(EH$2:EH$126&lt;&gt;"")*($J$2:$J$126))</f>
        <v>0</v>
      </c>
      <c r="EI151" s="79" cm="1">
        <f t="array" ref="EI151">SUMPRODUCT(($B$2:$B$126=4)*(EI$2:EI$126&gt;=18)*(EI$2:EI$126&lt;=22)*(EI$2:EI$126&lt;&gt;"")*($J$2:$J$126))</f>
        <v>0</v>
      </c>
      <c r="EJ151" s="79" cm="1">
        <f t="array" ref="EJ151">SUMPRODUCT(($B$2:$B$126=4)*(EJ$2:EJ$126&gt;=18)*(EJ$2:EJ$126&lt;=22)*(EJ$2:EJ$126&lt;&gt;"")*($J$2:$J$126))</f>
        <v>0</v>
      </c>
      <c r="EK151" s="79" cm="1">
        <f t="array" ref="EK151">SUMPRODUCT(($B$2:$B$126=4)*(EK$2:EK$126&gt;=18)*(EK$2:EK$126&lt;=22)*(EK$2:EK$126&lt;&gt;"")*($J$2:$J$126))</f>
        <v>0</v>
      </c>
      <c r="EL151" s="79" cm="1">
        <f t="array" ref="EL151">SUMPRODUCT(($B$2:$B$126=4)*(EL$2:EL$126&gt;=18)*(EL$2:EL$126&lt;=22)*(EL$2:EL$126&lt;&gt;"")*($J$2:$J$126))</f>
        <v>0</v>
      </c>
      <c r="EM151" s="79" cm="1">
        <f t="array" ref="EM151">SUMPRODUCT(($B$2:$B$126=4)*(EM$2:EM$126&gt;=18)*(EM$2:EM$126&lt;=22)*(EM$2:EM$126&lt;&gt;"")*($J$2:$J$126))</f>
        <v>0</v>
      </c>
      <c r="EN151" s="79" cm="1">
        <f t="array" ref="EN151">SUMPRODUCT(($B$2:$B$126=4)*(EN$2:EN$126&gt;=18)*(EN$2:EN$126&lt;=22)*(EN$2:EN$126&lt;&gt;"")*($J$2:$J$126))</f>
        <v>0</v>
      </c>
      <c r="EO151" s="79" cm="1">
        <f t="array" ref="EO151">SUMPRODUCT(($B$2:$B$126=4)*(EO$2:EO$126&gt;=18)*(EO$2:EO$126&lt;=22)*(EO$2:EO$126&lt;&gt;"")*($J$2:$J$126))</f>
        <v>0</v>
      </c>
      <c r="EP151" s="79" cm="1">
        <f t="array" ref="EP151">SUMPRODUCT(($B$2:$B$126=4)*(EP$2:EP$126&gt;=18)*(EP$2:EP$126&lt;=22)*(EP$2:EP$126&lt;&gt;"")*($J$2:$J$126))</f>
        <v>0</v>
      </c>
      <c r="EQ151" s="79" cm="1">
        <f t="array" ref="EQ151">SUMPRODUCT(($B$2:$B$126=4)*(EQ$2:EQ$126&gt;=18)*(EQ$2:EQ$126&lt;=22)*(EQ$2:EQ$126&lt;&gt;"")*($J$2:$J$126))</f>
        <v>0</v>
      </c>
      <c r="ER151" s="79" cm="1">
        <f t="array" ref="ER151">SUMPRODUCT(($B$2:$B$126=4)*(ER$2:ER$126&gt;=18)*(ER$2:ER$126&lt;=22)*(ER$2:ER$126&lt;&gt;"")*($J$2:$J$126))</f>
        <v>0</v>
      </c>
      <c r="ES151" s="79" cm="1">
        <f t="array" ref="ES151">SUMPRODUCT(($B$2:$B$126=4)*(ES$2:ES$126&gt;=18)*(ES$2:ES$126&lt;=22)*(ES$2:ES$126&lt;&gt;"")*($J$2:$J$126))</f>
        <v>0</v>
      </c>
      <c r="ET151" s="79" cm="1">
        <f t="array" ref="ET151">SUMPRODUCT(($B$2:$B$126=4)*(ET$2:ET$126&gt;=18)*(ET$2:ET$126&lt;=22)*(ET$2:ET$126&lt;&gt;"")*($J$2:$J$126))</f>
        <v>0</v>
      </c>
      <c r="EU151" s="79" cm="1">
        <f t="array" ref="EU151">SUMPRODUCT(($B$2:$B$126=4)*(EU$2:EU$126&gt;=18)*(EU$2:EU$126&lt;=22)*(EU$2:EU$126&lt;&gt;"")*($J$2:$J$126))</f>
        <v>0</v>
      </c>
      <c r="EV151" s="79" cm="1">
        <f t="array" ref="EV151">SUMPRODUCT(($B$2:$B$126=4)*(EV$2:EV$126&gt;=18)*(EV$2:EV$126&lt;=22)*(EV$2:EV$126&lt;&gt;"")*($J$2:$J$126))</f>
        <v>0</v>
      </c>
      <c r="EW151" s="79" cm="1">
        <f t="array" ref="EW151">SUMPRODUCT(($B$2:$B$126=4)*(EW$2:EW$126&gt;=18)*(EW$2:EW$126&lt;=22)*(EW$2:EW$126&lt;&gt;"")*($J$2:$J$126))</f>
        <v>0</v>
      </c>
      <c r="EX151" s="79" cm="1">
        <f t="array" ref="EX151">SUMPRODUCT(($B$2:$B$126=4)*(EX$2:EX$126&gt;=18)*(EX$2:EX$126&lt;=22)*(EX$2:EX$126&lt;&gt;"")*($J$2:$J$126))</f>
        <v>0</v>
      </c>
      <c r="EY151" s="79" cm="1">
        <f t="array" ref="EY151">SUMPRODUCT(($B$2:$B$126=4)*(EY$2:EY$126&gt;=18)*(EY$2:EY$126&lt;=22)*(EY$2:EY$126&lt;&gt;"")*($J$2:$J$126))</f>
        <v>0</v>
      </c>
      <c r="EZ151" s="79" cm="1">
        <f t="array" ref="EZ151">SUMPRODUCT(($B$2:$B$126=4)*(EZ$2:EZ$126&gt;=18)*(EZ$2:EZ$126&lt;=22)*(EZ$2:EZ$126&lt;&gt;"")*($J$2:$J$126))</f>
        <v>0</v>
      </c>
      <c r="FA151" s="79" cm="1">
        <f t="array" ref="FA151">SUMPRODUCT(($B$2:$B$126=4)*(FA$2:FA$126&gt;=18)*(FA$2:FA$126&lt;=22)*(FA$2:FA$126&lt;&gt;"")*($J$2:$J$126))</f>
        <v>0</v>
      </c>
      <c r="FB151" s="79" cm="1">
        <f t="array" ref="FB151">SUMPRODUCT(($B$2:$B$126=4)*(FB$2:FB$126&gt;=18)*(FB$2:FB$126&lt;=22)*(FB$2:FB$126&lt;&gt;"")*($J$2:$J$126))</f>
        <v>0</v>
      </c>
      <c r="FC151" s="79" cm="1">
        <f t="array" ref="FC151">SUMPRODUCT(($B$2:$B$126=4)*(FC$2:FC$126&gt;=18)*(FC$2:FC$126&lt;=22)*(FC$2:FC$126&lt;&gt;"")*($J$2:$J$126))</f>
        <v>0</v>
      </c>
      <c r="FD151" s="79" cm="1">
        <f t="array" ref="FD151">SUMPRODUCT(($B$2:$B$126=4)*(FD$2:FD$126&gt;=18)*(FD$2:FD$126&lt;=22)*(FD$2:FD$126&lt;&gt;"")*($J$2:$J$126))</f>
        <v>0</v>
      </c>
      <c r="FE151" s="79" cm="1">
        <f t="array" ref="FE151">SUMPRODUCT(($B$2:$B$126=4)*(FE$2:FE$126&gt;=18)*(FE$2:FE$126&lt;=22)*(FE$2:FE$126&lt;&gt;"")*($J$2:$J$126))</f>
        <v>0</v>
      </c>
      <c r="FF151" s="79" cm="1">
        <f t="array" ref="FF151">SUMPRODUCT(($B$2:$B$126=4)*(FF$2:FF$126&gt;=18)*(FF$2:FF$126&lt;=22)*(FF$2:FF$126&lt;&gt;"")*($J$2:$J$126))</f>
        <v>0</v>
      </c>
      <c r="FG151" s="79" cm="1">
        <f t="array" ref="FG151">SUMPRODUCT(($B$2:$B$126=4)*(FG$2:FG$126&gt;=18)*(FG$2:FG$126&lt;=22)*(FG$2:FG$126&lt;&gt;"")*($J$2:$J$126))</f>
        <v>0</v>
      </c>
      <c r="FH151" s="79" cm="1">
        <f t="array" ref="FH151">SUMPRODUCT(($B$2:$B$126=4)*(FH$2:FH$126&gt;=18)*(FH$2:FH$126&lt;=22)*(FH$2:FH$126&lt;&gt;"")*($J$2:$J$126))</f>
        <v>0</v>
      </c>
      <c r="FI151" s="79" cm="1">
        <f t="array" ref="FI151">SUMPRODUCT(($B$2:$B$126=4)*(FI$2:FI$126&gt;=18)*(FI$2:FI$126&lt;=22)*(FI$2:FI$126&lt;&gt;"")*($J$2:$J$126))</f>
        <v>0</v>
      </c>
      <c r="FJ151" s="79" cm="1">
        <f t="array" ref="FJ151">SUMPRODUCT(($B$2:$B$126=4)*(FJ$2:FJ$126&gt;=18)*(FJ$2:FJ$126&lt;=22)*(FJ$2:FJ$126&lt;&gt;"")*($J$2:$J$126))</f>
        <v>0</v>
      </c>
      <c r="FK151" s="79" cm="1">
        <f t="array" ref="FK151">SUMPRODUCT(($B$2:$B$126=4)*(FK$2:FK$126&gt;=18)*(FK$2:FK$126&lt;=22)*(FK$2:FK$126&lt;&gt;"")*($J$2:$J$126))</f>
        <v>0</v>
      </c>
      <c r="FL151" s="79" cm="1">
        <f t="array" ref="FL151">SUMPRODUCT(($B$2:$B$126=4)*(FL$2:FL$126&gt;=18)*(FL$2:FL$126&lt;=22)*(FL$2:FL$126&lt;&gt;"")*($J$2:$J$126))</f>
        <v>0</v>
      </c>
      <c r="FM151" s="79" cm="1">
        <f t="array" ref="FM151">SUMPRODUCT(($B$2:$B$126=4)*(FM$2:FM$126&gt;=18)*(FM$2:FM$126&lt;=22)*(FM$2:FM$126&lt;&gt;"")*($J$2:$J$126))</f>
        <v>0</v>
      </c>
      <c r="FN151" s="79" cm="1">
        <f t="array" ref="FN151">SUMPRODUCT(($B$2:$B$126=4)*(FN$2:FN$126&gt;=18)*(FN$2:FN$126&lt;=22)*(FN$2:FN$126&lt;&gt;"")*($J$2:$J$126))</f>
        <v>0</v>
      </c>
      <c r="FO151" s="79" cm="1">
        <f t="array" ref="FO151">SUMPRODUCT(($B$2:$B$126=4)*(FO$2:FO$126&gt;=18)*(FO$2:FO$126&lt;=22)*(FO$2:FO$126&lt;&gt;"")*($J$2:$J$126))</f>
        <v>0</v>
      </c>
      <c r="FP151" s="79" cm="1">
        <f t="array" ref="FP151">SUMPRODUCT(($B$2:$B$126=4)*(FP$2:FP$126&gt;=18)*(FP$2:FP$126&lt;=22)*(FP$2:FP$126&lt;&gt;"")*($J$2:$J$126))</f>
        <v>0</v>
      </c>
      <c r="FQ151" s="79" cm="1">
        <f t="array" ref="FQ151">SUMPRODUCT(($B$2:$B$126=4)*(FQ$2:FQ$126&gt;=18)*(FQ$2:FQ$126&lt;=22)*(FQ$2:FQ$126&lt;&gt;"")*($J$2:$J$126))</f>
        <v>0</v>
      </c>
      <c r="FR151" s="79" cm="1">
        <f t="array" ref="FR151">SUMPRODUCT(($B$2:$B$126=4)*(FR$2:FR$126&gt;=18)*(FR$2:FR$126&lt;=22)*(FR$2:FR$126&lt;&gt;"")*($J$2:$J$126))</f>
        <v>0</v>
      </c>
      <c r="FS151" s="79" cm="1">
        <f t="array" ref="FS151">SUMPRODUCT(($B$2:$B$126=4)*(FS$2:FS$126&gt;=18)*(FS$2:FS$126&lt;=22)*(FS$2:FS$126&lt;&gt;"")*($J$2:$J$126))</f>
        <v>0</v>
      </c>
      <c r="FT151" s="79" cm="1">
        <f t="array" ref="FT151">SUMPRODUCT(($B$2:$B$126=4)*(FT$2:FT$126&gt;=18)*(FT$2:FT$126&lt;=22)*(FT$2:FT$126&lt;&gt;"")*($J$2:$J$126))</f>
        <v>0</v>
      </c>
      <c r="FU151" s="79" cm="1">
        <f t="array" ref="FU151">SUMPRODUCT(($B$2:$B$126=4)*(FU$2:FU$126&gt;=18)*(FU$2:FU$126&lt;=22)*(FU$2:FU$126&lt;&gt;"")*($J$2:$J$126))</f>
        <v>0</v>
      </c>
      <c r="FV151" s="79" cm="1">
        <f t="array" ref="FV151">SUMPRODUCT(($B$2:$B$126=4)*(FV$2:FV$126&gt;=18)*(FV$2:FV$126&lt;=22)*(FV$2:FV$126&lt;&gt;"")*($J$2:$J$126))</f>
        <v>0</v>
      </c>
      <c r="FW151" s="79" cm="1">
        <f t="array" ref="FW151">SUMPRODUCT(($B$2:$B$126=4)*(FW$2:FW$126&gt;=18)*(FW$2:FW$126&lt;=22)*(FW$2:FW$126&lt;&gt;"")*($J$2:$J$126))</f>
        <v>0</v>
      </c>
      <c r="FX151" s="79" cm="1">
        <f t="array" ref="FX151">SUMPRODUCT(($B$2:$B$126=4)*(FX$2:FX$126&gt;=18)*(FX$2:FX$126&lt;=22)*(FX$2:FX$126&lt;&gt;"")*($J$2:$J$126))</f>
        <v>0</v>
      </c>
      <c r="FY151" s="79" cm="1">
        <f t="array" ref="FY151">SUMPRODUCT(($B$2:$B$126=4)*(FY$2:FY$126&gt;=18)*(FY$2:FY$126&lt;=22)*(FY$2:FY$126&lt;&gt;"")*($J$2:$J$126))</f>
        <v>0</v>
      </c>
      <c r="FZ151" s="79" cm="1">
        <f t="array" ref="FZ151">SUMPRODUCT(($B$2:$B$126=4)*(FZ$2:FZ$126&gt;=18)*(FZ$2:FZ$126&lt;=22)*(FZ$2:FZ$126&lt;&gt;"")*($J$2:$J$126))</f>
        <v>0</v>
      </c>
      <c r="GA151" s="79" cm="1">
        <f t="array" ref="GA151">SUMPRODUCT(($B$2:$B$126=4)*(GA$2:GA$126&gt;=18)*(GA$2:GA$126&lt;=22)*(GA$2:GA$126&lt;&gt;"")*($J$2:$J$126))</f>
        <v>0</v>
      </c>
      <c r="GB151" s="79" cm="1">
        <f t="array" ref="GB151">SUMPRODUCT(($B$2:$B$126=4)*(GB$2:GB$126&gt;=18)*(GB$2:GB$126&lt;=22)*(GB$2:GB$126&lt;&gt;"")*($J$2:$J$126))</f>
        <v>0</v>
      </c>
      <c r="GC151" s="79" cm="1">
        <f t="array" ref="GC151">SUMPRODUCT(($B$2:$B$126=4)*(GC$2:GC$126&gt;=18)*(GC$2:GC$126&lt;=22)*(GC$2:GC$126&lt;&gt;"")*($J$2:$J$126))</f>
        <v>0</v>
      </c>
      <c r="GD151" s="79" cm="1">
        <f t="array" ref="GD151">SUMPRODUCT(($B$2:$B$126=4)*(GD$2:GD$126&gt;=18)*(GD$2:GD$126&lt;=22)*(GD$2:GD$126&lt;&gt;"")*($J$2:$J$126))</f>
        <v>0</v>
      </c>
      <c r="GE151" s="79" cm="1">
        <f t="array" ref="GE151">SUMPRODUCT(($B$2:$B$126=4)*(GE$2:GE$126&gt;=18)*(GE$2:GE$126&lt;=22)*(GE$2:GE$126&lt;&gt;"")*($J$2:$J$126))</f>
        <v>0</v>
      </c>
      <c r="GF151" s="79" cm="1">
        <f t="array" ref="GF151">SUMPRODUCT(($B$2:$B$126=4)*(GF$2:GF$126&gt;=18)*(GF$2:GF$126&lt;=22)*(GF$2:GF$126&lt;&gt;"")*($J$2:$J$126))</f>
        <v>0</v>
      </c>
      <c r="GG151" s="79" cm="1">
        <f t="array" ref="GG151">SUMPRODUCT(($B$2:$B$126=4)*(GG$2:GG$126&gt;=18)*(GG$2:GG$126&lt;=22)*(GG$2:GG$126&lt;&gt;"")*($J$2:$J$126))</f>
        <v>0</v>
      </c>
      <c r="GH151" s="79" cm="1">
        <f t="array" ref="GH151">SUMPRODUCT(($B$2:$B$126=4)*(GH$2:GH$126&gt;=18)*(GH$2:GH$126&lt;=22)*(GH$2:GH$126&lt;&gt;"")*($J$2:$J$126))</f>
        <v>0</v>
      </c>
      <c r="GI151" s="79" cm="1">
        <f t="array" ref="GI151">SUMPRODUCT(($B$2:$B$126=4)*(GI$2:GI$126&gt;=18)*(GI$2:GI$126&lt;=22)*(GI$2:GI$126&lt;&gt;"")*($J$2:$J$126))</f>
        <v>0</v>
      </c>
      <c r="GJ151" s="79" cm="1">
        <f t="array" ref="GJ151">SUMPRODUCT(($B$2:$B$126=4)*(GJ$2:GJ$126&gt;=18)*(GJ$2:GJ$126&lt;=22)*(GJ$2:GJ$126&lt;&gt;"")*($J$2:$J$126))</f>
        <v>0</v>
      </c>
      <c r="GK151" s="79" cm="1">
        <f t="array" ref="GK151">SUMPRODUCT(($B$2:$B$126=4)*(GK$2:GK$126&gt;=18)*(GK$2:GK$126&lt;=22)*(GK$2:GK$126&lt;&gt;"")*($J$2:$J$126))</f>
        <v>0</v>
      </c>
      <c r="GL151" s="79" cm="1">
        <f t="array" ref="GL151">SUMPRODUCT(($B$2:$B$126=4)*(GL$2:GL$126&gt;=18)*(GL$2:GL$126&lt;=22)*(GL$2:GL$126&lt;&gt;"")*($J$2:$J$126))</f>
        <v>0</v>
      </c>
      <c r="GM151" s="79" cm="1">
        <f t="array" ref="GM151">SUMPRODUCT(($B$2:$B$126=4)*(GM$2:GM$126&gt;=18)*(GM$2:GM$126&lt;=22)*(GM$2:GM$126&lt;&gt;"")*($J$2:$J$126))</f>
        <v>0</v>
      </c>
      <c r="GN151" s="79" cm="1">
        <f t="array" ref="GN151">SUMPRODUCT(($B$2:$B$126=4)*(GN$2:GN$126&gt;=18)*(GN$2:GN$126&lt;=22)*(GN$2:GN$126&lt;&gt;"")*($J$2:$J$126))</f>
        <v>0</v>
      </c>
      <c r="GO151" s="79" cm="1">
        <f t="array" ref="GO151">SUMPRODUCT(($B$2:$B$126=4)*(GO$2:GO$126&gt;=18)*(GO$2:GO$126&lt;=22)*(GO$2:GO$126&lt;&gt;"")*($J$2:$J$126))</f>
        <v>0</v>
      </c>
      <c r="GP151" s="79" cm="1">
        <f t="array" ref="GP151">SUMPRODUCT(($B$2:$B$126=4)*(GP$2:GP$126&gt;=18)*(GP$2:GP$126&lt;=22)*(GP$2:GP$126&lt;&gt;"")*($J$2:$J$126))</f>
        <v>0</v>
      </c>
      <c r="GQ151" s="79" cm="1">
        <f t="array" ref="GQ151">SUMPRODUCT(($B$2:$B$126=4)*(GQ$2:GQ$126&gt;=18)*(GQ$2:GQ$126&lt;=22)*(GQ$2:GQ$126&lt;&gt;"")*($J$2:$J$126))</f>
        <v>0</v>
      </c>
      <c r="GR151" s="79" cm="1">
        <f t="array" ref="GR151">SUMPRODUCT(($B$2:$B$126=4)*(GR$2:GR$126&gt;=18)*(GR$2:GR$126&lt;=22)*(GR$2:GR$126&lt;&gt;"")*($J$2:$J$126))</f>
        <v>0</v>
      </c>
      <c r="GS151" s="79" cm="1">
        <f t="array" ref="GS151">SUMPRODUCT(($B$2:$B$126=4)*(GS$2:GS$126&gt;=18)*(GS$2:GS$126&lt;=22)*(GS$2:GS$126&lt;&gt;"")*($J$2:$J$126))</f>
        <v>0</v>
      </c>
      <c r="GT151" s="79" cm="1">
        <f t="array" ref="GT151">SUMPRODUCT(($B$2:$B$126=4)*(GT$2:GT$126&gt;=18)*(GT$2:GT$126&lt;=22)*(GT$2:GT$126&lt;&gt;"")*($J$2:$J$126))</f>
        <v>0</v>
      </c>
      <c r="GU151" s="79" cm="1">
        <f t="array" ref="GU151">SUMPRODUCT(($B$2:$B$126=4)*(GU$2:GU$126&gt;=18)*(GU$2:GU$126&lt;=22)*(GU$2:GU$126&lt;&gt;"")*($J$2:$J$126))</f>
        <v>0</v>
      </c>
      <c r="GV151" s="79" cm="1">
        <f t="array" ref="GV151">SUMPRODUCT(($B$2:$B$126=4)*(GV$2:GV$126&gt;=18)*(GV$2:GV$126&lt;=22)*(GV$2:GV$126&lt;&gt;"")*($J$2:$J$126))</f>
        <v>0</v>
      </c>
      <c r="GW151" s="79" cm="1">
        <f t="array" ref="GW151">SUMPRODUCT(($B$2:$B$126=4)*(GW$2:GW$126&gt;=18)*(GW$2:GW$126&lt;=22)*(GW$2:GW$126&lt;&gt;"")*($J$2:$J$126))</f>
        <v>0</v>
      </c>
      <c r="GX151" s="79" cm="1">
        <f t="array" ref="GX151">SUMPRODUCT(($B$2:$B$126=4)*(GX$2:GX$126&gt;=18)*(GX$2:GX$126&lt;=22)*(GX$2:GX$126&lt;&gt;"")*($J$2:$J$126))</f>
        <v>0</v>
      </c>
    </row>
    <row r="152" spans="1:206" x14ac:dyDescent="0.2">
      <c r="A152" s="84">
        <v>4</v>
      </c>
      <c r="B152" s="84" t="s">
        <v>257</v>
      </c>
      <c r="W152" s="79" cm="1">
        <f t="array" ref="W152">SUMPRODUCT(($B$2:$B$126=4)*(W$2:W$126&gt;=23)*(W$2:W$126&lt;=27)*(W$2:W$126&lt;&gt;"")*($J$2:$J$126))</f>
        <v>26.17</v>
      </c>
      <c r="X152" s="79" cm="1">
        <f t="array" ref="X152">SUMPRODUCT(($B$2:$B$126=4)*(X$2:X$126&gt;=23)*(X$2:X$126&lt;=27)*(X$2:X$126&lt;&gt;"")*($J$2:$J$126))</f>
        <v>68.33</v>
      </c>
      <c r="Y152" s="79" cm="1">
        <f t="array" ref="Y152">SUMPRODUCT(($B$2:$B$126=4)*(Y$2:Y$126&gt;=23)*(Y$2:Y$126&lt;=27)*(Y$2:Y$126&lt;&gt;"")*($J$2:$J$126))</f>
        <v>42.16</v>
      </c>
      <c r="Z152" s="79" cm="1">
        <f t="array" ref="Z152">SUMPRODUCT(($B$2:$B$126=4)*(Z$2:Z$126&gt;=23)*(Z$2:Z$126&lt;=27)*(Z$2:Z$126&lt;&gt;"")*($J$2:$J$126))</f>
        <v>42.16</v>
      </c>
      <c r="AA152" s="79" cm="1">
        <f t="array" ref="AA152">SUMPRODUCT(($B$2:$B$126=4)*(AA$2:AA$126&gt;=23)*(AA$2:AA$126&lt;=27)*(AA$2:AA$126&lt;&gt;"")*($J$2:$J$126))</f>
        <v>68.77</v>
      </c>
      <c r="AB152" s="79" cm="1">
        <f t="array" ref="AB152">SUMPRODUCT(($B$2:$B$126=4)*(AB$2:AB$126&gt;=23)*(AB$2:AB$126&lt;=27)*(AB$2:AB$126&lt;&gt;"")*($J$2:$J$126))</f>
        <v>68.77</v>
      </c>
      <c r="AC152" s="79" cm="1">
        <f t="array" ref="AC152">SUMPRODUCT(($B$2:$B$126=4)*(AC$2:AC$126&gt;=23)*(AC$2:AC$126&lt;=27)*(AC$2:AC$126&lt;&gt;"")*($J$2:$J$126))</f>
        <v>26.61</v>
      </c>
      <c r="AD152" s="79" cm="1">
        <f t="array" ref="AD152">SUMPRODUCT(($B$2:$B$126=4)*(AD$2:AD$126&gt;=23)*(AD$2:AD$126&lt;=27)*(AD$2:AD$126&lt;&gt;"")*($J$2:$J$126))</f>
        <v>26.61</v>
      </c>
      <c r="AE152" s="79" cm="1">
        <f t="array" ref="AE152">SUMPRODUCT(($B$2:$B$126=4)*(AE$2:AE$126&gt;=23)*(AE$2:AE$126&lt;=27)*(AE$2:AE$126&lt;&gt;"")*($J$2:$J$126))</f>
        <v>26.61</v>
      </c>
      <c r="AF152" s="79" cm="1">
        <f t="array" ref="AF152">SUMPRODUCT(($B$2:$B$126=4)*(AF$2:AF$126&gt;=23)*(AF$2:AF$126&lt;=27)*(AF$2:AF$126&lt;&gt;"")*($J$2:$J$126))</f>
        <v>19.95</v>
      </c>
      <c r="AG152" s="79" cm="1">
        <f t="array" ref="AG152">SUMPRODUCT(($B$2:$B$126=4)*(AG$2:AG$126&gt;=23)*(AG$2:AG$126&lt;=27)*(AG$2:AG$126&lt;&gt;"")*($J$2:$J$126))</f>
        <v>19.95</v>
      </c>
      <c r="AH152" s="79" cm="1">
        <f t="array" ref="AH152">SUMPRODUCT(($B$2:$B$126=4)*(AH$2:AH$126&gt;=23)*(AH$2:AH$126&lt;=27)*(AH$2:AH$126&lt;&gt;"")*($J$2:$J$126))</f>
        <v>19.95</v>
      </c>
      <c r="AI152" s="79" cm="1">
        <f t="array" ref="AI152">SUMPRODUCT(($B$2:$B$126=4)*(AI$2:AI$126&gt;=23)*(AI$2:AI$126&lt;=27)*(AI$2:AI$126&lt;&gt;"")*($J$2:$J$126))</f>
        <v>89.69</v>
      </c>
      <c r="AJ152" s="79" cm="1">
        <f t="array" ref="AJ152">SUMPRODUCT(($B$2:$B$126=4)*(AJ$2:AJ$126&gt;=23)*(AJ$2:AJ$126&lt;=27)*(AJ$2:AJ$126&lt;&gt;"")*($J$2:$J$126))</f>
        <v>77.759999999999991</v>
      </c>
      <c r="AK152" s="79" cm="1">
        <f t="array" ref="AK152">SUMPRODUCT(($B$2:$B$126=4)*(AK$2:AK$126&gt;=23)*(AK$2:AK$126&lt;=27)*(AK$2:AK$126&lt;&gt;"")*($J$2:$J$126))</f>
        <v>0</v>
      </c>
      <c r="AL152" s="79" cm="1">
        <f t="array" ref="AL152">SUMPRODUCT(($B$2:$B$126=4)*(AL$2:AL$126&gt;=23)*(AL$2:AL$126&lt;=27)*(AL$2:AL$126&lt;&gt;"")*($J$2:$J$126))</f>
        <v>0</v>
      </c>
      <c r="AM152" s="79" cm="1">
        <f t="array" ref="AM152">SUMPRODUCT(($B$2:$B$126=4)*(AM$2:AM$126&gt;=23)*(AM$2:AM$126&lt;=27)*(AM$2:AM$126&lt;&gt;"")*($J$2:$J$126))</f>
        <v>0</v>
      </c>
      <c r="AN152" s="79" cm="1">
        <f t="array" ref="AN152">SUMPRODUCT(($B$2:$B$126=4)*(AN$2:AN$126&gt;=23)*(AN$2:AN$126&lt;=27)*(AN$2:AN$126&lt;&gt;"")*($J$2:$J$126))</f>
        <v>0</v>
      </c>
      <c r="AO152" s="79" cm="1">
        <f t="array" ref="AO152">SUMPRODUCT(($B$2:$B$126=4)*(AO$2:AO$126&gt;=23)*(AO$2:AO$126&lt;=27)*(AO$2:AO$126&lt;&gt;"")*($J$2:$J$126))</f>
        <v>21.22</v>
      </c>
      <c r="AP152" s="79" cm="1">
        <f t="array" ref="AP152">SUMPRODUCT(($B$2:$B$126=4)*(AP$2:AP$126&gt;=23)*(AP$2:AP$126&lt;=27)*(AP$2:AP$126&lt;&gt;"")*($J$2:$J$126))</f>
        <v>21.22</v>
      </c>
      <c r="AQ152" s="79" cm="1">
        <f t="array" ref="AQ152">SUMPRODUCT(($B$2:$B$126=4)*(AQ$2:AQ$126&gt;=23)*(AQ$2:AQ$126&lt;=27)*(AQ$2:AQ$126&lt;&gt;"")*($J$2:$J$126))</f>
        <v>29.189999999999998</v>
      </c>
      <c r="AR152" s="79" cm="1">
        <f t="array" ref="AR152">SUMPRODUCT(($B$2:$B$126=4)*(AR$2:AR$126&gt;=23)*(AR$2:AR$126&lt;=27)*(AR$2:AR$126&lt;&gt;"")*($J$2:$J$126))</f>
        <v>0</v>
      </c>
      <c r="AS152" s="79" cm="1">
        <f t="array" ref="AS152">SUMPRODUCT(($B$2:$B$126=4)*(AS$2:AS$126&gt;=23)*(AS$2:AS$126&lt;=27)*(AS$2:AS$126&lt;&gt;"")*($J$2:$J$126))</f>
        <v>0</v>
      </c>
      <c r="AT152" s="79" cm="1">
        <f t="array" ref="AT152">SUMPRODUCT(($B$2:$B$126=4)*(AT$2:AT$126&gt;=23)*(AT$2:AT$126&lt;=27)*(AT$2:AT$126&lt;&gt;"")*($J$2:$J$126))</f>
        <v>0</v>
      </c>
      <c r="AU152" s="79" cm="1">
        <f t="array" ref="AU152">SUMPRODUCT(($B$2:$B$126=4)*(AU$2:AU$126&gt;=23)*(AU$2:AU$126&lt;=27)*(AU$2:AU$126&lt;&gt;"")*($J$2:$J$126))</f>
        <v>0</v>
      </c>
      <c r="AV152" s="79" cm="1">
        <f t="array" ref="AV152">SUMPRODUCT(($B$2:$B$126=4)*(AV$2:AV$126&gt;=23)*(AV$2:AV$126&lt;=27)*(AV$2:AV$126&lt;&gt;"")*($J$2:$J$126))</f>
        <v>0</v>
      </c>
      <c r="AW152" s="79" cm="1">
        <f t="array" ref="AW152">SUMPRODUCT(($B$2:$B$126=4)*(AW$2:AW$126&gt;=23)*(AW$2:AW$126&lt;=27)*(AW$2:AW$126&lt;&gt;"")*($J$2:$J$126))</f>
        <v>0</v>
      </c>
      <c r="AX152" s="79" cm="1">
        <f t="array" ref="AX152">SUMPRODUCT(($B$2:$B$126=4)*(AX$2:AX$126&gt;=23)*(AX$2:AX$126&lt;=27)*(AX$2:AX$126&lt;&gt;"")*($J$2:$J$126))</f>
        <v>0</v>
      </c>
      <c r="AY152" s="79" cm="1">
        <f t="array" ref="AY152">SUMPRODUCT(($B$2:$B$126=4)*(AY$2:AY$126&gt;=23)*(AY$2:AY$126&lt;=27)*(AY$2:AY$126&lt;&gt;"")*($J$2:$J$126))</f>
        <v>0</v>
      </c>
      <c r="AZ152" s="79" cm="1">
        <f t="array" ref="AZ152">SUMPRODUCT(($B$2:$B$126=4)*(AZ$2:AZ$126&gt;=23)*(AZ$2:AZ$126&lt;=27)*(AZ$2:AZ$126&lt;&gt;"")*($J$2:$J$126))</f>
        <v>0</v>
      </c>
      <c r="BA152" s="79" cm="1">
        <f t="array" ref="BA152">SUMPRODUCT(($B$2:$B$126=4)*(BA$2:BA$126&gt;=23)*(BA$2:BA$126&lt;=27)*(BA$2:BA$126&lt;&gt;"")*($J$2:$J$126))</f>
        <v>0</v>
      </c>
      <c r="BB152" s="79" cm="1">
        <f t="array" ref="BB152">SUMPRODUCT(($B$2:$B$126=4)*(BB$2:BB$126&gt;=23)*(BB$2:BB$126&lt;=27)*(BB$2:BB$126&lt;&gt;"")*($J$2:$J$126))</f>
        <v>0</v>
      </c>
      <c r="BC152" s="79" cm="1">
        <f t="array" ref="BC152">SUMPRODUCT(($B$2:$B$126=4)*(BC$2:BC$126&gt;=23)*(BC$2:BC$126&lt;=27)*(BC$2:BC$126&lt;&gt;"")*($J$2:$J$126))</f>
        <v>0</v>
      </c>
      <c r="BD152" s="79" cm="1">
        <f t="array" ref="BD152">SUMPRODUCT(($B$2:$B$126=4)*(BD$2:BD$126&gt;=23)*(BD$2:BD$126&lt;=27)*(BD$2:BD$126&lt;&gt;"")*($J$2:$J$126))</f>
        <v>0</v>
      </c>
      <c r="BE152" s="79" cm="1">
        <f t="array" ref="BE152">SUMPRODUCT(($B$2:$B$126=4)*(BE$2:BE$126&gt;=23)*(BE$2:BE$126&lt;=27)*(BE$2:BE$126&lt;&gt;"")*($J$2:$J$126))</f>
        <v>0</v>
      </c>
      <c r="BF152" s="79" cm="1">
        <f t="array" ref="BF152">SUMPRODUCT(($B$2:$B$126=4)*(BF$2:BF$126&gt;=23)*(BF$2:BF$126&lt;=27)*(BF$2:BF$126&lt;&gt;"")*($J$2:$J$126))</f>
        <v>0</v>
      </c>
      <c r="BG152" s="79" cm="1">
        <f t="array" ref="BG152">SUMPRODUCT(($B$2:$B$126=4)*(BG$2:BG$126&gt;=23)*(BG$2:BG$126&lt;=27)*(BG$2:BG$126&lt;&gt;"")*($J$2:$J$126))</f>
        <v>0</v>
      </c>
      <c r="BH152" s="79" cm="1">
        <f t="array" ref="BH152">SUMPRODUCT(($B$2:$B$126=4)*(BH$2:BH$126&gt;=23)*(BH$2:BH$126&lt;=27)*(BH$2:BH$126&lt;&gt;"")*($J$2:$J$126))</f>
        <v>0</v>
      </c>
      <c r="BI152" s="79" cm="1">
        <f t="array" ref="BI152">SUMPRODUCT(($B$2:$B$126=4)*(BI$2:BI$126&gt;=23)*(BI$2:BI$126&lt;=27)*(BI$2:BI$126&lt;&gt;"")*($J$2:$J$126))</f>
        <v>0</v>
      </c>
      <c r="BJ152" s="79" cm="1">
        <f t="array" ref="BJ152">SUMPRODUCT(($B$2:$B$126=4)*(BJ$2:BJ$126&gt;=23)*(BJ$2:BJ$126&lt;=27)*(BJ$2:BJ$126&lt;&gt;"")*($J$2:$J$126))</f>
        <v>0</v>
      </c>
      <c r="BK152" s="79" cm="1">
        <f t="array" ref="BK152">SUMPRODUCT(($B$2:$B$126=4)*(BK$2:BK$126&gt;=23)*(BK$2:BK$126&lt;=27)*(BK$2:BK$126&lt;&gt;"")*($J$2:$J$126))</f>
        <v>0</v>
      </c>
      <c r="BL152" s="79" cm="1">
        <f t="array" ref="BL152">SUMPRODUCT(($B$2:$B$126=4)*(BL$2:BL$126&gt;=23)*(BL$2:BL$126&lt;=27)*(BL$2:BL$126&lt;&gt;"")*($J$2:$J$126))</f>
        <v>0</v>
      </c>
      <c r="BM152" s="79" cm="1">
        <f t="array" ref="BM152">SUMPRODUCT(($B$2:$B$126=4)*(BM$2:BM$126&gt;=23)*(BM$2:BM$126&lt;=27)*(BM$2:BM$126&lt;&gt;"")*($J$2:$J$126))</f>
        <v>0</v>
      </c>
      <c r="BN152" s="79" cm="1">
        <f t="array" ref="BN152">SUMPRODUCT(($B$2:$B$126=4)*(BN$2:BN$126&gt;=23)*(BN$2:BN$126&lt;=27)*(BN$2:BN$126&lt;&gt;"")*($J$2:$J$126))</f>
        <v>0</v>
      </c>
      <c r="BO152" s="79" cm="1">
        <f t="array" ref="BO152">SUMPRODUCT(($B$2:$B$126=4)*(BO$2:BO$126&gt;=23)*(BO$2:BO$126&lt;=27)*(BO$2:BO$126&lt;&gt;"")*($J$2:$J$126))</f>
        <v>0</v>
      </c>
      <c r="BP152" s="79" cm="1">
        <f t="array" ref="BP152">SUMPRODUCT(($B$2:$B$126=4)*(BP$2:BP$126&gt;=23)*(BP$2:BP$126&lt;=27)*(BP$2:BP$126&lt;&gt;"")*($J$2:$J$126))</f>
        <v>0</v>
      </c>
      <c r="BQ152" s="79" cm="1">
        <f t="array" ref="BQ152">SUMPRODUCT(($B$2:$B$126=4)*(BQ$2:BQ$126&gt;=23)*(BQ$2:BQ$126&lt;=27)*(BQ$2:BQ$126&lt;&gt;"")*($J$2:$J$126))</f>
        <v>0</v>
      </c>
      <c r="BR152" s="79" cm="1">
        <f t="array" ref="BR152">SUMPRODUCT(($B$2:$B$126=4)*(BR$2:BR$126&gt;=23)*(BR$2:BR$126&lt;=27)*(BR$2:BR$126&lt;&gt;"")*($J$2:$J$126))</f>
        <v>0</v>
      </c>
      <c r="BS152" s="79" cm="1">
        <f t="array" ref="BS152">SUMPRODUCT(($B$2:$B$126=4)*(BS$2:BS$126&gt;=23)*(BS$2:BS$126&lt;=27)*(BS$2:BS$126&lt;&gt;"")*($J$2:$J$126))</f>
        <v>0</v>
      </c>
      <c r="BT152" s="79" cm="1">
        <f t="array" ref="BT152">SUMPRODUCT(($B$2:$B$126=4)*(BT$2:BT$126&gt;=23)*(BT$2:BT$126&lt;=27)*(BT$2:BT$126&lt;&gt;"")*($J$2:$J$126))</f>
        <v>0</v>
      </c>
      <c r="BU152" s="79" cm="1">
        <f t="array" ref="BU152">SUMPRODUCT(($B$2:$B$126=4)*(BU$2:BU$126&gt;=23)*(BU$2:BU$126&lt;=27)*(BU$2:BU$126&lt;&gt;"")*($J$2:$J$126))</f>
        <v>0</v>
      </c>
      <c r="BV152" s="79" cm="1">
        <f t="array" ref="BV152">SUMPRODUCT(($B$2:$B$126=4)*(BV$2:BV$126&gt;=23)*(BV$2:BV$126&lt;=27)*(BV$2:BV$126&lt;&gt;"")*($J$2:$J$126))</f>
        <v>0</v>
      </c>
      <c r="BW152" s="79" cm="1">
        <f t="array" ref="BW152">SUMPRODUCT(($B$2:$B$126=4)*(BW$2:BW$126&gt;=23)*(BW$2:BW$126&lt;=27)*(BW$2:BW$126&lt;&gt;"")*($J$2:$J$126))</f>
        <v>0</v>
      </c>
      <c r="BX152" s="79" cm="1">
        <f t="array" ref="BX152">SUMPRODUCT(($B$2:$B$126=4)*(BX$2:BX$126&gt;=23)*(BX$2:BX$126&lt;=27)*(BX$2:BX$126&lt;&gt;"")*($J$2:$J$126))</f>
        <v>0</v>
      </c>
      <c r="BY152" s="79" cm="1">
        <f t="array" ref="BY152">SUMPRODUCT(($B$2:$B$126=4)*(BY$2:BY$126&gt;=23)*(BY$2:BY$126&lt;=27)*(BY$2:BY$126&lt;&gt;"")*($J$2:$J$126))</f>
        <v>30.11</v>
      </c>
      <c r="BZ152" s="79" cm="1">
        <f t="array" ref="BZ152">SUMPRODUCT(($B$2:$B$126=4)*(BZ$2:BZ$126&gt;=23)*(BZ$2:BZ$126&lt;=27)*(BZ$2:BZ$126&lt;&gt;"")*($J$2:$J$126))</f>
        <v>30.11</v>
      </c>
      <c r="CA152" s="79" cm="1">
        <f t="array" ref="CA152">SUMPRODUCT(($B$2:$B$126=4)*(CA$2:CA$126&gt;=23)*(CA$2:CA$126&lt;=27)*(CA$2:CA$126&lt;&gt;"")*($J$2:$J$126))</f>
        <v>136.76999999999998</v>
      </c>
      <c r="CB152" s="79" cm="1">
        <f t="array" ref="CB152">SUMPRODUCT(($B$2:$B$126=4)*(CB$2:CB$126&gt;=23)*(CB$2:CB$126&lt;=27)*(CB$2:CB$126&lt;&gt;"")*($J$2:$J$126))</f>
        <v>144.79</v>
      </c>
      <c r="CC152" s="79" cm="1">
        <f t="array" ref="CC152">SUMPRODUCT(($B$2:$B$126=4)*(CC$2:CC$126&gt;=23)*(CC$2:CC$126&lt;=27)*(CC$2:CC$126&lt;&gt;"")*($J$2:$J$126))</f>
        <v>194.95</v>
      </c>
      <c r="CD152" s="79" cm="1">
        <f t="array" ref="CD152">SUMPRODUCT(($B$2:$B$126=4)*(CD$2:CD$126&gt;=23)*(CD$2:CD$126&lt;=27)*(CD$2:CD$126&lt;&gt;"")*($J$2:$J$126))</f>
        <v>245.21000000000004</v>
      </c>
      <c r="CE152" s="79" cm="1">
        <f t="array" ref="CE152">SUMPRODUCT(($B$2:$B$126=4)*(CE$2:CE$126&gt;=23)*(CE$2:CE$126&lt;=27)*(CE$2:CE$126&lt;&gt;"")*($J$2:$J$126))</f>
        <v>263.21000000000004</v>
      </c>
      <c r="CF152" s="79" cm="1">
        <f t="array" ref="CF152">SUMPRODUCT(($B$2:$B$126=4)*(CF$2:CF$126&gt;=23)*(CF$2:CF$126&lt;=27)*(CF$2:CF$126&lt;&gt;"")*($J$2:$J$126))</f>
        <v>190.45000000000005</v>
      </c>
      <c r="CG152" s="79" cm="1">
        <f t="array" ref="CG152">SUMPRODUCT(($B$2:$B$126=4)*(CG$2:CG$126&gt;=23)*(CG$2:CG$126&lt;=27)*(CG$2:CG$126&lt;&gt;"")*($J$2:$J$126))</f>
        <v>182.43</v>
      </c>
      <c r="CH152" s="79" cm="1">
        <f t="array" ref="CH152">SUMPRODUCT(($B$2:$B$126=4)*(CH$2:CH$126&gt;=23)*(CH$2:CH$126&lt;=27)*(CH$2:CH$126&lt;&gt;"")*($J$2:$J$126))</f>
        <v>202.36</v>
      </c>
      <c r="CI152" s="79" cm="1">
        <f t="array" ref="CI152">SUMPRODUCT(($B$2:$B$126=4)*(CI$2:CI$126&gt;=23)*(CI$2:CI$126&lt;=27)*(CI$2:CI$126&lt;&gt;"")*($J$2:$J$126))</f>
        <v>166.12</v>
      </c>
      <c r="CJ152" s="79" cm="1">
        <f t="array" ref="CJ152">SUMPRODUCT(($B$2:$B$126=4)*(CJ$2:CJ$126&gt;=23)*(CJ$2:CJ$126&lt;=27)*(CJ$2:CJ$126&lt;&gt;"")*($J$2:$J$126))</f>
        <v>174.29000000000002</v>
      </c>
      <c r="CK152" s="79" cm="1">
        <f t="array" ref="CK152">SUMPRODUCT(($B$2:$B$126=4)*(CK$2:CK$126&gt;=23)*(CK$2:CK$126&lt;=27)*(CK$2:CK$126&lt;&gt;"")*($J$2:$J$126))</f>
        <v>182.55</v>
      </c>
      <c r="CL152" s="79" cm="1">
        <f t="array" ref="CL152">SUMPRODUCT(($B$2:$B$126=4)*(CL$2:CL$126&gt;=23)*(CL$2:CL$126&lt;=27)*(CL$2:CL$126&lt;&gt;"")*($J$2:$J$126))</f>
        <v>209.16000000000003</v>
      </c>
      <c r="CM152" s="79" cm="1">
        <f t="array" ref="CM152">SUMPRODUCT(($B$2:$B$126=4)*(CM$2:CM$126&gt;=23)*(CM$2:CM$126&lt;=27)*(CM$2:CM$126&lt;&gt;"")*($J$2:$J$126))</f>
        <v>139.07</v>
      </c>
      <c r="CN152" s="79" cm="1">
        <f t="array" ref="CN152">SUMPRODUCT(($B$2:$B$126=4)*(CN$2:CN$126&gt;=23)*(CN$2:CN$126&lt;=27)*(CN$2:CN$126&lt;&gt;"")*($J$2:$J$126))</f>
        <v>94.94</v>
      </c>
      <c r="CO152" s="79" cm="1">
        <f t="array" ref="CO152">SUMPRODUCT(($B$2:$B$126=4)*(CO$2:CO$126&gt;=23)*(CO$2:CO$126&lt;=27)*(CO$2:CO$126&lt;&gt;"")*($J$2:$J$126))</f>
        <v>68.77</v>
      </c>
      <c r="CP152" s="79" cm="1">
        <f t="array" ref="CP152">SUMPRODUCT(($B$2:$B$126=4)*(CP$2:CP$126&gt;=23)*(CP$2:CP$126&lt;=27)*(CP$2:CP$126&lt;&gt;"")*($J$2:$J$126))</f>
        <v>26.61</v>
      </c>
      <c r="CQ152" s="79" cm="1">
        <f t="array" ref="CQ152">SUMPRODUCT(($B$2:$B$126=4)*(CQ$2:CQ$126&gt;=23)*(CQ$2:CQ$126&lt;=27)*(CQ$2:CQ$126&lt;&gt;"")*($J$2:$J$126))</f>
        <v>0</v>
      </c>
      <c r="CR152" s="79" cm="1">
        <f t="array" ref="CR152">SUMPRODUCT(($B$2:$B$126=4)*(CR$2:CR$126&gt;=23)*(CR$2:CR$126&lt;=27)*(CR$2:CR$126&lt;&gt;"")*($J$2:$J$126))</f>
        <v>0</v>
      </c>
      <c r="CS152" s="79" cm="1">
        <f t="array" ref="CS152">SUMPRODUCT(($B$2:$B$126=4)*(CS$2:CS$126&gt;=23)*(CS$2:CS$126&lt;=27)*(CS$2:CS$126&lt;&gt;"")*($J$2:$J$126))</f>
        <v>0</v>
      </c>
      <c r="CT152" s="79" cm="1">
        <f t="array" ref="CT152">SUMPRODUCT(($B$2:$B$126=4)*(CT$2:CT$126&gt;=23)*(CT$2:CT$126&lt;=27)*(CT$2:CT$126&lt;&gt;"")*($J$2:$J$126))</f>
        <v>0</v>
      </c>
      <c r="CU152" s="79" cm="1">
        <f t="array" ref="CU152">SUMPRODUCT(($B$2:$B$126=4)*(CU$2:CU$126&gt;=23)*(CU$2:CU$126&lt;=27)*(CU$2:CU$126&lt;&gt;"")*($J$2:$J$126))</f>
        <v>0</v>
      </c>
      <c r="CV152" s="79" cm="1">
        <f t="array" ref="CV152">SUMPRODUCT(($B$2:$B$126=4)*(CV$2:CV$126&gt;=23)*(CV$2:CV$126&lt;=27)*(CV$2:CV$126&lt;&gt;"")*($J$2:$J$126))</f>
        <v>0</v>
      </c>
      <c r="CW152" s="79" cm="1">
        <f t="array" ref="CW152">SUMPRODUCT(($B$2:$B$126=4)*(CW$2:CW$126&gt;=23)*(CW$2:CW$126&lt;=27)*(CW$2:CW$126&lt;&gt;"")*($J$2:$J$126))</f>
        <v>0</v>
      </c>
      <c r="CX152" s="79" cm="1">
        <f t="array" ref="CX152">SUMPRODUCT(($B$2:$B$126=4)*(CX$2:CX$126&gt;=23)*(CX$2:CX$126&lt;=27)*(CX$2:CX$126&lt;&gt;"")*($J$2:$J$126))</f>
        <v>0</v>
      </c>
      <c r="CY152" s="79" cm="1">
        <f t="array" ref="CY152">SUMPRODUCT(($B$2:$B$126=4)*(CY$2:CY$126&gt;=23)*(CY$2:CY$126&lt;=27)*(CY$2:CY$126&lt;&gt;"")*($J$2:$J$126))</f>
        <v>0</v>
      </c>
      <c r="CZ152" s="79" cm="1">
        <f t="array" ref="CZ152">SUMPRODUCT(($B$2:$B$126=4)*(CZ$2:CZ$126&gt;=23)*(CZ$2:CZ$126&lt;=27)*(CZ$2:CZ$126&lt;&gt;"")*($J$2:$J$126))</f>
        <v>0</v>
      </c>
      <c r="DA152" s="79" cm="1">
        <f t="array" ref="DA152">SUMPRODUCT(($B$2:$B$126=4)*(DA$2:DA$126&gt;=23)*(DA$2:DA$126&lt;=27)*(DA$2:DA$126&lt;&gt;"")*($J$2:$J$126))</f>
        <v>0</v>
      </c>
      <c r="DB152" s="79" cm="1">
        <f t="array" ref="DB152">SUMPRODUCT(($B$2:$B$126=4)*(DB$2:DB$126&gt;=23)*(DB$2:DB$126&lt;=27)*(DB$2:DB$126&lt;&gt;"")*($J$2:$J$126))</f>
        <v>0</v>
      </c>
      <c r="DC152" s="79" cm="1">
        <f t="array" ref="DC152">SUMPRODUCT(($B$2:$B$126=4)*(DC$2:DC$126&gt;=23)*(DC$2:DC$126&lt;=27)*(DC$2:DC$126&lt;&gt;"")*($J$2:$J$126))</f>
        <v>0</v>
      </c>
      <c r="DD152" s="79" cm="1">
        <f t="array" ref="DD152">SUMPRODUCT(($B$2:$B$126=4)*(DD$2:DD$126&gt;=23)*(DD$2:DD$126&lt;=27)*(DD$2:DD$126&lt;&gt;"")*($J$2:$J$126))</f>
        <v>0</v>
      </c>
      <c r="DE152" s="79" cm="1">
        <f t="array" ref="DE152">SUMPRODUCT(($B$2:$B$126=4)*(DE$2:DE$126&gt;=23)*(DE$2:DE$126&lt;=27)*(DE$2:DE$126&lt;&gt;"")*($J$2:$J$126))</f>
        <v>0</v>
      </c>
      <c r="DF152" s="79" cm="1">
        <f t="array" ref="DF152">SUMPRODUCT(($B$2:$B$126=4)*(DF$2:DF$126&gt;=23)*(DF$2:DF$126&lt;=27)*(DF$2:DF$126&lt;&gt;"")*($J$2:$J$126))</f>
        <v>0</v>
      </c>
      <c r="DG152" s="79" cm="1">
        <f t="array" ref="DG152">SUMPRODUCT(($B$2:$B$126=4)*(DG$2:DG$126&gt;=23)*(DG$2:DG$126&lt;=27)*(DG$2:DG$126&lt;&gt;"")*($J$2:$J$126))</f>
        <v>0</v>
      </c>
      <c r="DH152" s="79" cm="1">
        <f t="array" ref="DH152">SUMPRODUCT(($B$2:$B$126=4)*(DH$2:DH$126&gt;=23)*(DH$2:DH$126&lt;=27)*(DH$2:DH$126&lt;&gt;"")*($J$2:$J$126))</f>
        <v>0</v>
      </c>
      <c r="DI152" s="79" cm="1">
        <f t="array" ref="DI152">SUMPRODUCT(($B$2:$B$126=4)*(DI$2:DI$126&gt;=23)*(DI$2:DI$126&lt;=27)*(DI$2:DI$126&lt;&gt;"")*($J$2:$J$126))</f>
        <v>0</v>
      </c>
      <c r="DJ152" s="79" cm="1">
        <f t="array" ref="DJ152">SUMPRODUCT(($B$2:$B$126=4)*(DJ$2:DJ$126&gt;=23)*(DJ$2:DJ$126&lt;=27)*(DJ$2:DJ$126&lt;&gt;"")*($J$2:$J$126))</f>
        <v>0</v>
      </c>
      <c r="DK152" s="79" cm="1">
        <f t="array" ref="DK152">SUMPRODUCT(($B$2:$B$126=4)*(DK$2:DK$126&gt;=23)*(DK$2:DK$126&lt;=27)*(DK$2:DK$126&lt;&gt;"")*($J$2:$J$126))</f>
        <v>0</v>
      </c>
      <c r="DL152" s="79" cm="1">
        <f t="array" ref="DL152">SUMPRODUCT(($B$2:$B$126=4)*(DL$2:DL$126&gt;=23)*(DL$2:DL$126&lt;=27)*(DL$2:DL$126&lt;&gt;"")*($J$2:$J$126))</f>
        <v>0</v>
      </c>
      <c r="DM152" s="79" cm="1">
        <f t="array" ref="DM152">SUMPRODUCT(($B$2:$B$126=4)*(DM$2:DM$126&gt;=23)*(DM$2:DM$126&lt;=27)*(DM$2:DM$126&lt;&gt;"")*($J$2:$J$126))</f>
        <v>0</v>
      </c>
      <c r="DN152" s="79" cm="1">
        <f t="array" ref="DN152">SUMPRODUCT(($B$2:$B$126=4)*(DN$2:DN$126&gt;=23)*(DN$2:DN$126&lt;=27)*(DN$2:DN$126&lt;&gt;"")*($J$2:$J$126))</f>
        <v>0</v>
      </c>
      <c r="DO152" s="79" cm="1">
        <f t="array" ref="DO152">SUMPRODUCT(($B$2:$B$126=4)*(DO$2:DO$126&gt;=23)*(DO$2:DO$126&lt;=27)*(DO$2:DO$126&lt;&gt;"")*($J$2:$J$126))</f>
        <v>0</v>
      </c>
      <c r="DP152" s="79" cm="1">
        <f t="array" ref="DP152">SUMPRODUCT(($B$2:$B$126=4)*(DP$2:DP$126&gt;=23)*(DP$2:DP$126&lt;=27)*(DP$2:DP$126&lt;&gt;"")*($J$2:$J$126))</f>
        <v>0</v>
      </c>
      <c r="DQ152" s="79" cm="1">
        <f t="array" ref="DQ152">SUMPRODUCT(($B$2:$B$126=4)*(DQ$2:DQ$126&gt;=23)*(DQ$2:DQ$126&lt;=27)*(DQ$2:DQ$126&lt;&gt;"")*($J$2:$J$126))</f>
        <v>0</v>
      </c>
      <c r="DR152" s="79" cm="1">
        <f t="array" ref="DR152">SUMPRODUCT(($B$2:$B$126=4)*(DR$2:DR$126&gt;=23)*(DR$2:DR$126&lt;=27)*(DR$2:DR$126&lt;&gt;"")*($J$2:$J$126))</f>
        <v>0</v>
      </c>
      <c r="DS152" s="79" cm="1">
        <f t="array" ref="DS152">SUMPRODUCT(($B$2:$B$126=4)*(DS$2:DS$126&gt;=23)*(DS$2:DS$126&lt;=27)*(DS$2:DS$126&lt;&gt;"")*($J$2:$J$126))</f>
        <v>0</v>
      </c>
      <c r="DT152" s="79" cm="1">
        <f t="array" ref="DT152">SUMPRODUCT(($B$2:$B$126=4)*(DT$2:DT$126&gt;=23)*(DT$2:DT$126&lt;=27)*(DT$2:DT$126&lt;&gt;"")*($J$2:$J$126))</f>
        <v>0</v>
      </c>
      <c r="DU152" s="79" cm="1">
        <f t="array" ref="DU152">SUMPRODUCT(($B$2:$B$126=4)*(DU$2:DU$126&gt;=23)*(DU$2:DU$126&lt;=27)*(DU$2:DU$126&lt;&gt;"")*($J$2:$J$126))</f>
        <v>0</v>
      </c>
      <c r="DV152" s="79" cm="1">
        <f t="array" ref="DV152">SUMPRODUCT(($B$2:$B$126=4)*(DV$2:DV$126&gt;=23)*(DV$2:DV$126&lt;=27)*(DV$2:DV$126&lt;&gt;"")*($J$2:$J$126))</f>
        <v>0</v>
      </c>
      <c r="DW152" s="79" cm="1">
        <f t="array" ref="DW152">SUMPRODUCT(($B$2:$B$126=4)*(DW$2:DW$126&gt;=23)*(DW$2:DW$126&lt;=27)*(DW$2:DW$126&lt;&gt;"")*($J$2:$J$126))</f>
        <v>0</v>
      </c>
      <c r="DX152" s="79" cm="1">
        <f t="array" ref="DX152">SUMPRODUCT(($B$2:$B$126=4)*(DX$2:DX$126&gt;=23)*(DX$2:DX$126&lt;=27)*(DX$2:DX$126&lt;&gt;"")*($J$2:$J$126))</f>
        <v>0</v>
      </c>
      <c r="DY152" s="79" cm="1">
        <f t="array" ref="DY152">SUMPRODUCT(($B$2:$B$126=4)*(DY$2:DY$126&gt;=23)*(DY$2:DY$126&lt;=27)*(DY$2:DY$126&lt;&gt;"")*($J$2:$J$126))</f>
        <v>0</v>
      </c>
      <c r="DZ152" s="79" cm="1">
        <f t="array" ref="DZ152">SUMPRODUCT(($B$2:$B$126=4)*(DZ$2:DZ$126&gt;=23)*(DZ$2:DZ$126&lt;=27)*(DZ$2:DZ$126&lt;&gt;"")*($J$2:$J$126))</f>
        <v>0</v>
      </c>
      <c r="EA152" s="79" cm="1">
        <f t="array" ref="EA152">SUMPRODUCT(($B$2:$B$126=4)*(EA$2:EA$126&gt;=23)*(EA$2:EA$126&lt;=27)*(EA$2:EA$126&lt;&gt;"")*($J$2:$J$126))</f>
        <v>0</v>
      </c>
      <c r="EB152" s="79" cm="1">
        <f t="array" ref="EB152">SUMPRODUCT(($B$2:$B$126=4)*(EB$2:EB$126&gt;=23)*(EB$2:EB$126&lt;=27)*(EB$2:EB$126&lt;&gt;"")*($J$2:$J$126))</f>
        <v>0</v>
      </c>
      <c r="EC152" s="79" cm="1">
        <f t="array" ref="EC152">SUMPRODUCT(($B$2:$B$126=4)*(EC$2:EC$126&gt;=23)*(EC$2:EC$126&lt;=27)*(EC$2:EC$126&lt;&gt;"")*($J$2:$J$126))</f>
        <v>0</v>
      </c>
      <c r="ED152" s="79" cm="1">
        <f t="array" ref="ED152">SUMPRODUCT(($B$2:$B$126=4)*(ED$2:ED$126&gt;=23)*(ED$2:ED$126&lt;=27)*(ED$2:ED$126&lt;&gt;"")*($J$2:$J$126))</f>
        <v>0</v>
      </c>
      <c r="EE152" s="79" cm="1">
        <f t="array" ref="EE152">SUMPRODUCT(($B$2:$B$126=4)*(EE$2:EE$126&gt;=23)*(EE$2:EE$126&lt;=27)*(EE$2:EE$126&lt;&gt;"")*($J$2:$J$126))</f>
        <v>0</v>
      </c>
      <c r="EF152" s="79" cm="1">
        <f t="array" ref="EF152">SUMPRODUCT(($B$2:$B$126=4)*(EF$2:EF$126&gt;=23)*(EF$2:EF$126&lt;=27)*(EF$2:EF$126&lt;&gt;"")*($J$2:$J$126))</f>
        <v>0</v>
      </c>
      <c r="EG152" s="79" cm="1">
        <f t="array" ref="EG152">SUMPRODUCT(($B$2:$B$126=4)*(EG$2:EG$126&gt;=23)*(EG$2:EG$126&lt;=27)*(EG$2:EG$126&lt;&gt;"")*($J$2:$J$126))</f>
        <v>0</v>
      </c>
      <c r="EH152" s="79" cm="1">
        <f t="array" ref="EH152">SUMPRODUCT(($B$2:$B$126=4)*(EH$2:EH$126&gt;=23)*(EH$2:EH$126&lt;=27)*(EH$2:EH$126&lt;&gt;"")*($J$2:$J$126))</f>
        <v>0</v>
      </c>
      <c r="EI152" s="79" cm="1">
        <f t="array" ref="EI152">SUMPRODUCT(($B$2:$B$126=4)*(EI$2:EI$126&gt;=23)*(EI$2:EI$126&lt;=27)*(EI$2:EI$126&lt;&gt;"")*($J$2:$J$126))</f>
        <v>0</v>
      </c>
      <c r="EJ152" s="79" cm="1">
        <f t="array" ref="EJ152">SUMPRODUCT(($B$2:$B$126=4)*(EJ$2:EJ$126&gt;=23)*(EJ$2:EJ$126&lt;=27)*(EJ$2:EJ$126&lt;&gt;"")*($J$2:$J$126))</f>
        <v>0</v>
      </c>
      <c r="EK152" s="79" cm="1">
        <f t="array" ref="EK152">SUMPRODUCT(($B$2:$B$126=4)*(EK$2:EK$126&gt;=23)*(EK$2:EK$126&lt;=27)*(EK$2:EK$126&lt;&gt;"")*($J$2:$J$126))</f>
        <v>0</v>
      </c>
      <c r="EL152" s="79" cm="1">
        <f t="array" ref="EL152">SUMPRODUCT(($B$2:$B$126=4)*(EL$2:EL$126&gt;=23)*(EL$2:EL$126&lt;=27)*(EL$2:EL$126&lt;&gt;"")*($J$2:$J$126))</f>
        <v>0</v>
      </c>
      <c r="EM152" s="79" cm="1">
        <f t="array" ref="EM152">SUMPRODUCT(($B$2:$B$126=4)*(EM$2:EM$126&gt;=23)*(EM$2:EM$126&lt;=27)*(EM$2:EM$126&lt;&gt;"")*($J$2:$J$126))</f>
        <v>0</v>
      </c>
      <c r="EN152" s="79" cm="1">
        <f t="array" ref="EN152">SUMPRODUCT(($B$2:$B$126=4)*(EN$2:EN$126&gt;=23)*(EN$2:EN$126&lt;=27)*(EN$2:EN$126&lt;&gt;"")*($J$2:$J$126))</f>
        <v>0</v>
      </c>
      <c r="EO152" s="79" cm="1">
        <f t="array" ref="EO152">SUMPRODUCT(($B$2:$B$126=4)*(EO$2:EO$126&gt;=23)*(EO$2:EO$126&lt;=27)*(EO$2:EO$126&lt;&gt;"")*($J$2:$J$126))</f>
        <v>0</v>
      </c>
      <c r="EP152" s="79" cm="1">
        <f t="array" ref="EP152">SUMPRODUCT(($B$2:$B$126=4)*(EP$2:EP$126&gt;=23)*(EP$2:EP$126&lt;=27)*(EP$2:EP$126&lt;&gt;"")*($J$2:$J$126))</f>
        <v>0</v>
      </c>
      <c r="EQ152" s="79" cm="1">
        <f t="array" ref="EQ152">SUMPRODUCT(($B$2:$B$126=4)*(EQ$2:EQ$126&gt;=23)*(EQ$2:EQ$126&lt;=27)*(EQ$2:EQ$126&lt;&gt;"")*($J$2:$J$126))</f>
        <v>0</v>
      </c>
      <c r="ER152" s="79" cm="1">
        <f t="array" ref="ER152">SUMPRODUCT(($B$2:$B$126=4)*(ER$2:ER$126&gt;=23)*(ER$2:ER$126&lt;=27)*(ER$2:ER$126&lt;&gt;"")*($J$2:$J$126))</f>
        <v>0</v>
      </c>
      <c r="ES152" s="79" cm="1">
        <f t="array" ref="ES152">SUMPRODUCT(($B$2:$B$126=4)*(ES$2:ES$126&gt;=23)*(ES$2:ES$126&lt;=27)*(ES$2:ES$126&lt;&gt;"")*($J$2:$J$126))</f>
        <v>0</v>
      </c>
      <c r="ET152" s="79" cm="1">
        <f t="array" ref="ET152">SUMPRODUCT(($B$2:$B$126=4)*(ET$2:ET$126&gt;=23)*(ET$2:ET$126&lt;=27)*(ET$2:ET$126&lt;&gt;"")*($J$2:$J$126))</f>
        <v>0</v>
      </c>
      <c r="EU152" s="79" cm="1">
        <f t="array" ref="EU152">SUMPRODUCT(($B$2:$B$126=4)*(EU$2:EU$126&gt;=23)*(EU$2:EU$126&lt;=27)*(EU$2:EU$126&lt;&gt;"")*($J$2:$J$126))</f>
        <v>0</v>
      </c>
      <c r="EV152" s="79" cm="1">
        <f t="array" ref="EV152">SUMPRODUCT(($B$2:$B$126=4)*(EV$2:EV$126&gt;=23)*(EV$2:EV$126&lt;=27)*(EV$2:EV$126&lt;&gt;"")*($J$2:$J$126))</f>
        <v>0</v>
      </c>
      <c r="EW152" s="79" cm="1">
        <f t="array" ref="EW152">SUMPRODUCT(($B$2:$B$126=4)*(EW$2:EW$126&gt;=23)*(EW$2:EW$126&lt;=27)*(EW$2:EW$126&lt;&gt;"")*($J$2:$J$126))</f>
        <v>0</v>
      </c>
      <c r="EX152" s="79" cm="1">
        <f t="array" ref="EX152">SUMPRODUCT(($B$2:$B$126=4)*(EX$2:EX$126&gt;=23)*(EX$2:EX$126&lt;=27)*(EX$2:EX$126&lt;&gt;"")*($J$2:$J$126))</f>
        <v>0</v>
      </c>
      <c r="EY152" s="79" cm="1">
        <f t="array" ref="EY152">SUMPRODUCT(($B$2:$B$126=4)*(EY$2:EY$126&gt;=23)*(EY$2:EY$126&lt;=27)*(EY$2:EY$126&lt;&gt;"")*($J$2:$J$126))</f>
        <v>0</v>
      </c>
      <c r="EZ152" s="79" cm="1">
        <f t="array" ref="EZ152">SUMPRODUCT(($B$2:$B$126=4)*(EZ$2:EZ$126&gt;=23)*(EZ$2:EZ$126&lt;=27)*(EZ$2:EZ$126&lt;&gt;"")*($J$2:$J$126))</f>
        <v>0</v>
      </c>
      <c r="FA152" s="79" cm="1">
        <f t="array" ref="FA152">SUMPRODUCT(($B$2:$B$126=4)*(FA$2:FA$126&gt;=23)*(FA$2:FA$126&lt;=27)*(FA$2:FA$126&lt;&gt;"")*($J$2:$J$126))</f>
        <v>0</v>
      </c>
      <c r="FB152" s="79" cm="1">
        <f t="array" ref="FB152">SUMPRODUCT(($B$2:$B$126=4)*(FB$2:FB$126&gt;=23)*(FB$2:FB$126&lt;=27)*(FB$2:FB$126&lt;&gt;"")*($J$2:$J$126))</f>
        <v>0</v>
      </c>
      <c r="FC152" s="79" cm="1">
        <f t="array" ref="FC152">SUMPRODUCT(($B$2:$B$126=4)*(FC$2:FC$126&gt;=23)*(FC$2:FC$126&lt;=27)*(FC$2:FC$126&lt;&gt;"")*($J$2:$J$126))</f>
        <v>0</v>
      </c>
      <c r="FD152" s="79" cm="1">
        <f t="array" ref="FD152">SUMPRODUCT(($B$2:$B$126=4)*(FD$2:FD$126&gt;=23)*(FD$2:FD$126&lt;=27)*(FD$2:FD$126&lt;&gt;"")*($J$2:$J$126))</f>
        <v>0</v>
      </c>
      <c r="FE152" s="79" cm="1">
        <f t="array" ref="FE152">SUMPRODUCT(($B$2:$B$126=4)*(FE$2:FE$126&gt;=23)*(FE$2:FE$126&lt;=27)*(FE$2:FE$126&lt;&gt;"")*($J$2:$J$126))</f>
        <v>0</v>
      </c>
      <c r="FF152" s="79" cm="1">
        <f t="array" ref="FF152">SUMPRODUCT(($B$2:$B$126=4)*(FF$2:FF$126&gt;=23)*(FF$2:FF$126&lt;=27)*(FF$2:FF$126&lt;&gt;"")*($J$2:$J$126))</f>
        <v>0</v>
      </c>
      <c r="FG152" s="79" cm="1">
        <f t="array" ref="FG152">SUMPRODUCT(($B$2:$B$126=4)*(FG$2:FG$126&gt;=23)*(FG$2:FG$126&lt;=27)*(FG$2:FG$126&lt;&gt;"")*($J$2:$J$126))</f>
        <v>0</v>
      </c>
      <c r="FH152" s="79" cm="1">
        <f t="array" ref="FH152">SUMPRODUCT(($B$2:$B$126=4)*(FH$2:FH$126&gt;=23)*(FH$2:FH$126&lt;=27)*(FH$2:FH$126&lt;&gt;"")*($J$2:$J$126))</f>
        <v>0</v>
      </c>
      <c r="FI152" s="79" cm="1">
        <f t="array" ref="FI152">SUMPRODUCT(($B$2:$B$126=4)*(FI$2:FI$126&gt;=23)*(FI$2:FI$126&lt;=27)*(FI$2:FI$126&lt;&gt;"")*($J$2:$J$126))</f>
        <v>0</v>
      </c>
      <c r="FJ152" s="79" cm="1">
        <f t="array" ref="FJ152">SUMPRODUCT(($B$2:$B$126=4)*(FJ$2:FJ$126&gt;=23)*(FJ$2:FJ$126&lt;=27)*(FJ$2:FJ$126&lt;&gt;"")*($J$2:$J$126))</f>
        <v>0</v>
      </c>
      <c r="FK152" s="79" cm="1">
        <f t="array" ref="FK152">SUMPRODUCT(($B$2:$B$126=4)*(FK$2:FK$126&gt;=23)*(FK$2:FK$126&lt;=27)*(FK$2:FK$126&lt;&gt;"")*($J$2:$J$126))</f>
        <v>0</v>
      </c>
      <c r="FL152" s="79" cm="1">
        <f t="array" ref="FL152">SUMPRODUCT(($B$2:$B$126=4)*(FL$2:FL$126&gt;=23)*(FL$2:FL$126&lt;=27)*(FL$2:FL$126&lt;&gt;"")*($J$2:$J$126))</f>
        <v>0</v>
      </c>
      <c r="FM152" s="79" cm="1">
        <f t="array" ref="FM152">SUMPRODUCT(($B$2:$B$126=4)*(FM$2:FM$126&gt;=23)*(FM$2:FM$126&lt;=27)*(FM$2:FM$126&lt;&gt;"")*($J$2:$J$126))</f>
        <v>0</v>
      </c>
      <c r="FN152" s="79" cm="1">
        <f t="array" ref="FN152">SUMPRODUCT(($B$2:$B$126=4)*(FN$2:FN$126&gt;=23)*(FN$2:FN$126&lt;=27)*(FN$2:FN$126&lt;&gt;"")*($J$2:$J$126))</f>
        <v>0</v>
      </c>
      <c r="FO152" s="79" cm="1">
        <f t="array" ref="FO152">SUMPRODUCT(($B$2:$B$126=4)*(FO$2:FO$126&gt;=23)*(FO$2:FO$126&lt;=27)*(FO$2:FO$126&lt;&gt;"")*($J$2:$J$126))</f>
        <v>0</v>
      </c>
      <c r="FP152" s="79" cm="1">
        <f t="array" ref="FP152">SUMPRODUCT(($B$2:$B$126=4)*(FP$2:FP$126&gt;=23)*(FP$2:FP$126&lt;=27)*(FP$2:FP$126&lt;&gt;"")*($J$2:$J$126))</f>
        <v>0</v>
      </c>
      <c r="FQ152" s="79" cm="1">
        <f t="array" ref="FQ152">SUMPRODUCT(($B$2:$B$126=4)*(FQ$2:FQ$126&gt;=23)*(FQ$2:FQ$126&lt;=27)*(FQ$2:FQ$126&lt;&gt;"")*($J$2:$J$126))</f>
        <v>0</v>
      </c>
      <c r="FR152" s="79" cm="1">
        <f t="array" ref="FR152">SUMPRODUCT(($B$2:$B$126=4)*(FR$2:FR$126&gt;=23)*(FR$2:FR$126&lt;=27)*(FR$2:FR$126&lt;&gt;"")*($J$2:$J$126))</f>
        <v>0</v>
      </c>
      <c r="FS152" s="79" cm="1">
        <f t="array" ref="FS152">SUMPRODUCT(($B$2:$B$126=4)*(FS$2:FS$126&gt;=23)*(FS$2:FS$126&lt;=27)*(FS$2:FS$126&lt;&gt;"")*($J$2:$J$126))</f>
        <v>0</v>
      </c>
      <c r="FT152" s="79" cm="1">
        <f t="array" ref="FT152">SUMPRODUCT(($B$2:$B$126=4)*(FT$2:FT$126&gt;=23)*(FT$2:FT$126&lt;=27)*(FT$2:FT$126&lt;&gt;"")*($J$2:$J$126))</f>
        <v>0</v>
      </c>
      <c r="FU152" s="79" cm="1">
        <f t="array" ref="FU152">SUMPRODUCT(($B$2:$B$126=4)*(FU$2:FU$126&gt;=23)*(FU$2:FU$126&lt;=27)*(FU$2:FU$126&lt;&gt;"")*($J$2:$J$126))</f>
        <v>0</v>
      </c>
      <c r="FV152" s="79" cm="1">
        <f t="array" ref="FV152">SUMPRODUCT(($B$2:$B$126=4)*(FV$2:FV$126&gt;=23)*(FV$2:FV$126&lt;=27)*(FV$2:FV$126&lt;&gt;"")*($J$2:$J$126))</f>
        <v>0</v>
      </c>
      <c r="FW152" s="79" cm="1">
        <f t="array" ref="FW152">SUMPRODUCT(($B$2:$B$126=4)*(FW$2:FW$126&gt;=23)*(FW$2:FW$126&lt;=27)*(FW$2:FW$126&lt;&gt;"")*($J$2:$J$126))</f>
        <v>0</v>
      </c>
      <c r="FX152" s="79" cm="1">
        <f t="array" ref="FX152">SUMPRODUCT(($B$2:$B$126=4)*(FX$2:FX$126&gt;=23)*(FX$2:FX$126&lt;=27)*(FX$2:FX$126&lt;&gt;"")*($J$2:$J$126))</f>
        <v>0</v>
      </c>
      <c r="FY152" s="79" cm="1">
        <f t="array" ref="FY152">SUMPRODUCT(($B$2:$B$126=4)*(FY$2:FY$126&gt;=23)*(FY$2:FY$126&lt;=27)*(FY$2:FY$126&lt;&gt;"")*($J$2:$J$126))</f>
        <v>0</v>
      </c>
      <c r="FZ152" s="79" cm="1">
        <f t="array" ref="FZ152">SUMPRODUCT(($B$2:$B$126=4)*(FZ$2:FZ$126&gt;=23)*(FZ$2:FZ$126&lt;=27)*(FZ$2:FZ$126&lt;&gt;"")*($J$2:$J$126))</f>
        <v>0</v>
      </c>
      <c r="GA152" s="79" cm="1">
        <f t="array" ref="GA152">SUMPRODUCT(($B$2:$B$126=4)*(GA$2:GA$126&gt;=23)*(GA$2:GA$126&lt;=27)*(GA$2:GA$126&lt;&gt;"")*($J$2:$J$126))</f>
        <v>0</v>
      </c>
      <c r="GB152" s="79" cm="1">
        <f t="array" ref="GB152">SUMPRODUCT(($B$2:$B$126=4)*(GB$2:GB$126&gt;=23)*(GB$2:GB$126&lt;=27)*(GB$2:GB$126&lt;&gt;"")*($J$2:$J$126))</f>
        <v>0</v>
      </c>
      <c r="GC152" s="79" cm="1">
        <f t="array" ref="GC152">SUMPRODUCT(($B$2:$B$126=4)*(GC$2:GC$126&gt;=23)*(GC$2:GC$126&lt;=27)*(GC$2:GC$126&lt;&gt;"")*($J$2:$J$126))</f>
        <v>0</v>
      </c>
      <c r="GD152" s="79" cm="1">
        <f t="array" ref="GD152">SUMPRODUCT(($B$2:$B$126=4)*(GD$2:GD$126&gt;=23)*(GD$2:GD$126&lt;=27)*(GD$2:GD$126&lt;&gt;"")*($J$2:$J$126))</f>
        <v>0</v>
      </c>
      <c r="GE152" s="79" cm="1">
        <f t="array" ref="GE152">SUMPRODUCT(($B$2:$B$126=4)*(GE$2:GE$126&gt;=23)*(GE$2:GE$126&lt;=27)*(GE$2:GE$126&lt;&gt;"")*($J$2:$J$126))</f>
        <v>0</v>
      </c>
      <c r="GF152" s="79" cm="1">
        <f t="array" ref="GF152">SUMPRODUCT(($B$2:$B$126=4)*(GF$2:GF$126&gt;=23)*(GF$2:GF$126&lt;=27)*(GF$2:GF$126&lt;&gt;"")*($J$2:$J$126))</f>
        <v>0</v>
      </c>
      <c r="GG152" s="79" cm="1">
        <f t="array" ref="GG152">SUMPRODUCT(($B$2:$B$126=4)*(GG$2:GG$126&gt;=23)*(GG$2:GG$126&lt;=27)*(GG$2:GG$126&lt;&gt;"")*($J$2:$J$126))</f>
        <v>0</v>
      </c>
      <c r="GH152" s="79" cm="1">
        <f t="array" ref="GH152">SUMPRODUCT(($B$2:$B$126=4)*(GH$2:GH$126&gt;=23)*(GH$2:GH$126&lt;=27)*(GH$2:GH$126&lt;&gt;"")*($J$2:$J$126))</f>
        <v>0</v>
      </c>
      <c r="GI152" s="79" cm="1">
        <f t="array" ref="GI152">SUMPRODUCT(($B$2:$B$126=4)*(GI$2:GI$126&gt;=23)*(GI$2:GI$126&lt;=27)*(GI$2:GI$126&lt;&gt;"")*($J$2:$J$126))</f>
        <v>0</v>
      </c>
      <c r="GJ152" s="79" cm="1">
        <f t="array" ref="GJ152">SUMPRODUCT(($B$2:$B$126=4)*(GJ$2:GJ$126&gt;=23)*(GJ$2:GJ$126&lt;=27)*(GJ$2:GJ$126&lt;&gt;"")*($J$2:$J$126))</f>
        <v>0</v>
      </c>
      <c r="GK152" s="79" cm="1">
        <f t="array" ref="GK152">SUMPRODUCT(($B$2:$B$126=4)*(GK$2:GK$126&gt;=23)*(GK$2:GK$126&lt;=27)*(GK$2:GK$126&lt;&gt;"")*($J$2:$J$126))</f>
        <v>0</v>
      </c>
      <c r="GL152" s="79" cm="1">
        <f t="array" ref="GL152">SUMPRODUCT(($B$2:$B$126=4)*(GL$2:GL$126&gt;=23)*(GL$2:GL$126&lt;=27)*(GL$2:GL$126&lt;&gt;"")*($J$2:$J$126))</f>
        <v>0</v>
      </c>
      <c r="GM152" s="79" cm="1">
        <f t="array" ref="GM152">SUMPRODUCT(($B$2:$B$126=4)*(GM$2:GM$126&gt;=23)*(GM$2:GM$126&lt;=27)*(GM$2:GM$126&lt;&gt;"")*($J$2:$J$126))</f>
        <v>0</v>
      </c>
      <c r="GN152" s="79" cm="1">
        <f t="array" ref="GN152">SUMPRODUCT(($B$2:$B$126=4)*(GN$2:GN$126&gt;=23)*(GN$2:GN$126&lt;=27)*(GN$2:GN$126&lt;&gt;"")*($J$2:$J$126))</f>
        <v>0</v>
      </c>
      <c r="GO152" s="79" cm="1">
        <f t="array" ref="GO152">SUMPRODUCT(($B$2:$B$126=4)*(GO$2:GO$126&gt;=23)*(GO$2:GO$126&lt;=27)*(GO$2:GO$126&lt;&gt;"")*($J$2:$J$126))</f>
        <v>0</v>
      </c>
      <c r="GP152" s="79" cm="1">
        <f t="array" ref="GP152">SUMPRODUCT(($B$2:$B$126=4)*(GP$2:GP$126&gt;=23)*(GP$2:GP$126&lt;=27)*(GP$2:GP$126&lt;&gt;"")*($J$2:$J$126))</f>
        <v>0</v>
      </c>
      <c r="GQ152" s="79" cm="1">
        <f t="array" ref="GQ152">SUMPRODUCT(($B$2:$B$126=4)*(GQ$2:GQ$126&gt;=23)*(GQ$2:GQ$126&lt;=27)*(GQ$2:GQ$126&lt;&gt;"")*($J$2:$J$126))</f>
        <v>0</v>
      </c>
      <c r="GR152" s="79" cm="1">
        <f t="array" ref="GR152">SUMPRODUCT(($B$2:$B$126=4)*(GR$2:GR$126&gt;=23)*(GR$2:GR$126&lt;=27)*(GR$2:GR$126&lt;&gt;"")*($J$2:$J$126))</f>
        <v>0</v>
      </c>
      <c r="GS152" s="79" cm="1">
        <f t="array" ref="GS152">SUMPRODUCT(($B$2:$B$126=4)*(GS$2:GS$126&gt;=23)*(GS$2:GS$126&lt;=27)*(GS$2:GS$126&lt;&gt;"")*($J$2:$J$126))</f>
        <v>0</v>
      </c>
      <c r="GT152" s="79" cm="1">
        <f t="array" ref="GT152">SUMPRODUCT(($B$2:$B$126=4)*(GT$2:GT$126&gt;=23)*(GT$2:GT$126&lt;=27)*(GT$2:GT$126&lt;&gt;"")*($J$2:$J$126))</f>
        <v>0</v>
      </c>
      <c r="GU152" s="79" cm="1">
        <f t="array" ref="GU152">SUMPRODUCT(($B$2:$B$126=4)*(GU$2:GU$126&gt;=23)*(GU$2:GU$126&lt;=27)*(GU$2:GU$126&lt;&gt;"")*($J$2:$J$126))</f>
        <v>0</v>
      </c>
      <c r="GV152" s="79" cm="1">
        <f t="array" ref="GV152">SUMPRODUCT(($B$2:$B$126=4)*(GV$2:GV$126&gt;=23)*(GV$2:GV$126&lt;=27)*(GV$2:GV$126&lt;&gt;"")*($J$2:$J$126))</f>
        <v>0</v>
      </c>
      <c r="GW152" s="79" cm="1">
        <f t="array" ref="GW152">SUMPRODUCT(($B$2:$B$126=4)*(GW$2:GW$126&gt;=23)*(GW$2:GW$126&lt;=27)*(GW$2:GW$126&lt;&gt;"")*($J$2:$J$126))</f>
        <v>0</v>
      </c>
      <c r="GX152" s="79" cm="1">
        <f t="array" ref="GX152">SUMPRODUCT(($B$2:$B$126=4)*(GX$2:GX$126&gt;=23)*(GX$2:GX$126&lt;=27)*(GX$2:GX$126&lt;&gt;"")*($J$2:$J$126))</f>
        <v>0</v>
      </c>
    </row>
    <row r="153" spans="1:206" x14ac:dyDescent="0.2">
      <c r="A153" s="84">
        <v>4</v>
      </c>
      <c r="B153" s="84" t="s">
        <v>259</v>
      </c>
      <c r="W153" s="79" cm="1">
        <f t="array" ref="W153">SUMPRODUCT(($B$2:$B$126=4)*(W$2:W$126&gt;=28)*(W$2:W$126&lt;=999)*(W$2:W$126&lt;&gt;"")*($J$2:$J$126))</f>
        <v>45.31</v>
      </c>
      <c r="X153" s="79" cm="1">
        <f t="array" ref="X153">SUMPRODUCT(($B$2:$B$126=4)*(X$2:X$126&gt;=28)*(X$2:X$126&lt;=999)*(X$2:X$126&lt;&gt;"")*($J$2:$J$126))</f>
        <v>45.31</v>
      </c>
      <c r="Y153" s="79" cm="1">
        <f t="array" ref="Y153">SUMPRODUCT(($B$2:$B$126=4)*(Y$2:Y$126&gt;=28)*(Y$2:Y$126&lt;=999)*(Y$2:Y$126&lt;&gt;"")*($J$2:$J$126))</f>
        <v>71.48</v>
      </c>
      <c r="Z153" s="79" cm="1">
        <f t="array" ref="Z153">SUMPRODUCT(($B$2:$B$126=4)*(Z$2:Z$126&gt;=28)*(Z$2:Z$126&lt;=999)*(Z$2:Z$126&lt;&gt;"")*($J$2:$J$126))</f>
        <v>71.48</v>
      </c>
      <c r="AA153" s="79" cm="1">
        <f t="array" ref="AA153">SUMPRODUCT(($B$2:$B$126=4)*(AA$2:AA$126&gt;=28)*(AA$2:AA$126&lt;=999)*(AA$2:AA$126&lt;&gt;"")*($J$2:$J$126))</f>
        <v>71.48</v>
      </c>
      <c r="AB153" s="79" cm="1">
        <f t="array" ref="AB153">SUMPRODUCT(($B$2:$B$126=4)*(AB$2:AB$126&gt;=28)*(AB$2:AB$126&lt;=999)*(AB$2:AB$126&lt;&gt;"")*($J$2:$J$126))</f>
        <v>71.48</v>
      </c>
      <c r="AC153" s="79" cm="1">
        <f t="array" ref="AC153">SUMPRODUCT(($B$2:$B$126=4)*(AC$2:AC$126&gt;=28)*(AC$2:AC$126&lt;=999)*(AC$2:AC$126&lt;&gt;"")*($J$2:$J$126))</f>
        <v>68.33</v>
      </c>
      <c r="AD153" s="79" cm="1">
        <f t="array" ref="AD153">SUMPRODUCT(($B$2:$B$126=4)*(AD$2:AD$126&gt;=28)*(AD$2:AD$126&lt;=999)*(AD$2:AD$126&lt;&gt;"")*($J$2:$J$126))</f>
        <v>62.69</v>
      </c>
      <c r="AE153" s="79" cm="1">
        <f t="array" ref="AE153">SUMPRODUCT(($B$2:$B$126=4)*(AE$2:AE$126&gt;=28)*(AE$2:AE$126&lt;=999)*(AE$2:AE$126&lt;&gt;"")*($J$2:$J$126))</f>
        <v>62.69</v>
      </c>
      <c r="AF153" s="79" cm="1">
        <f t="array" ref="AF153">SUMPRODUCT(($B$2:$B$126=4)*(AF$2:AF$126&gt;=28)*(AF$2:AF$126&lt;=999)*(AF$2:AF$126&lt;&gt;"")*($J$2:$J$126))</f>
        <v>68.77</v>
      </c>
      <c r="AG153" s="79" cm="1">
        <f t="array" ref="AG153">SUMPRODUCT(($B$2:$B$126=4)*(AG$2:AG$126&gt;=28)*(AG$2:AG$126&lt;=999)*(AG$2:AG$126&lt;&gt;"")*($J$2:$J$126))</f>
        <v>0</v>
      </c>
      <c r="AH153" s="79" cm="1">
        <f t="array" ref="AH153">SUMPRODUCT(($B$2:$B$126=4)*(AH$2:AH$126&gt;=28)*(AH$2:AH$126&lt;=999)*(AH$2:AH$126&lt;&gt;"")*($J$2:$J$126))</f>
        <v>0</v>
      </c>
      <c r="AI153" s="79" cm="1">
        <f t="array" ref="AI153">SUMPRODUCT(($B$2:$B$126=4)*(AI$2:AI$126&gt;=28)*(AI$2:AI$126&lt;=999)*(AI$2:AI$126&lt;&gt;"")*($J$2:$J$126))</f>
        <v>0</v>
      </c>
      <c r="AJ153" s="79" cm="1">
        <f t="array" ref="AJ153">SUMPRODUCT(($B$2:$B$126=4)*(AJ$2:AJ$126&gt;=28)*(AJ$2:AJ$126&lt;=999)*(AJ$2:AJ$126&lt;&gt;"")*($J$2:$J$126))</f>
        <v>0</v>
      </c>
      <c r="AK153" s="79" cm="1">
        <f t="array" ref="AK153">SUMPRODUCT(($B$2:$B$126=4)*(AK$2:AK$126&gt;=28)*(AK$2:AK$126&lt;=999)*(AK$2:AK$126&lt;&gt;"")*($J$2:$J$126))</f>
        <v>0</v>
      </c>
      <c r="AL153" s="79" cm="1">
        <f t="array" ref="AL153">SUMPRODUCT(($B$2:$B$126=4)*(AL$2:AL$126&gt;=28)*(AL$2:AL$126&lt;=999)*(AL$2:AL$126&lt;&gt;"")*($J$2:$J$126))</f>
        <v>0</v>
      </c>
      <c r="AM153" s="79" cm="1">
        <f t="array" ref="AM153">SUMPRODUCT(($B$2:$B$126=4)*(AM$2:AM$126&gt;=28)*(AM$2:AM$126&lt;=999)*(AM$2:AM$126&lt;&gt;"")*($J$2:$J$126))</f>
        <v>0</v>
      </c>
      <c r="AN153" s="79" cm="1">
        <f t="array" ref="AN153">SUMPRODUCT(($B$2:$B$126=4)*(AN$2:AN$126&gt;=28)*(AN$2:AN$126&lt;=999)*(AN$2:AN$126&lt;&gt;"")*($J$2:$J$126))</f>
        <v>0</v>
      </c>
      <c r="AO153" s="79" cm="1">
        <f t="array" ref="AO153">SUMPRODUCT(($B$2:$B$126=4)*(AO$2:AO$126&gt;=28)*(AO$2:AO$126&lt;=999)*(AO$2:AO$126&lt;&gt;"")*($J$2:$J$126))</f>
        <v>0</v>
      </c>
      <c r="AP153" s="79" cm="1">
        <f t="array" ref="AP153">SUMPRODUCT(($B$2:$B$126=4)*(AP$2:AP$126&gt;=28)*(AP$2:AP$126&lt;=999)*(AP$2:AP$126&lt;&gt;"")*($J$2:$J$126))</f>
        <v>0</v>
      </c>
      <c r="AQ153" s="79" cm="1">
        <f t="array" ref="AQ153">SUMPRODUCT(($B$2:$B$126=4)*(AQ$2:AQ$126&gt;=28)*(AQ$2:AQ$126&lt;=999)*(AQ$2:AQ$126&lt;&gt;"")*($J$2:$J$126))</f>
        <v>0</v>
      </c>
      <c r="AR153" s="79" cm="1">
        <f t="array" ref="AR153">SUMPRODUCT(($B$2:$B$126=4)*(AR$2:AR$126&gt;=28)*(AR$2:AR$126&lt;=999)*(AR$2:AR$126&lt;&gt;"")*($J$2:$J$126))</f>
        <v>0</v>
      </c>
      <c r="AS153" s="79" cm="1">
        <f t="array" ref="AS153">SUMPRODUCT(($B$2:$B$126=4)*(AS$2:AS$126&gt;=28)*(AS$2:AS$126&lt;=999)*(AS$2:AS$126&lt;&gt;"")*($J$2:$J$126))</f>
        <v>0</v>
      </c>
      <c r="AT153" s="79" cm="1">
        <f t="array" ref="AT153">SUMPRODUCT(($B$2:$B$126=4)*(AT$2:AT$126&gt;=28)*(AT$2:AT$126&lt;=999)*(AT$2:AT$126&lt;&gt;"")*($J$2:$J$126))</f>
        <v>0</v>
      </c>
      <c r="AU153" s="79" cm="1">
        <f t="array" ref="AU153">SUMPRODUCT(($B$2:$B$126=4)*(AU$2:AU$126&gt;=28)*(AU$2:AU$126&lt;=999)*(AU$2:AU$126&lt;&gt;"")*($J$2:$J$126))</f>
        <v>0</v>
      </c>
      <c r="AV153" s="79" cm="1">
        <f t="array" ref="AV153">SUMPRODUCT(($B$2:$B$126=4)*(AV$2:AV$126&gt;=28)*(AV$2:AV$126&lt;=999)*(AV$2:AV$126&lt;&gt;"")*($J$2:$J$126))</f>
        <v>0</v>
      </c>
      <c r="AW153" s="79" cm="1">
        <f t="array" ref="AW153">SUMPRODUCT(($B$2:$B$126=4)*(AW$2:AW$126&gt;=28)*(AW$2:AW$126&lt;=999)*(AW$2:AW$126&lt;&gt;"")*($J$2:$J$126))</f>
        <v>0</v>
      </c>
      <c r="AX153" s="79" cm="1">
        <f t="array" ref="AX153">SUMPRODUCT(($B$2:$B$126=4)*(AX$2:AX$126&gt;=28)*(AX$2:AX$126&lt;=999)*(AX$2:AX$126&lt;&gt;"")*($J$2:$J$126))</f>
        <v>0</v>
      </c>
      <c r="AY153" s="79" cm="1">
        <f t="array" ref="AY153">SUMPRODUCT(($B$2:$B$126=4)*(AY$2:AY$126&gt;=28)*(AY$2:AY$126&lt;=999)*(AY$2:AY$126&lt;&gt;"")*($J$2:$J$126))</f>
        <v>0</v>
      </c>
      <c r="AZ153" s="79" cm="1">
        <f t="array" ref="AZ153">SUMPRODUCT(($B$2:$B$126=4)*(AZ$2:AZ$126&gt;=28)*(AZ$2:AZ$126&lt;=999)*(AZ$2:AZ$126&lt;&gt;"")*($J$2:$J$126))</f>
        <v>0</v>
      </c>
      <c r="BA153" s="79" cm="1">
        <f t="array" ref="BA153">SUMPRODUCT(($B$2:$B$126=4)*(BA$2:BA$126&gt;=28)*(BA$2:BA$126&lt;=999)*(BA$2:BA$126&lt;&gt;"")*($J$2:$J$126))</f>
        <v>0</v>
      </c>
      <c r="BB153" s="79" cm="1">
        <f t="array" ref="BB153">SUMPRODUCT(($B$2:$B$126=4)*(BB$2:BB$126&gt;=28)*(BB$2:BB$126&lt;=999)*(BB$2:BB$126&lt;&gt;"")*($J$2:$J$126))</f>
        <v>0</v>
      </c>
      <c r="BC153" s="79" cm="1">
        <f t="array" ref="BC153">SUMPRODUCT(($B$2:$B$126=4)*(BC$2:BC$126&gt;=28)*(BC$2:BC$126&lt;=999)*(BC$2:BC$126&lt;&gt;"")*($J$2:$J$126))</f>
        <v>0</v>
      </c>
      <c r="BD153" s="79" cm="1">
        <f t="array" ref="BD153">SUMPRODUCT(($B$2:$B$126=4)*(BD$2:BD$126&gt;=28)*(BD$2:BD$126&lt;=999)*(BD$2:BD$126&lt;&gt;"")*($J$2:$J$126))</f>
        <v>0</v>
      </c>
      <c r="BE153" s="79" cm="1">
        <f t="array" ref="BE153">SUMPRODUCT(($B$2:$B$126=4)*(BE$2:BE$126&gt;=28)*(BE$2:BE$126&lt;=999)*(BE$2:BE$126&lt;&gt;"")*($J$2:$J$126))</f>
        <v>0</v>
      </c>
      <c r="BF153" s="79" cm="1">
        <f t="array" ref="BF153">SUMPRODUCT(($B$2:$B$126=4)*(BF$2:BF$126&gt;=28)*(BF$2:BF$126&lt;=999)*(BF$2:BF$126&lt;&gt;"")*($J$2:$J$126))</f>
        <v>0</v>
      </c>
      <c r="BG153" s="79" cm="1">
        <f t="array" ref="BG153">SUMPRODUCT(($B$2:$B$126=4)*(BG$2:BG$126&gt;=28)*(BG$2:BG$126&lt;=999)*(BG$2:BG$126&lt;&gt;"")*($J$2:$J$126))</f>
        <v>0</v>
      </c>
      <c r="BH153" s="79" cm="1">
        <f t="array" ref="BH153">SUMPRODUCT(($B$2:$B$126=4)*(BH$2:BH$126&gt;=28)*(BH$2:BH$126&lt;=999)*(BH$2:BH$126&lt;&gt;"")*($J$2:$J$126))</f>
        <v>0</v>
      </c>
      <c r="BI153" s="79" cm="1">
        <f t="array" ref="BI153">SUMPRODUCT(($B$2:$B$126=4)*(BI$2:BI$126&gt;=28)*(BI$2:BI$126&lt;=999)*(BI$2:BI$126&lt;&gt;"")*($J$2:$J$126))</f>
        <v>0</v>
      </c>
      <c r="BJ153" s="79" cm="1">
        <f t="array" ref="BJ153">SUMPRODUCT(($B$2:$B$126=4)*(BJ$2:BJ$126&gt;=28)*(BJ$2:BJ$126&lt;=999)*(BJ$2:BJ$126&lt;&gt;"")*($J$2:$J$126))</f>
        <v>0</v>
      </c>
      <c r="BK153" s="79" cm="1">
        <f t="array" ref="BK153">SUMPRODUCT(($B$2:$B$126=4)*(BK$2:BK$126&gt;=28)*(BK$2:BK$126&lt;=999)*(BK$2:BK$126&lt;&gt;"")*($J$2:$J$126))</f>
        <v>0</v>
      </c>
      <c r="BL153" s="79" cm="1">
        <f t="array" ref="BL153">SUMPRODUCT(($B$2:$B$126=4)*(BL$2:BL$126&gt;=28)*(BL$2:BL$126&lt;=999)*(BL$2:BL$126&lt;&gt;"")*($J$2:$J$126))</f>
        <v>0</v>
      </c>
      <c r="BM153" s="79" cm="1">
        <f t="array" ref="BM153">SUMPRODUCT(($B$2:$B$126=4)*(BM$2:BM$126&gt;=28)*(BM$2:BM$126&lt;=999)*(BM$2:BM$126&lt;&gt;"")*($J$2:$J$126))</f>
        <v>0</v>
      </c>
      <c r="BN153" s="79" cm="1">
        <f t="array" ref="BN153">SUMPRODUCT(($B$2:$B$126=4)*(BN$2:BN$126&gt;=28)*(BN$2:BN$126&lt;=999)*(BN$2:BN$126&lt;&gt;"")*($J$2:$J$126))</f>
        <v>0</v>
      </c>
      <c r="BO153" s="79" cm="1">
        <f t="array" ref="BO153">SUMPRODUCT(($B$2:$B$126=4)*(BO$2:BO$126&gt;=28)*(BO$2:BO$126&lt;=999)*(BO$2:BO$126&lt;&gt;"")*($J$2:$J$126))</f>
        <v>0</v>
      </c>
      <c r="BP153" s="79" cm="1">
        <f t="array" ref="BP153">SUMPRODUCT(($B$2:$B$126=4)*(BP$2:BP$126&gt;=28)*(BP$2:BP$126&lt;=999)*(BP$2:BP$126&lt;&gt;"")*($J$2:$J$126))</f>
        <v>0</v>
      </c>
      <c r="BQ153" s="79" cm="1">
        <f t="array" ref="BQ153">SUMPRODUCT(($B$2:$B$126=4)*(BQ$2:BQ$126&gt;=28)*(BQ$2:BQ$126&lt;=999)*(BQ$2:BQ$126&lt;&gt;"")*($J$2:$J$126))</f>
        <v>0</v>
      </c>
      <c r="BR153" s="79" cm="1">
        <f t="array" ref="BR153">SUMPRODUCT(($B$2:$B$126=4)*(BR$2:BR$126&gt;=28)*(BR$2:BR$126&lt;=999)*(BR$2:BR$126&lt;&gt;"")*($J$2:$J$126))</f>
        <v>0</v>
      </c>
      <c r="BS153" s="79" cm="1">
        <f t="array" ref="BS153">SUMPRODUCT(($B$2:$B$126=4)*(BS$2:BS$126&gt;=28)*(BS$2:BS$126&lt;=999)*(BS$2:BS$126&lt;&gt;"")*($J$2:$J$126))</f>
        <v>0</v>
      </c>
      <c r="BT153" s="79" cm="1">
        <f t="array" ref="BT153">SUMPRODUCT(($B$2:$B$126=4)*(BT$2:BT$126&gt;=28)*(BT$2:BT$126&lt;=999)*(BT$2:BT$126&lt;&gt;"")*($J$2:$J$126))</f>
        <v>0</v>
      </c>
      <c r="BU153" s="79" cm="1">
        <f t="array" ref="BU153">SUMPRODUCT(($B$2:$B$126=4)*(BU$2:BU$126&gt;=28)*(BU$2:BU$126&lt;=999)*(BU$2:BU$126&lt;&gt;"")*($J$2:$J$126))</f>
        <v>0</v>
      </c>
      <c r="BV153" s="79" cm="1">
        <f t="array" ref="BV153">SUMPRODUCT(($B$2:$B$126=4)*(BV$2:BV$126&gt;=28)*(BV$2:BV$126&lt;=999)*(BV$2:BV$126&lt;&gt;"")*($J$2:$J$126))</f>
        <v>0</v>
      </c>
      <c r="BW153" s="79" cm="1">
        <f t="array" ref="BW153">SUMPRODUCT(($B$2:$B$126=4)*(BW$2:BW$126&gt;=28)*(BW$2:BW$126&lt;=999)*(BW$2:BW$126&lt;&gt;"")*($J$2:$J$126))</f>
        <v>0</v>
      </c>
      <c r="BX153" s="79" cm="1">
        <f t="array" ref="BX153">SUMPRODUCT(($B$2:$B$126=4)*(BX$2:BX$126&gt;=28)*(BX$2:BX$126&lt;=999)*(BX$2:BX$126&lt;&gt;"")*($J$2:$J$126))</f>
        <v>0</v>
      </c>
      <c r="BY153" s="79" cm="1">
        <f t="array" ref="BY153">SUMPRODUCT(($B$2:$B$126=4)*(BY$2:BY$126&gt;=28)*(BY$2:BY$126&lt;=999)*(BY$2:BY$126&lt;&gt;"")*($J$2:$J$126))</f>
        <v>0</v>
      </c>
      <c r="BZ153" s="79" cm="1">
        <f t="array" ref="BZ153">SUMPRODUCT(($B$2:$B$126=4)*(BZ$2:BZ$126&gt;=28)*(BZ$2:BZ$126&lt;=999)*(BZ$2:BZ$126&lt;&gt;"")*($J$2:$J$126))</f>
        <v>0</v>
      </c>
      <c r="CA153" s="79" cm="1">
        <f t="array" ref="CA153">SUMPRODUCT(($B$2:$B$126=4)*(CA$2:CA$126&gt;=28)*(CA$2:CA$126&lt;=999)*(CA$2:CA$126&lt;&gt;"")*($J$2:$J$126))</f>
        <v>0</v>
      </c>
      <c r="CB153" s="79" cm="1">
        <f t="array" ref="CB153">SUMPRODUCT(($B$2:$B$126=4)*(CB$2:CB$126&gt;=28)*(CB$2:CB$126&lt;=999)*(CB$2:CB$126&lt;&gt;"")*($J$2:$J$126))</f>
        <v>0</v>
      </c>
      <c r="CC153" s="79" cm="1">
        <f t="array" ref="CC153">SUMPRODUCT(($B$2:$B$126=4)*(CC$2:CC$126&gt;=28)*(CC$2:CC$126&lt;=999)*(CC$2:CC$126&lt;&gt;"")*($J$2:$J$126))</f>
        <v>0</v>
      </c>
      <c r="CD153" s="79" cm="1">
        <f t="array" ref="CD153">SUMPRODUCT(($B$2:$B$126=4)*(CD$2:CD$126&gt;=28)*(CD$2:CD$126&lt;=999)*(CD$2:CD$126&lt;&gt;"")*($J$2:$J$126))</f>
        <v>30.11</v>
      </c>
      <c r="CE153" s="79" cm="1">
        <f t="array" ref="CE153">SUMPRODUCT(($B$2:$B$126=4)*(CE$2:CE$126&gt;=28)*(CE$2:CE$126&lt;=999)*(CE$2:CE$126&lt;&gt;"")*($J$2:$J$126))</f>
        <v>30.11</v>
      </c>
      <c r="CF153" s="79" cm="1">
        <f t="array" ref="CF153">SUMPRODUCT(($B$2:$B$126=4)*(CF$2:CF$126&gt;=28)*(CF$2:CF$126&lt;=999)*(CF$2:CF$126&lt;&gt;"")*($J$2:$J$126))</f>
        <v>136.76999999999998</v>
      </c>
      <c r="CG153" s="79" cm="1">
        <f t="array" ref="CG153">SUMPRODUCT(($B$2:$B$126=4)*(CG$2:CG$126&gt;=28)*(CG$2:CG$126&lt;=999)*(CG$2:CG$126&lt;&gt;"")*($J$2:$J$126))</f>
        <v>144.79</v>
      </c>
      <c r="CH153" s="79" cm="1">
        <f t="array" ref="CH153">SUMPRODUCT(($B$2:$B$126=4)*(CH$2:CH$126&gt;=28)*(CH$2:CH$126&lt;=999)*(CH$2:CH$126&lt;&gt;"")*($J$2:$J$126))</f>
        <v>194.95</v>
      </c>
      <c r="CI153" s="79" cm="1">
        <f t="array" ref="CI153">SUMPRODUCT(($B$2:$B$126=4)*(CI$2:CI$126&gt;=28)*(CI$2:CI$126&lt;=999)*(CI$2:CI$126&lt;&gt;"")*($J$2:$J$126))</f>
        <v>275.32</v>
      </c>
      <c r="CJ153" s="79" cm="1">
        <f t="array" ref="CJ153">SUMPRODUCT(($B$2:$B$126=4)*(CJ$2:CJ$126&gt;=28)*(CJ$2:CJ$126&lt;=999)*(CJ$2:CJ$126&lt;&gt;"")*($J$2:$J$126))</f>
        <v>293.32</v>
      </c>
      <c r="CK153" s="79" cm="1">
        <f t="array" ref="CK153">SUMPRODUCT(($B$2:$B$126=4)*(CK$2:CK$126&gt;=28)*(CK$2:CK$126&lt;=999)*(CK$2:CK$126&lt;&gt;"")*($J$2:$J$126))</f>
        <v>327.21999999999997</v>
      </c>
      <c r="CL153" s="79" cm="1">
        <f t="array" ref="CL153">SUMPRODUCT(($B$2:$B$126=4)*(CL$2:CL$126&gt;=28)*(CL$2:CL$126&lt;=999)*(CL$2:CL$126&lt;&gt;"")*($J$2:$J$126))</f>
        <v>327.21999999999997</v>
      </c>
      <c r="CM153" s="79" cm="1">
        <f t="array" ref="CM153">SUMPRODUCT(($B$2:$B$126=4)*(CM$2:CM$126&gt;=28)*(CM$2:CM$126&lt;=999)*(CM$2:CM$126&lt;&gt;"")*($J$2:$J$126))</f>
        <v>397.31000000000006</v>
      </c>
      <c r="CN153" s="79" cm="1">
        <f t="array" ref="CN153">SUMPRODUCT(($B$2:$B$126=4)*(CN$2:CN$126&gt;=28)*(CN$2:CN$126&lt;=999)*(CN$2:CN$126&lt;&gt;"")*($J$2:$J$126))</f>
        <v>441.44000000000005</v>
      </c>
      <c r="CO153" s="79" cm="1">
        <f t="array" ref="CO153">SUMPRODUCT(($B$2:$B$126=4)*(CO$2:CO$126&gt;=28)*(CO$2:CO$126&lt;=999)*(CO$2:CO$126&lt;&gt;"")*($J$2:$J$126))</f>
        <v>467.61000000000007</v>
      </c>
      <c r="CP153" s="79" cm="1">
        <f t="array" ref="CP153">SUMPRODUCT(($B$2:$B$126=4)*(CP$2:CP$126&gt;=28)*(CP$2:CP$126&lt;=999)*(CP$2:CP$126&lt;&gt;"")*($J$2:$J$126))</f>
        <v>509.77000000000004</v>
      </c>
      <c r="CQ153" s="79" cm="1">
        <f t="array" ref="CQ153">SUMPRODUCT(($B$2:$B$126=4)*(CQ$2:CQ$126&gt;=28)*(CQ$2:CQ$126&lt;=999)*(CQ$2:CQ$126&lt;&gt;"")*($J$2:$J$126))</f>
        <v>536.38000000000011</v>
      </c>
      <c r="CR153" s="79" cm="1">
        <f t="array" ref="CR153">SUMPRODUCT(($B$2:$B$126=4)*(CR$2:CR$126&gt;=28)*(CR$2:CR$126&lt;=999)*(CR$2:CR$126&lt;&gt;"")*($J$2:$J$126))</f>
        <v>536.38000000000011</v>
      </c>
      <c r="CS153" s="79" cm="1">
        <f t="array" ref="CS153">SUMPRODUCT(($B$2:$B$126=4)*(CS$2:CS$126&gt;=28)*(CS$2:CS$126&lt;=999)*(CS$2:CS$126&lt;&gt;"")*($J$2:$J$126))</f>
        <v>536.38000000000011</v>
      </c>
      <c r="CT153" s="79" cm="1">
        <f t="array" ref="CT153">SUMPRODUCT(($B$2:$B$126=4)*(CT$2:CT$126&gt;=28)*(CT$2:CT$126&lt;=999)*(CT$2:CT$126&lt;&gt;"")*($J$2:$J$126))</f>
        <v>536.38000000000011</v>
      </c>
      <c r="CU153" s="79" cm="1">
        <f t="array" ref="CU153">SUMPRODUCT(($B$2:$B$126=4)*(CU$2:CU$126&gt;=28)*(CU$2:CU$126&lt;=999)*(CU$2:CU$126&lt;&gt;"")*($J$2:$J$126))</f>
        <v>536.38000000000011</v>
      </c>
      <c r="CV153" s="79" cm="1">
        <f t="array" ref="CV153">SUMPRODUCT(($B$2:$B$126=4)*(CV$2:CV$126&gt;=28)*(CV$2:CV$126&lt;=999)*(CV$2:CV$126&lt;&gt;"")*($J$2:$J$126))</f>
        <v>536.38000000000011</v>
      </c>
      <c r="CW153" s="79" cm="1">
        <f t="array" ref="CW153">SUMPRODUCT(($B$2:$B$126=4)*(CW$2:CW$126&gt;=28)*(CW$2:CW$126&lt;=999)*(CW$2:CW$126&lt;&gt;"")*($J$2:$J$126))</f>
        <v>536.38000000000011</v>
      </c>
      <c r="CX153" s="79" cm="1">
        <f t="array" ref="CX153">SUMPRODUCT(($B$2:$B$126=4)*(CX$2:CX$126&gt;=28)*(CX$2:CX$126&lt;=999)*(CX$2:CX$126&lt;&gt;"")*($J$2:$J$126))</f>
        <v>536.38000000000011</v>
      </c>
      <c r="CY153" s="79" cm="1">
        <f t="array" ref="CY153">SUMPRODUCT(($B$2:$B$126=4)*(CY$2:CY$126&gt;=28)*(CY$2:CY$126&lt;=999)*(CY$2:CY$126&lt;&gt;"")*($J$2:$J$126))</f>
        <v>536.38000000000011</v>
      </c>
      <c r="CZ153" s="79" cm="1">
        <f t="array" ref="CZ153">SUMPRODUCT(($B$2:$B$126=4)*(CZ$2:CZ$126&gt;=28)*(CZ$2:CZ$126&lt;=999)*(CZ$2:CZ$126&lt;&gt;"")*($J$2:$J$126))</f>
        <v>536.38000000000011</v>
      </c>
      <c r="DA153" s="79" cm="1">
        <f t="array" ref="DA153">SUMPRODUCT(($B$2:$B$126=4)*(DA$2:DA$126&gt;=28)*(DA$2:DA$126&lt;=999)*(DA$2:DA$126&lt;&gt;"")*($J$2:$J$126))</f>
        <v>536.38000000000011</v>
      </c>
      <c r="DB153" s="79" cm="1">
        <f t="array" ref="DB153">SUMPRODUCT(($B$2:$B$126=4)*(DB$2:DB$126&gt;=28)*(DB$2:DB$126&lt;=999)*(DB$2:DB$126&lt;&gt;"")*($J$2:$J$126))</f>
        <v>536.38000000000011</v>
      </c>
      <c r="DC153" s="79" cm="1">
        <f t="array" ref="DC153">SUMPRODUCT(($B$2:$B$126=4)*(DC$2:DC$126&gt;=28)*(DC$2:DC$126&lt;=999)*(DC$2:DC$126&lt;&gt;"")*($J$2:$J$126))</f>
        <v>536.38000000000011</v>
      </c>
      <c r="DD153" s="79" cm="1">
        <f t="array" ref="DD153">SUMPRODUCT(($B$2:$B$126=4)*(DD$2:DD$126&gt;=28)*(DD$2:DD$126&lt;=999)*(DD$2:DD$126&lt;&gt;"")*($J$2:$J$126))</f>
        <v>536.38000000000011</v>
      </c>
      <c r="DE153" s="79" cm="1">
        <f t="array" ref="DE153">SUMPRODUCT(($B$2:$B$126=4)*(DE$2:DE$126&gt;=28)*(DE$2:DE$126&lt;=999)*(DE$2:DE$126&lt;&gt;"")*($J$2:$J$126))</f>
        <v>536.38000000000011</v>
      </c>
      <c r="DF153" s="79" cm="1">
        <f t="array" ref="DF153">SUMPRODUCT(($B$2:$B$126=4)*(DF$2:DF$126&gt;=28)*(DF$2:DF$126&lt;=999)*(DF$2:DF$126&lt;&gt;"")*($J$2:$J$126))</f>
        <v>536.38000000000011</v>
      </c>
      <c r="DG153" s="79" cm="1">
        <f t="array" ref="DG153">SUMPRODUCT(($B$2:$B$126=4)*(DG$2:DG$126&gt;=28)*(DG$2:DG$126&lt;=999)*(DG$2:DG$126&lt;&gt;"")*($J$2:$J$126))</f>
        <v>536.38000000000011</v>
      </c>
      <c r="DH153" s="79" cm="1">
        <f t="array" ref="DH153">SUMPRODUCT(($B$2:$B$126=4)*(DH$2:DH$126&gt;=28)*(DH$2:DH$126&lt;=999)*(DH$2:DH$126&lt;&gt;"")*($J$2:$J$126))</f>
        <v>536.38000000000011</v>
      </c>
      <c r="DI153" s="79" cm="1">
        <f t="array" ref="DI153">SUMPRODUCT(($B$2:$B$126=4)*(DI$2:DI$126&gt;=28)*(DI$2:DI$126&lt;=999)*(DI$2:DI$126&lt;&gt;"")*($J$2:$J$126))</f>
        <v>536.38000000000011</v>
      </c>
      <c r="DJ153" s="79" cm="1">
        <f t="array" ref="DJ153">SUMPRODUCT(($B$2:$B$126=4)*(DJ$2:DJ$126&gt;=28)*(DJ$2:DJ$126&lt;=999)*(DJ$2:DJ$126&lt;&gt;"")*($J$2:$J$126))</f>
        <v>536.38000000000011</v>
      </c>
      <c r="DK153" s="79" cm="1">
        <f t="array" ref="DK153">SUMPRODUCT(($B$2:$B$126=4)*(DK$2:DK$126&gt;=28)*(DK$2:DK$126&lt;=999)*(DK$2:DK$126&lt;&gt;"")*($J$2:$J$126))</f>
        <v>536.38000000000011</v>
      </c>
      <c r="DL153" s="79" cm="1">
        <f t="array" ref="DL153">SUMPRODUCT(($B$2:$B$126=4)*(DL$2:DL$126&gt;=28)*(DL$2:DL$126&lt;=999)*(DL$2:DL$126&lt;&gt;"")*($J$2:$J$126))</f>
        <v>536.38000000000011</v>
      </c>
      <c r="DM153" s="79" cm="1">
        <f t="array" ref="DM153">SUMPRODUCT(($B$2:$B$126=4)*(DM$2:DM$126&gt;=28)*(DM$2:DM$126&lt;=999)*(DM$2:DM$126&lt;&gt;"")*($J$2:$J$126))</f>
        <v>536.38000000000011</v>
      </c>
      <c r="DN153" s="79" cm="1">
        <f t="array" ref="DN153">SUMPRODUCT(($B$2:$B$126=4)*(DN$2:DN$126&gt;=28)*(DN$2:DN$126&lt;=999)*(DN$2:DN$126&lt;&gt;"")*($J$2:$J$126))</f>
        <v>536.38000000000011</v>
      </c>
      <c r="DO153" s="79" cm="1">
        <f t="array" ref="DO153">SUMPRODUCT(($B$2:$B$126=4)*(DO$2:DO$126&gt;=28)*(DO$2:DO$126&lt;=999)*(DO$2:DO$126&lt;&gt;"")*($J$2:$J$126))</f>
        <v>536.38000000000011</v>
      </c>
      <c r="DP153" s="79" cm="1">
        <f t="array" ref="DP153">SUMPRODUCT(($B$2:$B$126=4)*(DP$2:DP$126&gt;=28)*(DP$2:DP$126&lt;=999)*(DP$2:DP$126&lt;&gt;"")*($J$2:$J$126))</f>
        <v>536.38000000000011</v>
      </c>
      <c r="DQ153" s="79" cm="1">
        <f t="array" ref="DQ153">SUMPRODUCT(($B$2:$B$126=4)*(DQ$2:DQ$126&gt;=28)*(DQ$2:DQ$126&lt;=999)*(DQ$2:DQ$126&lt;&gt;"")*($J$2:$J$126))</f>
        <v>536.38000000000011</v>
      </c>
      <c r="DR153" s="79" cm="1">
        <f t="array" ref="DR153">SUMPRODUCT(($B$2:$B$126=4)*(DR$2:DR$126&gt;=28)*(DR$2:DR$126&lt;=999)*(DR$2:DR$126&lt;&gt;"")*($J$2:$J$126))</f>
        <v>536.38000000000011</v>
      </c>
      <c r="DS153" s="79" cm="1">
        <f t="array" ref="DS153">SUMPRODUCT(($B$2:$B$126=4)*(DS$2:DS$126&gt;=28)*(DS$2:DS$126&lt;=999)*(DS$2:DS$126&lt;&gt;"")*($J$2:$J$126))</f>
        <v>536.38000000000011</v>
      </c>
      <c r="DT153" s="79" cm="1">
        <f t="array" ref="DT153">SUMPRODUCT(($B$2:$B$126=4)*(DT$2:DT$126&gt;=28)*(DT$2:DT$126&lt;=999)*(DT$2:DT$126&lt;&gt;"")*($J$2:$J$126))</f>
        <v>536.38000000000011</v>
      </c>
      <c r="DU153" s="79" cm="1">
        <f t="array" ref="DU153">SUMPRODUCT(($B$2:$B$126=4)*(DU$2:DU$126&gt;=28)*(DU$2:DU$126&lt;=999)*(DU$2:DU$126&lt;&gt;"")*($J$2:$J$126))</f>
        <v>536.38000000000011</v>
      </c>
      <c r="DV153" s="79" cm="1">
        <f t="array" ref="DV153">SUMPRODUCT(($B$2:$B$126=4)*(DV$2:DV$126&gt;=28)*(DV$2:DV$126&lt;=999)*(DV$2:DV$126&lt;&gt;"")*($J$2:$J$126))</f>
        <v>536.38000000000011</v>
      </c>
      <c r="DW153" s="79" cm="1">
        <f t="array" ref="DW153">SUMPRODUCT(($B$2:$B$126=4)*(DW$2:DW$126&gt;=28)*(DW$2:DW$126&lt;=999)*(DW$2:DW$126&lt;&gt;"")*($J$2:$J$126))</f>
        <v>536.38000000000011</v>
      </c>
      <c r="DX153" s="79" cm="1">
        <f t="array" ref="DX153">SUMPRODUCT(($B$2:$B$126=4)*(DX$2:DX$126&gt;=28)*(DX$2:DX$126&lt;=999)*(DX$2:DX$126&lt;&gt;"")*($J$2:$J$126))</f>
        <v>536.38000000000011</v>
      </c>
      <c r="DY153" s="79" cm="1">
        <f t="array" ref="DY153">SUMPRODUCT(($B$2:$B$126=4)*(DY$2:DY$126&gt;=28)*(DY$2:DY$126&lt;=999)*(DY$2:DY$126&lt;&gt;"")*($J$2:$J$126))</f>
        <v>536.38000000000011</v>
      </c>
      <c r="DZ153" s="79" cm="1">
        <f t="array" ref="DZ153">SUMPRODUCT(($B$2:$B$126=4)*(DZ$2:DZ$126&gt;=28)*(DZ$2:DZ$126&lt;=999)*(DZ$2:DZ$126&lt;&gt;"")*($J$2:$J$126))</f>
        <v>536.38000000000011</v>
      </c>
      <c r="EA153" s="79" cm="1">
        <f t="array" ref="EA153">SUMPRODUCT(($B$2:$B$126=4)*(EA$2:EA$126&gt;=28)*(EA$2:EA$126&lt;=999)*(EA$2:EA$126&lt;&gt;"")*($J$2:$J$126))</f>
        <v>536.38000000000011</v>
      </c>
      <c r="EB153" s="79" cm="1">
        <f t="array" ref="EB153">SUMPRODUCT(($B$2:$B$126=4)*(EB$2:EB$126&gt;=28)*(EB$2:EB$126&lt;=999)*(EB$2:EB$126&lt;&gt;"")*($J$2:$J$126))</f>
        <v>536.38000000000011</v>
      </c>
      <c r="EC153" s="79" cm="1">
        <f t="array" ref="EC153">SUMPRODUCT(($B$2:$B$126=4)*(EC$2:EC$126&gt;=28)*(EC$2:EC$126&lt;=999)*(EC$2:EC$126&lt;&gt;"")*($J$2:$J$126))</f>
        <v>536.38000000000011</v>
      </c>
      <c r="ED153" s="79" cm="1">
        <f t="array" ref="ED153">SUMPRODUCT(($B$2:$B$126=4)*(ED$2:ED$126&gt;=28)*(ED$2:ED$126&lt;=999)*(ED$2:ED$126&lt;&gt;"")*($J$2:$J$126))</f>
        <v>536.38000000000011</v>
      </c>
      <c r="EE153" s="79" cm="1">
        <f t="array" ref="EE153">SUMPRODUCT(($B$2:$B$126=4)*(EE$2:EE$126&gt;=28)*(EE$2:EE$126&lt;=999)*(EE$2:EE$126&lt;&gt;"")*($J$2:$J$126))</f>
        <v>536.38000000000011</v>
      </c>
      <c r="EF153" s="79" cm="1">
        <f t="array" ref="EF153">SUMPRODUCT(($B$2:$B$126=4)*(EF$2:EF$126&gt;=28)*(EF$2:EF$126&lt;=999)*(EF$2:EF$126&lt;&gt;"")*($J$2:$J$126))</f>
        <v>536.38000000000011</v>
      </c>
      <c r="EG153" s="79" cm="1">
        <f t="array" ref="EG153">SUMPRODUCT(($B$2:$B$126=4)*(EG$2:EG$126&gt;=28)*(EG$2:EG$126&lt;=999)*(EG$2:EG$126&lt;&gt;"")*($J$2:$J$126))</f>
        <v>536.38000000000011</v>
      </c>
      <c r="EH153" s="79" cm="1">
        <f t="array" ref="EH153">SUMPRODUCT(($B$2:$B$126=4)*(EH$2:EH$126&gt;=28)*(EH$2:EH$126&lt;=999)*(EH$2:EH$126&lt;&gt;"")*($J$2:$J$126))</f>
        <v>536.38000000000011</v>
      </c>
      <c r="EI153" s="79" cm="1">
        <f t="array" ref="EI153">SUMPRODUCT(($B$2:$B$126=4)*(EI$2:EI$126&gt;=28)*(EI$2:EI$126&lt;=999)*(EI$2:EI$126&lt;&gt;"")*($J$2:$J$126))</f>
        <v>536.38000000000011</v>
      </c>
      <c r="EJ153" s="79" cm="1">
        <f t="array" ref="EJ153">SUMPRODUCT(($B$2:$B$126=4)*(EJ$2:EJ$126&gt;=28)*(EJ$2:EJ$126&lt;=999)*(EJ$2:EJ$126&lt;&gt;"")*($J$2:$J$126))</f>
        <v>536.38000000000011</v>
      </c>
      <c r="EK153" s="79" cm="1">
        <f t="array" ref="EK153">SUMPRODUCT(($B$2:$B$126=4)*(EK$2:EK$126&gt;=28)*(EK$2:EK$126&lt;=999)*(EK$2:EK$126&lt;&gt;"")*($J$2:$J$126))</f>
        <v>536.38000000000011</v>
      </c>
      <c r="EL153" s="79" cm="1">
        <f t="array" ref="EL153">SUMPRODUCT(($B$2:$B$126=4)*(EL$2:EL$126&gt;=28)*(EL$2:EL$126&lt;=999)*(EL$2:EL$126&lt;&gt;"")*($J$2:$J$126))</f>
        <v>536.38000000000011</v>
      </c>
      <c r="EM153" s="79" cm="1">
        <f t="array" ref="EM153">SUMPRODUCT(($B$2:$B$126=4)*(EM$2:EM$126&gt;=28)*(EM$2:EM$126&lt;=999)*(EM$2:EM$126&lt;&gt;"")*($J$2:$J$126))</f>
        <v>536.38000000000011</v>
      </c>
      <c r="EN153" s="79" cm="1">
        <f t="array" ref="EN153">SUMPRODUCT(($B$2:$B$126=4)*(EN$2:EN$126&gt;=28)*(EN$2:EN$126&lt;=999)*(EN$2:EN$126&lt;&gt;"")*($J$2:$J$126))</f>
        <v>536.38000000000011</v>
      </c>
      <c r="EO153" s="79" cm="1">
        <f t="array" ref="EO153">SUMPRODUCT(($B$2:$B$126=4)*(EO$2:EO$126&gt;=28)*(EO$2:EO$126&lt;=999)*(EO$2:EO$126&lt;&gt;"")*($J$2:$J$126))</f>
        <v>536.38000000000011</v>
      </c>
      <c r="EP153" s="79" cm="1">
        <f t="array" ref="EP153">SUMPRODUCT(($B$2:$B$126=4)*(EP$2:EP$126&gt;=28)*(EP$2:EP$126&lt;=999)*(EP$2:EP$126&lt;&gt;"")*($J$2:$J$126))</f>
        <v>536.38000000000011</v>
      </c>
      <c r="EQ153" s="79" cm="1">
        <f t="array" ref="EQ153">SUMPRODUCT(($B$2:$B$126=4)*(EQ$2:EQ$126&gt;=28)*(EQ$2:EQ$126&lt;=999)*(EQ$2:EQ$126&lt;&gt;"")*($J$2:$J$126))</f>
        <v>536.38000000000011</v>
      </c>
      <c r="ER153" s="79" cm="1">
        <f t="array" ref="ER153">SUMPRODUCT(($B$2:$B$126=4)*(ER$2:ER$126&gt;=28)*(ER$2:ER$126&lt;=999)*(ER$2:ER$126&lt;&gt;"")*($J$2:$J$126))</f>
        <v>536.38000000000011</v>
      </c>
      <c r="ES153" s="79" cm="1">
        <f t="array" ref="ES153">SUMPRODUCT(($B$2:$B$126=4)*(ES$2:ES$126&gt;=28)*(ES$2:ES$126&lt;=999)*(ES$2:ES$126&lt;&gt;"")*($J$2:$J$126))</f>
        <v>536.38000000000011</v>
      </c>
      <c r="ET153" s="79" cm="1">
        <f t="array" ref="ET153">SUMPRODUCT(($B$2:$B$126=4)*(ET$2:ET$126&gt;=28)*(ET$2:ET$126&lt;=999)*(ET$2:ET$126&lt;&gt;"")*($J$2:$J$126))</f>
        <v>536.38000000000011</v>
      </c>
      <c r="EU153" s="79" cm="1">
        <f t="array" ref="EU153">SUMPRODUCT(($B$2:$B$126=4)*(EU$2:EU$126&gt;=28)*(EU$2:EU$126&lt;=999)*(EU$2:EU$126&lt;&gt;"")*($J$2:$J$126))</f>
        <v>536.38000000000011</v>
      </c>
      <c r="EV153" s="79" cm="1">
        <f t="array" ref="EV153">SUMPRODUCT(($B$2:$B$126=4)*(EV$2:EV$126&gt;=28)*(EV$2:EV$126&lt;=999)*(EV$2:EV$126&lt;&gt;"")*($J$2:$J$126))</f>
        <v>536.38000000000011</v>
      </c>
      <c r="EW153" s="79" cm="1">
        <f t="array" ref="EW153">SUMPRODUCT(($B$2:$B$126=4)*(EW$2:EW$126&gt;=28)*(EW$2:EW$126&lt;=999)*(EW$2:EW$126&lt;&gt;"")*($J$2:$J$126))</f>
        <v>536.38000000000011</v>
      </c>
      <c r="EX153" s="79" cm="1">
        <f t="array" ref="EX153">SUMPRODUCT(($B$2:$B$126=4)*(EX$2:EX$126&gt;=28)*(EX$2:EX$126&lt;=999)*(EX$2:EX$126&lt;&gt;"")*($J$2:$J$126))</f>
        <v>536.38000000000011</v>
      </c>
      <c r="EY153" s="79" cm="1">
        <f t="array" ref="EY153">SUMPRODUCT(($B$2:$B$126=4)*(EY$2:EY$126&gt;=28)*(EY$2:EY$126&lt;=999)*(EY$2:EY$126&lt;&gt;"")*($J$2:$J$126))</f>
        <v>536.38000000000011</v>
      </c>
      <c r="EZ153" s="79" cm="1">
        <f t="array" ref="EZ153">SUMPRODUCT(($B$2:$B$126=4)*(EZ$2:EZ$126&gt;=28)*(EZ$2:EZ$126&lt;=999)*(EZ$2:EZ$126&lt;&gt;"")*($J$2:$J$126))</f>
        <v>536.38000000000011</v>
      </c>
      <c r="FA153" s="79" cm="1">
        <f t="array" ref="FA153">SUMPRODUCT(($B$2:$B$126=4)*(FA$2:FA$126&gt;=28)*(FA$2:FA$126&lt;=999)*(FA$2:FA$126&lt;&gt;"")*($J$2:$J$126))</f>
        <v>536.38000000000011</v>
      </c>
      <c r="FB153" s="79" cm="1">
        <f t="array" ref="FB153">SUMPRODUCT(($B$2:$B$126=4)*(FB$2:FB$126&gt;=28)*(FB$2:FB$126&lt;=999)*(FB$2:FB$126&lt;&gt;"")*($J$2:$J$126))</f>
        <v>536.38000000000011</v>
      </c>
      <c r="FC153" s="79" cm="1">
        <f t="array" ref="FC153">SUMPRODUCT(($B$2:$B$126=4)*(FC$2:FC$126&gt;=28)*(FC$2:FC$126&lt;=999)*(FC$2:FC$126&lt;&gt;"")*($J$2:$J$126))</f>
        <v>536.38000000000011</v>
      </c>
      <c r="FD153" s="79" cm="1">
        <f t="array" ref="FD153">SUMPRODUCT(($B$2:$B$126=4)*(FD$2:FD$126&gt;=28)*(FD$2:FD$126&lt;=999)*(FD$2:FD$126&lt;&gt;"")*($J$2:$J$126))</f>
        <v>536.38000000000011</v>
      </c>
      <c r="FE153" s="79" cm="1">
        <f t="array" ref="FE153">SUMPRODUCT(($B$2:$B$126=4)*(FE$2:FE$126&gt;=28)*(FE$2:FE$126&lt;=999)*(FE$2:FE$126&lt;&gt;"")*($J$2:$J$126))</f>
        <v>536.38000000000011</v>
      </c>
      <c r="FF153" s="79" cm="1">
        <f t="array" ref="FF153">SUMPRODUCT(($B$2:$B$126=4)*(FF$2:FF$126&gt;=28)*(FF$2:FF$126&lt;=999)*(FF$2:FF$126&lt;&gt;"")*($J$2:$J$126))</f>
        <v>536.38000000000011</v>
      </c>
      <c r="FG153" s="79" cm="1">
        <f t="array" ref="FG153">SUMPRODUCT(($B$2:$B$126=4)*(FG$2:FG$126&gt;=28)*(FG$2:FG$126&lt;=999)*(FG$2:FG$126&lt;&gt;"")*($J$2:$J$126))</f>
        <v>536.38000000000011</v>
      </c>
      <c r="FH153" s="79" cm="1">
        <f t="array" ref="FH153">SUMPRODUCT(($B$2:$B$126=4)*(FH$2:FH$126&gt;=28)*(FH$2:FH$126&lt;=999)*(FH$2:FH$126&lt;&gt;"")*($J$2:$J$126))</f>
        <v>536.38000000000011</v>
      </c>
      <c r="FI153" s="79" cm="1">
        <f t="array" ref="FI153">SUMPRODUCT(($B$2:$B$126=4)*(FI$2:FI$126&gt;=28)*(FI$2:FI$126&lt;=999)*(FI$2:FI$126&lt;&gt;"")*($J$2:$J$126))</f>
        <v>536.38000000000011</v>
      </c>
      <c r="FJ153" s="79" cm="1">
        <f t="array" ref="FJ153">SUMPRODUCT(($B$2:$B$126=4)*(FJ$2:FJ$126&gt;=28)*(FJ$2:FJ$126&lt;=999)*(FJ$2:FJ$126&lt;&gt;"")*($J$2:$J$126))</f>
        <v>536.38000000000011</v>
      </c>
      <c r="FK153" s="79" cm="1">
        <f t="array" ref="FK153">SUMPRODUCT(($B$2:$B$126=4)*(FK$2:FK$126&gt;=28)*(FK$2:FK$126&lt;=999)*(FK$2:FK$126&lt;&gt;"")*($J$2:$J$126))</f>
        <v>536.38000000000011</v>
      </c>
      <c r="FL153" s="79" cm="1">
        <f t="array" ref="FL153">SUMPRODUCT(($B$2:$B$126=4)*(FL$2:FL$126&gt;=28)*(FL$2:FL$126&lt;=999)*(FL$2:FL$126&lt;&gt;"")*($J$2:$J$126))</f>
        <v>536.38000000000011</v>
      </c>
      <c r="FM153" s="79" cm="1">
        <f t="array" ref="FM153">SUMPRODUCT(($B$2:$B$126=4)*(FM$2:FM$126&gt;=28)*(FM$2:FM$126&lt;=999)*(FM$2:FM$126&lt;&gt;"")*($J$2:$J$126))</f>
        <v>536.38000000000011</v>
      </c>
      <c r="FN153" s="79" cm="1">
        <f t="array" ref="FN153">SUMPRODUCT(($B$2:$B$126=4)*(FN$2:FN$126&gt;=28)*(FN$2:FN$126&lt;=999)*(FN$2:FN$126&lt;&gt;"")*($J$2:$J$126))</f>
        <v>536.38000000000011</v>
      </c>
      <c r="FO153" s="79" cm="1">
        <f t="array" ref="FO153">SUMPRODUCT(($B$2:$B$126=4)*(FO$2:FO$126&gt;=28)*(FO$2:FO$126&lt;=999)*(FO$2:FO$126&lt;&gt;"")*($J$2:$J$126))</f>
        <v>536.38000000000011</v>
      </c>
      <c r="FP153" s="79" cm="1">
        <f t="array" ref="FP153">SUMPRODUCT(($B$2:$B$126=4)*(FP$2:FP$126&gt;=28)*(FP$2:FP$126&lt;=999)*(FP$2:FP$126&lt;&gt;"")*($J$2:$J$126))</f>
        <v>536.38000000000011</v>
      </c>
      <c r="FQ153" s="79" cm="1">
        <f t="array" ref="FQ153">SUMPRODUCT(($B$2:$B$126=4)*(FQ$2:FQ$126&gt;=28)*(FQ$2:FQ$126&lt;=999)*(FQ$2:FQ$126&lt;&gt;"")*($J$2:$J$126))</f>
        <v>536.38000000000011</v>
      </c>
      <c r="FR153" s="79" cm="1">
        <f t="array" ref="FR153">SUMPRODUCT(($B$2:$B$126=4)*(FR$2:FR$126&gt;=28)*(FR$2:FR$126&lt;=999)*(FR$2:FR$126&lt;&gt;"")*($J$2:$J$126))</f>
        <v>536.38000000000011</v>
      </c>
      <c r="FS153" s="79" cm="1">
        <f t="array" ref="FS153">SUMPRODUCT(($B$2:$B$126=4)*(FS$2:FS$126&gt;=28)*(FS$2:FS$126&lt;=999)*(FS$2:FS$126&lt;&gt;"")*($J$2:$J$126))</f>
        <v>536.38000000000011</v>
      </c>
      <c r="FT153" s="79" cm="1">
        <f t="array" ref="FT153">SUMPRODUCT(($B$2:$B$126=4)*(FT$2:FT$126&gt;=28)*(FT$2:FT$126&lt;=999)*(FT$2:FT$126&lt;&gt;"")*($J$2:$J$126))</f>
        <v>536.38000000000011</v>
      </c>
      <c r="FU153" s="79" cm="1">
        <f t="array" ref="FU153">SUMPRODUCT(($B$2:$B$126=4)*(FU$2:FU$126&gt;=28)*(FU$2:FU$126&lt;=999)*(FU$2:FU$126&lt;&gt;"")*($J$2:$J$126))</f>
        <v>536.38000000000011</v>
      </c>
      <c r="FV153" s="79" cm="1">
        <f t="array" ref="FV153">SUMPRODUCT(($B$2:$B$126=4)*(FV$2:FV$126&gt;=28)*(FV$2:FV$126&lt;=999)*(FV$2:FV$126&lt;&gt;"")*($J$2:$J$126))</f>
        <v>536.38000000000011</v>
      </c>
      <c r="FW153" s="79" cm="1">
        <f t="array" ref="FW153">SUMPRODUCT(($B$2:$B$126=4)*(FW$2:FW$126&gt;=28)*(FW$2:FW$126&lt;=999)*(FW$2:FW$126&lt;&gt;"")*($J$2:$J$126))</f>
        <v>536.38000000000011</v>
      </c>
      <c r="FX153" s="79" cm="1">
        <f t="array" ref="FX153">SUMPRODUCT(($B$2:$B$126=4)*(FX$2:FX$126&gt;=28)*(FX$2:FX$126&lt;=999)*(FX$2:FX$126&lt;&gt;"")*($J$2:$J$126))</f>
        <v>536.38000000000011</v>
      </c>
      <c r="FY153" s="79" cm="1">
        <f t="array" ref="FY153">SUMPRODUCT(($B$2:$B$126=4)*(FY$2:FY$126&gt;=28)*(FY$2:FY$126&lt;=999)*(FY$2:FY$126&lt;&gt;"")*($J$2:$J$126))</f>
        <v>536.38000000000011</v>
      </c>
      <c r="FZ153" s="79" cm="1">
        <f t="array" ref="FZ153">SUMPRODUCT(($B$2:$B$126=4)*(FZ$2:FZ$126&gt;=28)*(FZ$2:FZ$126&lt;=999)*(FZ$2:FZ$126&lt;&gt;"")*($J$2:$J$126))</f>
        <v>536.38000000000011</v>
      </c>
      <c r="GA153" s="79" cm="1">
        <f t="array" ref="GA153">SUMPRODUCT(($B$2:$B$126=4)*(GA$2:GA$126&gt;=28)*(GA$2:GA$126&lt;=999)*(GA$2:GA$126&lt;&gt;"")*($J$2:$J$126))</f>
        <v>536.38000000000011</v>
      </c>
      <c r="GB153" s="79" cm="1">
        <f t="array" ref="GB153">SUMPRODUCT(($B$2:$B$126=4)*(GB$2:GB$126&gt;=28)*(GB$2:GB$126&lt;=999)*(GB$2:GB$126&lt;&gt;"")*($J$2:$J$126))</f>
        <v>536.38000000000011</v>
      </c>
      <c r="GC153" s="79" cm="1">
        <f t="array" ref="GC153">SUMPRODUCT(($B$2:$B$126=4)*(GC$2:GC$126&gt;=28)*(GC$2:GC$126&lt;=999)*(GC$2:GC$126&lt;&gt;"")*($J$2:$J$126))</f>
        <v>536.38000000000011</v>
      </c>
      <c r="GD153" s="79" cm="1">
        <f t="array" ref="GD153">SUMPRODUCT(($B$2:$B$126=4)*(GD$2:GD$126&gt;=28)*(GD$2:GD$126&lt;=999)*(GD$2:GD$126&lt;&gt;"")*($J$2:$J$126))</f>
        <v>536.38000000000011</v>
      </c>
      <c r="GE153" s="79" cm="1">
        <f t="array" ref="GE153">SUMPRODUCT(($B$2:$B$126=4)*(GE$2:GE$126&gt;=28)*(GE$2:GE$126&lt;=999)*(GE$2:GE$126&lt;&gt;"")*($J$2:$J$126))</f>
        <v>536.38000000000011</v>
      </c>
      <c r="GF153" s="79" cm="1">
        <f t="array" ref="GF153">SUMPRODUCT(($B$2:$B$126=4)*(GF$2:GF$126&gt;=28)*(GF$2:GF$126&lt;=999)*(GF$2:GF$126&lt;&gt;"")*($J$2:$J$126))</f>
        <v>536.38000000000011</v>
      </c>
      <c r="GG153" s="79" cm="1">
        <f t="array" ref="GG153">SUMPRODUCT(($B$2:$B$126=4)*(GG$2:GG$126&gt;=28)*(GG$2:GG$126&lt;=999)*(GG$2:GG$126&lt;&gt;"")*($J$2:$J$126))</f>
        <v>536.38000000000011</v>
      </c>
      <c r="GH153" s="79" cm="1">
        <f t="array" ref="GH153">SUMPRODUCT(($B$2:$B$126=4)*(GH$2:GH$126&gt;=28)*(GH$2:GH$126&lt;=999)*(GH$2:GH$126&lt;&gt;"")*($J$2:$J$126))</f>
        <v>536.38000000000011</v>
      </c>
      <c r="GI153" s="79" cm="1">
        <f t="array" ref="GI153">SUMPRODUCT(($B$2:$B$126=4)*(GI$2:GI$126&gt;=28)*(GI$2:GI$126&lt;=999)*(GI$2:GI$126&lt;&gt;"")*($J$2:$J$126))</f>
        <v>536.38000000000011</v>
      </c>
      <c r="GJ153" s="79" cm="1">
        <f t="array" ref="GJ153">SUMPRODUCT(($B$2:$B$126=4)*(GJ$2:GJ$126&gt;=28)*(GJ$2:GJ$126&lt;=999)*(GJ$2:GJ$126&lt;&gt;"")*($J$2:$J$126))</f>
        <v>536.38000000000011</v>
      </c>
      <c r="GK153" s="79" cm="1">
        <f t="array" ref="GK153">SUMPRODUCT(($B$2:$B$126=4)*(GK$2:GK$126&gt;=28)*(GK$2:GK$126&lt;=999)*(GK$2:GK$126&lt;&gt;"")*($J$2:$J$126))</f>
        <v>536.38000000000011</v>
      </c>
      <c r="GL153" s="79" cm="1">
        <f t="array" ref="GL153">SUMPRODUCT(($B$2:$B$126=4)*(GL$2:GL$126&gt;=28)*(GL$2:GL$126&lt;=999)*(GL$2:GL$126&lt;&gt;"")*($J$2:$J$126))</f>
        <v>536.38000000000011</v>
      </c>
      <c r="GM153" s="79" cm="1">
        <f t="array" ref="GM153">SUMPRODUCT(($B$2:$B$126=4)*(GM$2:GM$126&gt;=28)*(GM$2:GM$126&lt;=999)*(GM$2:GM$126&lt;&gt;"")*($J$2:$J$126))</f>
        <v>536.38000000000011</v>
      </c>
      <c r="GN153" s="79" cm="1">
        <f t="array" ref="GN153">SUMPRODUCT(($B$2:$B$126=4)*(GN$2:GN$126&gt;=28)*(GN$2:GN$126&lt;=999)*(GN$2:GN$126&lt;&gt;"")*($J$2:$J$126))</f>
        <v>536.38000000000011</v>
      </c>
      <c r="GO153" s="79" cm="1">
        <f t="array" ref="GO153">SUMPRODUCT(($B$2:$B$126=4)*(GO$2:GO$126&gt;=28)*(GO$2:GO$126&lt;=999)*(GO$2:GO$126&lt;&gt;"")*($J$2:$J$126))</f>
        <v>536.38000000000011</v>
      </c>
      <c r="GP153" s="79" cm="1">
        <f t="array" ref="GP153">SUMPRODUCT(($B$2:$B$126=4)*(GP$2:GP$126&gt;=28)*(GP$2:GP$126&lt;=999)*(GP$2:GP$126&lt;&gt;"")*($J$2:$J$126))</f>
        <v>536.38000000000011</v>
      </c>
      <c r="GQ153" s="79" cm="1">
        <f t="array" ref="GQ153">SUMPRODUCT(($B$2:$B$126=4)*(GQ$2:GQ$126&gt;=28)*(GQ$2:GQ$126&lt;=999)*(GQ$2:GQ$126&lt;&gt;"")*($J$2:$J$126))</f>
        <v>536.38000000000011</v>
      </c>
      <c r="GR153" s="79" cm="1">
        <f t="array" ref="GR153">SUMPRODUCT(($B$2:$B$126=4)*(GR$2:GR$126&gt;=28)*(GR$2:GR$126&lt;=999)*(GR$2:GR$126&lt;&gt;"")*($J$2:$J$126))</f>
        <v>536.38000000000011</v>
      </c>
      <c r="GS153" s="79" cm="1">
        <f t="array" ref="GS153">SUMPRODUCT(($B$2:$B$126=4)*(GS$2:GS$126&gt;=28)*(GS$2:GS$126&lt;=999)*(GS$2:GS$126&lt;&gt;"")*($J$2:$J$126))</f>
        <v>536.38000000000011</v>
      </c>
      <c r="GT153" s="79" cm="1">
        <f t="array" ref="GT153">SUMPRODUCT(($B$2:$B$126=4)*(GT$2:GT$126&gt;=28)*(GT$2:GT$126&lt;=999)*(GT$2:GT$126&lt;&gt;"")*($J$2:$J$126))</f>
        <v>536.38000000000011</v>
      </c>
      <c r="GU153" s="79" cm="1">
        <f t="array" ref="GU153">SUMPRODUCT(($B$2:$B$126=4)*(GU$2:GU$126&gt;=28)*(GU$2:GU$126&lt;=999)*(GU$2:GU$126&lt;&gt;"")*($J$2:$J$126))</f>
        <v>536.38000000000011</v>
      </c>
      <c r="GV153" s="79" cm="1">
        <f t="array" ref="GV153">SUMPRODUCT(($B$2:$B$126=4)*(GV$2:GV$126&gt;=28)*(GV$2:GV$126&lt;=999)*(GV$2:GV$126&lt;&gt;"")*($J$2:$J$126))</f>
        <v>536.38000000000011</v>
      </c>
      <c r="GW153" s="79" cm="1">
        <f t="array" ref="GW153">SUMPRODUCT(($B$2:$B$126=4)*(GW$2:GW$126&gt;=28)*(GW$2:GW$126&lt;=999)*(GW$2:GW$126&lt;&gt;"")*($J$2:$J$126))</f>
        <v>536.38000000000011</v>
      </c>
      <c r="GX153" s="79" cm="1">
        <f t="array" ref="GX153">SUMPRODUCT(($B$2:$B$126=4)*(GX$2:GX$126&gt;=28)*(GX$2:GX$126&lt;=999)*(GX$2:GX$126&lt;&gt;"")*($J$2:$J$126))</f>
        <v>536.38000000000011</v>
      </c>
    </row>
    <row r="154" spans="1:206" s="102" customFormat="1" x14ac:dyDescent="0.2">
      <c r="A154" s="101"/>
      <c r="B154" s="101" t="s">
        <v>264</v>
      </c>
      <c r="W154" s="103">
        <f>SUM(W149:W153)</f>
        <v>460.97</v>
      </c>
      <c r="X154" s="103">
        <f t="shared" ref="X154:CI154" si="171">SUM(X149:X153)</f>
        <v>481.17000000000007</v>
      </c>
      <c r="Y154" s="103">
        <f t="shared" si="171"/>
        <v>481.17000000000007</v>
      </c>
      <c r="Z154" s="103">
        <f t="shared" si="171"/>
        <v>536.38</v>
      </c>
      <c r="AA154" s="103">
        <f t="shared" si="171"/>
        <v>536.38</v>
      </c>
      <c r="AB154" s="103">
        <f t="shared" si="171"/>
        <v>536.38</v>
      </c>
      <c r="AC154" s="103">
        <f t="shared" si="171"/>
        <v>536.38</v>
      </c>
      <c r="AD154" s="103">
        <f t="shared" si="171"/>
        <v>536.38</v>
      </c>
      <c r="AE154" s="103">
        <f t="shared" si="171"/>
        <v>536.38</v>
      </c>
      <c r="AF154" s="103">
        <f t="shared" si="171"/>
        <v>536.38</v>
      </c>
      <c r="AG154" s="103">
        <f t="shared" si="171"/>
        <v>536.38000000000011</v>
      </c>
      <c r="AH154" s="103">
        <f t="shared" si="171"/>
        <v>536.38000000000011</v>
      </c>
      <c r="AI154" s="103">
        <f t="shared" si="171"/>
        <v>536.37999999999988</v>
      </c>
      <c r="AJ154" s="103">
        <f t="shared" si="171"/>
        <v>536.38</v>
      </c>
      <c r="AK154" s="103">
        <f t="shared" si="171"/>
        <v>536.38</v>
      </c>
      <c r="AL154" s="103">
        <f t="shared" si="171"/>
        <v>536.38</v>
      </c>
      <c r="AM154" s="103">
        <f t="shared" si="171"/>
        <v>536.38000000000011</v>
      </c>
      <c r="AN154" s="103">
        <f t="shared" si="171"/>
        <v>536.38</v>
      </c>
      <c r="AO154" s="103">
        <f t="shared" si="171"/>
        <v>536.38</v>
      </c>
      <c r="AP154" s="103">
        <f t="shared" si="171"/>
        <v>536.38</v>
      </c>
      <c r="AQ154" s="103">
        <f t="shared" si="171"/>
        <v>536.38000000000011</v>
      </c>
      <c r="AR154" s="103">
        <f t="shared" si="171"/>
        <v>536.38000000000011</v>
      </c>
      <c r="AS154" s="103">
        <f t="shared" si="171"/>
        <v>536.38000000000011</v>
      </c>
      <c r="AT154" s="103">
        <f t="shared" si="171"/>
        <v>536.38</v>
      </c>
      <c r="AU154" s="103">
        <f t="shared" si="171"/>
        <v>536.38000000000011</v>
      </c>
      <c r="AV154" s="103">
        <f t="shared" si="171"/>
        <v>536.38000000000011</v>
      </c>
      <c r="AW154" s="103">
        <f t="shared" si="171"/>
        <v>536.38000000000011</v>
      </c>
      <c r="AX154" s="103">
        <f t="shared" si="171"/>
        <v>536.38000000000011</v>
      </c>
      <c r="AY154" s="103">
        <f t="shared" si="171"/>
        <v>536.38</v>
      </c>
      <c r="AZ154" s="103">
        <f t="shared" si="171"/>
        <v>536.38</v>
      </c>
      <c r="BA154" s="103">
        <f t="shared" si="171"/>
        <v>536.38</v>
      </c>
      <c r="BB154" s="103">
        <f t="shared" si="171"/>
        <v>536.38</v>
      </c>
      <c r="BC154" s="103">
        <f t="shared" si="171"/>
        <v>536.38</v>
      </c>
      <c r="BD154" s="103">
        <f t="shared" si="171"/>
        <v>536.38</v>
      </c>
      <c r="BE154" s="103">
        <f t="shared" si="171"/>
        <v>536.38</v>
      </c>
      <c r="BF154" s="103">
        <f t="shared" si="171"/>
        <v>536.38</v>
      </c>
      <c r="BG154" s="103">
        <f t="shared" si="171"/>
        <v>536.38</v>
      </c>
      <c r="BH154" s="103">
        <f t="shared" si="171"/>
        <v>536.38</v>
      </c>
      <c r="BI154" s="103">
        <f t="shared" si="171"/>
        <v>536.38</v>
      </c>
      <c r="BJ154" s="103">
        <f t="shared" si="171"/>
        <v>536.38</v>
      </c>
      <c r="BK154" s="103">
        <f t="shared" si="171"/>
        <v>536.38000000000011</v>
      </c>
      <c r="BL154" s="103">
        <f t="shared" si="171"/>
        <v>536.38000000000011</v>
      </c>
      <c r="BM154" s="103">
        <f t="shared" si="171"/>
        <v>536.38000000000011</v>
      </c>
      <c r="BN154" s="103">
        <f t="shared" si="171"/>
        <v>536.38</v>
      </c>
      <c r="BO154" s="103">
        <f t="shared" si="171"/>
        <v>536.38</v>
      </c>
      <c r="BP154" s="103">
        <f t="shared" si="171"/>
        <v>536.38</v>
      </c>
      <c r="BQ154" s="103">
        <f t="shared" si="171"/>
        <v>536.38</v>
      </c>
      <c r="BR154" s="103">
        <f t="shared" si="171"/>
        <v>536.38</v>
      </c>
      <c r="BS154" s="103">
        <f t="shared" si="171"/>
        <v>536.38</v>
      </c>
      <c r="BT154" s="103">
        <f t="shared" si="171"/>
        <v>536.38</v>
      </c>
      <c r="BU154" s="103">
        <f t="shared" si="171"/>
        <v>536.38</v>
      </c>
      <c r="BV154" s="103">
        <f t="shared" si="171"/>
        <v>536.38000000000011</v>
      </c>
      <c r="BW154" s="103">
        <f t="shared" si="171"/>
        <v>536.38</v>
      </c>
      <c r="BX154" s="103">
        <f t="shared" si="171"/>
        <v>536.38</v>
      </c>
      <c r="BY154" s="103">
        <f t="shared" si="171"/>
        <v>536.38</v>
      </c>
      <c r="BZ154" s="103">
        <f t="shared" si="171"/>
        <v>536.38</v>
      </c>
      <c r="CA154" s="103">
        <f t="shared" si="171"/>
        <v>536.38000000000011</v>
      </c>
      <c r="CB154" s="103">
        <f t="shared" si="171"/>
        <v>536.38</v>
      </c>
      <c r="CC154" s="103">
        <f t="shared" si="171"/>
        <v>536.38</v>
      </c>
      <c r="CD154" s="103">
        <f t="shared" si="171"/>
        <v>536.38</v>
      </c>
      <c r="CE154" s="103">
        <f t="shared" si="171"/>
        <v>536.38</v>
      </c>
      <c r="CF154" s="103">
        <f t="shared" si="171"/>
        <v>536.38000000000011</v>
      </c>
      <c r="CG154" s="103">
        <f t="shared" si="171"/>
        <v>536.38</v>
      </c>
      <c r="CH154" s="103">
        <f t="shared" si="171"/>
        <v>536.38</v>
      </c>
      <c r="CI154" s="103">
        <f t="shared" si="171"/>
        <v>536.38</v>
      </c>
      <c r="CJ154" s="103">
        <f t="shared" ref="CJ154:EU154" si="172">SUM(CJ149:CJ153)</f>
        <v>536.38</v>
      </c>
      <c r="CK154" s="103">
        <f t="shared" si="172"/>
        <v>536.38</v>
      </c>
      <c r="CL154" s="103">
        <f t="shared" si="172"/>
        <v>536.38</v>
      </c>
      <c r="CM154" s="103">
        <f t="shared" si="172"/>
        <v>536.38000000000011</v>
      </c>
      <c r="CN154" s="103">
        <f t="shared" si="172"/>
        <v>536.38000000000011</v>
      </c>
      <c r="CO154" s="103">
        <f t="shared" si="172"/>
        <v>536.38000000000011</v>
      </c>
      <c r="CP154" s="103">
        <f t="shared" si="172"/>
        <v>536.38</v>
      </c>
      <c r="CQ154" s="103">
        <f t="shared" si="172"/>
        <v>536.38000000000011</v>
      </c>
      <c r="CR154" s="103">
        <f t="shared" si="172"/>
        <v>536.38000000000011</v>
      </c>
      <c r="CS154" s="103">
        <f t="shared" si="172"/>
        <v>536.38000000000011</v>
      </c>
      <c r="CT154" s="103">
        <f t="shared" si="172"/>
        <v>536.38000000000011</v>
      </c>
      <c r="CU154" s="103">
        <f t="shared" si="172"/>
        <v>536.38000000000011</v>
      </c>
      <c r="CV154" s="103">
        <f t="shared" si="172"/>
        <v>536.38000000000011</v>
      </c>
      <c r="CW154" s="103">
        <f t="shared" si="172"/>
        <v>536.38000000000011</v>
      </c>
      <c r="CX154" s="103">
        <f t="shared" si="172"/>
        <v>536.38000000000011</v>
      </c>
      <c r="CY154" s="103">
        <f t="shared" si="172"/>
        <v>536.38000000000011</v>
      </c>
      <c r="CZ154" s="103">
        <f t="shared" si="172"/>
        <v>536.38000000000011</v>
      </c>
      <c r="DA154" s="103">
        <f t="shared" si="172"/>
        <v>536.38000000000011</v>
      </c>
      <c r="DB154" s="103">
        <f t="shared" si="172"/>
        <v>536.38000000000011</v>
      </c>
      <c r="DC154" s="103">
        <f t="shared" si="172"/>
        <v>536.38000000000011</v>
      </c>
      <c r="DD154" s="103">
        <f t="shared" si="172"/>
        <v>536.38000000000011</v>
      </c>
      <c r="DE154" s="103">
        <f t="shared" si="172"/>
        <v>536.38000000000011</v>
      </c>
      <c r="DF154" s="103">
        <f t="shared" si="172"/>
        <v>536.38000000000011</v>
      </c>
      <c r="DG154" s="103">
        <f t="shared" si="172"/>
        <v>536.38000000000011</v>
      </c>
      <c r="DH154" s="103">
        <f t="shared" si="172"/>
        <v>536.38000000000011</v>
      </c>
      <c r="DI154" s="103">
        <f t="shared" si="172"/>
        <v>536.38000000000011</v>
      </c>
      <c r="DJ154" s="103">
        <f t="shared" si="172"/>
        <v>536.38000000000011</v>
      </c>
      <c r="DK154" s="103">
        <f t="shared" si="172"/>
        <v>536.38000000000011</v>
      </c>
      <c r="DL154" s="103">
        <f t="shared" si="172"/>
        <v>536.38000000000011</v>
      </c>
      <c r="DM154" s="103">
        <f t="shared" si="172"/>
        <v>536.38000000000011</v>
      </c>
      <c r="DN154" s="103">
        <f t="shared" si="172"/>
        <v>536.38000000000011</v>
      </c>
      <c r="DO154" s="103">
        <f t="shared" si="172"/>
        <v>536.38000000000011</v>
      </c>
      <c r="DP154" s="103">
        <f t="shared" si="172"/>
        <v>536.38000000000011</v>
      </c>
      <c r="DQ154" s="103">
        <f t="shared" si="172"/>
        <v>536.38000000000011</v>
      </c>
      <c r="DR154" s="103">
        <f t="shared" si="172"/>
        <v>536.38000000000011</v>
      </c>
      <c r="DS154" s="103">
        <f t="shared" si="172"/>
        <v>536.38000000000011</v>
      </c>
      <c r="DT154" s="103">
        <f t="shared" si="172"/>
        <v>536.38000000000011</v>
      </c>
      <c r="DU154" s="103">
        <f t="shared" si="172"/>
        <v>536.38000000000011</v>
      </c>
      <c r="DV154" s="103">
        <f t="shared" si="172"/>
        <v>536.38000000000011</v>
      </c>
      <c r="DW154" s="103">
        <f t="shared" si="172"/>
        <v>536.38000000000011</v>
      </c>
      <c r="DX154" s="103">
        <f t="shared" si="172"/>
        <v>536.38000000000011</v>
      </c>
      <c r="DY154" s="103">
        <f t="shared" si="172"/>
        <v>536.38000000000011</v>
      </c>
      <c r="DZ154" s="103">
        <f t="shared" si="172"/>
        <v>536.38000000000011</v>
      </c>
      <c r="EA154" s="103">
        <f t="shared" si="172"/>
        <v>536.38000000000011</v>
      </c>
      <c r="EB154" s="103">
        <f t="shared" si="172"/>
        <v>536.38000000000011</v>
      </c>
      <c r="EC154" s="103">
        <f t="shared" si="172"/>
        <v>536.38000000000011</v>
      </c>
      <c r="ED154" s="103">
        <f t="shared" si="172"/>
        <v>536.38000000000011</v>
      </c>
      <c r="EE154" s="103">
        <f t="shared" si="172"/>
        <v>536.38000000000011</v>
      </c>
      <c r="EF154" s="103">
        <f t="shared" si="172"/>
        <v>536.38000000000011</v>
      </c>
      <c r="EG154" s="103">
        <f t="shared" si="172"/>
        <v>536.38000000000011</v>
      </c>
      <c r="EH154" s="103">
        <f t="shared" si="172"/>
        <v>536.38000000000011</v>
      </c>
      <c r="EI154" s="103">
        <f t="shared" si="172"/>
        <v>536.38000000000011</v>
      </c>
      <c r="EJ154" s="103">
        <f t="shared" si="172"/>
        <v>536.38000000000011</v>
      </c>
      <c r="EK154" s="103">
        <f t="shared" si="172"/>
        <v>536.38000000000011</v>
      </c>
      <c r="EL154" s="103">
        <f t="shared" si="172"/>
        <v>536.38000000000011</v>
      </c>
      <c r="EM154" s="103">
        <f t="shared" si="172"/>
        <v>536.38000000000011</v>
      </c>
      <c r="EN154" s="103">
        <f t="shared" si="172"/>
        <v>536.38000000000011</v>
      </c>
      <c r="EO154" s="103">
        <f t="shared" si="172"/>
        <v>536.38000000000011</v>
      </c>
      <c r="EP154" s="103">
        <f t="shared" si="172"/>
        <v>536.38000000000011</v>
      </c>
      <c r="EQ154" s="103">
        <f t="shared" si="172"/>
        <v>536.38000000000011</v>
      </c>
      <c r="ER154" s="103">
        <f t="shared" si="172"/>
        <v>536.38000000000011</v>
      </c>
      <c r="ES154" s="103">
        <f t="shared" si="172"/>
        <v>536.38000000000011</v>
      </c>
      <c r="ET154" s="103">
        <f t="shared" si="172"/>
        <v>536.38000000000011</v>
      </c>
      <c r="EU154" s="103">
        <f t="shared" si="172"/>
        <v>536.38000000000011</v>
      </c>
      <c r="EV154" s="103">
        <f t="shared" ref="EV154:GX154" si="173">SUM(EV149:EV153)</f>
        <v>536.38000000000011</v>
      </c>
      <c r="EW154" s="103">
        <f t="shared" si="173"/>
        <v>536.38000000000011</v>
      </c>
      <c r="EX154" s="103">
        <f t="shared" si="173"/>
        <v>536.38000000000011</v>
      </c>
      <c r="EY154" s="103">
        <f t="shared" si="173"/>
        <v>536.38000000000011</v>
      </c>
      <c r="EZ154" s="103">
        <f t="shared" si="173"/>
        <v>536.38000000000011</v>
      </c>
      <c r="FA154" s="103">
        <f t="shared" si="173"/>
        <v>536.38000000000011</v>
      </c>
      <c r="FB154" s="103">
        <f t="shared" si="173"/>
        <v>536.38000000000011</v>
      </c>
      <c r="FC154" s="103">
        <f t="shared" si="173"/>
        <v>536.38000000000011</v>
      </c>
      <c r="FD154" s="103">
        <f t="shared" si="173"/>
        <v>536.38000000000011</v>
      </c>
      <c r="FE154" s="103">
        <f t="shared" si="173"/>
        <v>536.38000000000011</v>
      </c>
      <c r="FF154" s="103">
        <f t="shared" si="173"/>
        <v>536.38000000000011</v>
      </c>
      <c r="FG154" s="103">
        <f t="shared" si="173"/>
        <v>536.38000000000011</v>
      </c>
      <c r="FH154" s="103">
        <f t="shared" si="173"/>
        <v>536.38000000000011</v>
      </c>
      <c r="FI154" s="103">
        <f t="shared" si="173"/>
        <v>536.38000000000011</v>
      </c>
      <c r="FJ154" s="103">
        <f t="shared" si="173"/>
        <v>536.38000000000011</v>
      </c>
      <c r="FK154" s="103">
        <f t="shared" si="173"/>
        <v>536.38000000000011</v>
      </c>
      <c r="FL154" s="103">
        <f t="shared" si="173"/>
        <v>536.38000000000011</v>
      </c>
      <c r="FM154" s="103">
        <f t="shared" si="173"/>
        <v>536.38000000000011</v>
      </c>
      <c r="FN154" s="103">
        <f t="shared" si="173"/>
        <v>536.38000000000011</v>
      </c>
      <c r="FO154" s="103">
        <f t="shared" si="173"/>
        <v>536.38000000000011</v>
      </c>
      <c r="FP154" s="103">
        <f t="shared" si="173"/>
        <v>536.38000000000011</v>
      </c>
      <c r="FQ154" s="103">
        <f t="shared" si="173"/>
        <v>536.38000000000011</v>
      </c>
      <c r="FR154" s="103">
        <f t="shared" si="173"/>
        <v>536.38000000000011</v>
      </c>
      <c r="FS154" s="103">
        <f t="shared" si="173"/>
        <v>536.38000000000011</v>
      </c>
      <c r="FT154" s="103">
        <f t="shared" si="173"/>
        <v>536.38000000000011</v>
      </c>
      <c r="FU154" s="103">
        <f t="shared" si="173"/>
        <v>536.38000000000011</v>
      </c>
      <c r="FV154" s="103">
        <f t="shared" si="173"/>
        <v>536.38000000000011</v>
      </c>
      <c r="FW154" s="103">
        <f t="shared" si="173"/>
        <v>536.38000000000011</v>
      </c>
      <c r="FX154" s="103">
        <f t="shared" si="173"/>
        <v>536.38000000000011</v>
      </c>
      <c r="FY154" s="103">
        <f t="shared" si="173"/>
        <v>536.38000000000011</v>
      </c>
      <c r="FZ154" s="103">
        <f t="shared" si="173"/>
        <v>536.38000000000011</v>
      </c>
      <c r="GA154" s="103">
        <f t="shared" si="173"/>
        <v>536.38000000000011</v>
      </c>
      <c r="GB154" s="103">
        <f t="shared" si="173"/>
        <v>536.38000000000011</v>
      </c>
      <c r="GC154" s="103">
        <f t="shared" si="173"/>
        <v>536.38000000000011</v>
      </c>
      <c r="GD154" s="103">
        <f t="shared" si="173"/>
        <v>536.38000000000011</v>
      </c>
      <c r="GE154" s="103">
        <f t="shared" si="173"/>
        <v>536.38000000000011</v>
      </c>
      <c r="GF154" s="103">
        <f t="shared" si="173"/>
        <v>536.38000000000011</v>
      </c>
      <c r="GG154" s="103">
        <f t="shared" si="173"/>
        <v>536.38000000000011</v>
      </c>
      <c r="GH154" s="103">
        <f t="shared" si="173"/>
        <v>536.38000000000011</v>
      </c>
      <c r="GI154" s="103">
        <f t="shared" si="173"/>
        <v>536.38000000000011</v>
      </c>
      <c r="GJ154" s="103">
        <f t="shared" si="173"/>
        <v>536.38000000000011</v>
      </c>
      <c r="GK154" s="103">
        <f t="shared" si="173"/>
        <v>536.38000000000011</v>
      </c>
      <c r="GL154" s="103">
        <f t="shared" si="173"/>
        <v>536.38000000000011</v>
      </c>
      <c r="GM154" s="103">
        <f t="shared" si="173"/>
        <v>536.38000000000011</v>
      </c>
      <c r="GN154" s="103">
        <f t="shared" si="173"/>
        <v>536.38000000000011</v>
      </c>
      <c r="GO154" s="103">
        <f t="shared" si="173"/>
        <v>536.38000000000011</v>
      </c>
      <c r="GP154" s="103">
        <f t="shared" si="173"/>
        <v>536.38000000000011</v>
      </c>
      <c r="GQ154" s="103">
        <f t="shared" si="173"/>
        <v>536.38000000000011</v>
      </c>
      <c r="GR154" s="103">
        <f t="shared" si="173"/>
        <v>536.38000000000011</v>
      </c>
      <c r="GS154" s="103">
        <f t="shared" si="173"/>
        <v>536.38000000000011</v>
      </c>
      <c r="GT154" s="103">
        <f t="shared" si="173"/>
        <v>536.38000000000011</v>
      </c>
      <c r="GU154" s="103">
        <f t="shared" si="173"/>
        <v>536.38000000000011</v>
      </c>
      <c r="GV154" s="103">
        <f t="shared" si="173"/>
        <v>536.38000000000011</v>
      </c>
      <c r="GW154" s="103">
        <f t="shared" si="173"/>
        <v>536.38000000000011</v>
      </c>
      <c r="GX154" s="103">
        <f t="shared" si="173"/>
        <v>536.38000000000011</v>
      </c>
    </row>
    <row r="155" spans="1:206" x14ac:dyDescent="0.2">
      <c r="A155" s="84">
        <v>5</v>
      </c>
      <c r="B155" s="84" t="s">
        <v>11</v>
      </c>
      <c r="W155" s="79" cm="1">
        <f t="array" ref="W155">SUMPRODUCT(($B$2:$B$126=5)*(W$2:W$126&gt;=0)*(W$2:W$126&lt;=12)*(W$2:W$126&lt;&gt;"")*($J$2:$J$126))</f>
        <v>0</v>
      </c>
      <c r="X155" s="79" cm="1">
        <f t="array" ref="X155">SUMPRODUCT(($B$2:$B$126=5)*(X$2:X$126&gt;=0)*(X$2:X$126&lt;=12)*(X$2:X$126&lt;&gt;"")*($J$2:$J$126))</f>
        <v>0</v>
      </c>
      <c r="Y155" s="79" cm="1">
        <f t="array" ref="Y155">SUMPRODUCT(($B$2:$B$126=5)*(Y$2:Y$126&gt;=0)*(Y$2:Y$126&lt;=12)*(Y$2:Y$126&lt;&gt;"")*($J$2:$J$126))</f>
        <v>19</v>
      </c>
      <c r="Z155" s="79" cm="1">
        <f t="array" ref="Z155">SUMPRODUCT(($B$2:$B$126=5)*(Z$2:Z$126&gt;=0)*(Z$2:Z$126&lt;=12)*(Z$2:Z$126&lt;&gt;"")*($J$2:$J$126))</f>
        <v>19</v>
      </c>
      <c r="AA155" s="79" cm="1">
        <f t="array" ref="AA155">SUMPRODUCT(($B$2:$B$126=5)*(AA$2:AA$126&gt;=0)*(AA$2:AA$126&lt;=12)*(AA$2:AA$126&lt;&gt;"")*($J$2:$J$126))</f>
        <v>19</v>
      </c>
      <c r="AB155" s="79" cm="1">
        <f t="array" ref="AB155">SUMPRODUCT(($B$2:$B$126=5)*(AB$2:AB$126&gt;=0)*(AB$2:AB$126&lt;=12)*(AB$2:AB$126&lt;&gt;"")*($J$2:$J$126))</f>
        <v>36</v>
      </c>
      <c r="AC155" s="79" cm="1">
        <f t="array" ref="AC155">SUMPRODUCT(($B$2:$B$126=5)*(AC$2:AC$126&gt;=0)*(AC$2:AC$126&lt;=12)*(AC$2:AC$126&lt;&gt;"")*($J$2:$J$126))</f>
        <v>36</v>
      </c>
      <c r="AD155" s="79" cm="1">
        <f t="array" ref="AD155">SUMPRODUCT(($B$2:$B$126=5)*(AD$2:AD$126&gt;=0)*(AD$2:AD$126&lt;=12)*(AD$2:AD$126&lt;&gt;"")*($J$2:$J$126))</f>
        <v>36</v>
      </c>
      <c r="AE155" s="79" cm="1">
        <f t="array" ref="AE155">SUMPRODUCT(($B$2:$B$126=5)*(AE$2:AE$126&gt;=0)*(AE$2:AE$126&lt;=12)*(AE$2:AE$126&lt;&gt;"")*($J$2:$J$126))</f>
        <v>47</v>
      </c>
      <c r="AF155" s="79" cm="1">
        <f t="array" ref="AF155">SUMPRODUCT(($B$2:$B$126=5)*(AF$2:AF$126&gt;=0)*(AF$2:AF$126&lt;=12)*(AF$2:AF$126&lt;&gt;"")*($J$2:$J$126))</f>
        <v>47</v>
      </c>
      <c r="AG155" s="79" cm="1">
        <f t="array" ref="AG155">SUMPRODUCT(($B$2:$B$126=5)*(AG$2:AG$126&gt;=0)*(AG$2:AG$126&lt;=12)*(AG$2:AG$126&lt;&gt;"")*($J$2:$J$126))</f>
        <v>58</v>
      </c>
      <c r="AH155" s="79" cm="1">
        <f t="array" ref="AH155">SUMPRODUCT(($B$2:$B$126=5)*(AH$2:AH$126&gt;=0)*(AH$2:AH$126&lt;=12)*(AH$2:AH$126&lt;&gt;"")*($J$2:$J$126))</f>
        <v>74</v>
      </c>
      <c r="AI155" s="79" cm="1">
        <f t="array" ref="AI155">SUMPRODUCT(($B$2:$B$126=5)*(AI$2:AI$126&gt;=0)*(AI$2:AI$126&lt;=12)*(AI$2:AI$126&lt;&gt;"")*($J$2:$J$126))</f>
        <v>81</v>
      </c>
      <c r="AJ155" s="79" cm="1">
        <f t="array" ref="AJ155">SUMPRODUCT(($B$2:$B$126=5)*(AJ$2:AJ$126&gt;=0)*(AJ$2:AJ$126&lt;=12)*(AJ$2:AJ$126&lt;&gt;"")*($J$2:$J$126))</f>
        <v>92</v>
      </c>
      <c r="AK155" s="79" cm="1">
        <f t="array" ref="AK155">SUMPRODUCT(($B$2:$B$126=5)*(AK$2:AK$126&gt;=0)*(AK$2:AK$126&lt;=12)*(AK$2:AK$126&lt;&gt;"")*($J$2:$J$126))</f>
        <v>103</v>
      </c>
      <c r="AL155" s="79" cm="1">
        <f t="array" ref="AL155">SUMPRODUCT(($B$2:$B$126=5)*(AL$2:AL$126&gt;=0)*(AL$2:AL$126&lt;=12)*(AL$2:AL$126&lt;&gt;"")*($J$2:$J$126))</f>
        <v>84</v>
      </c>
      <c r="AM155" s="79" cm="1">
        <f t="array" ref="AM155">SUMPRODUCT(($B$2:$B$126=5)*(AM$2:AM$126&gt;=0)*(AM$2:AM$126&lt;=12)*(AM$2:AM$126&lt;&gt;"")*($J$2:$J$126))</f>
        <v>84</v>
      </c>
      <c r="AN155" s="79" cm="1">
        <f t="array" ref="AN155">SUMPRODUCT(($B$2:$B$126=5)*(AN$2:AN$126&gt;=0)*(AN$2:AN$126&lt;=12)*(AN$2:AN$126&lt;&gt;"")*($J$2:$J$126))</f>
        <v>84</v>
      </c>
      <c r="AO155" s="79" cm="1">
        <f t="array" ref="AO155">SUMPRODUCT(($B$2:$B$126=5)*(AO$2:AO$126&gt;=0)*(AO$2:AO$126&lt;=12)*(AO$2:AO$126&lt;&gt;"")*($J$2:$J$126))</f>
        <v>67</v>
      </c>
      <c r="AP155" s="79" cm="1">
        <f t="array" ref="AP155">SUMPRODUCT(($B$2:$B$126=5)*(AP$2:AP$126&gt;=0)*(AP$2:AP$126&lt;=12)*(AP$2:AP$126&lt;&gt;"")*($J$2:$J$126))</f>
        <v>67</v>
      </c>
      <c r="AQ155" s="79" cm="1">
        <f t="array" ref="AQ155">SUMPRODUCT(($B$2:$B$126=5)*(AQ$2:AQ$126&gt;=0)*(AQ$2:AQ$126&lt;=12)*(AQ$2:AQ$126&lt;&gt;"")*($J$2:$J$126))</f>
        <v>67</v>
      </c>
      <c r="AR155" s="79" cm="1">
        <f t="array" ref="AR155">SUMPRODUCT(($B$2:$B$126=5)*(AR$2:AR$126&gt;=0)*(AR$2:AR$126&lt;=12)*(AR$2:AR$126&lt;&gt;"")*($J$2:$J$126))</f>
        <v>56</v>
      </c>
      <c r="AS155" s="79" cm="1">
        <f t="array" ref="AS155">SUMPRODUCT(($B$2:$B$126=5)*(AS$2:AS$126&gt;=0)*(AS$2:AS$126&lt;=12)*(AS$2:AS$126&lt;&gt;"")*($J$2:$J$126))</f>
        <v>56</v>
      </c>
      <c r="AT155" s="79" cm="1">
        <f t="array" ref="AT155">SUMPRODUCT(($B$2:$B$126=5)*(AT$2:AT$126&gt;=0)*(AT$2:AT$126&lt;=12)*(AT$2:AT$126&lt;&gt;"")*($J$2:$J$126))</f>
        <v>45</v>
      </c>
      <c r="AU155" s="79" cm="1">
        <f t="array" ref="AU155">SUMPRODUCT(($B$2:$B$126=5)*(AU$2:AU$126&gt;=0)*(AU$2:AU$126&lt;=12)*(AU$2:AU$126&lt;&gt;"")*($J$2:$J$126))</f>
        <v>29</v>
      </c>
      <c r="AV155" s="79" cm="1">
        <f t="array" ref="AV155">SUMPRODUCT(($B$2:$B$126=5)*(AV$2:AV$126&gt;=0)*(AV$2:AV$126&lt;=12)*(AV$2:AV$126&lt;&gt;"")*($J$2:$J$126))</f>
        <v>22</v>
      </c>
      <c r="AW155" s="79" cm="1">
        <f t="array" ref="AW155">SUMPRODUCT(($B$2:$B$126=5)*(AW$2:AW$126&gt;=0)*(AW$2:AW$126&lt;=12)*(AW$2:AW$126&lt;&gt;"")*($J$2:$J$126))</f>
        <v>95</v>
      </c>
      <c r="AX155" s="79" cm="1">
        <f t="array" ref="AX155">SUMPRODUCT(($B$2:$B$126=5)*(AX$2:AX$126&gt;=0)*(AX$2:AX$126&lt;=12)*(AX$2:AX$126&lt;&gt;"")*($J$2:$J$126))</f>
        <v>84</v>
      </c>
      <c r="AY155" s="79" cm="1">
        <f t="array" ref="AY155">SUMPRODUCT(($B$2:$B$126=5)*(AY$2:AY$126&gt;=0)*(AY$2:AY$126&lt;=12)*(AY$2:AY$126&lt;&gt;"")*($J$2:$J$126))</f>
        <v>84</v>
      </c>
      <c r="AZ155" s="79" cm="1">
        <f t="array" ref="AZ155">SUMPRODUCT(($B$2:$B$126=5)*(AZ$2:AZ$126&gt;=0)*(AZ$2:AZ$126&lt;=12)*(AZ$2:AZ$126&lt;&gt;"")*($J$2:$J$126))</f>
        <v>139</v>
      </c>
      <c r="BA155" s="79" cm="1">
        <f t="array" ref="BA155">SUMPRODUCT(($B$2:$B$126=5)*(BA$2:BA$126&gt;=0)*(BA$2:BA$126&lt;=12)*(BA$2:BA$126&lt;&gt;"")*($J$2:$J$126))</f>
        <v>187</v>
      </c>
      <c r="BB155" s="79" cm="1">
        <f t="array" ref="BB155">SUMPRODUCT(($B$2:$B$126=5)*(BB$2:BB$126&gt;=0)*(BB$2:BB$126&lt;=12)*(BB$2:BB$126&lt;&gt;"")*($J$2:$J$126))</f>
        <v>187</v>
      </c>
      <c r="BC155" s="79" cm="1">
        <f t="array" ref="BC155">SUMPRODUCT(($B$2:$B$126=5)*(BC$2:BC$126&gt;=0)*(BC$2:BC$126&lt;=12)*(BC$2:BC$126&lt;&gt;"")*($J$2:$J$126))</f>
        <v>187</v>
      </c>
      <c r="BD155" s="79" cm="1">
        <f t="array" ref="BD155">SUMPRODUCT(($B$2:$B$126=5)*(BD$2:BD$126&gt;=0)*(BD$2:BD$126&lt;=12)*(BD$2:BD$126&lt;&gt;"")*($J$2:$J$126))</f>
        <v>187</v>
      </c>
      <c r="BE155" s="79" cm="1">
        <f t="array" ref="BE155">SUMPRODUCT(($B$2:$B$126=5)*(BE$2:BE$126&gt;=0)*(BE$2:BE$126&lt;=12)*(BE$2:BE$126&lt;&gt;"")*($J$2:$J$126))</f>
        <v>187</v>
      </c>
      <c r="BF155" s="79" cm="1">
        <f t="array" ref="BF155">SUMPRODUCT(($B$2:$B$126=5)*(BF$2:BF$126&gt;=0)*(BF$2:BF$126&lt;=12)*(BF$2:BF$126&lt;&gt;"")*($J$2:$J$126))</f>
        <v>187</v>
      </c>
      <c r="BG155" s="79" cm="1">
        <f t="array" ref="BG155">SUMPRODUCT(($B$2:$B$126=5)*(BG$2:BG$126&gt;=0)*(BG$2:BG$126&lt;=12)*(BG$2:BG$126&lt;&gt;"")*($J$2:$J$126))</f>
        <v>187</v>
      </c>
      <c r="BH155" s="79" cm="1">
        <f t="array" ref="BH155">SUMPRODUCT(($B$2:$B$126=5)*(BH$2:BH$126&gt;=0)*(BH$2:BH$126&lt;=12)*(BH$2:BH$126&lt;&gt;"")*($J$2:$J$126))</f>
        <v>187</v>
      </c>
      <c r="BI155" s="79" cm="1">
        <f t="array" ref="BI155">SUMPRODUCT(($B$2:$B$126=5)*(BI$2:BI$126&gt;=0)*(BI$2:BI$126&lt;=12)*(BI$2:BI$126&lt;&gt;"")*($J$2:$J$126))</f>
        <v>187</v>
      </c>
      <c r="BJ155" s="79" cm="1">
        <f t="array" ref="BJ155">SUMPRODUCT(($B$2:$B$126=5)*(BJ$2:BJ$126&gt;=0)*(BJ$2:BJ$126&lt;=12)*(BJ$2:BJ$126&lt;&gt;"")*($J$2:$J$126))</f>
        <v>103</v>
      </c>
      <c r="BK155" s="79" cm="1">
        <f t="array" ref="BK155">SUMPRODUCT(($B$2:$B$126=5)*(BK$2:BK$126&gt;=0)*(BK$2:BK$126&lt;=12)*(BK$2:BK$126&lt;&gt;"")*($J$2:$J$126))</f>
        <v>103</v>
      </c>
      <c r="BL155" s="79" cm="1">
        <f t="array" ref="BL155">SUMPRODUCT(($B$2:$B$126=5)*(BL$2:BL$126&gt;=0)*(BL$2:BL$126&lt;=12)*(BL$2:BL$126&lt;&gt;"")*($J$2:$J$126))</f>
        <v>109</v>
      </c>
      <c r="BM155" s="79" cm="1">
        <f t="array" ref="BM155">SUMPRODUCT(($B$2:$B$126=5)*(BM$2:BM$126&gt;=0)*(BM$2:BM$126&lt;=12)*(BM$2:BM$126&lt;&gt;"")*($J$2:$J$126))</f>
        <v>99</v>
      </c>
      <c r="BN155" s="79" cm="1">
        <f t="array" ref="BN155">SUMPRODUCT(($B$2:$B$126=5)*(BN$2:BN$126&gt;=0)*(BN$2:BN$126&lt;=12)*(BN$2:BN$126&lt;&gt;"")*($J$2:$J$126))</f>
        <v>51</v>
      </c>
      <c r="BO155" s="79" cm="1">
        <f t="array" ref="BO155">SUMPRODUCT(($B$2:$B$126=5)*(BO$2:BO$126&gt;=0)*(BO$2:BO$126&lt;=12)*(BO$2:BO$126&lt;&gt;"")*($J$2:$J$126))</f>
        <v>84</v>
      </c>
      <c r="BP155" s="79" cm="1">
        <f t="array" ref="BP155">SUMPRODUCT(($B$2:$B$126=5)*(BP$2:BP$126&gt;=0)*(BP$2:BP$126&lt;=12)*(BP$2:BP$126&lt;&gt;"")*($J$2:$J$126))</f>
        <v>84</v>
      </c>
      <c r="BQ155" s="79" cm="1">
        <f t="array" ref="BQ155">SUMPRODUCT(($B$2:$B$126=5)*(BQ$2:BQ$126&gt;=0)*(BQ$2:BQ$126&lt;=12)*(BQ$2:BQ$126&lt;&gt;"")*($J$2:$J$126))</f>
        <v>84</v>
      </c>
      <c r="BR155" s="79" cm="1">
        <f t="array" ref="BR155">SUMPRODUCT(($B$2:$B$126=5)*(BR$2:BR$126&gt;=0)*(BR$2:BR$126&lt;=12)*(BR$2:BR$126&lt;&gt;"")*($J$2:$J$126))</f>
        <v>84</v>
      </c>
      <c r="BS155" s="79" cm="1">
        <f t="array" ref="BS155">SUMPRODUCT(($B$2:$B$126=5)*(BS$2:BS$126&gt;=0)*(BS$2:BS$126&lt;=12)*(BS$2:BS$126&lt;&gt;"")*($J$2:$J$126))</f>
        <v>84</v>
      </c>
      <c r="BT155" s="79" cm="1">
        <f t="array" ref="BT155">SUMPRODUCT(($B$2:$B$126=5)*(BT$2:BT$126&gt;=0)*(BT$2:BT$126&lt;=12)*(BT$2:BT$126&lt;&gt;"")*($J$2:$J$126))</f>
        <v>84</v>
      </c>
      <c r="BU155" s="79" cm="1">
        <f t="array" ref="BU155">SUMPRODUCT(($B$2:$B$126=5)*(BU$2:BU$126&gt;=0)*(BU$2:BU$126&lt;=12)*(BU$2:BU$126&lt;&gt;"")*($J$2:$J$126))</f>
        <v>84</v>
      </c>
      <c r="BV155" s="79" cm="1">
        <f t="array" ref="BV155">SUMPRODUCT(($B$2:$B$126=5)*(BV$2:BV$126&gt;=0)*(BV$2:BV$126&lt;=12)*(BV$2:BV$126&lt;&gt;"")*($J$2:$J$126))</f>
        <v>84</v>
      </c>
      <c r="BW155" s="79" cm="1">
        <f t="array" ref="BW155">SUMPRODUCT(($B$2:$B$126=5)*(BW$2:BW$126&gt;=0)*(BW$2:BW$126&lt;=12)*(BW$2:BW$126&lt;&gt;"")*($J$2:$J$126))</f>
        <v>84</v>
      </c>
      <c r="BX155" s="79" cm="1">
        <f t="array" ref="BX155">SUMPRODUCT(($B$2:$B$126=5)*(BX$2:BX$126&gt;=0)*(BX$2:BX$126&lt;=12)*(BX$2:BX$126&lt;&gt;"")*($J$2:$J$126))</f>
        <v>84</v>
      </c>
      <c r="BY155" s="79" cm="1">
        <f t="array" ref="BY155">SUMPRODUCT(($B$2:$B$126=5)*(BY$2:BY$126&gt;=0)*(BY$2:BY$126&lt;=12)*(BY$2:BY$126&lt;&gt;"")*($J$2:$J$126))</f>
        <v>78</v>
      </c>
      <c r="BZ155" s="79" cm="1">
        <f t="array" ref="BZ155">SUMPRODUCT(($B$2:$B$126=5)*(BZ$2:BZ$126&gt;=0)*(BZ$2:BZ$126&lt;=12)*(BZ$2:BZ$126&lt;&gt;"")*($J$2:$J$126))</f>
        <v>33</v>
      </c>
      <c r="CA155" s="79" cm="1">
        <f t="array" ref="CA155">SUMPRODUCT(($B$2:$B$126=5)*(CA$2:CA$126&gt;=0)*(CA$2:CA$126&lt;=12)*(CA$2:CA$126&lt;&gt;"")*($J$2:$J$126))</f>
        <v>33</v>
      </c>
      <c r="CB155" s="79" cm="1">
        <f t="array" ref="CB155">SUMPRODUCT(($B$2:$B$126=5)*(CB$2:CB$126&gt;=0)*(CB$2:CB$126&lt;=12)*(CB$2:CB$126&lt;&gt;"")*($J$2:$J$126))</f>
        <v>0</v>
      </c>
      <c r="CC155" s="79" cm="1">
        <f t="array" ref="CC155">SUMPRODUCT(($B$2:$B$126=5)*(CC$2:CC$126&gt;=0)*(CC$2:CC$126&lt;=12)*(CC$2:CC$126&lt;&gt;"")*($J$2:$J$126))</f>
        <v>0</v>
      </c>
      <c r="CD155" s="79" cm="1">
        <f t="array" ref="CD155">SUMPRODUCT(($B$2:$B$126=5)*(CD$2:CD$126&gt;=0)*(CD$2:CD$126&lt;=12)*(CD$2:CD$126&lt;&gt;"")*($J$2:$J$126))</f>
        <v>0</v>
      </c>
      <c r="CE155" s="79" cm="1">
        <f t="array" ref="CE155">SUMPRODUCT(($B$2:$B$126=5)*(CE$2:CE$126&gt;=0)*(CE$2:CE$126&lt;=12)*(CE$2:CE$126&lt;&gt;"")*($J$2:$J$126))</f>
        <v>0</v>
      </c>
      <c r="CF155" s="79" cm="1">
        <f t="array" ref="CF155">SUMPRODUCT(($B$2:$B$126=5)*(CF$2:CF$126&gt;=0)*(CF$2:CF$126&lt;=12)*(CF$2:CF$126&lt;&gt;"")*($J$2:$J$126))</f>
        <v>0</v>
      </c>
      <c r="CG155" s="79" cm="1">
        <f t="array" ref="CG155">SUMPRODUCT(($B$2:$B$126=5)*(CG$2:CG$126&gt;=0)*(CG$2:CG$126&lt;=12)*(CG$2:CG$126&lt;&gt;"")*($J$2:$J$126))</f>
        <v>0</v>
      </c>
      <c r="CH155" s="79" cm="1">
        <f t="array" ref="CH155">SUMPRODUCT(($B$2:$B$126=5)*(CH$2:CH$126&gt;=0)*(CH$2:CH$126&lt;=12)*(CH$2:CH$126&lt;&gt;"")*($J$2:$J$126))</f>
        <v>0</v>
      </c>
      <c r="CI155" s="79" cm="1">
        <f t="array" ref="CI155">SUMPRODUCT(($B$2:$B$126=5)*(CI$2:CI$126&gt;=0)*(CI$2:CI$126&lt;=12)*(CI$2:CI$126&lt;&gt;"")*($J$2:$J$126))</f>
        <v>0</v>
      </c>
      <c r="CJ155" s="79" cm="1">
        <f t="array" ref="CJ155">SUMPRODUCT(($B$2:$B$126=5)*(CJ$2:CJ$126&gt;=0)*(CJ$2:CJ$126&lt;=12)*(CJ$2:CJ$126&lt;&gt;"")*($J$2:$J$126))</f>
        <v>0</v>
      </c>
      <c r="CK155" s="79" cm="1">
        <f t="array" ref="CK155">SUMPRODUCT(($B$2:$B$126=5)*(CK$2:CK$126&gt;=0)*(CK$2:CK$126&lt;=12)*(CK$2:CK$126&lt;&gt;"")*($J$2:$J$126))</f>
        <v>0</v>
      </c>
      <c r="CL155" s="79" cm="1">
        <f t="array" ref="CL155">SUMPRODUCT(($B$2:$B$126=5)*(CL$2:CL$126&gt;=0)*(CL$2:CL$126&lt;=12)*(CL$2:CL$126&lt;&gt;"")*($J$2:$J$126))</f>
        <v>0</v>
      </c>
      <c r="CM155" s="79" cm="1">
        <f t="array" ref="CM155">SUMPRODUCT(($B$2:$B$126=5)*(CM$2:CM$126&gt;=0)*(CM$2:CM$126&lt;=12)*(CM$2:CM$126&lt;&gt;"")*($J$2:$J$126))</f>
        <v>0</v>
      </c>
      <c r="CN155" s="79" cm="1">
        <f t="array" ref="CN155">SUMPRODUCT(($B$2:$B$126=5)*(CN$2:CN$126&gt;=0)*(CN$2:CN$126&lt;=12)*(CN$2:CN$126&lt;&gt;"")*($J$2:$J$126))</f>
        <v>0</v>
      </c>
      <c r="CO155" s="79" cm="1">
        <f t="array" ref="CO155">SUMPRODUCT(($B$2:$B$126=5)*(CO$2:CO$126&gt;=0)*(CO$2:CO$126&lt;=12)*(CO$2:CO$126&lt;&gt;"")*($J$2:$J$126))</f>
        <v>0</v>
      </c>
      <c r="CP155" s="79" cm="1">
        <f t="array" ref="CP155">SUMPRODUCT(($B$2:$B$126=5)*(CP$2:CP$126&gt;=0)*(CP$2:CP$126&lt;=12)*(CP$2:CP$126&lt;&gt;"")*($J$2:$J$126))</f>
        <v>0</v>
      </c>
      <c r="CQ155" s="79" cm="1">
        <f t="array" ref="CQ155">SUMPRODUCT(($B$2:$B$126=5)*(CQ$2:CQ$126&gt;=0)*(CQ$2:CQ$126&lt;=12)*(CQ$2:CQ$126&lt;&gt;"")*($J$2:$J$126))</f>
        <v>0</v>
      </c>
      <c r="CR155" s="79" cm="1">
        <f t="array" ref="CR155">SUMPRODUCT(($B$2:$B$126=5)*(CR$2:CR$126&gt;=0)*(CR$2:CR$126&lt;=12)*(CR$2:CR$126&lt;&gt;"")*($J$2:$J$126))</f>
        <v>0</v>
      </c>
      <c r="CS155" s="79" cm="1">
        <f t="array" ref="CS155">SUMPRODUCT(($B$2:$B$126=5)*(CS$2:CS$126&gt;=0)*(CS$2:CS$126&lt;=12)*(CS$2:CS$126&lt;&gt;"")*($J$2:$J$126))</f>
        <v>0</v>
      </c>
      <c r="CT155" s="79" cm="1">
        <f t="array" ref="CT155">SUMPRODUCT(($B$2:$B$126=5)*(CT$2:CT$126&gt;=0)*(CT$2:CT$126&lt;=12)*(CT$2:CT$126&lt;&gt;"")*($J$2:$J$126))</f>
        <v>0</v>
      </c>
      <c r="CU155" s="79" cm="1">
        <f t="array" ref="CU155">SUMPRODUCT(($B$2:$B$126=5)*(CU$2:CU$126&gt;=0)*(CU$2:CU$126&lt;=12)*(CU$2:CU$126&lt;&gt;"")*($J$2:$J$126))</f>
        <v>0</v>
      </c>
      <c r="CV155" s="79" cm="1">
        <f t="array" ref="CV155">SUMPRODUCT(($B$2:$B$126=5)*(CV$2:CV$126&gt;=0)*(CV$2:CV$126&lt;=12)*(CV$2:CV$126&lt;&gt;"")*($J$2:$J$126))</f>
        <v>0</v>
      </c>
      <c r="CW155" s="79" cm="1">
        <f t="array" ref="CW155">SUMPRODUCT(($B$2:$B$126=5)*(CW$2:CW$126&gt;=0)*(CW$2:CW$126&lt;=12)*(CW$2:CW$126&lt;&gt;"")*($J$2:$J$126))</f>
        <v>0</v>
      </c>
      <c r="CX155" s="79" cm="1">
        <f t="array" ref="CX155">SUMPRODUCT(($B$2:$B$126=5)*(CX$2:CX$126&gt;=0)*(CX$2:CX$126&lt;=12)*(CX$2:CX$126&lt;&gt;"")*($J$2:$J$126))</f>
        <v>0</v>
      </c>
      <c r="CY155" s="79" cm="1">
        <f t="array" ref="CY155">SUMPRODUCT(($B$2:$B$126=5)*(CY$2:CY$126&gt;=0)*(CY$2:CY$126&lt;=12)*(CY$2:CY$126&lt;&gt;"")*($J$2:$J$126))</f>
        <v>0</v>
      </c>
      <c r="CZ155" s="79" cm="1">
        <f t="array" ref="CZ155">SUMPRODUCT(($B$2:$B$126=5)*(CZ$2:CZ$126&gt;=0)*(CZ$2:CZ$126&lt;=12)*(CZ$2:CZ$126&lt;&gt;"")*($J$2:$J$126))</f>
        <v>0</v>
      </c>
      <c r="DA155" s="79" cm="1">
        <f t="array" ref="DA155">SUMPRODUCT(($B$2:$B$126=5)*(DA$2:DA$126&gt;=0)*(DA$2:DA$126&lt;=12)*(DA$2:DA$126&lt;&gt;"")*($J$2:$J$126))</f>
        <v>0</v>
      </c>
      <c r="DB155" s="79" cm="1">
        <f t="array" ref="DB155">SUMPRODUCT(($B$2:$B$126=5)*(DB$2:DB$126&gt;=0)*(DB$2:DB$126&lt;=12)*(DB$2:DB$126&lt;&gt;"")*($J$2:$J$126))</f>
        <v>0</v>
      </c>
      <c r="DC155" s="79" cm="1">
        <f t="array" ref="DC155">SUMPRODUCT(($B$2:$B$126=5)*(DC$2:DC$126&gt;=0)*(DC$2:DC$126&lt;=12)*(DC$2:DC$126&lt;&gt;"")*($J$2:$J$126))</f>
        <v>0</v>
      </c>
      <c r="DD155" s="79" cm="1">
        <f t="array" ref="DD155">SUMPRODUCT(($B$2:$B$126=5)*(DD$2:DD$126&gt;=0)*(DD$2:DD$126&lt;=12)*(DD$2:DD$126&lt;&gt;"")*($J$2:$J$126))</f>
        <v>0</v>
      </c>
      <c r="DE155" s="79" cm="1">
        <f t="array" ref="DE155">SUMPRODUCT(($B$2:$B$126=5)*(DE$2:DE$126&gt;=0)*(DE$2:DE$126&lt;=12)*(DE$2:DE$126&lt;&gt;"")*($J$2:$J$126))</f>
        <v>0</v>
      </c>
      <c r="DF155" s="79" cm="1">
        <f t="array" ref="DF155">SUMPRODUCT(($B$2:$B$126=5)*(DF$2:DF$126&gt;=0)*(DF$2:DF$126&lt;=12)*(DF$2:DF$126&lt;&gt;"")*($J$2:$J$126))</f>
        <v>0</v>
      </c>
      <c r="DG155" s="79" cm="1">
        <f t="array" ref="DG155">SUMPRODUCT(($B$2:$B$126=5)*(DG$2:DG$126&gt;=0)*(DG$2:DG$126&lt;=12)*(DG$2:DG$126&lt;&gt;"")*($J$2:$J$126))</f>
        <v>0</v>
      </c>
      <c r="DH155" s="79" cm="1">
        <f t="array" ref="DH155">SUMPRODUCT(($B$2:$B$126=5)*(DH$2:DH$126&gt;=0)*(DH$2:DH$126&lt;=12)*(DH$2:DH$126&lt;&gt;"")*($J$2:$J$126))</f>
        <v>0</v>
      </c>
      <c r="DI155" s="79" cm="1">
        <f t="array" ref="DI155">SUMPRODUCT(($B$2:$B$126=5)*(DI$2:DI$126&gt;=0)*(DI$2:DI$126&lt;=12)*(DI$2:DI$126&lt;&gt;"")*($J$2:$J$126))</f>
        <v>0</v>
      </c>
      <c r="DJ155" s="79" cm="1">
        <f t="array" ref="DJ155">SUMPRODUCT(($B$2:$B$126=5)*(DJ$2:DJ$126&gt;=0)*(DJ$2:DJ$126&lt;=12)*(DJ$2:DJ$126&lt;&gt;"")*($J$2:$J$126))</f>
        <v>0</v>
      </c>
      <c r="DK155" s="79" cm="1">
        <f t="array" ref="DK155">SUMPRODUCT(($B$2:$B$126=5)*(DK$2:DK$126&gt;=0)*(DK$2:DK$126&lt;=12)*(DK$2:DK$126&lt;&gt;"")*($J$2:$J$126))</f>
        <v>0</v>
      </c>
      <c r="DL155" s="79" cm="1">
        <f t="array" ref="DL155">SUMPRODUCT(($B$2:$B$126=5)*(DL$2:DL$126&gt;=0)*(DL$2:DL$126&lt;=12)*(DL$2:DL$126&lt;&gt;"")*($J$2:$J$126))</f>
        <v>0</v>
      </c>
      <c r="DM155" s="79" cm="1">
        <f t="array" ref="DM155">SUMPRODUCT(($B$2:$B$126=5)*(DM$2:DM$126&gt;=0)*(DM$2:DM$126&lt;=12)*(DM$2:DM$126&lt;&gt;"")*($J$2:$J$126))</f>
        <v>0</v>
      </c>
      <c r="DN155" s="79" cm="1">
        <f t="array" ref="DN155">SUMPRODUCT(($B$2:$B$126=5)*(DN$2:DN$126&gt;=0)*(DN$2:DN$126&lt;=12)*(DN$2:DN$126&lt;&gt;"")*($J$2:$J$126))</f>
        <v>0</v>
      </c>
      <c r="DO155" s="79" cm="1">
        <f t="array" ref="DO155">SUMPRODUCT(($B$2:$B$126=5)*(DO$2:DO$126&gt;=0)*(DO$2:DO$126&lt;=12)*(DO$2:DO$126&lt;&gt;"")*($J$2:$J$126))</f>
        <v>0</v>
      </c>
      <c r="DP155" s="79" cm="1">
        <f t="array" ref="DP155">SUMPRODUCT(($B$2:$B$126=5)*(DP$2:DP$126&gt;=0)*(DP$2:DP$126&lt;=12)*(DP$2:DP$126&lt;&gt;"")*($J$2:$J$126))</f>
        <v>0</v>
      </c>
      <c r="DQ155" s="79" cm="1">
        <f t="array" ref="DQ155">SUMPRODUCT(($B$2:$B$126=5)*(DQ$2:DQ$126&gt;=0)*(DQ$2:DQ$126&lt;=12)*(DQ$2:DQ$126&lt;&gt;"")*($J$2:$J$126))</f>
        <v>0</v>
      </c>
      <c r="DR155" s="79" cm="1">
        <f t="array" ref="DR155">SUMPRODUCT(($B$2:$B$126=5)*(DR$2:DR$126&gt;=0)*(DR$2:DR$126&lt;=12)*(DR$2:DR$126&lt;&gt;"")*($J$2:$J$126))</f>
        <v>0</v>
      </c>
      <c r="DS155" s="79" cm="1">
        <f t="array" ref="DS155">SUMPRODUCT(($B$2:$B$126=5)*(DS$2:DS$126&gt;=0)*(DS$2:DS$126&lt;=12)*(DS$2:DS$126&lt;&gt;"")*($J$2:$J$126))</f>
        <v>0</v>
      </c>
      <c r="DT155" s="79" cm="1">
        <f t="array" ref="DT155">SUMPRODUCT(($B$2:$B$126=5)*(DT$2:DT$126&gt;=0)*(DT$2:DT$126&lt;=12)*(DT$2:DT$126&lt;&gt;"")*($J$2:$J$126))</f>
        <v>0</v>
      </c>
      <c r="DU155" s="79" cm="1">
        <f t="array" ref="DU155">SUMPRODUCT(($B$2:$B$126=5)*(DU$2:DU$126&gt;=0)*(DU$2:DU$126&lt;=12)*(DU$2:DU$126&lt;&gt;"")*($J$2:$J$126))</f>
        <v>0</v>
      </c>
      <c r="DV155" s="79" cm="1">
        <f t="array" ref="DV155">SUMPRODUCT(($B$2:$B$126=5)*(DV$2:DV$126&gt;=0)*(DV$2:DV$126&lt;=12)*(DV$2:DV$126&lt;&gt;"")*($J$2:$J$126))</f>
        <v>0</v>
      </c>
      <c r="DW155" s="79" cm="1">
        <f t="array" ref="DW155">SUMPRODUCT(($B$2:$B$126=5)*(DW$2:DW$126&gt;=0)*(DW$2:DW$126&lt;=12)*(DW$2:DW$126&lt;&gt;"")*($J$2:$J$126))</f>
        <v>0</v>
      </c>
      <c r="DX155" s="79" cm="1">
        <f t="array" ref="DX155">SUMPRODUCT(($B$2:$B$126=5)*(DX$2:DX$126&gt;=0)*(DX$2:DX$126&lt;=12)*(DX$2:DX$126&lt;&gt;"")*($J$2:$J$126))</f>
        <v>0</v>
      </c>
      <c r="DY155" s="79" cm="1">
        <f t="array" ref="DY155">SUMPRODUCT(($B$2:$B$126=5)*(DY$2:DY$126&gt;=0)*(DY$2:DY$126&lt;=12)*(DY$2:DY$126&lt;&gt;"")*($J$2:$J$126))</f>
        <v>0</v>
      </c>
      <c r="DZ155" s="79" cm="1">
        <f t="array" ref="DZ155">SUMPRODUCT(($B$2:$B$126=5)*(DZ$2:DZ$126&gt;=0)*(DZ$2:DZ$126&lt;=12)*(DZ$2:DZ$126&lt;&gt;"")*($J$2:$J$126))</f>
        <v>0</v>
      </c>
      <c r="EA155" s="79" cm="1">
        <f t="array" ref="EA155">SUMPRODUCT(($B$2:$B$126=5)*(EA$2:EA$126&gt;=0)*(EA$2:EA$126&lt;=12)*(EA$2:EA$126&lt;&gt;"")*($J$2:$J$126))</f>
        <v>0</v>
      </c>
      <c r="EB155" s="79" cm="1">
        <f t="array" ref="EB155">SUMPRODUCT(($B$2:$B$126=5)*(EB$2:EB$126&gt;=0)*(EB$2:EB$126&lt;=12)*(EB$2:EB$126&lt;&gt;"")*($J$2:$J$126))</f>
        <v>0</v>
      </c>
      <c r="EC155" s="79" cm="1">
        <f t="array" ref="EC155">SUMPRODUCT(($B$2:$B$126=5)*(EC$2:EC$126&gt;=0)*(EC$2:EC$126&lt;=12)*(EC$2:EC$126&lt;&gt;"")*($J$2:$J$126))</f>
        <v>0</v>
      </c>
      <c r="ED155" s="79" cm="1">
        <f t="array" ref="ED155">SUMPRODUCT(($B$2:$B$126=5)*(ED$2:ED$126&gt;=0)*(ED$2:ED$126&lt;=12)*(ED$2:ED$126&lt;&gt;"")*($J$2:$J$126))</f>
        <v>0</v>
      </c>
      <c r="EE155" s="79" cm="1">
        <f t="array" ref="EE155">SUMPRODUCT(($B$2:$B$126=5)*(EE$2:EE$126&gt;=0)*(EE$2:EE$126&lt;=12)*(EE$2:EE$126&lt;&gt;"")*($J$2:$J$126))</f>
        <v>0</v>
      </c>
      <c r="EF155" s="79" cm="1">
        <f t="array" ref="EF155">SUMPRODUCT(($B$2:$B$126=5)*(EF$2:EF$126&gt;=0)*(EF$2:EF$126&lt;=12)*(EF$2:EF$126&lt;&gt;"")*($J$2:$J$126))</f>
        <v>0</v>
      </c>
      <c r="EG155" s="79" cm="1">
        <f t="array" ref="EG155">SUMPRODUCT(($B$2:$B$126=5)*(EG$2:EG$126&gt;=0)*(EG$2:EG$126&lt;=12)*(EG$2:EG$126&lt;&gt;"")*($J$2:$J$126))</f>
        <v>0</v>
      </c>
      <c r="EH155" s="79" cm="1">
        <f t="array" ref="EH155">SUMPRODUCT(($B$2:$B$126=5)*(EH$2:EH$126&gt;=0)*(EH$2:EH$126&lt;=12)*(EH$2:EH$126&lt;&gt;"")*($J$2:$J$126))</f>
        <v>0</v>
      </c>
      <c r="EI155" s="79" cm="1">
        <f t="array" ref="EI155">SUMPRODUCT(($B$2:$B$126=5)*(EI$2:EI$126&gt;=0)*(EI$2:EI$126&lt;=12)*(EI$2:EI$126&lt;&gt;"")*($J$2:$J$126))</f>
        <v>0</v>
      </c>
      <c r="EJ155" s="79" cm="1">
        <f t="array" ref="EJ155">SUMPRODUCT(($B$2:$B$126=5)*(EJ$2:EJ$126&gt;=0)*(EJ$2:EJ$126&lt;=12)*(EJ$2:EJ$126&lt;&gt;"")*($J$2:$J$126))</f>
        <v>0</v>
      </c>
      <c r="EK155" s="79" cm="1">
        <f t="array" ref="EK155">SUMPRODUCT(($B$2:$B$126=5)*(EK$2:EK$126&gt;=0)*(EK$2:EK$126&lt;=12)*(EK$2:EK$126&lt;&gt;"")*($J$2:$J$126))</f>
        <v>0</v>
      </c>
      <c r="EL155" s="79" cm="1">
        <f t="array" ref="EL155">SUMPRODUCT(($B$2:$B$126=5)*(EL$2:EL$126&gt;=0)*(EL$2:EL$126&lt;=12)*(EL$2:EL$126&lt;&gt;"")*($J$2:$J$126))</f>
        <v>0</v>
      </c>
      <c r="EM155" s="79" cm="1">
        <f t="array" ref="EM155">SUMPRODUCT(($B$2:$B$126=5)*(EM$2:EM$126&gt;=0)*(EM$2:EM$126&lt;=12)*(EM$2:EM$126&lt;&gt;"")*($J$2:$J$126))</f>
        <v>0</v>
      </c>
      <c r="EN155" s="79" cm="1">
        <f t="array" ref="EN155">SUMPRODUCT(($B$2:$B$126=5)*(EN$2:EN$126&gt;=0)*(EN$2:EN$126&lt;=12)*(EN$2:EN$126&lt;&gt;"")*($J$2:$J$126))</f>
        <v>0</v>
      </c>
      <c r="EO155" s="79" cm="1">
        <f t="array" ref="EO155">SUMPRODUCT(($B$2:$B$126=5)*(EO$2:EO$126&gt;=0)*(EO$2:EO$126&lt;=12)*(EO$2:EO$126&lt;&gt;"")*($J$2:$J$126))</f>
        <v>0</v>
      </c>
      <c r="EP155" s="79" cm="1">
        <f t="array" ref="EP155">SUMPRODUCT(($B$2:$B$126=5)*(EP$2:EP$126&gt;=0)*(EP$2:EP$126&lt;=12)*(EP$2:EP$126&lt;&gt;"")*($J$2:$J$126))</f>
        <v>0</v>
      </c>
      <c r="EQ155" s="79" cm="1">
        <f t="array" ref="EQ155">SUMPRODUCT(($B$2:$B$126=5)*(EQ$2:EQ$126&gt;=0)*(EQ$2:EQ$126&lt;=12)*(EQ$2:EQ$126&lt;&gt;"")*($J$2:$J$126))</f>
        <v>0</v>
      </c>
      <c r="ER155" s="79" cm="1">
        <f t="array" ref="ER155">SUMPRODUCT(($B$2:$B$126=5)*(ER$2:ER$126&gt;=0)*(ER$2:ER$126&lt;=12)*(ER$2:ER$126&lt;&gt;"")*($J$2:$J$126))</f>
        <v>0</v>
      </c>
      <c r="ES155" s="79" cm="1">
        <f t="array" ref="ES155">SUMPRODUCT(($B$2:$B$126=5)*(ES$2:ES$126&gt;=0)*(ES$2:ES$126&lt;=12)*(ES$2:ES$126&lt;&gt;"")*($J$2:$J$126))</f>
        <v>0</v>
      </c>
      <c r="ET155" s="79" cm="1">
        <f t="array" ref="ET155">SUMPRODUCT(($B$2:$B$126=5)*(ET$2:ET$126&gt;=0)*(ET$2:ET$126&lt;=12)*(ET$2:ET$126&lt;&gt;"")*($J$2:$J$126))</f>
        <v>0</v>
      </c>
      <c r="EU155" s="79" cm="1">
        <f t="array" ref="EU155">SUMPRODUCT(($B$2:$B$126=5)*(EU$2:EU$126&gt;=0)*(EU$2:EU$126&lt;=12)*(EU$2:EU$126&lt;&gt;"")*($J$2:$J$126))</f>
        <v>0</v>
      </c>
      <c r="EV155" s="79" cm="1">
        <f t="array" ref="EV155">SUMPRODUCT(($B$2:$B$126=5)*(EV$2:EV$126&gt;=0)*(EV$2:EV$126&lt;=12)*(EV$2:EV$126&lt;&gt;"")*($J$2:$J$126))</f>
        <v>0</v>
      </c>
      <c r="EW155" s="79" cm="1">
        <f t="array" ref="EW155">SUMPRODUCT(($B$2:$B$126=5)*(EW$2:EW$126&gt;=0)*(EW$2:EW$126&lt;=12)*(EW$2:EW$126&lt;&gt;"")*($J$2:$J$126))</f>
        <v>0</v>
      </c>
      <c r="EX155" s="79" cm="1">
        <f t="array" ref="EX155">SUMPRODUCT(($B$2:$B$126=5)*(EX$2:EX$126&gt;=0)*(EX$2:EX$126&lt;=12)*(EX$2:EX$126&lt;&gt;"")*($J$2:$J$126))</f>
        <v>0</v>
      </c>
      <c r="EY155" s="79" cm="1">
        <f t="array" ref="EY155">SUMPRODUCT(($B$2:$B$126=5)*(EY$2:EY$126&gt;=0)*(EY$2:EY$126&lt;=12)*(EY$2:EY$126&lt;&gt;"")*($J$2:$J$126))</f>
        <v>0</v>
      </c>
      <c r="EZ155" s="79" cm="1">
        <f t="array" ref="EZ155">SUMPRODUCT(($B$2:$B$126=5)*(EZ$2:EZ$126&gt;=0)*(EZ$2:EZ$126&lt;=12)*(EZ$2:EZ$126&lt;&gt;"")*($J$2:$J$126))</f>
        <v>0</v>
      </c>
      <c r="FA155" s="79" cm="1">
        <f t="array" ref="FA155">SUMPRODUCT(($B$2:$B$126=5)*(FA$2:FA$126&gt;=0)*(FA$2:FA$126&lt;=12)*(FA$2:FA$126&lt;&gt;"")*($J$2:$J$126))</f>
        <v>0</v>
      </c>
      <c r="FB155" s="79" cm="1">
        <f t="array" ref="FB155">SUMPRODUCT(($B$2:$B$126=5)*(FB$2:FB$126&gt;=0)*(FB$2:FB$126&lt;=12)*(FB$2:FB$126&lt;&gt;"")*($J$2:$J$126))</f>
        <v>0</v>
      </c>
      <c r="FC155" s="79" cm="1">
        <f t="array" ref="FC155">SUMPRODUCT(($B$2:$B$126=5)*(FC$2:FC$126&gt;=0)*(FC$2:FC$126&lt;=12)*(FC$2:FC$126&lt;&gt;"")*($J$2:$J$126))</f>
        <v>0</v>
      </c>
      <c r="FD155" s="79" cm="1">
        <f t="array" ref="FD155">SUMPRODUCT(($B$2:$B$126=5)*(FD$2:FD$126&gt;=0)*(FD$2:FD$126&lt;=12)*(FD$2:FD$126&lt;&gt;"")*($J$2:$J$126))</f>
        <v>0</v>
      </c>
      <c r="FE155" s="79" cm="1">
        <f t="array" ref="FE155">SUMPRODUCT(($B$2:$B$126=5)*(FE$2:FE$126&gt;=0)*(FE$2:FE$126&lt;=12)*(FE$2:FE$126&lt;&gt;"")*($J$2:$J$126))</f>
        <v>0</v>
      </c>
      <c r="FF155" s="79" cm="1">
        <f t="array" ref="FF155">SUMPRODUCT(($B$2:$B$126=5)*(FF$2:FF$126&gt;=0)*(FF$2:FF$126&lt;=12)*(FF$2:FF$126&lt;&gt;"")*($J$2:$J$126))</f>
        <v>0</v>
      </c>
      <c r="FG155" s="79" cm="1">
        <f t="array" ref="FG155">SUMPRODUCT(($B$2:$B$126=5)*(FG$2:FG$126&gt;=0)*(FG$2:FG$126&lt;=12)*(FG$2:FG$126&lt;&gt;"")*($J$2:$J$126))</f>
        <v>0</v>
      </c>
      <c r="FH155" s="79" cm="1">
        <f t="array" ref="FH155">SUMPRODUCT(($B$2:$B$126=5)*(FH$2:FH$126&gt;=0)*(FH$2:FH$126&lt;=12)*(FH$2:FH$126&lt;&gt;"")*($J$2:$J$126))</f>
        <v>0</v>
      </c>
      <c r="FI155" s="79" cm="1">
        <f t="array" ref="FI155">SUMPRODUCT(($B$2:$B$126=5)*(FI$2:FI$126&gt;=0)*(FI$2:FI$126&lt;=12)*(FI$2:FI$126&lt;&gt;"")*($J$2:$J$126))</f>
        <v>0</v>
      </c>
      <c r="FJ155" s="79" cm="1">
        <f t="array" ref="FJ155">SUMPRODUCT(($B$2:$B$126=5)*(FJ$2:FJ$126&gt;=0)*(FJ$2:FJ$126&lt;=12)*(FJ$2:FJ$126&lt;&gt;"")*($J$2:$J$126))</f>
        <v>0</v>
      </c>
      <c r="FK155" s="79" cm="1">
        <f t="array" ref="FK155">SUMPRODUCT(($B$2:$B$126=5)*(FK$2:FK$126&gt;=0)*(FK$2:FK$126&lt;=12)*(FK$2:FK$126&lt;&gt;"")*($J$2:$J$126))</f>
        <v>0</v>
      </c>
      <c r="FL155" s="79" cm="1">
        <f t="array" ref="FL155">SUMPRODUCT(($B$2:$B$126=5)*(FL$2:FL$126&gt;=0)*(FL$2:FL$126&lt;=12)*(FL$2:FL$126&lt;&gt;"")*($J$2:$J$126))</f>
        <v>0</v>
      </c>
      <c r="FM155" s="79" cm="1">
        <f t="array" ref="FM155">SUMPRODUCT(($B$2:$B$126=5)*(FM$2:FM$126&gt;=0)*(FM$2:FM$126&lt;=12)*(FM$2:FM$126&lt;&gt;"")*($J$2:$J$126))</f>
        <v>0</v>
      </c>
      <c r="FN155" s="79" cm="1">
        <f t="array" ref="FN155">SUMPRODUCT(($B$2:$B$126=5)*(FN$2:FN$126&gt;=0)*(FN$2:FN$126&lt;=12)*(FN$2:FN$126&lt;&gt;"")*($J$2:$J$126))</f>
        <v>0</v>
      </c>
      <c r="FO155" s="79" cm="1">
        <f t="array" ref="FO155">SUMPRODUCT(($B$2:$B$126=5)*(FO$2:FO$126&gt;=0)*(FO$2:FO$126&lt;=12)*(FO$2:FO$126&lt;&gt;"")*($J$2:$J$126))</f>
        <v>0</v>
      </c>
      <c r="FP155" s="79" cm="1">
        <f t="array" ref="FP155">SUMPRODUCT(($B$2:$B$126=5)*(FP$2:FP$126&gt;=0)*(FP$2:FP$126&lt;=12)*(FP$2:FP$126&lt;&gt;"")*($J$2:$J$126))</f>
        <v>0</v>
      </c>
      <c r="FQ155" s="79" cm="1">
        <f t="array" ref="FQ155">SUMPRODUCT(($B$2:$B$126=5)*(FQ$2:FQ$126&gt;=0)*(FQ$2:FQ$126&lt;=12)*(FQ$2:FQ$126&lt;&gt;"")*($J$2:$J$126))</f>
        <v>0</v>
      </c>
      <c r="FR155" s="79" cm="1">
        <f t="array" ref="FR155">SUMPRODUCT(($B$2:$B$126=5)*(FR$2:FR$126&gt;=0)*(FR$2:FR$126&lt;=12)*(FR$2:FR$126&lt;&gt;"")*($J$2:$J$126))</f>
        <v>0</v>
      </c>
      <c r="FS155" s="79" cm="1">
        <f t="array" ref="FS155">SUMPRODUCT(($B$2:$B$126=5)*(FS$2:FS$126&gt;=0)*(FS$2:FS$126&lt;=12)*(FS$2:FS$126&lt;&gt;"")*($J$2:$J$126))</f>
        <v>0</v>
      </c>
      <c r="FT155" s="79" cm="1">
        <f t="array" ref="FT155">SUMPRODUCT(($B$2:$B$126=5)*(FT$2:FT$126&gt;=0)*(FT$2:FT$126&lt;=12)*(FT$2:FT$126&lt;&gt;"")*($J$2:$J$126))</f>
        <v>0</v>
      </c>
      <c r="FU155" s="79" cm="1">
        <f t="array" ref="FU155">SUMPRODUCT(($B$2:$B$126=5)*(FU$2:FU$126&gt;=0)*(FU$2:FU$126&lt;=12)*(FU$2:FU$126&lt;&gt;"")*($J$2:$J$126))</f>
        <v>0</v>
      </c>
      <c r="FV155" s="79" cm="1">
        <f t="array" ref="FV155">SUMPRODUCT(($B$2:$B$126=5)*(FV$2:FV$126&gt;=0)*(FV$2:FV$126&lt;=12)*(FV$2:FV$126&lt;&gt;"")*($J$2:$J$126))</f>
        <v>0</v>
      </c>
      <c r="FW155" s="79" cm="1">
        <f t="array" ref="FW155">SUMPRODUCT(($B$2:$B$126=5)*(FW$2:FW$126&gt;=0)*(FW$2:FW$126&lt;=12)*(FW$2:FW$126&lt;&gt;"")*($J$2:$J$126))</f>
        <v>0</v>
      </c>
      <c r="FX155" s="79" cm="1">
        <f t="array" ref="FX155">SUMPRODUCT(($B$2:$B$126=5)*(FX$2:FX$126&gt;=0)*(FX$2:FX$126&lt;=12)*(FX$2:FX$126&lt;&gt;"")*($J$2:$J$126))</f>
        <v>0</v>
      </c>
      <c r="FY155" s="79" cm="1">
        <f t="array" ref="FY155">SUMPRODUCT(($B$2:$B$126=5)*(FY$2:FY$126&gt;=0)*(FY$2:FY$126&lt;=12)*(FY$2:FY$126&lt;&gt;"")*($J$2:$J$126))</f>
        <v>0</v>
      </c>
      <c r="FZ155" s="79" cm="1">
        <f t="array" ref="FZ155">SUMPRODUCT(($B$2:$B$126=5)*(FZ$2:FZ$126&gt;=0)*(FZ$2:FZ$126&lt;=12)*(FZ$2:FZ$126&lt;&gt;"")*($J$2:$J$126))</f>
        <v>0</v>
      </c>
      <c r="GA155" s="79" cm="1">
        <f t="array" ref="GA155">SUMPRODUCT(($B$2:$B$126=5)*(GA$2:GA$126&gt;=0)*(GA$2:GA$126&lt;=12)*(GA$2:GA$126&lt;&gt;"")*($J$2:$J$126))</f>
        <v>0</v>
      </c>
      <c r="GB155" s="79" cm="1">
        <f t="array" ref="GB155">SUMPRODUCT(($B$2:$B$126=5)*(GB$2:GB$126&gt;=0)*(GB$2:GB$126&lt;=12)*(GB$2:GB$126&lt;&gt;"")*($J$2:$J$126))</f>
        <v>0</v>
      </c>
      <c r="GC155" s="79" cm="1">
        <f t="array" ref="GC155">SUMPRODUCT(($B$2:$B$126=5)*(GC$2:GC$126&gt;=0)*(GC$2:GC$126&lt;=12)*(GC$2:GC$126&lt;&gt;"")*($J$2:$J$126))</f>
        <v>0</v>
      </c>
      <c r="GD155" s="79" cm="1">
        <f t="array" ref="GD155">SUMPRODUCT(($B$2:$B$126=5)*(GD$2:GD$126&gt;=0)*(GD$2:GD$126&lt;=12)*(GD$2:GD$126&lt;&gt;"")*($J$2:$J$126))</f>
        <v>0</v>
      </c>
      <c r="GE155" s="79" cm="1">
        <f t="array" ref="GE155">SUMPRODUCT(($B$2:$B$126=5)*(GE$2:GE$126&gt;=0)*(GE$2:GE$126&lt;=12)*(GE$2:GE$126&lt;&gt;"")*($J$2:$J$126))</f>
        <v>0</v>
      </c>
      <c r="GF155" s="79" cm="1">
        <f t="array" ref="GF155">SUMPRODUCT(($B$2:$B$126=5)*(GF$2:GF$126&gt;=0)*(GF$2:GF$126&lt;=12)*(GF$2:GF$126&lt;&gt;"")*($J$2:$J$126))</f>
        <v>0</v>
      </c>
      <c r="GG155" s="79" cm="1">
        <f t="array" ref="GG155">SUMPRODUCT(($B$2:$B$126=5)*(GG$2:GG$126&gt;=0)*(GG$2:GG$126&lt;=12)*(GG$2:GG$126&lt;&gt;"")*($J$2:$J$126))</f>
        <v>0</v>
      </c>
      <c r="GH155" s="79" cm="1">
        <f t="array" ref="GH155">SUMPRODUCT(($B$2:$B$126=5)*(GH$2:GH$126&gt;=0)*(GH$2:GH$126&lt;=12)*(GH$2:GH$126&lt;&gt;"")*($J$2:$J$126))</f>
        <v>0</v>
      </c>
      <c r="GI155" s="79" cm="1">
        <f t="array" ref="GI155">SUMPRODUCT(($B$2:$B$126=5)*(GI$2:GI$126&gt;=0)*(GI$2:GI$126&lt;=12)*(GI$2:GI$126&lt;&gt;"")*($J$2:$J$126))</f>
        <v>0</v>
      </c>
      <c r="GJ155" s="79" cm="1">
        <f t="array" ref="GJ155">SUMPRODUCT(($B$2:$B$126=5)*(GJ$2:GJ$126&gt;=0)*(GJ$2:GJ$126&lt;=12)*(GJ$2:GJ$126&lt;&gt;"")*($J$2:$J$126))</f>
        <v>0</v>
      </c>
      <c r="GK155" s="79" cm="1">
        <f t="array" ref="GK155">SUMPRODUCT(($B$2:$B$126=5)*(GK$2:GK$126&gt;=0)*(GK$2:GK$126&lt;=12)*(GK$2:GK$126&lt;&gt;"")*($J$2:$J$126))</f>
        <v>0</v>
      </c>
      <c r="GL155" s="79" cm="1">
        <f t="array" ref="GL155">SUMPRODUCT(($B$2:$B$126=5)*(GL$2:GL$126&gt;=0)*(GL$2:GL$126&lt;=12)*(GL$2:GL$126&lt;&gt;"")*($J$2:$J$126))</f>
        <v>0</v>
      </c>
      <c r="GM155" s="79" cm="1">
        <f t="array" ref="GM155">SUMPRODUCT(($B$2:$B$126=5)*(GM$2:GM$126&gt;=0)*(GM$2:GM$126&lt;=12)*(GM$2:GM$126&lt;&gt;"")*($J$2:$J$126))</f>
        <v>0</v>
      </c>
      <c r="GN155" s="79" cm="1">
        <f t="array" ref="GN155">SUMPRODUCT(($B$2:$B$126=5)*(GN$2:GN$126&gt;=0)*(GN$2:GN$126&lt;=12)*(GN$2:GN$126&lt;&gt;"")*($J$2:$J$126))</f>
        <v>0</v>
      </c>
      <c r="GO155" s="79" cm="1">
        <f t="array" ref="GO155">SUMPRODUCT(($B$2:$B$126=5)*(GO$2:GO$126&gt;=0)*(GO$2:GO$126&lt;=12)*(GO$2:GO$126&lt;&gt;"")*($J$2:$J$126))</f>
        <v>0</v>
      </c>
      <c r="GP155" s="79" cm="1">
        <f t="array" ref="GP155">SUMPRODUCT(($B$2:$B$126=5)*(GP$2:GP$126&gt;=0)*(GP$2:GP$126&lt;=12)*(GP$2:GP$126&lt;&gt;"")*($J$2:$J$126))</f>
        <v>0</v>
      </c>
      <c r="GQ155" s="79" cm="1">
        <f t="array" ref="GQ155">SUMPRODUCT(($B$2:$B$126=5)*(GQ$2:GQ$126&gt;=0)*(GQ$2:GQ$126&lt;=12)*(GQ$2:GQ$126&lt;&gt;"")*($J$2:$J$126))</f>
        <v>0</v>
      </c>
      <c r="GR155" s="79" cm="1">
        <f t="array" ref="GR155">SUMPRODUCT(($B$2:$B$126=5)*(GR$2:GR$126&gt;=0)*(GR$2:GR$126&lt;=12)*(GR$2:GR$126&lt;&gt;"")*($J$2:$J$126))</f>
        <v>0</v>
      </c>
      <c r="GS155" s="79" cm="1">
        <f t="array" ref="GS155">SUMPRODUCT(($B$2:$B$126=5)*(GS$2:GS$126&gt;=0)*(GS$2:GS$126&lt;=12)*(GS$2:GS$126&lt;&gt;"")*($J$2:$J$126))</f>
        <v>0</v>
      </c>
      <c r="GT155" s="79" cm="1">
        <f t="array" ref="GT155">SUMPRODUCT(($B$2:$B$126=5)*(GT$2:GT$126&gt;=0)*(GT$2:GT$126&lt;=12)*(GT$2:GT$126&lt;&gt;"")*($J$2:$J$126))</f>
        <v>0</v>
      </c>
      <c r="GU155" s="79" cm="1">
        <f t="array" ref="GU155">SUMPRODUCT(($B$2:$B$126=5)*(GU$2:GU$126&gt;=0)*(GU$2:GU$126&lt;=12)*(GU$2:GU$126&lt;&gt;"")*($J$2:$J$126))</f>
        <v>0</v>
      </c>
      <c r="GV155" s="79" cm="1">
        <f t="array" ref="GV155">SUMPRODUCT(($B$2:$B$126=5)*(GV$2:GV$126&gt;=0)*(GV$2:GV$126&lt;=12)*(GV$2:GV$126&lt;&gt;"")*($J$2:$J$126))</f>
        <v>0</v>
      </c>
      <c r="GW155" s="79" cm="1">
        <f t="array" ref="GW155">SUMPRODUCT(($B$2:$B$126=5)*(GW$2:GW$126&gt;=0)*(GW$2:GW$126&lt;=12)*(GW$2:GW$126&lt;&gt;"")*($J$2:$J$126))</f>
        <v>0</v>
      </c>
      <c r="GX155" s="79" cm="1">
        <f t="array" ref="GX155">SUMPRODUCT(($B$2:$B$126=5)*(GX$2:GX$126&gt;=0)*(GX$2:GX$126&lt;=12)*(GX$2:GX$126&lt;&gt;"")*($J$2:$J$126))</f>
        <v>0</v>
      </c>
    </row>
    <row r="156" spans="1:206" x14ac:dyDescent="0.2">
      <c r="A156" s="84">
        <v>5</v>
      </c>
      <c r="B156" s="84" t="s">
        <v>255</v>
      </c>
      <c r="W156" s="79" cm="1">
        <f t="array" ref="W156">SUMPRODUCT(($B$2:$B$126=5)*(W$2:W$126&gt;=13)*(W$2:W$126&lt;=17)*(W$2:W$126&lt;&gt;"")*($J$2:$J$126))</f>
        <v>11</v>
      </c>
      <c r="X156" s="79" cm="1">
        <f t="array" ref="X156">SUMPRODUCT(($B$2:$B$126=5)*(X$2:X$126&gt;=13)*(X$2:X$126&lt;=17)*(X$2:X$126&lt;&gt;"")*($J$2:$J$126))</f>
        <v>11</v>
      </c>
      <c r="Y156" s="79" cm="1">
        <f t="array" ref="Y156">SUMPRODUCT(($B$2:$B$126=5)*(Y$2:Y$126&gt;=13)*(Y$2:Y$126&lt;=17)*(Y$2:Y$126&lt;&gt;"")*($J$2:$J$126))</f>
        <v>11</v>
      </c>
      <c r="Z156" s="79" cm="1">
        <f t="array" ref="Z156">SUMPRODUCT(($B$2:$B$126=5)*(Z$2:Z$126&gt;=13)*(Z$2:Z$126&lt;=17)*(Z$2:Z$126&lt;&gt;"")*($J$2:$J$126))</f>
        <v>11</v>
      </c>
      <c r="AA156" s="79" cm="1">
        <f t="array" ref="AA156">SUMPRODUCT(($B$2:$B$126=5)*(AA$2:AA$126&gt;=13)*(AA$2:AA$126&lt;=17)*(AA$2:AA$126&lt;&gt;"")*($J$2:$J$126))</f>
        <v>0</v>
      </c>
      <c r="AB156" s="79" cm="1">
        <f t="array" ref="AB156">SUMPRODUCT(($B$2:$B$126=5)*(AB$2:AB$126&gt;=13)*(AB$2:AB$126&lt;=17)*(AB$2:AB$126&lt;&gt;"")*($J$2:$J$126))</f>
        <v>0</v>
      </c>
      <c r="AC156" s="79" cm="1">
        <f t="array" ref="AC156">SUMPRODUCT(($B$2:$B$126=5)*(AC$2:AC$126&gt;=13)*(AC$2:AC$126&lt;=17)*(AC$2:AC$126&lt;&gt;"")*($J$2:$J$126))</f>
        <v>0</v>
      </c>
      <c r="AD156" s="79" cm="1">
        <f t="array" ref="AD156">SUMPRODUCT(($B$2:$B$126=5)*(AD$2:AD$126&gt;=13)*(AD$2:AD$126&lt;=17)*(AD$2:AD$126&lt;&gt;"")*($J$2:$J$126))</f>
        <v>0</v>
      </c>
      <c r="AE156" s="79" cm="1">
        <f t="array" ref="AE156">SUMPRODUCT(($B$2:$B$126=5)*(AE$2:AE$126&gt;=13)*(AE$2:AE$126&lt;=17)*(AE$2:AE$126&lt;&gt;"")*($J$2:$J$126))</f>
        <v>0</v>
      </c>
      <c r="AF156" s="79" cm="1">
        <f t="array" ref="AF156">SUMPRODUCT(($B$2:$B$126=5)*(AF$2:AF$126&gt;=13)*(AF$2:AF$126&lt;=17)*(AF$2:AF$126&lt;&gt;"")*($J$2:$J$126))</f>
        <v>0</v>
      </c>
      <c r="AG156" s="79" cm="1">
        <f t="array" ref="AG156">SUMPRODUCT(($B$2:$B$126=5)*(AG$2:AG$126&gt;=13)*(AG$2:AG$126&lt;=17)*(AG$2:AG$126&lt;&gt;"")*($J$2:$J$126))</f>
        <v>0</v>
      </c>
      <c r="AH156" s="79" cm="1">
        <f t="array" ref="AH156">SUMPRODUCT(($B$2:$B$126=5)*(AH$2:AH$126&gt;=13)*(AH$2:AH$126&lt;=17)*(AH$2:AH$126&lt;&gt;"")*($J$2:$J$126))</f>
        <v>0</v>
      </c>
      <c r="AI156" s="79" cm="1">
        <f t="array" ref="AI156">SUMPRODUCT(($B$2:$B$126=5)*(AI$2:AI$126&gt;=13)*(AI$2:AI$126&lt;=17)*(AI$2:AI$126&lt;&gt;"")*($J$2:$J$126))</f>
        <v>0</v>
      </c>
      <c r="AJ156" s="79" cm="1">
        <f t="array" ref="AJ156">SUMPRODUCT(($B$2:$B$126=5)*(AJ$2:AJ$126&gt;=13)*(AJ$2:AJ$126&lt;=17)*(AJ$2:AJ$126&lt;&gt;"")*($J$2:$J$126))</f>
        <v>0</v>
      </c>
      <c r="AK156" s="79" cm="1">
        <f t="array" ref="AK156">SUMPRODUCT(($B$2:$B$126=5)*(AK$2:AK$126&gt;=13)*(AK$2:AK$126&lt;=17)*(AK$2:AK$126&lt;&gt;"")*($J$2:$J$126))</f>
        <v>0</v>
      </c>
      <c r="AL156" s="79" cm="1">
        <f t="array" ref="AL156">SUMPRODUCT(($B$2:$B$126=5)*(AL$2:AL$126&gt;=13)*(AL$2:AL$126&lt;=17)*(AL$2:AL$126&lt;&gt;"")*($J$2:$J$126))</f>
        <v>19</v>
      </c>
      <c r="AM156" s="79" cm="1">
        <f t="array" ref="AM156">SUMPRODUCT(($B$2:$B$126=5)*(AM$2:AM$126&gt;=13)*(AM$2:AM$126&lt;=17)*(AM$2:AM$126&lt;&gt;"")*($J$2:$J$126))</f>
        <v>19</v>
      </c>
      <c r="AN156" s="79" cm="1">
        <f t="array" ref="AN156">SUMPRODUCT(($B$2:$B$126=5)*(AN$2:AN$126&gt;=13)*(AN$2:AN$126&lt;=17)*(AN$2:AN$126&lt;&gt;"")*($J$2:$J$126))</f>
        <v>19</v>
      </c>
      <c r="AO156" s="79" cm="1">
        <f t="array" ref="AO156">SUMPRODUCT(($B$2:$B$126=5)*(AO$2:AO$126&gt;=13)*(AO$2:AO$126&lt;=17)*(AO$2:AO$126&lt;&gt;"")*($J$2:$J$126))</f>
        <v>36</v>
      </c>
      <c r="AP156" s="79" cm="1">
        <f t="array" ref="AP156">SUMPRODUCT(($B$2:$B$126=5)*(AP$2:AP$126&gt;=13)*(AP$2:AP$126&lt;=17)*(AP$2:AP$126&lt;&gt;"")*($J$2:$J$126))</f>
        <v>36</v>
      </c>
      <c r="AQ156" s="79" cm="1">
        <f t="array" ref="AQ156">SUMPRODUCT(($B$2:$B$126=5)*(AQ$2:AQ$126&gt;=13)*(AQ$2:AQ$126&lt;=17)*(AQ$2:AQ$126&lt;&gt;"")*($J$2:$J$126))</f>
        <v>17</v>
      </c>
      <c r="AR156" s="79" cm="1">
        <f t="array" ref="AR156">SUMPRODUCT(($B$2:$B$126=5)*(AR$2:AR$126&gt;=13)*(AR$2:AR$126&lt;=17)*(AR$2:AR$126&lt;&gt;"")*($J$2:$J$126))</f>
        <v>28</v>
      </c>
      <c r="AS156" s="79" cm="1">
        <f t="array" ref="AS156">SUMPRODUCT(($B$2:$B$126=5)*(AS$2:AS$126&gt;=13)*(AS$2:AS$126&lt;=17)*(AS$2:AS$126&lt;&gt;"")*($J$2:$J$126))</f>
        <v>28</v>
      </c>
      <c r="AT156" s="79" cm="1">
        <f t="array" ref="AT156">SUMPRODUCT(($B$2:$B$126=5)*(AT$2:AT$126&gt;=13)*(AT$2:AT$126&lt;=17)*(AT$2:AT$126&lt;&gt;"")*($J$2:$J$126))</f>
        <v>22</v>
      </c>
      <c r="AU156" s="79" cm="1">
        <f t="array" ref="AU156">SUMPRODUCT(($B$2:$B$126=5)*(AU$2:AU$126&gt;=13)*(AU$2:AU$126&lt;=17)*(AU$2:AU$126&lt;&gt;"")*($J$2:$J$126))</f>
        <v>38</v>
      </c>
      <c r="AV156" s="79" cm="1">
        <f t="array" ref="AV156">SUMPRODUCT(($B$2:$B$126=5)*(AV$2:AV$126&gt;=13)*(AV$2:AV$126&lt;=17)*(AV$2:AV$126&lt;&gt;"")*($J$2:$J$126))</f>
        <v>45</v>
      </c>
      <c r="AW156" s="79" cm="1">
        <f t="array" ref="AW156">SUMPRODUCT(($B$2:$B$126=5)*(AW$2:AW$126&gt;=13)*(AW$2:AW$126&lt;=17)*(AW$2:AW$126&lt;&gt;"")*($J$2:$J$126))</f>
        <v>45</v>
      </c>
      <c r="AX156" s="79" cm="1">
        <f t="array" ref="AX156">SUMPRODUCT(($B$2:$B$126=5)*(AX$2:AX$126&gt;=13)*(AX$2:AX$126&lt;=17)*(AX$2:AX$126&lt;&gt;"")*($J$2:$J$126))</f>
        <v>56</v>
      </c>
      <c r="AY156" s="79" cm="1">
        <f t="array" ref="AY156">SUMPRODUCT(($B$2:$B$126=5)*(AY$2:AY$126&gt;=13)*(AY$2:AY$126&lt;=17)*(AY$2:AY$126&lt;&gt;"")*($J$2:$J$126))</f>
        <v>45</v>
      </c>
      <c r="AZ156" s="79" cm="1">
        <f t="array" ref="AZ156">SUMPRODUCT(($B$2:$B$126=5)*(AZ$2:AZ$126&gt;=13)*(AZ$2:AZ$126&lt;=17)*(AZ$2:AZ$126&lt;&gt;"")*($J$2:$J$126))</f>
        <v>29</v>
      </c>
      <c r="BA156" s="79" cm="1">
        <f t="array" ref="BA156">SUMPRODUCT(($B$2:$B$126=5)*(BA$2:BA$126&gt;=13)*(BA$2:BA$126&lt;=17)*(BA$2:BA$126&lt;&gt;"")*($J$2:$J$126))</f>
        <v>0</v>
      </c>
      <c r="BB156" s="79" cm="1">
        <f t="array" ref="BB156">SUMPRODUCT(($B$2:$B$126=5)*(BB$2:BB$126&gt;=13)*(BB$2:BB$126&lt;=17)*(BB$2:BB$126&lt;&gt;"")*($J$2:$J$126))</f>
        <v>0</v>
      </c>
      <c r="BC156" s="79" cm="1">
        <f t="array" ref="BC156">SUMPRODUCT(($B$2:$B$126=5)*(BC$2:BC$126&gt;=13)*(BC$2:BC$126&lt;=17)*(BC$2:BC$126&lt;&gt;"")*($J$2:$J$126))</f>
        <v>0</v>
      </c>
      <c r="BD156" s="79" cm="1">
        <f t="array" ref="BD156">SUMPRODUCT(($B$2:$B$126=5)*(BD$2:BD$126&gt;=13)*(BD$2:BD$126&lt;=17)*(BD$2:BD$126&lt;&gt;"")*($J$2:$J$126))</f>
        <v>0</v>
      </c>
      <c r="BE156" s="79" cm="1">
        <f t="array" ref="BE156">SUMPRODUCT(($B$2:$B$126=5)*(BE$2:BE$126&gt;=13)*(BE$2:BE$126&lt;=17)*(BE$2:BE$126&lt;&gt;"")*($J$2:$J$126))</f>
        <v>0</v>
      </c>
      <c r="BF156" s="79" cm="1">
        <f t="array" ref="BF156">SUMPRODUCT(($B$2:$B$126=5)*(BF$2:BF$126&gt;=13)*(BF$2:BF$126&lt;=17)*(BF$2:BF$126&lt;&gt;"")*($J$2:$J$126))</f>
        <v>0</v>
      </c>
      <c r="BG156" s="79" cm="1">
        <f t="array" ref="BG156">SUMPRODUCT(($B$2:$B$126=5)*(BG$2:BG$126&gt;=13)*(BG$2:BG$126&lt;=17)*(BG$2:BG$126&lt;&gt;"")*($J$2:$J$126))</f>
        <v>0</v>
      </c>
      <c r="BH156" s="79" cm="1">
        <f t="array" ref="BH156">SUMPRODUCT(($B$2:$B$126=5)*(BH$2:BH$126&gt;=13)*(BH$2:BH$126&lt;=17)*(BH$2:BH$126&lt;&gt;"")*($J$2:$J$126))</f>
        <v>0</v>
      </c>
      <c r="BI156" s="79" cm="1">
        <f t="array" ref="BI156">SUMPRODUCT(($B$2:$B$126=5)*(BI$2:BI$126&gt;=13)*(BI$2:BI$126&lt;=17)*(BI$2:BI$126&lt;&gt;"")*($J$2:$J$126))</f>
        <v>0</v>
      </c>
      <c r="BJ156" s="79" cm="1">
        <f t="array" ref="BJ156">SUMPRODUCT(($B$2:$B$126=5)*(BJ$2:BJ$126&gt;=13)*(BJ$2:BJ$126&lt;=17)*(BJ$2:BJ$126&lt;&gt;"")*($J$2:$J$126))</f>
        <v>84</v>
      </c>
      <c r="BK156" s="79" cm="1">
        <f t="array" ref="BK156">SUMPRODUCT(($B$2:$B$126=5)*(BK$2:BK$126&gt;=13)*(BK$2:BK$126&lt;=17)*(BK$2:BK$126&lt;&gt;"")*($J$2:$J$126))</f>
        <v>84</v>
      </c>
      <c r="BL156" s="79" cm="1">
        <f t="array" ref="BL156">SUMPRODUCT(($B$2:$B$126=5)*(BL$2:BL$126&gt;=13)*(BL$2:BL$126&lt;=17)*(BL$2:BL$126&lt;&gt;"")*($J$2:$J$126))</f>
        <v>78</v>
      </c>
      <c r="BM156" s="79" cm="1">
        <f t="array" ref="BM156">SUMPRODUCT(($B$2:$B$126=5)*(BM$2:BM$126&gt;=13)*(BM$2:BM$126&lt;=17)*(BM$2:BM$126&lt;&gt;"")*($J$2:$J$126))</f>
        <v>88</v>
      </c>
      <c r="BN156" s="79" cm="1">
        <f t="array" ref="BN156">SUMPRODUCT(($B$2:$B$126=5)*(BN$2:BN$126&gt;=13)*(BN$2:BN$126&lt;=17)*(BN$2:BN$126&lt;&gt;"")*($J$2:$J$126))</f>
        <v>136</v>
      </c>
      <c r="BO156" s="79" cm="1">
        <f t="array" ref="BO156">SUMPRODUCT(($B$2:$B$126=5)*(BO$2:BO$126&gt;=13)*(BO$2:BO$126&lt;=17)*(BO$2:BO$126&lt;&gt;"")*($J$2:$J$126))</f>
        <v>103</v>
      </c>
      <c r="BP156" s="79" cm="1">
        <f t="array" ref="BP156">SUMPRODUCT(($B$2:$B$126=5)*(BP$2:BP$126&gt;=13)*(BP$2:BP$126&lt;=17)*(BP$2:BP$126&lt;&gt;"")*($J$2:$J$126))</f>
        <v>103</v>
      </c>
      <c r="BQ156" s="79" cm="1">
        <f t="array" ref="BQ156">SUMPRODUCT(($B$2:$B$126=5)*(BQ$2:BQ$126&gt;=13)*(BQ$2:BQ$126&lt;=17)*(BQ$2:BQ$126&lt;&gt;"")*($J$2:$J$126))</f>
        <v>103</v>
      </c>
      <c r="BR156" s="79" cm="1">
        <f t="array" ref="BR156">SUMPRODUCT(($B$2:$B$126=5)*(BR$2:BR$126&gt;=13)*(BR$2:BR$126&lt;=17)*(BR$2:BR$126&lt;&gt;"")*($J$2:$J$126))</f>
        <v>48</v>
      </c>
      <c r="BS156" s="79" cm="1">
        <f t="array" ref="BS156">SUMPRODUCT(($B$2:$B$126=5)*(BS$2:BS$126&gt;=13)*(BS$2:BS$126&lt;=17)*(BS$2:BS$126&lt;&gt;"")*($J$2:$J$126))</f>
        <v>0</v>
      </c>
      <c r="BT156" s="79" cm="1">
        <f t="array" ref="BT156">SUMPRODUCT(($B$2:$B$126=5)*(BT$2:BT$126&gt;=13)*(BT$2:BT$126&lt;=17)*(BT$2:BT$126&lt;&gt;"")*($J$2:$J$126))</f>
        <v>0</v>
      </c>
      <c r="BU156" s="79" cm="1">
        <f t="array" ref="BU156">SUMPRODUCT(($B$2:$B$126=5)*(BU$2:BU$126&gt;=13)*(BU$2:BU$126&lt;=17)*(BU$2:BU$126&lt;&gt;"")*($J$2:$J$126))</f>
        <v>0</v>
      </c>
      <c r="BV156" s="79" cm="1">
        <f t="array" ref="BV156">SUMPRODUCT(($B$2:$B$126=5)*(BV$2:BV$126&gt;=13)*(BV$2:BV$126&lt;=17)*(BV$2:BV$126&lt;&gt;"")*($J$2:$J$126))</f>
        <v>0</v>
      </c>
      <c r="BW156" s="79" cm="1">
        <f t="array" ref="BW156">SUMPRODUCT(($B$2:$B$126=5)*(BW$2:BW$126&gt;=13)*(BW$2:BW$126&lt;=17)*(BW$2:BW$126&lt;&gt;"")*($J$2:$J$126))</f>
        <v>0</v>
      </c>
      <c r="BX156" s="79" cm="1">
        <f t="array" ref="BX156">SUMPRODUCT(($B$2:$B$126=5)*(BX$2:BX$126&gt;=13)*(BX$2:BX$126&lt;=17)*(BX$2:BX$126&lt;&gt;"")*($J$2:$J$126))</f>
        <v>0</v>
      </c>
      <c r="BY156" s="79" cm="1">
        <f t="array" ref="BY156">SUMPRODUCT(($B$2:$B$126=5)*(BY$2:BY$126&gt;=13)*(BY$2:BY$126&lt;=17)*(BY$2:BY$126&lt;&gt;"")*($J$2:$J$126))</f>
        <v>6</v>
      </c>
      <c r="BZ156" s="79" cm="1">
        <f t="array" ref="BZ156">SUMPRODUCT(($B$2:$B$126=5)*(BZ$2:BZ$126&gt;=13)*(BZ$2:BZ$126&lt;=17)*(BZ$2:BZ$126&lt;&gt;"")*($J$2:$J$126))</f>
        <v>51</v>
      </c>
      <c r="CA156" s="79" cm="1">
        <f t="array" ref="CA156">SUMPRODUCT(($B$2:$B$126=5)*(CA$2:CA$126&gt;=13)*(CA$2:CA$126&lt;=17)*(CA$2:CA$126&lt;&gt;"")*($J$2:$J$126))</f>
        <v>51</v>
      </c>
      <c r="CB156" s="79" cm="1">
        <f t="array" ref="CB156">SUMPRODUCT(($B$2:$B$126=5)*(CB$2:CB$126&gt;=13)*(CB$2:CB$126&lt;=17)*(CB$2:CB$126&lt;&gt;"")*($J$2:$J$126))</f>
        <v>84</v>
      </c>
      <c r="CC156" s="79" cm="1">
        <f t="array" ref="CC156">SUMPRODUCT(($B$2:$B$126=5)*(CC$2:CC$126&gt;=13)*(CC$2:CC$126&lt;=17)*(CC$2:CC$126&lt;&gt;"")*($J$2:$J$126))</f>
        <v>84</v>
      </c>
      <c r="CD156" s="79" cm="1">
        <f t="array" ref="CD156">SUMPRODUCT(($B$2:$B$126=5)*(CD$2:CD$126&gt;=13)*(CD$2:CD$126&lt;=17)*(CD$2:CD$126&lt;&gt;"")*($J$2:$J$126))</f>
        <v>78</v>
      </c>
      <c r="CE156" s="79" cm="1">
        <f t="array" ref="CE156">SUMPRODUCT(($B$2:$B$126=5)*(CE$2:CE$126&gt;=13)*(CE$2:CE$126&lt;=17)*(CE$2:CE$126&lt;&gt;"")*($J$2:$J$126))</f>
        <v>33</v>
      </c>
      <c r="CF156" s="79" cm="1">
        <f t="array" ref="CF156">SUMPRODUCT(($B$2:$B$126=5)*(CF$2:CF$126&gt;=13)*(CF$2:CF$126&lt;=17)*(CF$2:CF$126&lt;&gt;"")*($J$2:$J$126))</f>
        <v>33</v>
      </c>
      <c r="CG156" s="79" cm="1">
        <f t="array" ref="CG156">SUMPRODUCT(($B$2:$B$126=5)*(CG$2:CG$126&gt;=13)*(CG$2:CG$126&lt;=17)*(CG$2:CG$126&lt;&gt;"")*($J$2:$J$126))</f>
        <v>0</v>
      </c>
      <c r="CH156" s="79" cm="1">
        <f t="array" ref="CH156">SUMPRODUCT(($B$2:$B$126=5)*(CH$2:CH$126&gt;=13)*(CH$2:CH$126&lt;=17)*(CH$2:CH$126&lt;&gt;"")*($J$2:$J$126))</f>
        <v>0</v>
      </c>
      <c r="CI156" s="79" cm="1">
        <f t="array" ref="CI156">SUMPRODUCT(($B$2:$B$126=5)*(CI$2:CI$126&gt;=13)*(CI$2:CI$126&lt;=17)*(CI$2:CI$126&lt;&gt;"")*($J$2:$J$126))</f>
        <v>0</v>
      </c>
      <c r="CJ156" s="79" cm="1">
        <f t="array" ref="CJ156">SUMPRODUCT(($B$2:$B$126=5)*(CJ$2:CJ$126&gt;=13)*(CJ$2:CJ$126&lt;=17)*(CJ$2:CJ$126&lt;&gt;"")*($J$2:$J$126))</f>
        <v>0</v>
      </c>
      <c r="CK156" s="79" cm="1">
        <f t="array" ref="CK156">SUMPRODUCT(($B$2:$B$126=5)*(CK$2:CK$126&gt;=13)*(CK$2:CK$126&lt;=17)*(CK$2:CK$126&lt;&gt;"")*($J$2:$J$126))</f>
        <v>0</v>
      </c>
      <c r="CL156" s="79" cm="1">
        <f t="array" ref="CL156">SUMPRODUCT(($B$2:$B$126=5)*(CL$2:CL$126&gt;=13)*(CL$2:CL$126&lt;=17)*(CL$2:CL$126&lt;&gt;"")*($J$2:$J$126))</f>
        <v>0</v>
      </c>
      <c r="CM156" s="79" cm="1">
        <f t="array" ref="CM156">SUMPRODUCT(($B$2:$B$126=5)*(CM$2:CM$126&gt;=13)*(CM$2:CM$126&lt;=17)*(CM$2:CM$126&lt;&gt;"")*($J$2:$J$126))</f>
        <v>0</v>
      </c>
      <c r="CN156" s="79" cm="1">
        <f t="array" ref="CN156">SUMPRODUCT(($B$2:$B$126=5)*(CN$2:CN$126&gt;=13)*(CN$2:CN$126&lt;=17)*(CN$2:CN$126&lt;&gt;"")*($J$2:$J$126))</f>
        <v>0</v>
      </c>
      <c r="CO156" s="79" cm="1">
        <f t="array" ref="CO156">SUMPRODUCT(($B$2:$B$126=5)*(CO$2:CO$126&gt;=13)*(CO$2:CO$126&lt;=17)*(CO$2:CO$126&lt;&gt;"")*($J$2:$J$126))</f>
        <v>0</v>
      </c>
      <c r="CP156" s="79" cm="1">
        <f t="array" ref="CP156">SUMPRODUCT(($B$2:$B$126=5)*(CP$2:CP$126&gt;=13)*(CP$2:CP$126&lt;=17)*(CP$2:CP$126&lt;&gt;"")*($J$2:$J$126))</f>
        <v>0</v>
      </c>
      <c r="CQ156" s="79" cm="1">
        <f t="array" ref="CQ156">SUMPRODUCT(($B$2:$B$126=5)*(CQ$2:CQ$126&gt;=13)*(CQ$2:CQ$126&lt;=17)*(CQ$2:CQ$126&lt;&gt;"")*($J$2:$J$126))</f>
        <v>0</v>
      </c>
      <c r="CR156" s="79" cm="1">
        <f t="array" ref="CR156">SUMPRODUCT(($B$2:$B$126=5)*(CR$2:CR$126&gt;=13)*(CR$2:CR$126&lt;=17)*(CR$2:CR$126&lt;&gt;"")*($J$2:$J$126))</f>
        <v>0</v>
      </c>
      <c r="CS156" s="79" cm="1">
        <f t="array" ref="CS156">SUMPRODUCT(($B$2:$B$126=5)*(CS$2:CS$126&gt;=13)*(CS$2:CS$126&lt;=17)*(CS$2:CS$126&lt;&gt;"")*($J$2:$J$126))</f>
        <v>0</v>
      </c>
      <c r="CT156" s="79" cm="1">
        <f t="array" ref="CT156">SUMPRODUCT(($B$2:$B$126=5)*(CT$2:CT$126&gt;=13)*(CT$2:CT$126&lt;=17)*(CT$2:CT$126&lt;&gt;"")*($J$2:$J$126))</f>
        <v>0</v>
      </c>
      <c r="CU156" s="79" cm="1">
        <f t="array" ref="CU156">SUMPRODUCT(($B$2:$B$126=5)*(CU$2:CU$126&gt;=13)*(CU$2:CU$126&lt;=17)*(CU$2:CU$126&lt;&gt;"")*($J$2:$J$126))</f>
        <v>0</v>
      </c>
      <c r="CV156" s="79" cm="1">
        <f t="array" ref="CV156">SUMPRODUCT(($B$2:$B$126=5)*(CV$2:CV$126&gt;=13)*(CV$2:CV$126&lt;=17)*(CV$2:CV$126&lt;&gt;"")*($J$2:$J$126))</f>
        <v>0</v>
      </c>
      <c r="CW156" s="79" cm="1">
        <f t="array" ref="CW156">SUMPRODUCT(($B$2:$B$126=5)*(CW$2:CW$126&gt;=13)*(CW$2:CW$126&lt;=17)*(CW$2:CW$126&lt;&gt;"")*($J$2:$J$126))</f>
        <v>0</v>
      </c>
      <c r="CX156" s="79" cm="1">
        <f t="array" ref="CX156">SUMPRODUCT(($B$2:$B$126=5)*(CX$2:CX$126&gt;=13)*(CX$2:CX$126&lt;=17)*(CX$2:CX$126&lt;&gt;"")*($J$2:$J$126))</f>
        <v>0</v>
      </c>
      <c r="CY156" s="79" cm="1">
        <f t="array" ref="CY156">SUMPRODUCT(($B$2:$B$126=5)*(CY$2:CY$126&gt;=13)*(CY$2:CY$126&lt;=17)*(CY$2:CY$126&lt;&gt;"")*($J$2:$J$126))</f>
        <v>0</v>
      </c>
      <c r="CZ156" s="79" cm="1">
        <f t="array" ref="CZ156">SUMPRODUCT(($B$2:$B$126=5)*(CZ$2:CZ$126&gt;=13)*(CZ$2:CZ$126&lt;=17)*(CZ$2:CZ$126&lt;&gt;"")*($J$2:$J$126))</f>
        <v>0</v>
      </c>
      <c r="DA156" s="79" cm="1">
        <f t="array" ref="DA156">SUMPRODUCT(($B$2:$B$126=5)*(DA$2:DA$126&gt;=13)*(DA$2:DA$126&lt;=17)*(DA$2:DA$126&lt;&gt;"")*($J$2:$J$126))</f>
        <v>0</v>
      </c>
      <c r="DB156" s="79" cm="1">
        <f t="array" ref="DB156">SUMPRODUCT(($B$2:$B$126=5)*(DB$2:DB$126&gt;=13)*(DB$2:DB$126&lt;=17)*(DB$2:DB$126&lt;&gt;"")*($J$2:$J$126))</f>
        <v>0</v>
      </c>
      <c r="DC156" s="79" cm="1">
        <f t="array" ref="DC156">SUMPRODUCT(($B$2:$B$126=5)*(DC$2:DC$126&gt;=13)*(DC$2:DC$126&lt;=17)*(DC$2:DC$126&lt;&gt;"")*($J$2:$J$126))</f>
        <v>0</v>
      </c>
      <c r="DD156" s="79" cm="1">
        <f t="array" ref="DD156">SUMPRODUCT(($B$2:$B$126=5)*(DD$2:DD$126&gt;=13)*(DD$2:DD$126&lt;=17)*(DD$2:DD$126&lt;&gt;"")*($J$2:$J$126))</f>
        <v>0</v>
      </c>
      <c r="DE156" s="79" cm="1">
        <f t="array" ref="DE156">SUMPRODUCT(($B$2:$B$126=5)*(DE$2:DE$126&gt;=13)*(DE$2:DE$126&lt;=17)*(DE$2:DE$126&lt;&gt;"")*($J$2:$J$126))</f>
        <v>0</v>
      </c>
      <c r="DF156" s="79" cm="1">
        <f t="array" ref="DF156">SUMPRODUCT(($B$2:$B$126=5)*(DF$2:DF$126&gt;=13)*(DF$2:DF$126&lt;=17)*(DF$2:DF$126&lt;&gt;"")*($J$2:$J$126))</f>
        <v>0</v>
      </c>
      <c r="DG156" s="79" cm="1">
        <f t="array" ref="DG156">SUMPRODUCT(($B$2:$B$126=5)*(DG$2:DG$126&gt;=13)*(DG$2:DG$126&lt;=17)*(DG$2:DG$126&lt;&gt;"")*($J$2:$J$126))</f>
        <v>0</v>
      </c>
      <c r="DH156" s="79" cm="1">
        <f t="array" ref="DH156">SUMPRODUCT(($B$2:$B$126=5)*(DH$2:DH$126&gt;=13)*(DH$2:DH$126&lt;=17)*(DH$2:DH$126&lt;&gt;"")*($J$2:$J$126))</f>
        <v>0</v>
      </c>
      <c r="DI156" s="79" cm="1">
        <f t="array" ref="DI156">SUMPRODUCT(($B$2:$B$126=5)*(DI$2:DI$126&gt;=13)*(DI$2:DI$126&lt;=17)*(DI$2:DI$126&lt;&gt;"")*($J$2:$J$126))</f>
        <v>0</v>
      </c>
      <c r="DJ156" s="79" cm="1">
        <f t="array" ref="DJ156">SUMPRODUCT(($B$2:$B$126=5)*(DJ$2:DJ$126&gt;=13)*(DJ$2:DJ$126&lt;=17)*(DJ$2:DJ$126&lt;&gt;"")*($J$2:$J$126))</f>
        <v>0</v>
      </c>
      <c r="DK156" s="79" cm="1">
        <f t="array" ref="DK156">SUMPRODUCT(($B$2:$B$126=5)*(DK$2:DK$126&gt;=13)*(DK$2:DK$126&lt;=17)*(DK$2:DK$126&lt;&gt;"")*($J$2:$J$126))</f>
        <v>0</v>
      </c>
      <c r="DL156" s="79" cm="1">
        <f t="array" ref="DL156">SUMPRODUCT(($B$2:$B$126=5)*(DL$2:DL$126&gt;=13)*(DL$2:DL$126&lt;=17)*(DL$2:DL$126&lt;&gt;"")*($J$2:$J$126))</f>
        <v>0</v>
      </c>
      <c r="DM156" s="79" cm="1">
        <f t="array" ref="DM156">SUMPRODUCT(($B$2:$B$126=5)*(DM$2:DM$126&gt;=13)*(DM$2:DM$126&lt;=17)*(DM$2:DM$126&lt;&gt;"")*($J$2:$J$126))</f>
        <v>0</v>
      </c>
      <c r="DN156" s="79" cm="1">
        <f t="array" ref="DN156">SUMPRODUCT(($B$2:$B$126=5)*(DN$2:DN$126&gt;=13)*(DN$2:DN$126&lt;=17)*(DN$2:DN$126&lt;&gt;"")*($J$2:$J$126))</f>
        <v>0</v>
      </c>
      <c r="DO156" s="79" cm="1">
        <f t="array" ref="DO156">SUMPRODUCT(($B$2:$B$126=5)*(DO$2:DO$126&gt;=13)*(DO$2:DO$126&lt;=17)*(DO$2:DO$126&lt;&gt;"")*($J$2:$J$126))</f>
        <v>0</v>
      </c>
      <c r="DP156" s="79" cm="1">
        <f t="array" ref="DP156">SUMPRODUCT(($B$2:$B$126=5)*(DP$2:DP$126&gt;=13)*(DP$2:DP$126&lt;=17)*(DP$2:DP$126&lt;&gt;"")*($J$2:$J$126))</f>
        <v>0</v>
      </c>
      <c r="DQ156" s="79" cm="1">
        <f t="array" ref="DQ156">SUMPRODUCT(($B$2:$B$126=5)*(DQ$2:DQ$126&gt;=13)*(DQ$2:DQ$126&lt;=17)*(DQ$2:DQ$126&lt;&gt;"")*($J$2:$J$126))</f>
        <v>0</v>
      </c>
      <c r="DR156" s="79" cm="1">
        <f t="array" ref="DR156">SUMPRODUCT(($B$2:$B$126=5)*(DR$2:DR$126&gt;=13)*(DR$2:DR$126&lt;=17)*(DR$2:DR$126&lt;&gt;"")*($J$2:$J$126))</f>
        <v>0</v>
      </c>
      <c r="DS156" s="79" cm="1">
        <f t="array" ref="DS156">SUMPRODUCT(($B$2:$B$126=5)*(DS$2:DS$126&gt;=13)*(DS$2:DS$126&lt;=17)*(DS$2:DS$126&lt;&gt;"")*($J$2:$J$126))</f>
        <v>0</v>
      </c>
      <c r="DT156" s="79" cm="1">
        <f t="array" ref="DT156">SUMPRODUCT(($B$2:$B$126=5)*(DT$2:DT$126&gt;=13)*(DT$2:DT$126&lt;=17)*(DT$2:DT$126&lt;&gt;"")*($J$2:$J$126))</f>
        <v>0</v>
      </c>
      <c r="DU156" s="79" cm="1">
        <f t="array" ref="DU156">SUMPRODUCT(($B$2:$B$126=5)*(DU$2:DU$126&gt;=13)*(DU$2:DU$126&lt;=17)*(DU$2:DU$126&lt;&gt;"")*($J$2:$J$126))</f>
        <v>0</v>
      </c>
      <c r="DV156" s="79" cm="1">
        <f t="array" ref="DV156">SUMPRODUCT(($B$2:$B$126=5)*(DV$2:DV$126&gt;=13)*(DV$2:DV$126&lt;=17)*(DV$2:DV$126&lt;&gt;"")*($J$2:$J$126))</f>
        <v>0</v>
      </c>
      <c r="DW156" s="79" cm="1">
        <f t="array" ref="DW156">SUMPRODUCT(($B$2:$B$126=5)*(DW$2:DW$126&gt;=13)*(DW$2:DW$126&lt;=17)*(DW$2:DW$126&lt;&gt;"")*($J$2:$J$126))</f>
        <v>0</v>
      </c>
      <c r="DX156" s="79" cm="1">
        <f t="array" ref="DX156">SUMPRODUCT(($B$2:$B$126=5)*(DX$2:DX$126&gt;=13)*(DX$2:DX$126&lt;=17)*(DX$2:DX$126&lt;&gt;"")*($J$2:$J$126))</f>
        <v>0</v>
      </c>
      <c r="DY156" s="79" cm="1">
        <f t="array" ref="DY156">SUMPRODUCT(($B$2:$B$126=5)*(DY$2:DY$126&gt;=13)*(DY$2:DY$126&lt;=17)*(DY$2:DY$126&lt;&gt;"")*($J$2:$J$126))</f>
        <v>0</v>
      </c>
      <c r="DZ156" s="79" cm="1">
        <f t="array" ref="DZ156">SUMPRODUCT(($B$2:$B$126=5)*(DZ$2:DZ$126&gt;=13)*(DZ$2:DZ$126&lt;=17)*(DZ$2:DZ$126&lt;&gt;"")*($J$2:$J$126))</f>
        <v>0</v>
      </c>
      <c r="EA156" s="79" cm="1">
        <f t="array" ref="EA156">SUMPRODUCT(($B$2:$B$126=5)*(EA$2:EA$126&gt;=13)*(EA$2:EA$126&lt;=17)*(EA$2:EA$126&lt;&gt;"")*($J$2:$J$126))</f>
        <v>0</v>
      </c>
      <c r="EB156" s="79" cm="1">
        <f t="array" ref="EB156">SUMPRODUCT(($B$2:$B$126=5)*(EB$2:EB$126&gt;=13)*(EB$2:EB$126&lt;=17)*(EB$2:EB$126&lt;&gt;"")*($J$2:$J$126))</f>
        <v>0</v>
      </c>
      <c r="EC156" s="79" cm="1">
        <f t="array" ref="EC156">SUMPRODUCT(($B$2:$B$126=5)*(EC$2:EC$126&gt;=13)*(EC$2:EC$126&lt;=17)*(EC$2:EC$126&lt;&gt;"")*($J$2:$J$126))</f>
        <v>0</v>
      </c>
      <c r="ED156" s="79" cm="1">
        <f t="array" ref="ED156">SUMPRODUCT(($B$2:$B$126=5)*(ED$2:ED$126&gt;=13)*(ED$2:ED$126&lt;=17)*(ED$2:ED$126&lt;&gt;"")*($J$2:$J$126))</f>
        <v>0</v>
      </c>
      <c r="EE156" s="79" cm="1">
        <f t="array" ref="EE156">SUMPRODUCT(($B$2:$B$126=5)*(EE$2:EE$126&gt;=13)*(EE$2:EE$126&lt;=17)*(EE$2:EE$126&lt;&gt;"")*($J$2:$J$126))</f>
        <v>0</v>
      </c>
      <c r="EF156" s="79" cm="1">
        <f t="array" ref="EF156">SUMPRODUCT(($B$2:$B$126=5)*(EF$2:EF$126&gt;=13)*(EF$2:EF$126&lt;=17)*(EF$2:EF$126&lt;&gt;"")*($J$2:$J$126))</f>
        <v>0</v>
      </c>
      <c r="EG156" s="79" cm="1">
        <f t="array" ref="EG156">SUMPRODUCT(($B$2:$B$126=5)*(EG$2:EG$126&gt;=13)*(EG$2:EG$126&lt;=17)*(EG$2:EG$126&lt;&gt;"")*($J$2:$J$126))</f>
        <v>0</v>
      </c>
      <c r="EH156" s="79" cm="1">
        <f t="array" ref="EH156">SUMPRODUCT(($B$2:$B$126=5)*(EH$2:EH$126&gt;=13)*(EH$2:EH$126&lt;=17)*(EH$2:EH$126&lt;&gt;"")*($J$2:$J$126))</f>
        <v>0</v>
      </c>
      <c r="EI156" s="79" cm="1">
        <f t="array" ref="EI156">SUMPRODUCT(($B$2:$B$126=5)*(EI$2:EI$126&gt;=13)*(EI$2:EI$126&lt;=17)*(EI$2:EI$126&lt;&gt;"")*($J$2:$J$126))</f>
        <v>0</v>
      </c>
      <c r="EJ156" s="79" cm="1">
        <f t="array" ref="EJ156">SUMPRODUCT(($B$2:$B$126=5)*(EJ$2:EJ$126&gt;=13)*(EJ$2:EJ$126&lt;=17)*(EJ$2:EJ$126&lt;&gt;"")*($J$2:$J$126))</f>
        <v>0</v>
      </c>
      <c r="EK156" s="79" cm="1">
        <f t="array" ref="EK156">SUMPRODUCT(($B$2:$B$126=5)*(EK$2:EK$126&gt;=13)*(EK$2:EK$126&lt;=17)*(EK$2:EK$126&lt;&gt;"")*($J$2:$J$126))</f>
        <v>0</v>
      </c>
      <c r="EL156" s="79" cm="1">
        <f t="array" ref="EL156">SUMPRODUCT(($B$2:$B$126=5)*(EL$2:EL$126&gt;=13)*(EL$2:EL$126&lt;=17)*(EL$2:EL$126&lt;&gt;"")*($J$2:$J$126))</f>
        <v>0</v>
      </c>
      <c r="EM156" s="79" cm="1">
        <f t="array" ref="EM156">SUMPRODUCT(($B$2:$B$126=5)*(EM$2:EM$126&gt;=13)*(EM$2:EM$126&lt;=17)*(EM$2:EM$126&lt;&gt;"")*($J$2:$J$126))</f>
        <v>0</v>
      </c>
      <c r="EN156" s="79" cm="1">
        <f t="array" ref="EN156">SUMPRODUCT(($B$2:$B$126=5)*(EN$2:EN$126&gt;=13)*(EN$2:EN$126&lt;=17)*(EN$2:EN$126&lt;&gt;"")*($J$2:$J$126))</f>
        <v>0</v>
      </c>
      <c r="EO156" s="79" cm="1">
        <f t="array" ref="EO156">SUMPRODUCT(($B$2:$B$126=5)*(EO$2:EO$126&gt;=13)*(EO$2:EO$126&lt;=17)*(EO$2:EO$126&lt;&gt;"")*($J$2:$J$126))</f>
        <v>0</v>
      </c>
      <c r="EP156" s="79" cm="1">
        <f t="array" ref="EP156">SUMPRODUCT(($B$2:$B$126=5)*(EP$2:EP$126&gt;=13)*(EP$2:EP$126&lt;=17)*(EP$2:EP$126&lt;&gt;"")*($J$2:$J$126))</f>
        <v>0</v>
      </c>
      <c r="EQ156" s="79" cm="1">
        <f t="array" ref="EQ156">SUMPRODUCT(($B$2:$B$126=5)*(EQ$2:EQ$126&gt;=13)*(EQ$2:EQ$126&lt;=17)*(EQ$2:EQ$126&lt;&gt;"")*($J$2:$J$126))</f>
        <v>0</v>
      </c>
      <c r="ER156" s="79" cm="1">
        <f t="array" ref="ER156">SUMPRODUCT(($B$2:$B$126=5)*(ER$2:ER$126&gt;=13)*(ER$2:ER$126&lt;=17)*(ER$2:ER$126&lt;&gt;"")*($J$2:$J$126))</f>
        <v>0</v>
      </c>
      <c r="ES156" s="79" cm="1">
        <f t="array" ref="ES156">SUMPRODUCT(($B$2:$B$126=5)*(ES$2:ES$126&gt;=13)*(ES$2:ES$126&lt;=17)*(ES$2:ES$126&lt;&gt;"")*($J$2:$J$126))</f>
        <v>0</v>
      </c>
      <c r="ET156" s="79" cm="1">
        <f t="array" ref="ET156">SUMPRODUCT(($B$2:$B$126=5)*(ET$2:ET$126&gt;=13)*(ET$2:ET$126&lt;=17)*(ET$2:ET$126&lt;&gt;"")*($J$2:$J$126))</f>
        <v>0</v>
      </c>
      <c r="EU156" s="79" cm="1">
        <f t="array" ref="EU156">SUMPRODUCT(($B$2:$B$126=5)*(EU$2:EU$126&gt;=13)*(EU$2:EU$126&lt;=17)*(EU$2:EU$126&lt;&gt;"")*($J$2:$J$126))</f>
        <v>0</v>
      </c>
      <c r="EV156" s="79" cm="1">
        <f t="array" ref="EV156">SUMPRODUCT(($B$2:$B$126=5)*(EV$2:EV$126&gt;=13)*(EV$2:EV$126&lt;=17)*(EV$2:EV$126&lt;&gt;"")*($J$2:$J$126))</f>
        <v>0</v>
      </c>
      <c r="EW156" s="79" cm="1">
        <f t="array" ref="EW156">SUMPRODUCT(($B$2:$B$126=5)*(EW$2:EW$126&gt;=13)*(EW$2:EW$126&lt;=17)*(EW$2:EW$126&lt;&gt;"")*($J$2:$J$126))</f>
        <v>0</v>
      </c>
      <c r="EX156" s="79" cm="1">
        <f t="array" ref="EX156">SUMPRODUCT(($B$2:$B$126=5)*(EX$2:EX$126&gt;=13)*(EX$2:EX$126&lt;=17)*(EX$2:EX$126&lt;&gt;"")*($J$2:$J$126))</f>
        <v>0</v>
      </c>
      <c r="EY156" s="79" cm="1">
        <f t="array" ref="EY156">SUMPRODUCT(($B$2:$B$126=5)*(EY$2:EY$126&gt;=13)*(EY$2:EY$126&lt;=17)*(EY$2:EY$126&lt;&gt;"")*($J$2:$J$126))</f>
        <v>0</v>
      </c>
      <c r="EZ156" s="79" cm="1">
        <f t="array" ref="EZ156">SUMPRODUCT(($B$2:$B$126=5)*(EZ$2:EZ$126&gt;=13)*(EZ$2:EZ$126&lt;=17)*(EZ$2:EZ$126&lt;&gt;"")*($J$2:$J$126))</f>
        <v>0</v>
      </c>
      <c r="FA156" s="79" cm="1">
        <f t="array" ref="FA156">SUMPRODUCT(($B$2:$B$126=5)*(FA$2:FA$126&gt;=13)*(FA$2:FA$126&lt;=17)*(FA$2:FA$126&lt;&gt;"")*($J$2:$J$126))</f>
        <v>0</v>
      </c>
      <c r="FB156" s="79" cm="1">
        <f t="array" ref="FB156">SUMPRODUCT(($B$2:$B$126=5)*(FB$2:FB$126&gt;=13)*(FB$2:FB$126&lt;=17)*(FB$2:FB$126&lt;&gt;"")*($J$2:$J$126))</f>
        <v>0</v>
      </c>
      <c r="FC156" s="79" cm="1">
        <f t="array" ref="FC156">SUMPRODUCT(($B$2:$B$126=5)*(FC$2:FC$126&gt;=13)*(FC$2:FC$126&lt;=17)*(FC$2:FC$126&lt;&gt;"")*($J$2:$J$126))</f>
        <v>0</v>
      </c>
      <c r="FD156" s="79" cm="1">
        <f t="array" ref="FD156">SUMPRODUCT(($B$2:$B$126=5)*(FD$2:FD$126&gt;=13)*(FD$2:FD$126&lt;=17)*(FD$2:FD$126&lt;&gt;"")*($J$2:$J$126))</f>
        <v>0</v>
      </c>
      <c r="FE156" s="79" cm="1">
        <f t="array" ref="FE156">SUMPRODUCT(($B$2:$B$126=5)*(FE$2:FE$126&gt;=13)*(FE$2:FE$126&lt;=17)*(FE$2:FE$126&lt;&gt;"")*($J$2:$J$126))</f>
        <v>0</v>
      </c>
      <c r="FF156" s="79" cm="1">
        <f t="array" ref="FF156">SUMPRODUCT(($B$2:$B$126=5)*(FF$2:FF$126&gt;=13)*(FF$2:FF$126&lt;=17)*(FF$2:FF$126&lt;&gt;"")*($J$2:$J$126))</f>
        <v>0</v>
      </c>
      <c r="FG156" s="79" cm="1">
        <f t="array" ref="FG156">SUMPRODUCT(($B$2:$B$126=5)*(FG$2:FG$126&gt;=13)*(FG$2:FG$126&lt;=17)*(FG$2:FG$126&lt;&gt;"")*($J$2:$J$126))</f>
        <v>0</v>
      </c>
      <c r="FH156" s="79" cm="1">
        <f t="array" ref="FH156">SUMPRODUCT(($B$2:$B$126=5)*(FH$2:FH$126&gt;=13)*(FH$2:FH$126&lt;=17)*(FH$2:FH$126&lt;&gt;"")*($J$2:$J$126))</f>
        <v>0</v>
      </c>
      <c r="FI156" s="79" cm="1">
        <f t="array" ref="FI156">SUMPRODUCT(($B$2:$B$126=5)*(FI$2:FI$126&gt;=13)*(FI$2:FI$126&lt;=17)*(FI$2:FI$126&lt;&gt;"")*($J$2:$J$126))</f>
        <v>0</v>
      </c>
      <c r="FJ156" s="79" cm="1">
        <f t="array" ref="FJ156">SUMPRODUCT(($B$2:$B$126=5)*(FJ$2:FJ$126&gt;=13)*(FJ$2:FJ$126&lt;=17)*(FJ$2:FJ$126&lt;&gt;"")*($J$2:$J$126))</f>
        <v>0</v>
      </c>
      <c r="FK156" s="79" cm="1">
        <f t="array" ref="FK156">SUMPRODUCT(($B$2:$B$126=5)*(FK$2:FK$126&gt;=13)*(FK$2:FK$126&lt;=17)*(FK$2:FK$126&lt;&gt;"")*($J$2:$J$126))</f>
        <v>0</v>
      </c>
      <c r="FL156" s="79" cm="1">
        <f t="array" ref="FL156">SUMPRODUCT(($B$2:$B$126=5)*(FL$2:FL$126&gt;=13)*(FL$2:FL$126&lt;=17)*(FL$2:FL$126&lt;&gt;"")*($J$2:$J$126))</f>
        <v>0</v>
      </c>
      <c r="FM156" s="79" cm="1">
        <f t="array" ref="FM156">SUMPRODUCT(($B$2:$B$126=5)*(FM$2:FM$126&gt;=13)*(FM$2:FM$126&lt;=17)*(FM$2:FM$126&lt;&gt;"")*($J$2:$J$126))</f>
        <v>0</v>
      </c>
      <c r="FN156" s="79" cm="1">
        <f t="array" ref="FN156">SUMPRODUCT(($B$2:$B$126=5)*(FN$2:FN$126&gt;=13)*(FN$2:FN$126&lt;=17)*(FN$2:FN$126&lt;&gt;"")*($J$2:$J$126))</f>
        <v>0</v>
      </c>
      <c r="FO156" s="79" cm="1">
        <f t="array" ref="FO156">SUMPRODUCT(($B$2:$B$126=5)*(FO$2:FO$126&gt;=13)*(FO$2:FO$126&lt;=17)*(FO$2:FO$126&lt;&gt;"")*($J$2:$J$126))</f>
        <v>0</v>
      </c>
      <c r="FP156" s="79" cm="1">
        <f t="array" ref="FP156">SUMPRODUCT(($B$2:$B$126=5)*(FP$2:FP$126&gt;=13)*(FP$2:FP$126&lt;=17)*(FP$2:FP$126&lt;&gt;"")*($J$2:$J$126))</f>
        <v>0</v>
      </c>
      <c r="FQ156" s="79" cm="1">
        <f t="array" ref="FQ156">SUMPRODUCT(($B$2:$B$126=5)*(FQ$2:FQ$126&gt;=13)*(FQ$2:FQ$126&lt;=17)*(FQ$2:FQ$126&lt;&gt;"")*($J$2:$J$126))</f>
        <v>0</v>
      </c>
      <c r="FR156" s="79" cm="1">
        <f t="array" ref="FR156">SUMPRODUCT(($B$2:$B$126=5)*(FR$2:FR$126&gt;=13)*(FR$2:FR$126&lt;=17)*(FR$2:FR$126&lt;&gt;"")*($J$2:$J$126))</f>
        <v>0</v>
      </c>
      <c r="FS156" s="79" cm="1">
        <f t="array" ref="FS156">SUMPRODUCT(($B$2:$B$126=5)*(FS$2:FS$126&gt;=13)*(FS$2:FS$126&lt;=17)*(FS$2:FS$126&lt;&gt;"")*($J$2:$J$126))</f>
        <v>0</v>
      </c>
      <c r="FT156" s="79" cm="1">
        <f t="array" ref="FT156">SUMPRODUCT(($B$2:$B$126=5)*(FT$2:FT$126&gt;=13)*(FT$2:FT$126&lt;=17)*(FT$2:FT$126&lt;&gt;"")*($J$2:$J$126))</f>
        <v>0</v>
      </c>
      <c r="FU156" s="79" cm="1">
        <f t="array" ref="FU156">SUMPRODUCT(($B$2:$B$126=5)*(FU$2:FU$126&gt;=13)*(FU$2:FU$126&lt;=17)*(FU$2:FU$126&lt;&gt;"")*($J$2:$J$126))</f>
        <v>0</v>
      </c>
      <c r="FV156" s="79" cm="1">
        <f t="array" ref="FV156">SUMPRODUCT(($B$2:$B$126=5)*(FV$2:FV$126&gt;=13)*(FV$2:FV$126&lt;=17)*(FV$2:FV$126&lt;&gt;"")*($J$2:$J$126))</f>
        <v>0</v>
      </c>
      <c r="FW156" s="79" cm="1">
        <f t="array" ref="FW156">SUMPRODUCT(($B$2:$B$126=5)*(FW$2:FW$126&gt;=13)*(FW$2:FW$126&lt;=17)*(FW$2:FW$126&lt;&gt;"")*($J$2:$J$126))</f>
        <v>0</v>
      </c>
      <c r="FX156" s="79" cm="1">
        <f t="array" ref="FX156">SUMPRODUCT(($B$2:$B$126=5)*(FX$2:FX$126&gt;=13)*(FX$2:FX$126&lt;=17)*(FX$2:FX$126&lt;&gt;"")*($J$2:$J$126))</f>
        <v>0</v>
      </c>
      <c r="FY156" s="79" cm="1">
        <f t="array" ref="FY156">SUMPRODUCT(($B$2:$B$126=5)*(FY$2:FY$126&gt;=13)*(FY$2:FY$126&lt;=17)*(FY$2:FY$126&lt;&gt;"")*($J$2:$J$126))</f>
        <v>0</v>
      </c>
      <c r="FZ156" s="79" cm="1">
        <f t="array" ref="FZ156">SUMPRODUCT(($B$2:$B$126=5)*(FZ$2:FZ$126&gt;=13)*(FZ$2:FZ$126&lt;=17)*(FZ$2:FZ$126&lt;&gt;"")*($J$2:$J$126))</f>
        <v>0</v>
      </c>
      <c r="GA156" s="79" cm="1">
        <f t="array" ref="GA156">SUMPRODUCT(($B$2:$B$126=5)*(GA$2:GA$126&gt;=13)*(GA$2:GA$126&lt;=17)*(GA$2:GA$126&lt;&gt;"")*($J$2:$J$126))</f>
        <v>0</v>
      </c>
      <c r="GB156" s="79" cm="1">
        <f t="array" ref="GB156">SUMPRODUCT(($B$2:$B$126=5)*(GB$2:GB$126&gt;=13)*(GB$2:GB$126&lt;=17)*(GB$2:GB$126&lt;&gt;"")*($J$2:$J$126))</f>
        <v>0</v>
      </c>
      <c r="GC156" s="79" cm="1">
        <f t="array" ref="GC156">SUMPRODUCT(($B$2:$B$126=5)*(GC$2:GC$126&gt;=13)*(GC$2:GC$126&lt;=17)*(GC$2:GC$126&lt;&gt;"")*($J$2:$J$126))</f>
        <v>0</v>
      </c>
      <c r="GD156" s="79" cm="1">
        <f t="array" ref="GD156">SUMPRODUCT(($B$2:$B$126=5)*(GD$2:GD$126&gt;=13)*(GD$2:GD$126&lt;=17)*(GD$2:GD$126&lt;&gt;"")*($J$2:$J$126))</f>
        <v>0</v>
      </c>
      <c r="GE156" s="79" cm="1">
        <f t="array" ref="GE156">SUMPRODUCT(($B$2:$B$126=5)*(GE$2:GE$126&gt;=13)*(GE$2:GE$126&lt;=17)*(GE$2:GE$126&lt;&gt;"")*($J$2:$J$126))</f>
        <v>0</v>
      </c>
      <c r="GF156" s="79" cm="1">
        <f t="array" ref="GF156">SUMPRODUCT(($B$2:$B$126=5)*(GF$2:GF$126&gt;=13)*(GF$2:GF$126&lt;=17)*(GF$2:GF$126&lt;&gt;"")*($J$2:$J$126))</f>
        <v>0</v>
      </c>
      <c r="GG156" s="79" cm="1">
        <f t="array" ref="GG156">SUMPRODUCT(($B$2:$B$126=5)*(GG$2:GG$126&gt;=13)*(GG$2:GG$126&lt;=17)*(GG$2:GG$126&lt;&gt;"")*($J$2:$J$126))</f>
        <v>0</v>
      </c>
      <c r="GH156" s="79" cm="1">
        <f t="array" ref="GH156">SUMPRODUCT(($B$2:$B$126=5)*(GH$2:GH$126&gt;=13)*(GH$2:GH$126&lt;=17)*(GH$2:GH$126&lt;&gt;"")*($J$2:$J$126))</f>
        <v>0</v>
      </c>
      <c r="GI156" s="79" cm="1">
        <f t="array" ref="GI156">SUMPRODUCT(($B$2:$B$126=5)*(GI$2:GI$126&gt;=13)*(GI$2:GI$126&lt;=17)*(GI$2:GI$126&lt;&gt;"")*($J$2:$J$126))</f>
        <v>0</v>
      </c>
      <c r="GJ156" s="79" cm="1">
        <f t="array" ref="GJ156">SUMPRODUCT(($B$2:$B$126=5)*(GJ$2:GJ$126&gt;=13)*(GJ$2:GJ$126&lt;=17)*(GJ$2:GJ$126&lt;&gt;"")*($J$2:$J$126))</f>
        <v>0</v>
      </c>
      <c r="GK156" s="79" cm="1">
        <f t="array" ref="GK156">SUMPRODUCT(($B$2:$B$126=5)*(GK$2:GK$126&gt;=13)*(GK$2:GK$126&lt;=17)*(GK$2:GK$126&lt;&gt;"")*($J$2:$J$126))</f>
        <v>0</v>
      </c>
      <c r="GL156" s="79" cm="1">
        <f t="array" ref="GL156">SUMPRODUCT(($B$2:$B$126=5)*(GL$2:GL$126&gt;=13)*(GL$2:GL$126&lt;=17)*(GL$2:GL$126&lt;&gt;"")*($J$2:$J$126))</f>
        <v>0</v>
      </c>
      <c r="GM156" s="79" cm="1">
        <f t="array" ref="GM156">SUMPRODUCT(($B$2:$B$126=5)*(GM$2:GM$126&gt;=13)*(GM$2:GM$126&lt;=17)*(GM$2:GM$126&lt;&gt;"")*($J$2:$J$126))</f>
        <v>0</v>
      </c>
      <c r="GN156" s="79" cm="1">
        <f t="array" ref="GN156">SUMPRODUCT(($B$2:$B$126=5)*(GN$2:GN$126&gt;=13)*(GN$2:GN$126&lt;=17)*(GN$2:GN$126&lt;&gt;"")*($J$2:$J$126))</f>
        <v>0</v>
      </c>
      <c r="GO156" s="79" cm="1">
        <f t="array" ref="GO156">SUMPRODUCT(($B$2:$B$126=5)*(GO$2:GO$126&gt;=13)*(GO$2:GO$126&lt;=17)*(GO$2:GO$126&lt;&gt;"")*($J$2:$J$126))</f>
        <v>0</v>
      </c>
      <c r="GP156" s="79" cm="1">
        <f t="array" ref="GP156">SUMPRODUCT(($B$2:$B$126=5)*(GP$2:GP$126&gt;=13)*(GP$2:GP$126&lt;=17)*(GP$2:GP$126&lt;&gt;"")*($J$2:$J$126))</f>
        <v>0</v>
      </c>
      <c r="GQ156" s="79" cm="1">
        <f t="array" ref="GQ156">SUMPRODUCT(($B$2:$B$126=5)*(GQ$2:GQ$126&gt;=13)*(GQ$2:GQ$126&lt;=17)*(GQ$2:GQ$126&lt;&gt;"")*($J$2:$J$126))</f>
        <v>0</v>
      </c>
      <c r="GR156" s="79" cm="1">
        <f t="array" ref="GR156">SUMPRODUCT(($B$2:$B$126=5)*(GR$2:GR$126&gt;=13)*(GR$2:GR$126&lt;=17)*(GR$2:GR$126&lt;&gt;"")*($J$2:$J$126))</f>
        <v>0</v>
      </c>
      <c r="GS156" s="79" cm="1">
        <f t="array" ref="GS156">SUMPRODUCT(($B$2:$B$126=5)*(GS$2:GS$126&gt;=13)*(GS$2:GS$126&lt;=17)*(GS$2:GS$126&lt;&gt;"")*($J$2:$J$126))</f>
        <v>0</v>
      </c>
      <c r="GT156" s="79" cm="1">
        <f t="array" ref="GT156">SUMPRODUCT(($B$2:$B$126=5)*(GT$2:GT$126&gt;=13)*(GT$2:GT$126&lt;=17)*(GT$2:GT$126&lt;&gt;"")*($J$2:$J$126))</f>
        <v>0</v>
      </c>
      <c r="GU156" s="79" cm="1">
        <f t="array" ref="GU156">SUMPRODUCT(($B$2:$B$126=5)*(GU$2:GU$126&gt;=13)*(GU$2:GU$126&lt;=17)*(GU$2:GU$126&lt;&gt;"")*($J$2:$J$126))</f>
        <v>0</v>
      </c>
      <c r="GV156" s="79" cm="1">
        <f t="array" ref="GV156">SUMPRODUCT(($B$2:$B$126=5)*(GV$2:GV$126&gt;=13)*(GV$2:GV$126&lt;=17)*(GV$2:GV$126&lt;&gt;"")*($J$2:$J$126))</f>
        <v>0</v>
      </c>
      <c r="GW156" s="79" cm="1">
        <f t="array" ref="GW156">SUMPRODUCT(($B$2:$B$126=5)*(GW$2:GW$126&gt;=13)*(GW$2:GW$126&lt;=17)*(GW$2:GW$126&lt;&gt;"")*($J$2:$J$126))</f>
        <v>0</v>
      </c>
      <c r="GX156" s="79" cm="1">
        <f t="array" ref="GX156">SUMPRODUCT(($B$2:$B$126=5)*(GX$2:GX$126&gt;=13)*(GX$2:GX$126&lt;=17)*(GX$2:GX$126&lt;&gt;"")*($J$2:$J$126))</f>
        <v>0</v>
      </c>
    </row>
    <row r="157" spans="1:206" x14ac:dyDescent="0.2">
      <c r="A157" s="84">
        <v>5</v>
      </c>
      <c r="B157" s="84" t="s">
        <v>256</v>
      </c>
      <c r="W157" s="79" cm="1">
        <f t="array" ref="W157">SUMPRODUCT(($B$2:$B$126=5)*(W$2:W$126&gt;=18)*(W$2:W$126&lt;=22)*(W$2:W$126&lt;&gt;"")*($J$2:$J$126))</f>
        <v>96</v>
      </c>
      <c r="X157" s="79" cm="1">
        <f t="array" ref="X157">SUMPRODUCT(($B$2:$B$126=5)*(X$2:X$126&gt;=18)*(X$2:X$126&lt;=22)*(X$2:X$126&lt;&gt;"")*($J$2:$J$126))</f>
        <v>96</v>
      </c>
      <c r="Y157" s="79" cm="1">
        <f t="array" ref="Y157">SUMPRODUCT(($B$2:$B$126=5)*(Y$2:Y$126&gt;=18)*(Y$2:Y$126&lt;=22)*(Y$2:Y$126&lt;&gt;"")*($J$2:$J$126))</f>
        <v>28</v>
      </c>
      <c r="Z157" s="79" cm="1">
        <f t="array" ref="Z157">SUMPRODUCT(($B$2:$B$126=5)*(Z$2:Z$126&gt;=18)*(Z$2:Z$126&lt;=22)*(Z$2:Z$126&lt;&gt;"")*($J$2:$J$126))</f>
        <v>18</v>
      </c>
      <c r="AA157" s="79" cm="1">
        <f t="array" ref="AA157">SUMPRODUCT(($B$2:$B$126=5)*(AA$2:AA$126&gt;=18)*(AA$2:AA$126&lt;=22)*(AA$2:AA$126&lt;&gt;"")*($J$2:$J$126))</f>
        <v>29</v>
      </c>
      <c r="AB157" s="79" cm="1">
        <f t="array" ref="AB157">SUMPRODUCT(($B$2:$B$126=5)*(AB$2:AB$126&gt;=18)*(AB$2:AB$126&lt;=22)*(AB$2:AB$126&lt;&gt;"")*($J$2:$J$126))</f>
        <v>11</v>
      </c>
      <c r="AC157" s="79" cm="1">
        <f t="array" ref="AC157">SUMPRODUCT(($B$2:$B$126=5)*(AC$2:AC$126&gt;=18)*(AC$2:AC$126&lt;=22)*(AC$2:AC$126&lt;&gt;"")*($J$2:$J$126))</f>
        <v>11</v>
      </c>
      <c r="AD157" s="79" cm="1">
        <f t="array" ref="AD157">SUMPRODUCT(($B$2:$B$126=5)*(AD$2:AD$126&gt;=18)*(AD$2:AD$126&lt;=22)*(AD$2:AD$126&lt;&gt;"")*($J$2:$J$126))</f>
        <v>11</v>
      </c>
      <c r="AE157" s="79" cm="1">
        <f t="array" ref="AE157">SUMPRODUCT(($B$2:$B$126=5)*(AE$2:AE$126&gt;=18)*(AE$2:AE$126&lt;=22)*(AE$2:AE$126&lt;&gt;"")*($J$2:$J$126))</f>
        <v>11</v>
      </c>
      <c r="AF157" s="79" cm="1">
        <f t="array" ref="AF157">SUMPRODUCT(($B$2:$B$126=5)*(AF$2:AF$126&gt;=18)*(AF$2:AF$126&lt;=22)*(AF$2:AF$126&lt;&gt;"")*($J$2:$J$126))</f>
        <v>0</v>
      </c>
      <c r="AG157" s="79" cm="1">
        <f t="array" ref="AG157">SUMPRODUCT(($B$2:$B$126=5)*(AG$2:AG$126&gt;=18)*(AG$2:AG$126&lt;=22)*(AG$2:AG$126&lt;&gt;"")*($J$2:$J$126))</f>
        <v>0</v>
      </c>
      <c r="AH157" s="79" cm="1">
        <f t="array" ref="AH157">SUMPRODUCT(($B$2:$B$126=5)*(AH$2:AH$126&gt;=18)*(AH$2:AH$126&lt;=22)*(AH$2:AH$126&lt;&gt;"")*($J$2:$J$126))</f>
        <v>0</v>
      </c>
      <c r="AI157" s="79" cm="1">
        <f t="array" ref="AI157">SUMPRODUCT(($B$2:$B$126=5)*(AI$2:AI$126&gt;=18)*(AI$2:AI$126&lt;=22)*(AI$2:AI$126&lt;&gt;"")*($J$2:$J$126))</f>
        <v>0</v>
      </c>
      <c r="AJ157" s="79" cm="1">
        <f t="array" ref="AJ157">SUMPRODUCT(($B$2:$B$126=5)*(AJ$2:AJ$126&gt;=18)*(AJ$2:AJ$126&lt;=22)*(AJ$2:AJ$126&lt;&gt;"")*($J$2:$J$126))</f>
        <v>0</v>
      </c>
      <c r="AK157" s="79" cm="1">
        <f t="array" ref="AK157">SUMPRODUCT(($B$2:$B$126=5)*(AK$2:AK$126&gt;=18)*(AK$2:AK$126&lt;=22)*(AK$2:AK$126&lt;&gt;"")*($J$2:$J$126))</f>
        <v>0</v>
      </c>
      <c r="AL157" s="79" cm="1">
        <f t="array" ref="AL157">SUMPRODUCT(($B$2:$B$126=5)*(AL$2:AL$126&gt;=18)*(AL$2:AL$126&lt;=22)*(AL$2:AL$126&lt;&gt;"")*($J$2:$J$126))</f>
        <v>0</v>
      </c>
      <c r="AM157" s="79" cm="1">
        <f t="array" ref="AM157">SUMPRODUCT(($B$2:$B$126=5)*(AM$2:AM$126&gt;=18)*(AM$2:AM$126&lt;=22)*(AM$2:AM$126&lt;&gt;"")*($J$2:$J$126))</f>
        <v>0</v>
      </c>
      <c r="AN157" s="79" cm="1">
        <f t="array" ref="AN157">SUMPRODUCT(($B$2:$B$126=5)*(AN$2:AN$126&gt;=18)*(AN$2:AN$126&lt;=22)*(AN$2:AN$126&lt;&gt;"")*($J$2:$J$126))</f>
        <v>0</v>
      </c>
      <c r="AO157" s="79" cm="1">
        <f t="array" ref="AO157">SUMPRODUCT(($B$2:$B$126=5)*(AO$2:AO$126&gt;=18)*(AO$2:AO$126&lt;=22)*(AO$2:AO$126&lt;&gt;"")*($J$2:$J$126))</f>
        <v>0</v>
      </c>
      <c r="AP157" s="79" cm="1">
        <f t="array" ref="AP157">SUMPRODUCT(($B$2:$B$126=5)*(AP$2:AP$126&gt;=18)*(AP$2:AP$126&lt;=22)*(AP$2:AP$126&lt;&gt;"")*($J$2:$J$126))</f>
        <v>0</v>
      </c>
      <c r="AQ157" s="79" cm="1">
        <f t="array" ref="AQ157">SUMPRODUCT(($B$2:$B$126=5)*(AQ$2:AQ$126&gt;=18)*(AQ$2:AQ$126&lt;=22)*(AQ$2:AQ$126&lt;&gt;"")*($J$2:$J$126))</f>
        <v>19</v>
      </c>
      <c r="AR157" s="79" cm="1">
        <f t="array" ref="AR157">SUMPRODUCT(($B$2:$B$126=5)*(AR$2:AR$126&gt;=18)*(AR$2:AR$126&lt;=22)*(AR$2:AR$126&lt;&gt;"")*($J$2:$J$126))</f>
        <v>19</v>
      </c>
      <c r="AS157" s="79" cm="1">
        <f t="array" ref="AS157">SUMPRODUCT(($B$2:$B$126=5)*(AS$2:AS$126&gt;=18)*(AS$2:AS$126&lt;=22)*(AS$2:AS$126&lt;&gt;"")*($J$2:$J$126))</f>
        <v>19</v>
      </c>
      <c r="AT157" s="79" cm="1">
        <f t="array" ref="AT157">SUMPRODUCT(($B$2:$B$126=5)*(AT$2:AT$126&gt;=18)*(AT$2:AT$126&lt;=22)*(AT$2:AT$126&lt;&gt;"")*($J$2:$J$126))</f>
        <v>36</v>
      </c>
      <c r="AU157" s="79" cm="1">
        <f t="array" ref="AU157">SUMPRODUCT(($B$2:$B$126=5)*(AU$2:AU$126&gt;=18)*(AU$2:AU$126&lt;=22)*(AU$2:AU$126&lt;&gt;"")*($J$2:$J$126))</f>
        <v>36</v>
      </c>
      <c r="AV157" s="79" cm="1">
        <f t="array" ref="AV157">SUMPRODUCT(($B$2:$B$126=5)*(AV$2:AV$126&gt;=18)*(AV$2:AV$126&lt;=22)*(AV$2:AV$126&lt;&gt;"")*($J$2:$J$126))</f>
        <v>17</v>
      </c>
      <c r="AW157" s="79" cm="1">
        <f t="array" ref="AW157">SUMPRODUCT(($B$2:$B$126=5)*(AW$2:AW$126&gt;=18)*(AW$2:AW$126&lt;=22)*(AW$2:AW$126&lt;&gt;"")*($J$2:$J$126))</f>
        <v>28</v>
      </c>
      <c r="AX157" s="79" cm="1">
        <f t="array" ref="AX157">SUMPRODUCT(($B$2:$B$126=5)*(AX$2:AX$126&gt;=18)*(AX$2:AX$126&lt;=22)*(AX$2:AX$126&lt;&gt;"")*($J$2:$J$126))</f>
        <v>28</v>
      </c>
      <c r="AY157" s="79" cm="1">
        <f t="array" ref="AY157">SUMPRODUCT(($B$2:$B$126=5)*(AY$2:AY$126&gt;=18)*(AY$2:AY$126&lt;=22)*(AY$2:AY$126&lt;&gt;"")*($J$2:$J$126))</f>
        <v>22</v>
      </c>
      <c r="AZ157" s="79" cm="1">
        <f t="array" ref="AZ157">SUMPRODUCT(($B$2:$B$126=5)*(AZ$2:AZ$126&gt;=18)*(AZ$2:AZ$126&lt;=22)*(AZ$2:AZ$126&lt;&gt;"")*($J$2:$J$126))</f>
        <v>0</v>
      </c>
      <c r="BA157" s="79" cm="1">
        <f t="array" ref="BA157">SUMPRODUCT(($B$2:$B$126=5)*(BA$2:BA$126&gt;=18)*(BA$2:BA$126&lt;=22)*(BA$2:BA$126&lt;&gt;"")*($J$2:$J$126))</f>
        <v>0</v>
      </c>
      <c r="BB157" s="79" cm="1">
        <f t="array" ref="BB157">SUMPRODUCT(($B$2:$B$126=5)*(BB$2:BB$126&gt;=18)*(BB$2:BB$126&lt;=22)*(BB$2:BB$126&lt;&gt;"")*($J$2:$J$126))</f>
        <v>0</v>
      </c>
      <c r="BC157" s="79" cm="1">
        <f t="array" ref="BC157">SUMPRODUCT(($B$2:$B$126=5)*(BC$2:BC$126&gt;=18)*(BC$2:BC$126&lt;=22)*(BC$2:BC$126&lt;&gt;"")*($J$2:$J$126))</f>
        <v>0</v>
      </c>
      <c r="BD157" s="79" cm="1">
        <f t="array" ref="BD157">SUMPRODUCT(($B$2:$B$126=5)*(BD$2:BD$126&gt;=18)*(BD$2:BD$126&lt;=22)*(BD$2:BD$126&lt;&gt;"")*($J$2:$J$126))</f>
        <v>0</v>
      </c>
      <c r="BE157" s="79" cm="1">
        <f t="array" ref="BE157">SUMPRODUCT(($B$2:$B$126=5)*(BE$2:BE$126&gt;=18)*(BE$2:BE$126&lt;=22)*(BE$2:BE$126&lt;&gt;"")*($J$2:$J$126))</f>
        <v>0</v>
      </c>
      <c r="BF157" s="79" cm="1">
        <f t="array" ref="BF157">SUMPRODUCT(($B$2:$B$126=5)*(BF$2:BF$126&gt;=18)*(BF$2:BF$126&lt;=22)*(BF$2:BF$126&lt;&gt;"")*($J$2:$J$126))</f>
        <v>0</v>
      </c>
      <c r="BG157" s="79" cm="1">
        <f t="array" ref="BG157">SUMPRODUCT(($B$2:$B$126=5)*(BG$2:BG$126&gt;=18)*(BG$2:BG$126&lt;=22)*(BG$2:BG$126&lt;&gt;"")*($J$2:$J$126))</f>
        <v>0</v>
      </c>
      <c r="BH157" s="79" cm="1">
        <f t="array" ref="BH157">SUMPRODUCT(($B$2:$B$126=5)*(BH$2:BH$126&gt;=18)*(BH$2:BH$126&lt;=22)*(BH$2:BH$126&lt;&gt;"")*($J$2:$J$126))</f>
        <v>0</v>
      </c>
      <c r="BI157" s="79" cm="1">
        <f t="array" ref="BI157">SUMPRODUCT(($B$2:$B$126=5)*(BI$2:BI$126&gt;=18)*(BI$2:BI$126&lt;=22)*(BI$2:BI$126&lt;&gt;"")*($J$2:$J$126))</f>
        <v>0</v>
      </c>
      <c r="BJ157" s="79" cm="1">
        <f t="array" ref="BJ157">SUMPRODUCT(($B$2:$B$126=5)*(BJ$2:BJ$126&gt;=18)*(BJ$2:BJ$126&lt;=22)*(BJ$2:BJ$126&lt;&gt;"")*($J$2:$J$126))</f>
        <v>0</v>
      </c>
      <c r="BK157" s="79" cm="1">
        <f t="array" ref="BK157">SUMPRODUCT(($B$2:$B$126=5)*(BK$2:BK$126&gt;=18)*(BK$2:BK$126&lt;=22)*(BK$2:BK$126&lt;&gt;"")*($J$2:$J$126))</f>
        <v>0</v>
      </c>
      <c r="BL157" s="79" cm="1">
        <f t="array" ref="BL157">SUMPRODUCT(($B$2:$B$126=5)*(BL$2:BL$126&gt;=18)*(BL$2:BL$126&lt;=22)*(BL$2:BL$126&lt;&gt;"")*($J$2:$J$126))</f>
        <v>0</v>
      </c>
      <c r="BM157" s="79" cm="1">
        <f t="array" ref="BM157">SUMPRODUCT(($B$2:$B$126=5)*(BM$2:BM$126&gt;=18)*(BM$2:BM$126&lt;=22)*(BM$2:BM$126&lt;&gt;"")*($J$2:$J$126))</f>
        <v>0</v>
      </c>
      <c r="BN157" s="79" cm="1">
        <f t="array" ref="BN157">SUMPRODUCT(($B$2:$B$126=5)*(BN$2:BN$126&gt;=18)*(BN$2:BN$126&lt;=22)*(BN$2:BN$126&lt;&gt;"")*($J$2:$J$126))</f>
        <v>0</v>
      </c>
      <c r="BO157" s="79" cm="1">
        <f t="array" ref="BO157">SUMPRODUCT(($B$2:$B$126=5)*(BO$2:BO$126&gt;=18)*(BO$2:BO$126&lt;=22)*(BO$2:BO$126&lt;&gt;"")*($J$2:$J$126))</f>
        <v>0</v>
      </c>
      <c r="BP157" s="79" cm="1">
        <f t="array" ref="BP157">SUMPRODUCT(($B$2:$B$126=5)*(BP$2:BP$126&gt;=18)*(BP$2:BP$126&lt;=22)*(BP$2:BP$126&lt;&gt;"")*($J$2:$J$126))</f>
        <v>0</v>
      </c>
      <c r="BQ157" s="79" cm="1">
        <f t="array" ref="BQ157">SUMPRODUCT(($B$2:$B$126=5)*(BQ$2:BQ$126&gt;=18)*(BQ$2:BQ$126&lt;=22)*(BQ$2:BQ$126&lt;&gt;"")*($J$2:$J$126))</f>
        <v>0</v>
      </c>
      <c r="BR157" s="79" cm="1">
        <f t="array" ref="BR157">SUMPRODUCT(($B$2:$B$126=5)*(BR$2:BR$126&gt;=18)*(BR$2:BR$126&lt;=22)*(BR$2:BR$126&lt;&gt;"")*($J$2:$J$126))</f>
        <v>55</v>
      </c>
      <c r="BS157" s="79" cm="1">
        <f t="array" ref="BS157">SUMPRODUCT(($B$2:$B$126=5)*(BS$2:BS$126&gt;=18)*(BS$2:BS$126&lt;=22)*(BS$2:BS$126&lt;&gt;"")*($J$2:$J$126))</f>
        <v>103</v>
      </c>
      <c r="BT157" s="79" cm="1">
        <f t="array" ref="BT157">SUMPRODUCT(($B$2:$B$126=5)*(BT$2:BT$126&gt;=18)*(BT$2:BT$126&lt;=22)*(BT$2:BT$126&lt;&gt;"")*($J$2:$J$126))</f>
        <v>103</v>
      </c>
      <c r="BU157" s="79" cm="1">
        <f t="array" ref="BU157">SUMPRODUCT(($B$2:$B$126=5)*(BU$2:BU$126&gt;=18)*(BU$2:BU$126&lt;=22)*(BU$2:BU$126&lt;&gt;"")*($J$2:$J$126))</f>
        <v>103</v>
      </c>
      <c r="BV157" s="79" cm="1">
        <f t="array" ref="BV157">SUMPRODUCT(($B$2:$B$126=5)*(BV$2:BV$126&gt;=18)*(BV$2:BV$126&lt;=22)*(BV$2:BV$126&lt;&gt;"")*($J$2:$J$126))</f>
        <v>103</v>
      </c>
      <c r="BW157" s="79" cm="1">
        <f t="array" ref="BW157">SUMPRODUCT(($B$2:$B$126=5)*(BW$2:BW$126&gt;=18)*(BW$2:BW$126&lt;=22)*(BW$2:BW$126&lt;&gt;"")*($J$2:$J$126))</f>
        <v>48</v>
      </c>
      <c r="BX157" s="79" cm="1">
        <f t="array" ref="BX157">SUMPRODUCT(($B$2:$B$126=5)*(BX$2:BX$126&gt;=18)*(BX$2:BX$126&lt;=22)*(BX$2:BX$126&lt;&gt;"")*($J$2:$J$126))</f>
        <v>0</v>
      </c>
      <c r="BY157" s="79" cm="1">
        <f t="array" ref="BY157">SUMPRODUCT(($B$2:$B$126=5)*(BY$2:BY$126&gt;=18)*(BY$2:BY$126&lt;=22)*(BY$2:BY$126&lt;&gt;"")*($J$2:$J$126))</f>
        <v>0</v>
      </c>
      <c r="BZ157" s="79" cm="1">
        <f t="array" ref="BZ157">SUMPRODUCT(($B$2:$B$126=5)*(BZ$2:BZ$126&gt;=18)*(BZ$2:BZ$126&lt;=22)*(BZ$2:BZ$126&lt;&gt;"")*($J$2:$J$126))</f>
        <v>0</v>
      </c>
      <c r="CA157" s="79" cm="1">
        <f t="array" ref="CA157">SUMPRODUCT(($B$2:$B$126=5)*(CA$2:CA$126&gt;=18)*(CA$2:CA$126&lt;=22)*(CA$2:CA$126&lt;&gt;"")*($J$2:$J$126))</f>
        <v>0</v>
      </c>
      <c r="CB157" s="79" cm="1">
        <f t="array" ref="CB157">SUMPRODUCT(($B$2:$B$126=5)*(CB$2:CB$126&gt;=18)*(CB$2:CB$126&lt;=22)*(CB$2:CB$126&lt;&gt;"")*($J$2:$J$126))</f>
        <v>0</v>
      </c>
      <c r="CC157" s="79" cm="1">
        <f t="array" ref="CC157">SUMPRODUCT(($B$2:$B$126=5)*(CC$2:CC$126&gt;=18)*(CC$2:CC$126&lt;=22)*(CC$2:CC$126&lt;&gt;"")*($J$2:$J$126))</f>
        <v>0</v>
      </c>
      <c r="CD157" s="79" cm="1">
        <f t="array" ref="CD157">SUMPRODUCT(($B$2:$B$126=5)*(CD$2:CD$126&gt;=18)*(CD$2:CD$126&lt;=22)*(CD$2:CD$126&lt;&gt;"")*($J$2:$J$126))</f>
        <v>6</v>
      </c>
      <c r="CE157" s="79" cm="1">
        <f t="array" ref="CE157">SUMPRODUCT(($B$2:$B$126=5)*(CE$2:CE$126&gt;=18)*(CE$2:CE$126&lt;=22)*(CE$2:CE$126&lt;&gt;"")*($J$2:$J$126))</f>
        <v>51</v>
      </c>
      <c r="CF157" s="79" cm="1">
        <f t="array" ref="CF157">SUMPRODUCT(($B$2:$B$126=5)*(CF$2:CF$126&gt;=18)*(CF$2:CF$126&lt;=22)*(CF$2:CF$126&lt;&gt;"")*($J$2:$J$126))</f>
        <v>51</v>
      </c>
      <c r="CG157" s="79" cm="1">
        <f t="array" ref="CG157">SUMPRODUCT(($B$2:$B$126=5)*(CG$2:CG$126&gt;=18)*(CG$2:CG$126&lt;=22)*(CG$2:CG$126&lt;&gt;"")*($J$2:$J$126))</f>
        <v>84</v>
      </c>
      <c r="CH157" s="79" cm="1">
        <f t="array" ref="CH157">SUMPRODUCT(($B$2:$B$126=5)*(CH$2:CH$126&gt;=18)*(CH$2:CH$126&lt;=22)*(CH$2:CH$126&lt;&gt;"")*($J$2:$J$126))</f>
        <v>84</v>
      </c>
      <c r="CI157" s="79" cm="1">
        <f t="array" ref="CI157">SUMPRODUCT(($B$2:$B$126=5)*(CI$2:CI$126&gt;=18)*(CI$2:CI$126&lt;=22)*(CI$2:CI$126&lt;&gt;"")*($J$2:$J$126))</f>
        <v>78</v>
      </c>
      <c r="CJ157" s="79" cm="1">
        <f t="array" ref="CJ157">SUMPRODUCT(($B$2:$B$126=5)*(CJ$2:CJ$126&gt;=18)*(CJ$2:CJ$126&lt;=22)*(CJ$2:CJ$126&lt;&gt;"")*($J$2:$J$126))</f>
        <v>33</v>
      </c>
      <c r="CK157" s="79" cm="1">
        <f t="array" ref="CK157">SUMPRODUCT(($B$2:$B$126=5)*(CK$2:CK$126&gt;=18)*(CK$2:CK$126&lt;=22)*(CK$2:CK$126&lt;&gt;"")*($J$2:$J$126))</f>
        <v>33</v>
      </c>
      <c r="CL157" s="79" cm="1">
        <f t="array" ref="CL157">SUMPRODUCT(($B$2:$B$126=5)*(CL$2:CL$126&gt;=18)*(CL$2:CL$126&lt;=22)*(CL$2:CL$126&lt;&gt;"")*($J$2:$J$126))</f>
        <v>0</v>
      </c>
      <c r="CM157" s="79" cm="1">
        <f t="array" ref="CM157">SUMPRODUCT(($B$2:$B$126=5)*(CM$2:CM$126&gt;=18)*(CM$2:CM$126&lt;=22)*(CM$2:CM$126&lt;&gt;"")*($J$2:$J$126))</f>
        <v>0</v>
      </c>
      <c r="CN157" s="79" cm="1">
        <f t="array" ref="CN157">SUMPRODUCT(($B$2:$B$126=5)*(CN$2:CN$126&gt;=18)*(CN$2:CN$126&lt;=22)*(CN$2:CN$126&lt;&gt;"")*($J$2:$J$126))</f>
        <v>0</v>
      </c>
      <c r="CO157" s="79" cm="1">
        <f t="array" ref="CO157">SUMPRODUCT(($B$2:$B$126=5)*(CO$2:CO$126&gt;=18)*(CO$2:CO$126&lt;=22)*(CO$2:CO$126&lt;&gt;"")*($J$2:$J$126))</f>
        <v>0</v>
      </c>
      <c r="CP157" s="79" cm="1">
        <f t="array" ref="CP157">SUMPRODUCT(($B$2:$B$126=5)*(CP$2:CP$126&gt;=18)*(CP$2:CP$126&lt;=22)*(CP$2:CP$126&lt;&gt;"")*($J$2:$J$126))</f>
        <v>0</v>
      </c>
      <c r="CQ157" s="79" cm="1">
        <f t="array" ref="CQ157">SUMPRODUCT(($B$2:$B$126=5)*(CQ$2:CQ$126&gt;=18)*(CQ$2:CQ$126&lt;=22)*(CQ$2:CQ$126&lt;&gt;"")*($J$2:$J$126))</f>
        <v>0</v>
      </c>
      <c r="CR157" s="79" cm="1">
        <f t="array" ref="CR157">SUMPRODUCT(($B$2:$B$126=5)*(CR$2:CR$126&gt;=18)*(CR$2:CR$126&lt;=22)*(CR$2:CR$126&lt;&gt;"")*($J$2:$J$126))</f>
        <v>0</v>
      </c>
      <c r="CS157" s="79" cm="1">
        <f t="array" ref="CS157">SUMPRODUCT(($B$2:$B$126=5)*(CS$2:CS$126&gt;=18)*(CS$2:CS$126&lt;=22)*(CS$2:CS$126&lt;&gt;"")*($J$2:$J$126))</f>
        <v>0</v>
      </c>
      <c r="CT157" s="79" cm="1">
        <f t="array" ref="CT157">SUMPRODUCT(($B$2:$B$126=5)*(CT$2:CT$126&gt;=18)*(CT$2:CT$126&lt;=22)*(CT$2:CT$126&lt;&gt;"")*($J$2:$J$126))</f>
        <v>0</v>
      </c>
      <c r="CU157" s="79" cm="1">
        <f t="array" ref="CU157">SUMPRODUCT(($B$2:$B$126=5)*(CU$2:CU$126&gt;=18)*(CU$2:CU$126&lt;=22)*(CU$2:CU$126&lt;&gt;"")*($J$2:$J$126))</f>
        <v>0</v>
      </c>
      <c r="CV157" s="79" cm="1">
        <f t="array" ref="CV157">SUMPRODUCT(($B$2:$B$126=5)*(CV$2:CV$126&gt;=18)*(CV$2:CV$126&lt;=22)*(CV$2:CV$126&lt;&gt;"")*($J$2:$J$126))</f>
        <v>0</v>
      </c>
      <c r="CW157" s="79" cm="1">
        <f t="array" ref="CW157">SUMPRODUCT(($B$2:$B$126=5)*(CW$2:CW$126&gt;=18)*(CW$2:CW$126&lt;=22)*(CW$2:CW$126&lt;&gt;"")*($J$2:$J$126))</f>
        <v>0</v>
      </c>
      <c r="CX157" s="79" cm="1">
        <f t="array" ref="CX157">SUMPRODUCT(($B$2:$B$126=5)*(CX$2:CX$126&gt;=18)*(CX$2:CX$126&lt;=22)*(CX$2:CX$126&lt;&gt;"")*($J$2:$J$126))</f>
        <v>0</v>
      </c>
      <c r="CY157" s="79" cm="1">
        <f t="array" ref="CY157">SUMPRODUCT(($B$2:$B$126=5)*(CY$2:CY$126&gt;=18)*(CY$2:CY$126&lt;=22)*(CY$2:CY$126&lt;&gt;"")*($J$2:$J$126))</f>
        <v>0</v>
      </c>
      <c r="CZ157" s="79" cm="1">
        <f t="array" ref="CZ157">SUMPRODUCT(($B$2:$B$126=5)*(CZ$2:CZ$126&gt;=18)*(CZ$2:CZ$126&lt;=22)*(CZ$2:CZ$126&lt;&gt;"")*($J$2:$J$126))</f>
        <v>0</v>
      </c>
      <c r="DA157" s="79" cm="1">
        <f t="array" ref="DA157">SUMPRODUCT(($B$2:$B$126=5)*(DA$2:DA$126&gt;=18)*(DA$2:DA$126&lt;=22)*(DA$2:DA$126&lt;&gt;"")*($J$2:$J$126))</f>
        <v>0</v>
      </c>
      <c r="DB157" s="79" cm="1">
        <f t="array" ref="DB157">SUMPRODUCT(($B$2:$B$126=5)*(DB$2:DB$126&gt;=18)*(DB$2:DB$126&lt;=22)*(DB$2:DB$126&lt;&gt;"")*($J$2:$J$126))</f>
        <v>0</v>
      </c>
      <c r="DC157" s="79" cm="1">
        <f t="array" ref="DC157">SUMPRODUCT(($B$2:$B$126=5)*(DC$2:DC$126&gt;=18)*(DC$2:DC$126&lt;=22)*(DC$2:DC$126&lt;&gt;"")*($J$2:$J$126))</f>
        <v>0</v>
      </c>
      <c r="DD157" s="79" cm="1">
        <f t="array" ref="DD157">SUMPRODUCT(($B$2:$B$126=5)*(DD$2:DD$126&gt;=18)*(DD$2:DD$126&lt;=22)*(DD$2:DD$126&lt;&gt;"")*($J$2:$J$126))</f>
        <v>0</v>
      </c>
      <c r="DE157" s="79" cm="1">
        <f t="array" ref="DE157">SUMPRODUCT(($B$2:$B$126=5)*(DE$2:DE$126&gt;=18)*(DE$2:DE$126&lt;=22)*(DE$2:DE$126&lt;&gt;"")*($J$2:$J$126))</f>
        <v>0</v>
      </c>
      <c r="DF157" s="79" cm="1">
        <f t="array" ref="DF157">SUMPRODUCT(($B$2:$B$126=5)*(DF$2:DF$126&gt;=18)*(DF$2:DF$126&lt;=22)*(DF$2:DF$126&lt;&gt;"")*($J$2:$J$126))</f>
        <v>0</v>
      </c>
      <c r="DG157" s="79" cm="1">
        <f t="array" ref="DG157">SUMPRODUCT(($B$2:$B$126=5)*(DG$2:DG$126&gt;=18)*(DG$2:DG$126&lt;=22)*(DG$2:DG$126&lt;&gt;"")*($J$2:$J$126))</f>
        <v>0</v>
      </c>
      <c r="DH157" s="79" cm="1">
        <f t="array" ref="DH157">SUMPRODUCT(($B$2:$B$126=5)*(DH$2:DH$126&gt;=18)*(DH$2:DH$126&lt;=22)*(DH$2:DH$126&lt;&gt;"")*($J$2:$J$126))</f>
        <v>0</v>
      </c>
      <c r="DI157" s="79" cm="1">
        <f t="array" ref="DI157">SUMPRODUCT(($B$2:$B$126=5)*(DI$2:DI$126&gt;=18)*(DI$2:DI$126&lt;=22)*(DI$2:DI$126&lt;&gt;"")*($J$2:$J$126))</f>
        <v>0</v>
      </c>
      <c r="DJ157" s="79" cm="1">
        <f t="array" ref="DJ157">SUMPRODUCT(($B$2:$B$126=5)*(DJ$2:DJ$126&gt;=18)*(DJ$2:DJ$126&lt;=22)*(DJ$2:DJ$126&lt;&gt;"")*($J$2:$J$126))</f>
        <v>0</v>
      </c>
      <c r="DK157" s="79" cm="1">
        <f t="array" ref="DK157">SUMPRODUCT(($B$2:$B$126=5)*(DK$2:DK$126&gt;=18)*(DK$2:DK$126&lt;=22)*(DK$2:DK$126&lt;&gt;"")*($J$2:$J$126))</f>
        <v>0</v>
      </c>
      <c r="DL157" s="79" cm="1">
        <f t="array" ref="DL157">SUMPRODUCT(($B$2:$B$126=5)*(DL$2:DL$126&gt;=18)*(DL$2:DL$126&lt;=22)*(DL$2:DL$126&lt;&gt;"")*($J$2:$J$126))</f>
        <v>0</v>
      </c>
      <c r="DM157" s="79" cm="1">
        <f t="array" ref="DM157">SUMPRODUCT(($B$2:$B$126=5)*(DM$2:DM$126&gt;=18)*(DM$2:DM$126&lt;=22)*(DM$2:DM$126&lt;&gt;"")*($J$2:$J$126))</f>
        <v>0</v>
      </c>
      <c r="DN157" s="79" cm="1">
        <f t="array" ref="DN157">SUMPRODUCT(($B$2:$B$126=5)*(DN$2:DN$126&gt;=18)*(DN$2:DN$126&lt;=22)*(DN$2:DN$126&lt;&gt;"")*($J$2:$J$126))</f>
        <v>0</v>
      </c>
      <c r="DO157" s="79" cm="1">
        <f t="array" ref="DO157">SUMPRODUCT(($B$2:$B$126=5)*(DO$2:DO$126&gt;=18)*(DO$2:DO$126&lt;=22)*(DO$2:DO$126&lt;&gt;"")*($J$2:$J$126))</f>
        <v>0</v>
      </c>
      <c r="DP157" s="79" cm="1">
        <f t="array" ref="DP157">SUMPRODUCT(($B$2:$B$126=5)*(DP$2:DP$126&gt;=18)*(DP$2:DP$126&lt;=22)*(DP$2:DP$126&lt;&gt;"")*($J$2:$J$126))</f>
        <v>0</v>
      </c>
      <c r="DQ157" s="79" cm="1">
        <f t="array" ref="DQ157">SUMPRODUCT(($B$2:$B$126=5)*(DQ$2:DQ$126&gt;=18)*(DQ$2:DQ$126&lt;=22)*(DQ$2:DQ$126&lt;&gt;"")*($J$2:$J$126))</f>
        <v>0</v>
      </c>
      <c r="DR157" s="79" cm="1">
        <f t="array" ref="DR157">SUMPRODUCT(($B$2:$B$126=5)*(DR$2:DR$126&gt;=18)*(DR$2:DR$126&lt;=22)*(DR$2:DR$126&lt;&gt;"")*($J$2:$J$126))</f>
        <v>0</v>
      </c>
      <c r="DS157" s="79" cm="1">
        <f t="array" ref="DS157">SUMPRODUCT(($B$2:$B$126=5)*(DS$2:DS$126&gt;=18)*(DS$2:DS$126&lt;=22)*(DS$2:DS$126&lt;&gt;"")*($J$2:$J$126))</f>
        <v>0</v>
      </c>
      <c r="DT157" s="79" cm="1">
        <f t="array" ref="DT157">SUMPRODUCT(($B$2:$B$126=5)*(DT$2:DT$126&gt;=18)*(DT$2:DT$126&lt;=22)*(DT$2:DT$126&lt;&gt;"")*($J$2:$J$126))</f>
        <v>0</v>
      </c>
      <c r="DU157" s="79" cm="1">
        <f t="array" ref="DU157">SUMPRODUCT(($B$2:$B$126=5)*(DU$2:DU$126&gt;=18)*(DU$2:DU$126&lt;=22)*(DU$2:DU$126&lt;&gt;"")*($J$2:$J$126))</f>
        <v>0</v>
      </c>
      <c r="DV157" s="79" cm="1">
        <f t="array" ref="DV157">SUMPRODUCT(($B$2:$B$126=5)*(DV$2:DV$126&gt;=18)*(DV$2:DV$126&lt;=22)*(DV$2:DV$126&lt;&gt;"")*($J$2:$J$126))</f>
        <v>0</v>
      </c>
      <c r="DW157" s="79" cm="1">
        <f t="array" ref="DW157">SUMPRODUCT(($B$2:$B$126=5)*(DW$2:DW$126&gt;=18)*(DW$2:DW$126&lt;=22)*(DW$2:DW$126&lt;&gt;"")*($J$2:$J$126))</f>
        <v>0</v>
      </c>
      <c r="DX157" s="79" cm="1">
        <f t="array" ref="DX157">SUMPRODUCT(($B$2:$B$126=5)*(DX$2:DX$126&gt;=18)*(DX$2:DX$126&lt;=22)*(DX$2:DX$126&lt;&gt;"")*($J$2:$J$126))</f>
        <v>0</v>
      </c>
      <c r="DY157" s="79" cm="1">
        <f t="array" ref="DY157">SUMPRODUCT(($B$2:$B$126=5)*(DY$2:DY$126&gt;=18)*(DY$2:DY$126&lt;=22)*(DY$2:DY$126&lt;&gt;"")*($J$2:$J$126))</f>
        <v>0</v>
      </c>
      <c r="DZ157" s="79" cm="1">
        <f t="array" ref="DZ157">SUMPRODUCT(($B$2:$B$126=5)*(DZ$2:DZ$126&gt;=18)*(DZ$2:DZ$126&lt;=22)*(DZ$2:DZ$126&lt;&gt;"")*($J$2:$J$126))</f>
        <v>0</v>
      </c>
      <c r="EA157" s="79" cm="1">
        <f t="array" ref="EA157">SUMPRODUCT(($B$2:$B$126=5)*(EA$2:EA$126&gt;=18)*(EA$2:EA$126&lt;=22)*(EA$2:EA$126&lt;&gt;"")*($J$2:$J$126))</f>
        <v>0</v>
      </c>
      <c r="EB157" s="79" cm="1">
        <f t="array" ref="EB157">SUMPRODUCT(($B$2:$B$126=5)*(EB$2:EB$126&gt;=18)*(EB$2:EB$126&lt;=22)*(EB$2:EB$126&lt;&gt;"")*($J$2:$J$126))</f>
        <v>0</v>
      </c>
      <c r="EC157" s="79" cm="1">
        <f t="array" ref="EC157">SUMPRODUCT(($B$2:$B$126=5)*(EC$2:EC$126&gt;=18)*(EC$2:EC$126&lt;=22)*(EC$2:EC$126&lt;&gt;"")*($J$2:$J$126))</f>
        <v>0</v>
      </c>
      <c r="ED157" s="79" cm="1">
        <f t="array" ref="ED157">SUMPRODUCT(($B$2:$B$126=5)*(ED$2:ED$126&gt;=18)*(ED$2:ED$126&lt;=22)*(ED$2:ED$126&lt;&gt;"")*($J$2:$J$126))</f>
        <v>0</v>
      </c>
      <c r="EE157" s="79" cm="1">
        <f t="array" ref="EE157">SUMPRODUCT(($B$2:$B$126=5)*(EE$2:EE$126&gt;=18)*(EE$2:EE$126&lt;=22)*(EE$2:EE$126&lt;&gt;"")*($J$2:$J$126))</f>
        <v>0</v>
      </c>
      <c r="EF157" s="79" cm="1">
        <f t="array" ref="EF157">SUMPRODUCT(($B$2:$B$126=5)*(EF$2:EF$126&gt;=18)*(EF$2:EF$126&lt;=22)*(EF$2:EF$126&lt;&gt;"")*($J$2:$J$126))</f>
        <v>0</v>
      </c>
      <c r="EG157" s="79" cm="1">
        <f t="array" ref="EG157">SUMPRODUCT(($B$2:$B$126=5)*(EG$2:EG$126&gt;=18)*(EG$2:EG$126&lt;=22)*(EG$2:EG$126&lt;&gt;"")*($J$2:$J$126))</f>
        <v>0</v>
      </c>
      <c r="EH157" s="79" cm="1">
        <f t="array" ref="EH157">SUMPRODUCT(($B$2:$B$126=5)*(EH$2:EH$126&gt;=18)*(EH$2:EH$126&lt;=22)*(EH$2:EH$126&lt;&gt;"")*($J$2:$J$126))</f>
        <v>0</v>
      </c>
      <c r="EI157" s="79" cm="1">
        <f t="array" ref="EI157">SUMPRODUCT(($B$2:$B$126=5)*(EI$2:EI$126&gt;=18)*(EI$2:EI$126&lt;=22)*(EI$2:EI$126&lt;&gt;"")*($J$2:$J$126))</f>
        <v>0</v>
      </c>
      <c r="EJ157" s="79" cm="1">
        <f t="array" ref="EJ157">SUMPRODUCT(($B$2:$B$126=5)*(EJ$2:EJ$126&gt;=18)*(EJ$2:EJ$126&lt;=22)*(EJ$2:EJ$126&lt;&gt;"")*($J$2:$J$126))</f>
        <v>0</v>
      </c>
      <c r="EK157" s="79" cm="1">
        <f t="array" ref="EK157">SUMPRODUCT(($B$2:$B$126=5)*(EK$2:EK$126&gt;=18)*(EK$2:EK$126&lt;=22)*(EK$2:EK$126&lt;&gt;"")*($J$2:$J$126))</f>
        <v>0</v>
      </c>
      <c r="EL157" s="79" cm="1">
        <f t="array" ref="EL157">SUMPRODUCT(($B$2:$B$126=5)*(EL$2:EL$126&gt;=18)*(EL$2:EL$126&lt;=22)*(EL$2:EL$126&lt;&gt;"")*($J$2:$J$126))</f>
        <v>0</v>
      </c>
      <c r="EM157" s="79" cm="1">
        <f t="array" ref="EM157">SUMPRODUCT(($B$2:$B$126=5)*(EM$2:EM$126&gt;=18)*(EM$2:EM$126&lt;=22)*(EM$2:EM$126&lt;&gt;"")*($J$2:$J$126))</f>
        <v>0</v>
      </c>
      <c r="EN157" s="79" cm="1">
        <f t="array" ref="EN157">SUMPRODUCT(($B$2:$B$126=5)*(EN$2:EN$126&gt;=18)*(EN$2:EN$126&lt;=22)*(EN$2:EN$126&lt;&gt;"")*($J$2:$J$126))</f>
        <v>0</v>
      </c>
      <c r="EO157" s="79" cm="1">
        <f t="array" ref="EO157">SUMPRODUCT(($B$2:$B$126=5)*(EO$2:EO$126&gt;=18)*(EO$2:EO$126&lt;=22)*(EO$2:EO$126&lt;&gt;"")*($J$2:$J$126))</f>
        <v>0</v>
      </c>
      <c r="EP157" s="79" cm="1">
        <f t="array" ref="EP157">SUMPRODUCT(($B$2:$B$126=5)*(EP$2:EP$126&gt;=18)*(EP$2:EP$126&lt;=22)*(EP$2:EP$126&lt;&gt;"")*($J$2:$J$126))</f>
        <v>0</v>
      </c>
      <c r="EQ157" s="79" cm="1">
        <f t="array" ref="EQ157">SUMPRODUCT(($B$2:$B$126=5)*(EQ$2:EQ$126&gt;=18)*(EQ$2:EQ$126&lt;=22)*(EQ$2:EQ$126&lt;&gt;"")*($J$2:$J$126))</f>
        <v>0</v>
      </c>
      <c r="ER157" s="79" cm="1">
        <f t="array" ref="ER157">SUMPRODUCT(($B$2:$B$126=5)*(ER$2:ER$126&gt;=18)*(ER$2:ER$126&lt;=22)*(ER$2:ER$126&lt;&gt;"")*($J$2:$J$126))</f>
        <v>0</v>
      </c>
      <c r="ES157" s="79" cm="1">
        <f t="array" ref="ES157">SUMPRODUCT(($B$2:$B$126=5)*(ES$2:ES$126&gt;=18)*(ES$2:ES$126&lt;=22)*(ES$2:ES$126&lt;&gt;"")*($J$2:$J$126))</f>
        <v>0</v>
      </c>
      <c r="ET157" s="79" cm="1">
        <f t="array" ref="ET157">SUMPRODUCT(($B$2:$B$126=5)*(ET$2:ET$126&gt;=18)*(ET$2:ET$126&lt;=22)*(ET$2:ET$126&lt;&gt;"")*($J$2:$J$126))</f>
        <v>0</v>
      </c>
      <c r="EU157" s="79" cm="1">
        <f t="array" ref="EU157">SUMPRODUCT(($B$2:$B$126=5)*(EU$2:EU$126&gt;=18)*(EU$2:EU$126&lt;=22)*(EU$2:EU$126&lt;&gt;"")*($J$2:$J$126))</f>
        <v>0</v>
      </c>
      <c r="EV157" s="79" cm="1">
        <f t="array" ref="EV157">SUMPRODUCT(($B$2:$B$126=5)*(EV$2:EV$126&gt;=18)*(EV$2:EV$126&lt;=22)*(EV$2:EV$126&lt;&gt;"")*($J$2:$J$126))</f>
        <v>0</v>
      </c>
      <c r="EW157" s="79" cm="1">
        <f t="array" ref="EW157">SUMPRODUCT(($B$2:$B$126=5)*(EW$2:EW$126&gt;=18)*(EW$2:EW$126&lt;=22)*(EW$2:EW$126&lt;&gt;"")*($J$2:$J$126))</f>
        <v>0</v>
      </c>
      <c r="EX157" s="79" cm="1">
        <f t="array" ref="EX157">SUMPRODUCT(($B$2:$B$126=5)*(EX$2:EX$126&gt;=18)*(EX$2:EX$126&lt;=22)*(EX$2:EX$126&lt;&gt;"")*($J$2:$J$126))</f>
        <v>0</v>
      </c>
      <c r="EY157" s="79" cm="1">
        <f t="array" ref="EY157">SUMPRODUCT(($B$2:$B$126=5)*(EY$2:EY$126&gt;=18)*(EY$2:EY$126&lt;=22)*(EY$2:EY$126&lt;&gt;"")*($J$2:$J$126))</f>
        <v>0</v>
      </c>
      <c r="EZ157" s="79" cm="1">
        <f t="array" ref="EZ157">SUMPRODUCT(($B$2:$B$126=5)*(EZ$2:EZ$126&gt;=18)*(EZ$2:EZ$126&lt;=22)*(EZ$2:EZ$126&lt;&gt;"")*($J$2:$J$126))</f>
        <v>0</v>
      </c>
      <c r="FA157" s="79" cm="1">
        <f t="array" ref="FA157">SUMPRODUCT(($B$2:$B$126=5)*(FA$2:FA$126&gt;=18)*(FA$2:FA$126&lt;=22)*(FA$2:FA$126&lt;&gt;"")*($J$2:$J$126))</f>
        <v>0</v>
      </c>
      <c r="FB157" s="79" cm="1">
        <f t="array" ref="FB157">SUMPRODUCT(($B$2:$B$126=5)*(FB$2:FB$126&gt;=18)*(FB$2:FB$126&lt;=22)*(FB$2:FB$126&lt;&gt;"")*($J$2:$J$126))</f>
        <v>0</v>
      </c>
      <c r="FC157" s="79" cm="1">
        <f t="array" ref="FC157">SUMPRODUCT(($B$2:$B$126=5)*(FC$2:FC$126&gt;=18)*(FC$2:FC$126&lt;=22)*(FC$2:FC$126&lt;&gt;"")*($J$2:$J$126))</f>
        <v>0</v>
      </c>
      <c r="FD157" s="79" cm="1">
        <f t="array" ref="FD157">SUMPRODUCT(($B$2:$B$126=5)*(FD$2:FD$126&gt;=18)*(FD$2:FD$126&lt;=22)*(FD$2:FD$126&lt;&gt;"")*($J$2:$J$126))</f>
        <v>0</v>
      </c>
      <c r="FE157" s="79" cm="1">
        <f t="array" ref="FE157">SUMPRODUCT(($B$2:$B$126=5)*(FE$2:FE$126&gt;=18)*(FE$2:FE$126&lt;=22)*(FE$2:FE$126&lt;&gt;"")*($J$2:$J$126))</f>
        <v>0</v>
      </c>
      <c r="FF157" s="79" cm="1">
        <f t="array" ref="FF157">SUMPRODUCT(($B$2:$B$126=5)*(FF$2:FF$126&gt;=18)*(FF$2:FF$126&lt;=22)*(FF$2:FF$126&lt;&gt;"")*($J$2:$J$126))</f>
        <v>0</v>
      </c>
      <c r="FG157" s="79" cm="1">
        <f t="array" ref="FG157">SUMPRODUCT(($B$2:$B$126=5)*(FG$2:FG$126&gt;=18)*(FG$2:FG$126&lt;=22)*(FG$2:FG$126&lt;&gt;"")*($J$2:$J$126))</f>
        <v>0</v>
      </c>
      <c r="FH157" s="79" cm="1">
        <f t="array" ref="FH157">SUMPRODUCT(($B$2:$B$126=5)*(FH$2:FH$126&gt;=18)*(FH$2:FH$126&lt;=22)*(FH$2:FH$126&lt;&gt;"")*($J$2:$J$126))</f>
        <v>0</v>
      </c>
      <c r="FI157" s="79" cm="1">
        <f t="array" ref="FI157">SUMPRODUCT(($B$2:$B$126=5)*(FI$2:FI$126&gt;=18)*(FI$2:FI$126&lt;=22)*(FI$2:FI$126&lt;&gt;"")*($J$2:$J$126))</f>
        <v>0</v>
      </c>
      <c r="FJ157" s="79" cm="1">
        <f t="array" ref="FJ157">SUMPRODUCT(($B$2:$B$126=5)*(FJ$2:FJ$126&gt;=18)*(FJ$2:FJ$126&lt;=22)*(FJ$2:FJ$126&lt;&gt;"")*($J$2:$J$126))</f>
        <v>0</v>
      </c>
      <c r="FK157" s="79" cm="1">
        <f t="array" ref="FK157">SUMPRODUCT(($B$2:$B$126=5)*(FK$2:FK$126&gt;=18)*(FK$2:FK$126&lt;=22)*(FK$2:FK$126&lt;&gt;"")*($J$2:$J$126))</f>
        <v>0</v>
      </c>
      <c r="FL157" s="79" cm="1">
        <f t="array" ref="FL157">SUMPRODUCT(($B$2:$B$126=5)*(FL$2:FL$126&gt;=18)*(FL$2:FL$126&lt;=22)*(FL$2:FL$126&lt;&gt;"")*($J$2:$J$126))</f>
        <v>0</v>
      </c>
      <c r="FM157" s="79" cm="1">
        <f t="array" ref="FM157">SUMPRODUCT(($B$2:$B$126=5)*(FM$2:FM$126&gt;=18)*(FM$2:FM$126&lt;=22)*(FM$2:FM$126&lt;&gt;"")*($J$2:$J$126))</f>
        <v>0</v>
      </c>
      <c r="FN157" s="79" cm="1">
        <f t="array" ref="FN157">SUMPRODUCT(($B$2:$B$126=5)*(FN$2:FN$126&gt;=18)*(FN$2:FN$126&lt;=22)*(FN$2:FN$126&lt;&gt;"")*($J$2:$J$126))</f>
        <v>0</v>
      </c>
      <c r="FO157" s="79" cm="1">
        <f t="array" ref="FO157">SUMPRODUCT(($B$2:$B$126=5)*(FO$2:FO$126&gt;=18)*(FO$2:FO$126&lt;=22)*(FO$2:FO$126&lt;&gt;"")*($J$2:$J$126))</f>
        <v>0</v>
      </c>
      <c r="FP157" s="79" cm="1">
        <f t="array" ref="FP157">SUMPRODUCT(($B$2:$B$126=5)*(FP$2:FP$126&gt;=18)*(FP$2:FP$126&lt;=22)*(FP$2:FP$126&lt;&gt;"")*($J$2:$J$126))</f>
        <v>0</v>
      </c>
      <c r="FQ157" s="79" cm="1">
        <f t="array" ref="FQ157">SUMPRODUCT(($B$2:$B$126=5)*(FQ$2:FQ$126&gt;=18)*(FQ$2:FQ$126&lt;=22)*(FQ$2:FQ$126&lt;&gt;"")*($J$2:$J$126))</f>
        <v>0</v>
      </c>
      <c r="FR157" s="79" cm="1">
        <f t="array" ref="FR157">SUMPRODUCT(($B$2:$B$126=5)*(FR$2:FR$126&gt;=18)*(FR$2:FR$126&lt;=22)*(FR$2:FR$126&lt;&gt;"")*($J$2:$J$126))</f>
        <v>0</v>
      </c>
      <c r="FS157" s="79" cm="1">
        <f t="array" ref="FS157">SUMPRODUCT(($B$2:$B$126=5)*(FS$2:FS$126&gt;=18)*(FS$2:FS$126&lt;=22)*(FS$2:FS$126&lt;&gt;"")*($J$2:$J$126))</f>
        <v>0</v>
      </c>
      <c r="FT157" s="79" cm="1">
        <f t="array" ref="FT157">SUMPRODUCT(($B$2:$B$126=5)*(FT$2:FT$126&gt;=18)*(FT$2:FT$126&lt;=22)*(FT$2:FT$126&lt;&gt;"")*($J$2:$J$126))</f>
        <v>0</v>
      </c>
      <c r="FU157" s="79" cm="1">
        <f t="array" ref="FU157">SUMPRODUCT(($B$2:$B$126=5)*(FU$2:FU$126&gt;=18)*(FU$2:FU$126&lt;=22)*(FU$2:FU$126&lt;&gt;"")*($J$2:$J$126))</f>
        <v>0</v>
      </c>
      <c r="FV157" s="79" cm="1">
        <f t="array" ref="FV157">SUMPRODUCT(($B$2:$B$126=5)*(FV$2:FV$126&gt;=18)*(FV$2:FV$126&lt;=22)*(FV$2:FV$126&lt;&gt;"")*($J$2:$J$126))</f>
        <v>0</v>
      </c>
      <c r="FW157" s="79" cm="1">
        <f t="array" ref="FW157">SUMPRODUCT(($B$2:$B$126=5)*(FW$2:FW$126&gt;=18)*(FW$2:FW$126&lt;=22)*(FW$2:FW$126&lt;&gt;"")*($J$2:$J$126))</f>
        <v>0</v>
      </c>
      <c r="FX157" s="79" cm="1">
        <f t="array" ref="FX157">SUMPRODUCT(($B$2:$B$126=5)*(FX$2:FX$126&gt;=18)*(FX$2:FX$126&lt;=22)*(FX$2:FX$126&lt;&gt;"")*($J$2:$J$126))</f>
        <v>0</v>
      </c>
      <c r="FY157" s="79" cm="1">
        <f t="array" ref="FY157">SUMPRODUCT(($B$2:$B$126=5)*(FY$2:FY$126&gt;=18)*(FY$2:FY$126&lt;=22)*(FY$2:FY$126&lt;&gt;"")*($J$2:$J$126))</f>
        <v>0</v>
      </c>
      <c r="FZ157" s="79" cm="1">
        <f t="array" ref="FZ157">SUMPRODUCT(($B$2:$B$126=5)*(FZ$2:FZ$126&gt;=18)*(FZ$2:FZ$126&lt;=22)*(FZ$2:FZ$126&lt;&gt;"")*($J$2:$J$126))</f>
        <v>0</v>
      </c>
      <c r="GA157" s="79" cm="1">
        <f t="array" ref="GA157">SUMPRODUCT(($B$2:$B$126=5)*(GA$2:GA$126&gt;=18)*(GA$2:GA$126&lt;=22)*(GA$2:GA$126&lt;&gt;"")*($J$2:$J$126))</f>
        <v>0</v>
      </c>
      <c r="GB157" s="79" cm="1">
        <f t="array" ref="GB157">SUMPRODUCT(($B$2:$B$126=5)*(GB$2:GB$126&gt;=18)*(GB$2:GB$126&lt;=22)*(GB$2:GB$126&lt;&gt;"")*($J$2:$J$126))</f>
        <v>0</v>
      </c>
      <c r="GC157" s="79" cm="1">
        <f t="array" ref="GC157">SUMPRODUCT(($B$2:$B$126=5)*(GC$2:GC$126&gt;=18)*(GC$2:GC$126&lt;=22)*(GC$2:GC$126&lt;&gt;"")*($J$2:$J$126))</f>
        <v>0</v>
      </c>
      <c r="GD157" s="79" cm="1">
        <f t="array" ref="GD157">SUMPRODUCT(($B$2:$B$126=5)*(GD$2:GD$126&gt;=18)*(GD$2:GD$126&lt;=22)*(GD$2:GD$126&lt;&gt;"")*($J$2:$J$126))</f>
        <v>0</v>
      </c>
      <c r="GE157" s="79" cm="1">
        <f t="array" ref="GE157">SUMPRODUCT(($B$2:$B$126=5)*(GE$2:GE$126&gt;=18)*(GE$2:GE$126&lt;=22)*(GE$2:GE$126&lt;&gt;"")*($J$2:$J$126))</f>
        <v>0</v>
      </c>
      <c r="GF157" s="79" cm="1">
        <f t="array" ref="GF157">SUMPRODUCT(($B$2:$B$126=5)*(GF$2:GF$126&gt;=18)*(GF$2:GF$126&lt;=22)*(GF$2:GF$126&lt;&gt;"")*($J$2:$J$126))</f>
        <v>0</v>
      </c>
      <c r="GG157" s="79" cm="1">
        <f t="array" ref="GG157">SUMPRODUCT(($B$2:$B$126=5)*(GG$2:GG$126&gt;=18)*(GG$2:GG$126&lt;=22)*(GG$2:GG$126&lt;&gt;"")*($J$2:$J$126))</f>
        <v>0</v>
      </c>
      <c r="GH157" s="79" cm="1">
        <f t="array" ref="GH157">SUMPRODUCT(($B$2:$B$126=5)*(GH$2:GH$126&gt;=18)*(GH$2:GH$126&lt;=22)*(GH$2:GH$126&lt;&gt;"")*($J$2:$J$126))</f>
        <v>0</v>
      </c>
      <c r="GI157" s="79" cm="1">
        <f t="array" ref="GI157">SUMPRODUCT(($B$2:$B$126=5)*(GI$2:GI$126&gt;=18)*(GI$2:GI$126&lt;=22)*(GI$2:GI$126&lt;&gt;"")*($J$2:$J$126))</f>
        <v>0</v>
      </c>
      <c r="GJ157" s="79" cm="1">
        <f t="array" ref="GJ157">SUMPRODUCT(($B$2:$B$126=5)*(GJ$2:GJ$126&gt;=18)*(GJ$2:GJ$126&lt;=22)*(GJ$2:GJ$126&lt;&gt;"")*($J$2:$J$126))</f>
        <v>0</v>
      </c>
      <c r="GK157" s="79" cm="1">
        <f t="array" ref="GK157">SUMPRODUCT(($B$2:$B$126=5)*(GK$2:GK$126&gt;=18)*(GK$2:GK$126&lt;=22)*(GK$2:GK$126&lt;&gt;"")*($J$2:$J$126))</f>
        <v>0</v>
      </c>
      <c r="GL157" s="79" cm="1">
        <f t="array" ref="GL157">SUMPRODUCT(($B$2:$B$126=5)*(GL$2:GL$126&gt;=18)*(GL$2:GL$126&lt;=22)*(GL$2:GL$126&lt;&gt;"")*($J$2:$J$126))</f>
        <v>0</v>
      </c>
      <c r="GM157" s="79" cm="1">
        <f t="array" ref="GM157">SUMPRODUCT(($B$2:$B$126=5)*(GM$2:GM$126&gt;=18)*(GM$2:GM$126&lt;=22)*(GM$2:GM$126&lt;&gt;"")*($J$2:$J$126))</f>
        <v>0</v>
      </c>
      <c r="GN157" s="79" cm="1">
        <f t="array" ref="GN157">SUMPRODUCT(($B$2:$B$126=5)*(GN$2:GN$126&gt;=18)*(GN$2:GN$126&lt;=22)*(GN$2:GN$126&lt;&gt;"")*($J$2:$J$126))</f>
        <v>0</v>
      </c>
      <c r="GO157" s="79" cm="1">
        <f t="array" ref="GO157">SUMPRODUCT(($B$2:$B$126=5)*(GO$2:GO$126&gt;=18)*(GO$2:GO$126&lt;=22)*(GO$2:GO$126&lt;&gt;"")*($J$2:$J$126))</f>
        <v>0</v>
      </c>
      <c r="GP157" s="79" cm="1">
        <f t="array" ref="GP157">SUMPRODUCT(($B$2:$B$126=5)*(GP$2:GP$126&gt;=18)*(GP$2:GP$126&lt;=22)*(GP$2:GP$126&lt;&gt;"")*($J$2:$J$126))</f>
        <v>0</v>
      </c>
      <c r="GQ157" s="79" cm="1">
        <f t="array" ref="GQ157">SUMPRODUCT(($B$2:$B$126=5)*(GQ$2:GQ$126&gt;=18)*(GQ$2:GQ$126&lt;=22)*(GQ$2:GQ$126&lt;&gt;"")*($J$2:$J$126))</f>
        <v>0</v>
      </c>
      <c r="GR157" s="79" cm="1">
        <f t="array" ref="GR157">SUMPRODUCT(($B$2:$B$126=5)*(GR$2:GR$126&gt;=18)*(GR$2:GR$126&lt;=22)*(GR$2:GR$126&lt;&gt;"")*($J$2:$J$126))</f>
        <v>0</v>
      </c>
      <c r="GS157" s="79" cm="1">
        <f t="array" ref="GS157">SUMPRODUCT(($B$2:$B$126=5)*(GS$2:GS$126&gt;=18)*(GS$2:GS$126&lt;=22)*(GS$2:GS$126&lt;&gt;"")*($J$2:$J$126))</f>
        <v>0</v>
      </c>
      <c r="GT157" s="79" cm="1">
        <f t="array" ref="GT157">SUMPRODUCT(($B$2:$B$126=5)*(GT$2:GT$126&gt;=18)*(GT$2:GT$126&lt;=22)*(GT$2:GT$126&lt;&gt;"")*($J$2:$J$126))</f>
        <v>0</v>
      </c>
      <c r="GU157" s="79" cm="1">
        <f t="array" ref="GU157">SUMPRODUCT(($B$2:$B$126=5)*(GU$2:GU$126&gt;=18)*(GU$2:GU$126&lt;=22)*(GU$2:GU$126&lt;&gt;"")*($J$2:$J$126))</f>
        <v>0</v>
      </c>
      <c r="GV157" s="79" cm="1">
        <f t="array" ref="GV157">SUMPRODUCT(($B$2:$B$126=5)*(GV$2:GV$126&gt;=18)*(GV$2:GV$126&lt;=22)*(GV$2:GV$126&lt;&gt;"")*($J$2:$J$126))</f>
        <v>0</v>
      </c>
      <c r="GW157" s="79" cm="1">
        <f t="array" ref="GW157">SUMPRODUCT(($B$2:$B$126=5)*(GW$2:GW$126&gt;=18)*(GW$2:GW$126&lt;=22)*(GW$2:GW$126&lt;&gt;"")*($J$2:$J$126))</f>
        <v>0</v>
      </c>
      <c r="GX157" s="79" cm="1">
        <f t="array" ref="GX157">SUMPRODUCT(($B$2:$B$126=5)*(GX$2:GX$126&gt;=18)*(GX$2:GX$126&lt;=22)*(GX$2:GX$126&lt;&gt;"")*($J$2:$J$126))</f>
        <v>0</v>
      </c>
    </row>
    <row r="158" spans="1:206" x14ac:dyDescent="0.2">
      <c r="A158" s="84">
        <v>5</v>
      </c>
      <c r="B158" s="84" t="s">
        <v>257</v>
      </c>
      <c r="W158" s="79" cm="1">
        <f t="array" ref="W158">SUMPRODUCT(($B$2:$B$126=5)*(W$2:W$126&gt;=23)*(W$2:W$126&lt;=27)*(W$2:W$126&lt;&gt;"")*($J$2:$J$126))</f>
        <v>0</v>
      </c>
      <c r="X158" s="79" cm="1">
        <f t="array" ref="X158">SUMPRODUCT(($B$2:$B$126=5)*(X$2:X$126&gt;=23)*(X$2:X$126&lt;=27)*(X$2:X$126&lt;&gt;"")*($J$2:$J$126))</f>
        <v>0</v>
      </c>
      <c r="Y158" s="79" cm="1">
        <f t="array" ref="Y158">SUMPRODUCT(($B$2:$B$126=5)*(Y$2:Y$126&gt;=23)*(Y$2:Y$126&lt;=27)*(Y$2:Y$126&lt;&gt;"")*($J$2:$J$126))</f>
        <v>68</v>
      </c>
      <c r="Z158" s="79" cm="1">
        <f t="array" ref="Z158">SUMPRODUCT(($B$2:$B$126=5)*(Z$2:Z$126&gt;=23)*(Z$2:Z$126&lt;=27)*(Z$2:Z$126&lt;&gt;"")*($J$2:$J$126))</f>
        <v>78</v>
      </c>
      <c r="AA158" s="79" cm="1">
        <f t="array" ref="AA158">SUMPRODUCT(($B$2:$B$126=5)*(AA$2:AA$126&gt;=23)*(AA$2:AA$126&lt;=27)*(AA$2:AA$126&lt;&gt;"")*($J$2:$J$126))</f>
        <v>78</v>
      </c>
      <c r="AB158" s="79" cm="1">
        <f t="array" ref="AB158">SUMPRODUCT(($B$2:$B$126=5)*(AB$2:AB$126&gt;=23)*(AB$2:AB$126&lt;=27)*(AB$2:AB$126&lt;&gt;"")*($J$2:$J$126))</f>
        <v>96</v>
      </c>
      <c r="AC158" s="79" cm="1">
        <f t="array" ref="AC158">SUMPRODUCT(($B$2:$B$126=5)*(AC$2:AC$126&gt;=23)*(AC$2:AC$126&lt;=27)*(AC$2:AC$126&lt;&gt;"")*($J$2:$J$126))</f>
        <v>96</v>
      </c>
      <c r="AD158" s="79" cm="1">
        <f t="array" ref="AD158">SUMPRODUCT(($B$2:$B$126=5)*(AD$2:AD$126&gt;=23)*(AD$2:AD$126&lt;=27)*(AD$2:AD$126&lt;&gt;"")*($J$2:$J$126))</f>
        <v>28</v>
      </c>
      <c r="AE158" s="79" cm="1">
        <f t="array" ref="AE158">SUMPRODUCT(($B$2:$B$126=5)*(AE$2:AE$126&gt;=23)*(AE$2:AE$126&lt;=27)*(AE$2:AE$126&lt;&gt;"")*($J$2:$J$126))</f>
        <v>18</v>
      </c>
      <c r="AF158" s="79" cm="1">
        <f t="array" ref="AF158">SUMPRODUCT(($B$2:$B$126=5)*(AF$2:AF$126&gt;=23)*(AF$2:AF$126&lt;=27)*(AF$2:AF$126&lt;&gt;"")*($J$2:$J$126))</f>
        <v>29</v>
      </c>
      <c r="AG158" s="79" cm="1">
        <f t="array" ref="AG158">SUMPRODUCT(($B$2:$B$126=5)*(AG$2:AG$126&gt;=23)*(AG$2:AG$126&lt;=27)*(AG$2:AG$126&lt;&gt;"")*($J$2:$J$126))</f>
        <v>11</v>
      </c>
      <c r="AH158" s="79" cm="1">
        <f t="array" ref="AH158">SUMPRODUCT(($B$2:$B$126=5)*(AH$2:AH$126&gt;=23)*(AH$2:AH$126&lt;=27)*(AH$2:AH$126&lt;&gt;"")*($J$2:$J$126))</f>
        <v>11</v>
      </c>
      <c r="AI158" s="79" cm="1">
        <f t="array" ref="AI158">SUMPRODUCT(($B$2:$B$126=5)*(AI$2:AI$126&gt;=23)*(AI$2:AI$126&lt;=27)*(AI$2:AI$126&lt;&gt;"")*($J$2:$J$126))</f>
        <v>11</v>
      </c>
      <c r="AJ158" s="79" cm="1">
        <f t="array" ref="AJ158">SUMPRODUCT(($B$2:$B$126=5)*(AJ$2:AJ$126&gt;=23)*(AJ$2:AJ$126&lt;=27)*(AJ$2:AJ$126&lt;&gt;"")*($J$2:$J$126))</f>
        <v>11</v>
      </c>
      <c r="AK158" s="79" cm="1">
        <f t="array" ref="AK158">SUMPRODUCT(($B$2:$B$126=5)*(AK$2:AK$126&gt;=23)*(AK$2:AK$126&lt;=27)*(AK$2:AK$126&lt;&gt;"")*($J$2:$J$126))</f>
        <v>0</v>
      </c>
      <c r="AL158" s="79" cm="1">
        <f t="array" ref="AL158">SUMPRODUCT(($B$2:$B$126=5)*(AL$2:AL$126&gt;=23)*(AL$2:AL$126&lt;=27)*(AL$2:AL$126&lt;&gt;"")*($J$2:$J$126))</f>
        <v>0</v>
      </c>
      <c r="AM158" s="79" cm="1">
        <f t="array" ref="AM158">SUMPRODUCT(($B$2:$B$126=5)*(AM$2:AM$126&gt;=23)*(AM$2:AM$126&lt;=27)*(AM$2:AM$126&lt;&gt;"")*($J$2:$J$126))</f>
        <v>0</v>
      </c>
      <c r="AN158" s="79" cm="1">
        <f t="array" ref="AN158">SUMPRODUCT(($B$2:$B$126=5)*(AN$2:AN$126&gt;=23)*(AN$2:AN$126&lt;=27)*(AN$2:AN$126&lt;&gt;"")*($J$2:$J$126))</f>
        <v>0</v>
      </c>
      <c r="AO158" s="79" cm="1">
        <f t="array" ref="AO158">SUMPRODUCT(($B$2:$B$126=5)*(AO$2:AO$126&gt;=23)*(AO$2:AO$126&lt;=27)*(AO$2:AO$126&lt;&gt;"")*($J$2:$J$126))</f>
        <v>0</v>
      </c>
      <c r="AP158" s="79" cm="1">
        <f t="array" ref="AP158">SUMPRODUCT(($B$2:$B$126=5)*(AP$2:AP$126&gt;=23)*(AP$2:AP$126&lt;=27)*(AP$2:AP$126&lt;&gt;"")*($J$2:$J$126))</f>
        <v>0</v>
      </c>
      <c r="AQ158" s="79" cm="1">
        <f t="array" ref="AQ158">SUMPRODUCT(($B$2:$B$126=5)*(AQ$2:AQ$126&gt;=23)*(AQ$2:AQ$126&lt;=27)*(AQ$2:AQ$126&lt;&gt;"")*($J$2:$J$126))</f>
        <v>0</v>
      </c>
      <c r="AR158" s="79" cm="1">
        <f t="array" ref="AR158">SUMPRODUCT(($B$2:$B$126=5)*(AR$2:AR$126&gt;=23)*(AR$2:AR$126&lt;=27)*(AR$2:AR$126&lt;&gt;"")*($J$2:$J$126))</f>
        <v>0</v>
      </c>
      <c r="AS158" s="79" cm="1">
        <f t="array" ref="AS158">SUMPRODUCT(($B$2:$B$126=5)*(AS$2:AS$126&gt;=23)*(AS$2:AS$126&lt;=27)*(AS$2:AS$126&lt;&gt;"")*($J$2:$J$126))</f>
        <v>0</v>
      </c>
      <c r="AT158" s="79" cm="1">
        <f t="array" ref="AT158">SUMPRODUCT(($B$2:$B$126=5)*(AT$2:AT$126&gt;=23)*(AT$2:AT$126&lt;=27)*(AT$2:AT$126&lt;&gt;"")*($J$2:$J$126))</f>
        <v>0</v>
      </c>
      <c r="AU158" s="79" cm="1">
        <f t="array" ref="AU158">SUMPRODUCT(($B$2:$B$126=5)*(AU$2:AU$126&gt;=23)*(AU$2:AU$126&lt;=27)*(AU$2:AU$126&lt;&gt;"")*($J$2:$J$126))</f>
        <v>0</v>
      </c>
      <c r="AV158" s="79" cm="1">
        <f t="array" ref="AV158">SUMPRODUCT(($B$2:$B$126=5)*(AV$2:AV$126&gt;=23)*(AV$2:AV$126&lt;=27)*(AV$2:AV$126&lt;&gt;"")*($J$2:$J$126))</f>
        <v>19</v>
      </c>
      <c r="AW158" s="79" cm="1">
        <f t="array" ref="AW158">SUMPRODUCT(($B$2:$B$126=5)*(AW$2:AW$126&gt;=23)*(AW$2:AW$126&lt;=27)*(AW$2:AW$126&lt;&gt;"")*($J$2:$J$126))</f>
        <v>19</v>
      </c>
      <c r="AX158" s="79" cm="1">
        <f t="array" ref="AX158">SUMPRODUCT(($B$2:$B$126=5)*(AX$2:AX$126&gt;=23)*(AX$2:AX$126&lt;=27)*(AX$2:AX$126&lt;&gt;"")*($J$2:$J$126))</f>
        <v>19</v>
      </c>
      <c r="AY158" s="79" cm="1">
        <f t="array" ref="AY158">SUMPRODUCT(($B$2:$B$126=5)*(AY$2:AY$126&gt;=23)*(AY$2:AY$126&lt;=27)*(AY$2:AY$126&lt;&gt;"")*($J$2:$J$126))</f>
        <v>36</v>
      </c>
      <c r="AZ158" s="79" cm="1">
        <f t="array" ref="AZ158">SUMPRODUCT(($B$2:$B$126=5)*(AZ$2:AZ$126&gt;=23)*(AZ$2:AZ$126&lt;=27)*(AZ$2:AZ$126&lt;&gt;"")*($J$2:$J$126))</f>
        <v>19</v>
      </c>
      <c r="BA158" s="79" cm="1">
        <f t="array" ref="BA158">SUMPRODUCT(($B$2:$B$126=5)*(BA$2:BA$126&gt;=23)*(BA$2:BA$126&lt;=27)*(BA$2:BA$126&lt;&gt;"")*($J$2:$J$126))</f>
        <v>0</v>
      </c>
      <c r="BB158" s="79" cm="1">
        <f t="array" ref="BB158">SUMPRODUCT(($B$2:$B$126=5)*(BB$2:BB$126&gt;=23)*(BB$2:BB$126&lt;=27)*(BB$2:BB$126&lt;&gt;"")*($J$2:$J$126))</f>
        <v>0</v>
      </c>
      <c r="BC158" s="79" cm="1">
        <f t="array" ref="BC158">SUMPRODUCT(($B$2:$B$126=5)*(BC$2:BC$126&gt;=23)*(BC$2:BC$126&lt;=27)*(BC$2:BC$126&lt;&gt;"")*($J$2:$J$126))</f>
        <v>0</v>
      </c>
      <c r="BD158" s="79" cm="1">
        <f t="array" ref="BD158">SUMPRODUCT(($B$2:$B$126=5)*(BD$2:BD$126&gt;=23)*(BD$2:BD$126&lt;=27)*(BD$2:BD$126&lt;&gt;"")*($J$2:$J$126))</f>
        <v>0</v>
      </c>
      <c r="BE158" s="79" cm="1">
        <f t="array" ref="BE158">SUMPRODUCT(($B$2:$B$126=5)*(BE$2:BE$126&gt;=23)*(BE$2:BE$126&lt;=27)*(BE$2:BE$126&lt;&gt;"")*($J$2:$J$126))</f>
        <v>0</v>
      </c>
      <c r="BF158" s="79" cm="1">
        <f t="array" ref="BF158">SUMPRODUCT(($B$2:$B$126=5)*(BF$2:BF$126&gt;=23)*(BF$2:BF$126&lt;=27)*(BF$2:BF$126&lt;&gt;"")*($J$2:$J$126))</f>
        <v>0</v>
      </c>
      <c r="BG158" s="79" cm="1">
        <f t="array" ref="BG158">SUMPRODUCT(($B$2:$B$126=5)*(BG$2:BG$126&gt;=23)*(BG$2:BG$126&lt;=27)*(BG$2:BG$126&lt;&gt;"")*($J$2:$J$126))</f>
        <v>0</v>
      </c>
      <c r="BH158" s="79" cm="1">
        <f t="array" ref="BH158">SUMPRODUCT(($B$2:$B$126=5)*(BH$2:BH$126&gt;=23)*(BH$2:BH$126&lt;=27)*(BH$2:BH$126&lt;&gt;"")*($J$2:$J$126))</f>
        <v>0</v>
      </c>
      <c r="BI158" s="79" cm="1">
        <f t="array" ref="BI158">SUMPRODUCT(($B$2:$B$126=5)*(BI$2:BI$126&gt;=23)*(BI$2:BI$126&lt;=27)*(BI$2:BI$126&lt;&gt;"")*($J$2:$J$126))</f>
        <v>0</v>
      </c>
      <c r="BJ158" s="79" cm="1">
        <f t="array" ref="BJ158">SUMPRODUCT(($B$2:$B$126=5)*(BJ$2:BJ$126&gt;=23)*(BJ$2:BJ$126&lt;=27)*(BJ$2:BJ$126&lt;&gt;"")*($J$2:$J$126))</f>
        <v>0</v>
      </c>
      <c r="BK158" s="79" cm="1">
        <f t="array" ref="BK158">SUMPRODUCT(($B$2:$B$126=5)*(BK$2:BK$126&gt;=23)*(BK$2:BK$126&lt;=27)*(BK$2:BK$126&lt;&gt;"")*($J$2:$J$126))</f>
        <v>0</v>
      </c>
      <c r="BL158" s="79" cm="1">
        <f t="array" ref="BL158">SUMPRODUCT(($B$2:$B$126=5)*(BL$2:BL$126&gt;=23)*(BL$2:BL$126&lt;=27)*(BL$2:BL$126&lt;&gt;"")*($J$2:$J$126))</f>
        <v>0</v>
      </c>
      <c r="BM158" s="79" cm="1">
        <f t="array" ref="BM158">SUMPRODUCT(($B$2:$B$126=5)*(BM$2:BM$126&gt;=23)*(BM$2:BM$126&lt;=27)*(BM$2:BM$126&lt;&gt;"")*($J$2:$J$126))</f>
        <v>0</v>
      </c>
      <c r="BN158" s="79" cm="1">
        <f t="array" ref="BN158">SUMPRODUCT(($B$2:$B$126=5)*(BN$2:BN$126&gt;=23)*(BN$2:BN$126&lt;=27)*(BN$2:BN$126&lt;&gt;"")*($J$2:$J$126))</f>
        <v>0</v>
      </c>
      <c r="BO158" s="79" cm="1">
        <f t="array" ref="BO158">SUMPRODUCT(($B$2:$B$126=5)*(BO$2:BO$126&gt;=23)*(BO$2:BO$126&lt;=27)*(BO$2:BO$126&lt;&gt;"")*($J$2:$J$126))</f>
        <v>0</v>
      </c>
      <c r="BP158" s="79" cm="1">
        <f t="array" ref="BP158">SUMPRODUCT(($B$2:$B$126=5)*(BP$2:BP$126&gt;=23)*(BP$2:BP$126&lt;=27)*(BP$2:BP$126&lt;&gt;"")*($J$2:$J$126))</f>
        <v>0</v>
      </c>
      <c r="BQ158" s="79" cm="1">
        <f t="array" ref="BQ158">SUMPRODUCT(($B$2:$B$126=5)*(BQ$2:BQ$126&gt;=23)*(BQ$2:BQ$126&lt;=27)*(BQ$2:BQ$126&lt;&gt;"")*($J$2:$J$126))</f>
        <v>0</v>
      </c>
      <c r="BR158" s="79" cm="1">
        <f t="array" ref="BR158">SUMPRODUCT(($B$2:$B$126=5)*(BR$2:BR$126&gt;=23)*(BR$2:BR$126&lt;=27)*(BR$2:BR$126&lt;&gt;"")*($J$2:$J$126))</f>
        <v>0</v>
      </c>
      <c r="BS158" s="79" cm="1">
        <f t="array" ref="BS158">SUMPRODUCT(($B$2:$B$126=5)*(BS$2:BS$126&gt;=23)*(BS$2:BS$126&lt;=27)*(BS$2:BS$126&lt;&gt;"")*($J$2:$J$126))</f>
        <v>0</v>
      </c>
      <c r="BT158" s="79" cm="1">
        <f t="array" ref="BT158">SUMPRODUCT(($B$2:$B$126=5)*(BT$2:BT$126&gt;=23)*(BT$2:BT$126&lt;=27)*(BT$2:BT$126&lt;&gt;"")*($J$2:$J$126))</f>
        <v>0</v>
      </c>
      <c r="BU158" s="79" cm="1">
        <f t="array" ref="BU158">SUMPRODUCT(($B$2:$B$126=5)*(BU$2:BU$126&gt;=23)*(BU$2:BU$126&lt;=27)*(BU$2:BU$126&lt;&gt;"")*($J$2:$J$126))</f>
        <v>0</v>
      </c>
      <c r="BV158" s="79" cm="1">
        <f t="array" ref="BV158">SUMPRODUCT(($B$2:$B$126=5)*(BV$2:BV$126&gt;=23)*(BV$2:BV$126&lt;=27)*(BV$2:BV$126&lt;&gt;"")*($J$2:$J$126))</f>
        <v>0</v>
      </c>
      <c r="BW158" s="79" cm="1">
        <f t="array" ref="BW158">SUMPRODUCT(($B$2:$B$126=5)*(BW$2:BW$126&gt;=23)*(BW$2:BW$126&lt;=27)*(BW$2:BW$126&lt;&gt;"")*($J$2:$J$126))</f>
        <v>55</v>
      </c>
      <c r="BX158" s="79" cm="1">
        <f t="array" ref="BX158">SUMPRODUCT(($B$2:$B$126=5)*(BX$2:BX$126&gt;=23)*(BX$2:BX$126&lt;=27)*(BX$2:BX$126&lt;&gt;"")*($J$2:$J$126))</f>
        <v>103</v>
      </c>
      <c r="BY158" s="79" cm="1">
        <f t="array" ref="BY158">SUMPRODUCT(($B$2:$B$126=5)*(BY$2:BY$126&gt;=23)*(BY$2:BY$126&lt;=27)*(BY$2:BY$126&lt;&gt;"")*($J$2:$J$126))</f>
        <v>103</v>
      </c>
      <c r="BZ158" s="79" cm="1">
        <f t="array" ref="BZ158">SUMPRODUCT(($B$2:$B$126=5)*(BZ$2:BZ$126&gt;=23)*(BZ$2:BZ$126&lt;=27)*(BZ$2:BZ$126&lt;&gt;"")*($J$2:$J$126))</f>
        <v>103</v>
      </c>
      <c r="CA158" s="79" cm="1">
        <f t="array" ref="CA158">SUMPRODUCT(($B$2:$B$126=5)*(CA$2:CA$126&gt;=23)*(CA$2:CA$126&lt;=27)*(CA$2:CA$126&lt;&gt;"")*($J$2:$J$126))</f>
        <v>103</v>
      </c>
      <c r="CB158" s="79" cm="1">
        <f t="array" ref="CB158">SUMPRODUCT(($B$2:$B$126=5)*(CB$2:CB$126&gt;=23)*(CB$2:CB$126&lt;=27)*(CB$2:CB$126&lt;&gt;"")*($J$2:$J$126))</f>
        <v>48</v>
      </c>
      <c r="CC158" s="79" cm="1">
        <f t="array" ref="CC158">SUMPRODUCT(($B$2:$B$126=5)*(CC$2:CC$126&gt;=23)*(CC$2:CC$126&lt;=27)*(CC$2:CC$126&lt;&gt;"")*($J$2:$J$126))</f>
        <v>0</v>
      </c>
      <c r="CD158" s="79" cm="1">
        <f t="array" ref="CD158">SUMPRODUCT(($B$2:$B$126=5)*(CD$2:CD$126&gt;=23)*(CD$2:CD$126&lt;=27)*(CD$2:CD$126&lt;&gt;"")*($J$2:$J$126))</f>
        <v>0</v>
      </c>
      <c r="CE158" s="79" cm="1">
        <f t="array" ref="CE158">SUMPRODUCT(($B$2:$B$126=5)*(CE$2:CE$126&gt;=23)*(CE$2:CE$126&lt;=27)*(CE$2:CE$126&lt;&gt;"")*($J$2:$J$126))</f>
        <v>0</v>
      </c>
      <c r="CF158" s="79" cm="1">
        <f t="array" ref="CF158">SUMPRODUCT(($B$2:$B$126=5)*(CF$2:CF$126&gt;=23)*(CF$2:CF$126&lt;=27)*(CF$2:CF$126&lt;&gt;"")*($J$2:$J$126))</f>
        <v>0</v>
      </c>
      <c r="CG158" s="79" cm="1">
        <f t="array" ref="CG158">SUMPRODUCT(($B$2:$B$126=5)*(CG$2:CG$126&gt;=23)*(CG$2:CG$126&lt;=27)*(CG$2:CG$126&lt;&gt;"")*($J$2:$J$126))</f>
        <v>0</v>
      </c>
      <c r="CH158" s="79" cm="1">
        <f t="array" ref="CH158">SUMPRODUCT(($B$2:$B$126=5)*(CH$2:CH$126&gt;=23)*(CH$2:CH$126&lt;=27)*(CH$2:CH$126&lt;&gt;"")*($J$2:$J$126))</f>
        <v>0</v>
      </c>
      <c r="CI158" s="79" cm="1">
        <f t="array" ref="CI158">SUMPRODUCT(($B$2:$B$126=5)*(CI$2:CI$126&gt;=23)*(CI$2:CI$126&lt;=27)*(CI$2:CI$126&lt;&gt;"")*($J$2:$J$126))</f>
        <v>6</v>
      </c>
      <c r="CJ158" s="79" cm="1">
        <f t="array" ref="CJ158">SUMPRODUCT(($B$2:$B$126=5)*(CJ$2:CJ$126&gt;=23)*(CJ$2:CJ$126&lt;=27)*(CJ$2:CJ$126&lt;&gt;"")*($J$2:$J$126))</f>
        <v>51</v>
      </c>
      <c r="CK158" s="79" cm="1">
        <f t="array" ref="CK158">SUMPRODUCT(($B$2:$B$126=5)*(CK$2:CK$126&gt;=23)*(CK$2:CK$126&lt;=27)*(CK$2:CK$126&lt;&gt;"")*($J$2:$J$126))</f>
        <v>51</v>
      </c>
      <c r="CL158" s="79" cm="1">
        <f t="array" ref="CL158">SUMPRODUCT(($B$2:$B$126=5)*(CL$2:CL$126&gt;=23)*(CL$2:CL$126&lt;=27)*(CL$2:CL$126&lt;&gt;"")*($J$2:$J$126))</f>
        <v>84</v>
      </c>
      <c r="CM158" s="79" cm="1">
        <f t="array" ref="CM158">SUMPRODUCT(($B$2:$B$126=5)*(CM$2:CM$126&gt;=23)*(CM$2:CM$126&lt;=27)*(CM$2:CM$126&lt;&gt;"")*($J$2:$J$126))</f>
        <v>84</v>
      </c>
      <c r="CN158" s="79" cm="1">
        <f t="array" ref="CN158">SUMPRODUCT(($B$2:$B$126=5)*(CN$2:CN$126&gt;=23)*(CN$2:CN$126&lt;=27)*(CN$2:CN$126&lt;&gt;"")*($J$2:$J$126))</f>
        <v>78</v>
      </c>
      <c r="CO158" s="79" cm="1">
        <f t="array" ref="CO158">SUMPRODUCT(($B$2:$B$126=5)*(CO$2:CO$126&gt;=23)*(CO$2:CO$126&lt;=27)*(CO$2:CO$126&lt;&gt;"")*($J$2:$J$126))</f>
        <v>33</v>
      </c>
      <c r="CP158" s="79" cm="1">
        <f t="array" ref="CP158">SUMPRODUCT(($B$2:$B$126=5)*(CP$2:CP$126&gt;=23)*(CP$2:CP$126&lt;=27)*(CP$2:CP$126&lt;&gt;"")*($J$2:$J$126))</f>
        <v>33</v>
      </c>
      <c r="CQ158" s="79" cm="1">
        <f t="array" ref="CQ158">SUMPRODUCT(($B$2:$B$126=5)*(CQ$2:CQ$126&gt;=23)*(CQ$2:CQ$126&lt;=27)*(CQ$2:CQ$126&lt;&gt;"")*($J$2:$J$126))</f>
        <v>0</v>
      </c>
      <c r="CR158" s="79" cm="1">
        <f t="array" ref="CR158">SUMPRODUCT(($B$2:$B$126=5)*(CR$2:CR$126&gt;=23)*(CR$2:CR$126&lt;=27)*(CR$2:CR$126&lt;&gt;"")*($J$2:$J$126))</f>
        <v>0</v>
      </c>
      <c r="CS158" s="79" cm="1">
        <f t="array" ref="CS158">SUMPRODUCT(($B$2:$B$126=5)*(CS$2:CS$126&gt;=23)*(CS$2:CS$126&lt;=27)*(CS$2:CS$126&lt;&gt;"")*($J$2:$J$126))</f>
        <v>0</v>
      </c>
      <c r="CT158" s="79" cm="1">
        <f t="array" ref="CT158">SUMPRODUCT(($B$2:$B$126=5)*(CT$2:CT$126&gt;=23)*(CT$2:CT$126&lt;=27)*(CT$2:CT$126&lt;&gt;"")*($J$2:$J$126))</f>
        <v>0</v>
      </c>
      <c r="CU158" s="79" cm="1">
        <f t="array" ref="CU158">SUMPRODUCT(($B$2:$B$126=5)*(CU$2:CU$126&gt;=23)*(CU$2:CU$126&lt;=27)*(CU$2:CU$126&lt;&gt;"")*($J$2:$J$126))</f>
        <v>0</v>
      </c>
      <c r="CV158" s="79" cm="1">
        <f t="array" ref="CV158">SUMPRODUCT(($B$2:$B$126=5)*(CV$2:CV$126&gt;=23)*(CV$2:CV$126&lt;=27)*(CV$2:CV$126&lt;&gt;"")*($J$2:$J$126))</f>
        <v>0</v>
      </c>
      <c r="CW158" s="79" cm="1">
        <f t="array" ref="CW158">SUMPRODUCT(($B$2:$B$126=5)*(CW$2:CW$126&gt;=23)*(CW$2:CW$126&lt;=27)*(CW$2:CW$126&lt;&gt;"")*($J$2:$J$126))</f>
        <v>0</v>
      </c>
      <c r="CX158" s="79" cm="1">
        <f t="array" ref="CX158">SUMPRODUCT(($B$2:$B$126=5)*(CX$2:CX$126&gt;=23)*(CX$2:CX$126&lt;=27)*(CX$2:CX$126&lt;&gt;"")*($J$2:$J$126))</f>
        <v>0</v>
      </c>
      <c r="CY158" s="79" cm="1">
        <f t="array" ref="CY158">SUMPRODUCT(($B$2:$B$126=5)*(CY$2:CY$126&gt;=23)*(CY$2:CY$126&lt;=27)*(CY$2:CY$126&lt;&gt;"")*($J$2:$J$126))</f>
        <v>0</v>
      </c>
      <c r="CZ158" s="79" cm="1">
        <f t="array" ref="CZ158">SUMPRODUCT(($B$2:$B$126=5)*(CZ$2:CZ$126&gt;=23)*(CZ$2:CZ$126&lt;=27)*(CZ$2:CZ$126&lt;&gt;"")*($J$2:$J$126))</f>
        <v>0</v>
      </c>
      <c r="DA158" s="79" cm="1">
        <f t="array" ref="DA158">SUMPRODUCT(($B$2:$B$126=5)*(DA$2:DA$126&gt;=23)*(DA$2:DA$126&lt;=27)*(DA$2:DA$126&lt;&gt;"")*($J$2:$J$126))</f>
        <v>0</v>
      </c>
      <c r="DB158" s="79" cm="1">
        <f t="array" ref="DB158">SUMPRODUCT(($B$2:$B$126=5)*(DB$2:DB$126&gt;=23)*(DB$2:DB$126&lt;=27)*(DB$2:DB$126&lt;&gt;"")*($J$2:$J$126))</f>
        <v>0</v>
      </c>
      <c r="DC158" s="79" cm="1">
        <f t="array" ref="DC158">SUMPRODUCT(($B$2:$B$126=5)*(DC$2:DC$126&gt;=23)*(DC$2:DC$126&lt;=27)*(DC$2:DC$126&lt;&gt;"")*($J$2:$J$126))</f>
        <v>0</v>
      </c>
      <c r="DD158" s="79" cm="1">
        <f t="array" ref="DD158">SUMPRODUCT(($B$2:$B$126=5)*(DD$2:DD$126&gt;=23)*(DD$2:DD$126&lt;=27)*(DD$2:DD$126&lt;&gt;"")*($J$2:$J$126))</f>
        <v>0</v>
      </c>
      <c r="DE158" s="79" cm="1">
        <f t="array" ref="DE158">SUMPRODUCT(($B$2:$B$126=5)*(DE$2:DE$126&gt;=23)*(DE$2:DE$126&lt;=27)*(DE$2:DE$126&lt;&gt;"")*($J$2:$J$126))</f>
        <v>0</v>
      </c>
      <c r="DF158" s="79" cm="1">
        <f t="array" ref="DF158">SUMPRODUCT(($B$2:$B$126=5)*(DF$2:DF$126&gt;=23)*(DF$2:DF$126&lt;=27)*(DF$2:DF$126&lt;&gt;"")*($J$2:$J$126))</f>
        <v>0</v>
      </c>
      <c r="DG158" s="79" cm="1">
        <f t="array" ref="DG158">SUMPRODUCT(($B$2:$B$126=5)*(DG$2:DG$126&gt;=23)*(DG$2:DG$126&lt;=27)*(DG$2:DG$126&lt;&gt;"")*($J$2:$J$126))</f>
        <v>0</v>
      </c>
      <c r="DH158" s="79" cm="1">
        <f t="array" ref="DH158">SUMPRODUCT(($B$2:$B$126=5)*(DH$2:DH$126&gt;=23)*(DH$2:DH$126&lt;=27)*(DH$2:DH$126&lt;&gt;"")*($J$2:$J$126))</f>
        <v>0</v>
      </c>
      <c r="DI158" s="79" cm="1">
        <f t="array" ref="DI158">SUMPRODUCT(($B$2:$B$126=5)*(DI$2:DI$126&gt;=23)*(DI$2:DI$126&lt;=27)*(DI$2:DI$126&lt;&gt;"")*($J$2:$J$126))</f>
        <v>0</v>
      </c>
      <c r="DJ158" s="79" cm="1">
        <f t="array" ref="DJ158">SUMPRODUCT(($B$2:$B$126=5)*(DJ$2:DJ$126&gt;=23)*(DJ$2:DJ$126&lt;=27)*(DJ$2:DJ$126&lt;&gt;"")*($J$2:$J$126))</f>
        <v>0</v>
      </c>
      <c r="DK158" s="79" cm="1">
        <f t="array" ref="DK158">SUMPRODUCT(($B$2:$B$126=5)*(DK$2:DK$126&gt;=23)*(DK$2:DK$126&lt;=27)*(DK$2:DK$126&lt;&gt;"")*($J$2:$J$126))</f>
        <v>0</v>
      </c>
      <c r="DL158" s="79" cm="1">
        <f t="array" ref="DL158">SUMPRODUCT(($B$2:$B$126=5)*(DL$2:DL$126&gt;=23)*(DL$2:DL$126&lt;=27)*(DL$2:DL$126&lt;&gt;"")*($J$2:$J$126))</f>
        <v>0</v>
      </c>
      <c r="DM158" s="79" cm="1">
        <f t="array" ref="DM158">SUMPRODUCT(($B$2:$B$126=5)*(DM$2:DM$126&gt;=23)*(DM$2:DM$126&lt;=27)*(DM$2:DM$126&lt;&gt;"")*($J$2:$J$126))</f>
        <v>0</v>
      </c>
      <c r="DN158" s="79" cm="1">
        <f t="array" ref="DN158">SUMPRODUCT(($B$2:$B$126=5)*(DN$2:DN$126&gt;=23)*(DN$2:DN$126&lt;=27)*(DN$2:DN$126&lt;&gt;"")*($J$2:$J$126))</f>
        <v>0</v>
      </c>
      <c r="DO158" s="79" cm="1">
        <f t="array" ref="DO158">SUMPRODUCT(($B$2:$B$126=5)*(DO$2:DO$126&gt;=23)*(DO$2:DO$126&lt;=27)*(DO$2:DO$126&lt;&gt;"")*($J$2:$J$126))</f>
        <v>0</v>
      </c>
      <c r="DP158" s="79" cm="1">
        <f t="array" ref="DP158">SUMPRODUCT(($B$2:$B$126=5)*(DP$2:DP$126&gt;=23)*(DP$2:DP$126&lt;=27)*(DP$2:DP$126&lt;&gt;"")*($J$2:$J$126))</f>
        <v>0</v>
      </c>
      <c r="DQ158" s="79" cm="1">
        <f t="array" ref="DQ158">SUMPRODUCT(($B$2:$B$126=5)*(DQ$2:DQ$126&gt;=23)*(DQ$2:DQ$126&lt;=27)*(DQ$2:DQ$126&lt;&gt;"")*($J$2:$J$126))</f>
        <v>0</v>
      </c>
      <c r="DR158" s="79" cm="1">
        <f t="array" ref="DR158">SUMPRODUCT(($B$2:$B$126=5)*(DR$2:DR$126&gt;=23)*(DR$2:DR$126&lt;=27)*(DR$2:DR$126&lt;&gt;"")*($J$2:$J$126))</f>
        <v>0</v>
      </c>
      <c r="DS158" s="79" cm="1">
        <f t="array" ref="DS158">SUMPRODUCT(($B$2:$B$126=5)*(DS$2:DS$126&gt;=23)*(DS$2:DS$126&lt;=27)*(DS$2:DS$126&lt;&gt;"")*($J$2:$J$126))</f>
        <v>0</v>
      </c>
      <c r="DT158" s="79" cm="1">
        <f t="array" ref="DT158">SUMPRODUCT(($B$2:$B$126=5)*(DT$2:DT$126&gt;=23)*(DT$2:DT$126&lt;=27)*(DT$2:DT$126&lt;&gt;"")*($J$2:$J$126))</f>
        <v>0</v>
      </c>
      <c r="DU158" s="79" cm="1">
        <f t="array" ref="DU158">SUMPRODUCT(($B$2:$B$126=5)*(DU$2:DU$126&gt;=23)*(DU$2:DU$126&lt;=27)*(DU$2:DU$126&lt;&gt;"")*($J$2:$J$126))</f>
        <v>0</v>
      </c>
      <c r="DV158" s="79" cm="1">
        <f t="array" ref="DV158">SUMPRODUCT(($B$2:$B$126=5)*(DV$2:DV$126&gt;=23)*(DV$2:DV$126&lt;=27)*(DV$2:DV$126&lt;&gt;"")*($J$2:$J$126))</f>
        <v>0</v>
      </c>
      <c r="DW158" s="79" cm="1">
        <f t="array" ref="DW158">SUMPRODUCT(($B$2:$B$126=5)*(DW$2:DW$126&gt;=23)*(DW$2:DW$126&lt;=27)*(DW$2:DW$126&lt;&gt;"")*($J$2:$J$126))</f>
        <v>0</v>
      </c>
      <c r="DX158" s="79" cm="1">
        <f t="array" ref="DX158">SUMPRODUCT(($B$2:$B$126=5)*(DX$2:DX$126&gt;=23)*(DX$2:DX$126&lt;=27)*(DX$2:DX$126&lt;&gt;"")*($J$2:$J$126))</f>
        <v>0</v>
      </c>
      <c r="DY158" s="79" cm="1">
        <f t="array" ref="DY158">SUMPRODUCT(($B$2:$B$126=5)*(DY$2:DY$126&gt;=23)*(DY$2:DY$126&lt;=27)*(DY$2:DY$126&lt;&gt;"")*($J$2:$J$126))</f>
        <v>0</v>
      </c>
      <c r="DZ158" s="79" cm="1">
        <f t="array" ref="DZ158">SUMPRODUCT(($B$2:$B$126=5)*(DZ$2:DZ$126&gt;=23)*(DZ$2:DZ$126&lt;=27)*(DZ$2:DZ$126&lt;&gt;"")*($J$2:$J$126))</f>
        <v>0</v>
      </c>
      <c r="EA158" s="79" cm="1">
        <f t="array" ref="EA158">SUMPRODUCT(($B$2:$B$126=5)*(EA$2:EA$126&gt;=23)*(EA$2:EA$126&lt;=27)*(EA$2:EA$126&lt;&gt;"")*($J$2:$J$126))</f>
        <v>0</v>
      </c>
      <c r="EB158" s="79" cm="1">
        <f t="array" ref="EB158">SUMPRODUCT(($B$2:$B$126=5)*(EB$2:EB$126&gt;=23)*(EB$2:EB$126&lt;=27)*(EB$2:EB$126&lt;&gt;"")*($J$2:$J$126))</f>
        <v>0</v>
      </c>
      <c r="EC158" s="79" cm="1">
        <f t="array" ref="EC158">SUMPRODUCT(($B$2:$B$126=5)*(EC$2:EC$126&gt;=23)*(EC$2:EC$126&lt;=27)*(EC$2:EC$126&lt;&gt;"")*($J$2:$J$126))</f>
        <v>0</v>
      </c>
      <c r="ED158" s="79" cm="1">
        <f t="array" ref="ED158">SUMPRODUCT(($B$2:$B$126=5)*(ED$2:ED$126&gt;=23)*(ED$2:ED$126&lt;=27)*(ED$2:ED$126&lt;&gt;"")*($J$2:$J$126))</f>
        <v>0</v>
      </c>
      <c r="EE158" s="79" cm="1">
        <f t="array" ref="EE158">SUMPRODUCT(($B$2:$B$126=5)*(EE$2:EE$126&gt;=23)*(EE$2:EE$126&lt;=27)*(EE$2:EE$126&lt;&gt;"")*($J$2:$J$126))</f>
        <v>0</v>
      </c>
      <c r="EF158" s="79" cm="1">
        <f t="array" ref="EF158">SUMPRODUCT(($B$2:$B$126=5)*(EF$2:EF$126&gt;=23)*(EF$2:EF$126&lt;=27)*(EF$2:EF$126&lt;&gt;"")*($J$2:$J$126))</f>
        <v>0</v>
      </c>
      <c r="EG158" s="79" cm="1">
        <f t="array" ref="EG158">SUMPRODUCT(($B$2:$B$126=5)*(EG$2:EG$126&gt;=23)*(EG$2:EG$126&lt;=27)*(EG$2:EG$126&lt;&gt;"")*($J$2:$J$126))</f>
        <v>0</v>
      </c>
      <c r="EH158" s="79" cm="1">
        <f t="array" ref="EH158">SUMPRODUCT(($B$2:$B$126=5)*(EH$2:EH$126&gt;=23)*(EH$2:EH$126&lt;=27)*(EH$2:EH$126&lt;&gt;"")*($J$2:$J$126))</f>
        <v>0</v>
      </c>
      <c r="EI158" s="79" cm="1">
        <f t="array" ref="EI158">SUMPRODUCT(($B$2:$B$126=5)*(EI$2:EI$126&gt;=23)*(EI$2:EI$126&lt;=27)*(EI$2:EI$126&lt;&gt;"")*($J$2:$J$126))</f>
        <v>0</v>
      </c>
      <c r="EJ158" s="79" cm="1">
        <f t="array" ref="EJ158">SUMPRODUCT(($B$2:$B$126=5)*(EJ$2:EJ$126&gt;=23)*(EJ$2:EJ$126&lt;=27)*(EJ$2:EJ$126&lt;&gt;"")*($J$2:$J$126))</f>
        <v>0</v>
      </c>
      <c r="EK158" s="79" cm="1">
        <f t="array" ref="EK158">SUMPRODUCT(($B$2:$B$126=5)*(EK$2:EK$126&gt;=23)*(EK$2:EK$126&lt;=27)*(EK$2:EK$126&lt;&gt;"")*($J$2:$J$126))</f>
        <v>0</v>
      </c>
      <c r="EL158" s="79" cm="1">
        <f t="array" ref="EL158">SUMPRODUCT(($B$2:$B$126=5)*(EL$2:EL$126&gt;=23)*(EL$2:EL$126&lt;=27)*(EL$2:EL$126&lt;&gt;"")*($J$2:$J$126))</f>
        <v>0</v>
      </c>
      <c r="EM158" s="79" cm="1">
        <f t="array" ref="EM158">SUMPRODUCT(($B$2:$B$126=5)*(EM$2:EM$126&gt;=23)*(EM$2:EM$126&lt;=27)*(EM$2:EM$126&lt;&gt;"")*($J$2:$J$126))</f>
        <v>0</v>
      </c>
      <c r="EN158" s="79" cm="1">
        <f t="array" ref="EN158">SUMPRODUCT(($B$2:$B$126=5)*(EN$2:EN$126&gt;=23)*(EN$2:EN$126&lt;=27)*(EN$2:EN$126&lt;&gt;"")*($J$2:$J$126))</f>
        <v>0</v>
      </c>
      <c r="EO158" s="79" cm="1">
        <f t="array" ref="EO158">SUMPRODUCT(($B$2:$B$126=5)*(EO$2:EO$126&gt;=23)*(EO$2:EO$126&lt;=27)*(EO$2:EO$126&lt;&gt;"")*($J$2:$J$126))</f>
        <v>0</v>
      </c>
      <c r="EP158" s="79" cm="1">
        <f t="array" ref="EP158">SUMPRODUCT(($B$2:$B$126=5)*(EP$2:EP$126&gt;=23)*(EP$2:EP$126&lt;=27)*(EP$2:EP$126&lt;&gt;"")*($J$2:$J$126))</f>
        <v>0</v>
      </c>
      <c r="EQ158" s="79" cm="1">
        <f t="array" ref="EQ158">SUMPRODUCT(($B$2:$B$126=5)*(EQ$2:EQ$126&gt;=23)*(EQ$2:EQ$126&lt;=27)*(EQ$2:EQ$126&lt;&gt;"")*($J$2:$J$126))</f>
        <v>0</v>
      </c>
      <c r="ER158" s="79" cm="1">
        <f t="array" ref="ER158">SUMPRODUCT(($B$2:$B$126=5)*(ER$2:ER$126&gt;=23)*(ER$2:ER$126&lt;=27)*(ER$2:ER$126&lt;&gt;"")*($J$2:$J$126))</f>
        <v>0</v>
      </c>
      <c r="ES158" s="79" cm="1">
        <f t="array" ref="ES158">SUMPRODUCT(($B$2:$B$126=5)*(ES$2:ES$126&gt;=23)*(ES$2:ES$126&lt;=27)*(ES$2:ES$126&lt;&gt;"")*($J$2:$J$126))</f>
        <v>0</v>
      </c>
      <c r="ET158" s="79" cm="1">
        <f t="array" ref="ET158">SUMPRODUCT(($B$2:$B$126=5)*(ET$2:ET$126&gt;=23)*(ET$2:ET$126&lt;=27)*(ET$2:ET$126&lt;&gt;"")*($J$2:$J$126))</f>
        <v>0</v>
      </c>
      <c r="EU158" s="79" cm="1">
        <f t="array" ref="EU158">SUMPRODUCT(($B$2:$B$126=5)*(EU$2:EU$126&gt;=23)*(EU$2:EU$126&lt;=27)*(EU$2:EU$126&lt;&gt;"")*($J$2:$J$126))</f>
        <v>0</v>
      </c>
      <c r="EV158" s="79" cm="1">
        <f t="array" ref="EV158">SUMPRODUCT(($B$2:$B$126=5)*(EV$2:EV$126&gt;=23)*(EV$2:EV$126&lt;=27)*(EV$2:EV$126&lt;&gt;"")*($J$2:$J$126))</f>
        <v>0</v>
      </c>
      <c r="EW158" s="79" cm="1">
        <f t="array" ref="EW158">SUMPRODUCT(($B$2:$B$126=5)*(EW$2:EW$126&gt;=23)*(EW$2:EW$126&lt;=27)*(EW$2:EW$126&lt;&gt;"")*($J$2:$J$126))</f>
        <v>0</v>
      </c>
      <c r="EX158" s="79" cm="1">
        <f t="array" ref="EX158">SUMPRODUCT(($B$2:$B$126=5)*(EX$2:EX$126&gt;=23)*(EX$2:EX$126&lt;=27)*(EX$2:EX$126&lt;&gt;"")*($J$2:$J$126))</f>
        <v>0</v>
      </c>
      <c r="EY158" s="79" cm="1">
        <f t="array" ref="EY158">SUMPRODUCT(($B$2:$B$126=5)*(EY$2:EY$126&gt;=23)*(EY$2:EY$126&lt;=27)*(EY$2:EY$126&lt;&gt;"")*($J$2:$J$126))</f>
        <v>0</v>
      </c>
      <c r="EZ158" s="79" cm="1">
        <f t="array" ref="EZ158">SUMPRODUCT(($B$2:$B$126=5)*(EZ$2:EZ$126&gt;=23)*(EZ$2:EZ$126&lt;=27)*(EZ$2:EZ$126&lt;&gt;"")*($J$2:$J$126))</f>
        <v>0</v>
      </c>
      <c r="FA158" s="79" cm="1">
        <f t="array" ref="FA158">SUMPRODUCT(($B$2:$B$126=5)*(FA$2:FA$126&gt;=23)*(FA$2:FA$126&lt;=27)*(FA$2:FA$126&lt;&gt;"")*($J$2:$J$126))</f>
        <v>0</v>
      </c>
      <c r="FB158" s="79" cm="1">
        <f t="array" ref="FB158">SUMPRODUCT(($B$2:$B$126=5)*(FB$2:FB$126&gt;=23)*(FB$2:FB$126&lt;=27)*(FB$2:FB$126&lt;&gt;"")*($J$2:$J$126))</f>
        <v>0</v>
      </c>
      <c r="FC158" s="79" cm="1">
        <f t="array" ref="FC158">SUMPRODUCT(($B$2:$B$126=5)*(FC$2:FC$126&gt;=23)*(FC$2:FC$126&lt;=27)*(FC$2:FC$126&lt;&gt;"")*($J$2:$J$126))</f>
        <v>0</v>
      </c>
      <c r="FD158" s="79" cm="1">
        <f t="array" ref="FD158">SUMPRODUCT(($B$2:$B$126=5)*(FD$2:FD$126&gt;=23)*(FD$2:FD$126&lt;=27)*(FD$2:FD$126&lt;&gt;"")*($J$2:$J$126))</f>
        <v>0</v>
      </c>
      <c r="FE158" s="79" cm="1">
        <f t="array" ref="FE158">SUMPRODUCT(($B$2:$B$126=5)*(FE$2:FE$126&gt;=23)*(FE$2:FE$126&lt;=27)*(FE$2:FE$126&lt;&gt;"")*($J$2:$J$126))</f>
        <v>0</v>
      </c>
      <c r="FF158" s="79" cm="1">
        <f t="array" ref="FF158">SUMPRODUCT(($B$2:$B$126=5)*(FF$2:FF$126&gt;=23)*(FF$2:FF$126&lt;=27)*(FF$2:FF$126&lt;&gt;"")*($J$2:$J$126))</f>
        <v>0</v>
      </c>
      <c r="FG158" s="79" cm="1">
        <f t="array" ref="FG158">SUMPRODUCT(($B$2:$B$126=5)*(FG$2:FG$126&gt;=23)*(FG$2:FG$126&lt;=27)*(FG$2:FG$126&lt;&gt;"")*($J$2:$J$126))</f>
        <v>0</v>
      </c>
      <c r="FH158" s="79" cm="1">
        <f t="array" ref="FH158">SUMPRODUCT(($B$2:$B$126=5)*(FH$2:FH$126&gt;=23)*(FH$2:FH$126&lt;=27)*(FH$2:FH$126&lt;&gt;"")*($J$2:$J$126))</f>
        <v>0</v>
      </c>
      <c r="FI158" s="79" cm="1">
        <f t="array" ref="FI158">SUMPRODUCT(($B$2:$B$126=5)*(FI$2:FI$126&gt;=23)*(FI$2:FI$126&lt;=27)*(FI$2:FI$126&lt;&gt;"")*($J$2:$J$126))</f>
        <v>0</v>
      </c>
      <c r="FJ158" s="79" cm="1">
        <f t="array" ref="FJ158">SUMPRODUCT(($B$2:$B$126=5)*(FJ$2:FJ$126&gt;=23)*(FJ$2:FJ$126&lt;=27)*(FJ$2:FJ$126&lt;&gt;"")*($J$2:$J$126))</f>
        <v>0</v>
      </c>
      <c r="FK158" s="79" cm="1">
        <f t="array" ref="FK158">SUMPRODUCT(($B$2:$B$126=5)*(FK$2:FK$126&gt;=23)*(FK$2:FK$126&lt;=27)*(FK$2:FK$126&lt;&gt;"")*($J$2:$J$126))</f>
        <v>0</v>
      </c>
      <c r="FL158" s="79" cm="1">
        <f t="array" ref="FL158">SUMPRODUCT(($B$2:$B$126=5)*(FL$2:FL$126&gt;=23)*(FL$2:FL$126&lt;=27)*(FL$2:FL$126&lt;&gt;"")*($J$2:$J$126))</f>
        <v>0</v>
      </c>
      <c r="FM158" s="79" cm="1">
        <f t="array" ref="FM158">SUMPRODUCT(($B$2:$B$126=5)*(FM$2:FM$126&gt;=23)*(FM$2:FM$126&lt;=27)*(FM$2:FM$126&lt;&gt;"")*($J$2:$J$126))</f>
        <v>0</v>
      </c>
      <c r="FN158" s="79" cm="1">
        <f t="array" ref="FN158">SUMPRODUCT(($B$2:$B$126=5)*(FN$2:FN$126&gt;=23)*(FN$2:FN$126&lt;=27)*(FN$2:FN$126&lt;&gt;"")*($J$2:$J$126))</f>
        <v>0</v>
      </c>
      <c r="FO158" s="79" cm="1">
        <f t="array" ref="FO158">SUMPRODUCT(($B$2:$B$126=5)*(FO$2:FO$126&gt;=23)*(FO$2:FO$126&lt;=27)*(FO$2:FO$126&lt;&gt;"")*($J$2:$J$126))</f>
        <v>0</v>
      </c>
      <c r="FP158" s="79" cm="1">
        <f t="array" ref="FP158">SUMPRODUCT(($B$2:$B$126=5)*(FP$2:FP$126&gt;=23)*(FP$2:FP$126&lt;=27)*(FP$2:FP$126&lt;&gt;"")*($J$2:$J$126))</f>
        <v>0</v>
      </c>
      <c r="FQ158" s="79" cm="1">
        <f t="array" ref="FQ158">SUMPRODUCT(($B$2:$B$126=5)*(FQ$2:FQ$126&gt;=23)*(FQ$2:FQ$126&lt;=27)*(FQ$2:FQ$126&lt;&gt;"")*($J$2:$J$126))</f>
        <v>0</v>
      </c>
      <c r="FR158" s="79" cm="1">
        <f t="array" ref="FR158">SUMPRODUCT(($B$2:$B$126=5)*(FR$2:FR$126&gt;=23)*(FR$2:FR$126&lt;=27)*(FR$2:FR$126&lt;&gt;"")*($J$2:$J$126))</f>
        <v>0</v>
      </c>
      <c r="FS158" s="79" cm="1">
        <f t="array" ref="FS158">SUMPRODUCT(($B$2:$B$126=5)*(FS$2:FS$126&gt;=23)*(FS$2:FS$126&lt;=27)*(FS$2:FS$126&lt;&gt;"")*($J$2:$J$126))</f>
        <v>0</v>
      </c>
      <c r="FT158" s="79" cm="1">
        <f t="array" ref="FT158">SUMPRODUCT(($B$2:$B$126=5)*(FT$2:FT$126&gt;=23)*(FT$2:FT$126&lt;=27)*(FT$2:FT$126&lt;&gt;"")*($J$2:$J$126))</f>
        <v>0</v>
      </c>
      <c r="FU158" s="79" cm="1">
        <f t="array" ref="FU158">SUMPRODUCT(($B$2:$B$126=5)*(FU$2:FU$126&gt;=23)*(FU$2:FU$126&lt;=27)*(FU$2:FU$126&lt;&gt;"")*($J$2:$J$126))</f>
        <v>0</v>
      </c>
      <c r="FV158" s="79" cm="1">
        <f t="array" ref="FV158">SUMPRODUCT(($B$2:$B$126=5)*(FV$2:FV$126&gt;=23)*(FV$2:FV$126&lt;=27)*(FV$2:FV$126&lt;&gt;"")*($J$2:$J$126))</f>
        <v>0</v>
      </c>
      <c r="FW158" s="79" cm="1">
        <f t="array" ref="FW158">SUMPRODUCT(($B$2:$B$126=5)*(FW$2:FW$126&gt;=23)*(FW$2:FW$126&lt;=27)*(FW$2:FW$126&lt;&gt;"")*($J$2:$J$126))</f>
        <v>0</v>
      </c>
      <c r="FX158" s="79" cm="1">
        <f t="array" ref="FX158">SUMPRODUCT(($B$2:$B$126=5)*(FX$2:FX$126&gt;=23)*(FX$2:FX$126&lt;=27)*(FX$2:FX$126&lt;&gt;"")*($J$2:$J$126))</f>
        <v>0</v>
      </c>
      <c r="FY158" s="79" cm="1">
        <f t="array" ref="FY158">SUMPRODUCT(($B$2:$B$126=5)*(FY$2:FY$126&gt;=23)*(FY$2:FY$126&lt;=27)*(FY$2:FY$126&lt;&gt;"")*($J$2:$J$126))</f>
        <v>0</v>
      </c>
      <c r="FZ158" s="79" cm="1">
        <f t="array" ref="FZ158">SUMPRODUCT(($B$2:$B$126=5)*(FZ$2:FZ$126&gt;=23)*(FZ$2:FZ$126&lt;=27)*(FZ$2:FZ$126&lt;&gt;"")*($J$2:$J$126))</f>
        <v>0</v>
      </c>
      <c r="GA158" s="79" cm="1">
        <f t="array" ref="GA158">SUMPRODUCT(($B$2:$B$126=5)*(GA$2:GA$126&gt;=23)*(GA$2:GA$126&lt;=27)*(GA$2:GA$126&lt;&gt;"")*($J$2:$J$126))</f>
        <v>0</v>
      </c>
      <c r="GB158" s="79" cm="1">
        <f t="array" ref="GB158">SUMPRODUCT(($B$2:$B$126=5)*(GB$2:GB$126&gt;=23)*(GB$2:GB$126&lt;=27)*(GB$2:GB$126&lt;&gt;"")*($J$2:$J$126))</f>
        <v>0</v>
      </c>
      <c r="GC158" s="79" cm="1">
        <f t="array" ref="GC158">SUMPRODUCT(($B$2:$B$126=5)*(GC$2:GC$126&gt;=23)*(GC$2:GC$126&lt;=27)*(GC$2:GC$126&lt;&gt;"")*($J$2:$J$126))</f>
        <v>0</v>
      </c>
      <c r="GD158" s="79" cm="1">
        <f t="array" ref="GD158">SUMPRODUCT(($B$2:$B$126=5)*(GD$2:GD$126&gt;=23)*(GD$2:GD$126&lt;=27)*(GD$2:GD$126&lt;&gt;"")*($J$2:$J$126))</f>
        <v>0</v>
      </c>
      <c r="GE158" s="79" cm="1">
        <f t="array" ref="GE158">SUMPRODUCT(($B$2:$B$126=5)*(GE$2:GE$126&gt;=23)*(GE$2:GE$126&lt;=27)*(GE$2:GE$126&lt;&gt;"")*($J$2:$J$126))</f>
        <v>0</v>
      </c>
      <c r="GF158" s="79" cm="1">
        <f t="array" ref="GF158">SUMPRODUCT(($B$2:$B$126=5)*(GF$2:GF$126&gt;=23)*(GF$2:GF$126&lt;=27)*(GF$2:GF$126&lt;&gt;"")*($J$2:$J$126))</f>
        <v>0</v>
      </c>
      <c r="GG158" s="79" cm="1">
        <f t="array" ref="GG158">SUMPRODUCT(($B$2:$B$126=5)*(GG$2:GG$126&gt;=23)*(GG$2:GG$126&lt;=27)*(GG$2:GG$126&lt;&gt;"")*($J$2:$J$126))</f>
        <v>0</v>
      </c>
      <c r="GH158" s="79" cm="1">
        <f t="array" ref="GH158">SUMPRODUCT(($B$2:$B$126=5)*(GH$2:GH$126&gt;=23)*(GH$2:GH$126&lt;=27)*(GH$2:GH$126&lt;&gt;"")*($J$2:$J$126))</f>
        <v>0</v>
      </c>
      <c r="GI158" s="79" cm="1">
        <f t="array" ref="GI158">SUMPRODUCT(($B$2:$B$126=5)*(GI$2:GI$126&gt;=23)*(GI$2:GI$126&lt;=27)*(GI$2:GI$126&lt;&gt;"")*($J$2:$J$126))</f>
        <v>0</v>
      </c>
      <c r="GJ158" s="79" cm="1">
        <f t="array" ref="GJ158">SUMPRODUCT(($B$2:$B$126=5)*(GJ$2:GJ$126&gt;=23)*(GJ$2:GJ$126&lt;=27)*(GJ$2:GJ$126&lt;&gt;"")*($J$2:$J$126))</f>
        <v>0</v>
      </c>
      <c r="GK158" s="79" cm="1">
        <f t="array" ref="GK158">SUMPRODUCT(($B$2:$B$126=5)*(GK$2:GK$126&gt;=23)*(GK$2:GK$126&lt;=27)*(GK$2:GK$126&lt;&gt;"")*($J$2:$J$126))</f>
        <v>0</v>
      </c>
      <c r="GL158" s="79" cm="1">
        <f t="array" ref="GL158">SUMPRODUCT(($B$2:$B$126=5)*(GL$2:GL$126&gt;=23)*(GL$2:GL$126&lt;=27)*(GL$2:GL$126&lt;&gt;"")*($J$2:$J$126))</f>
        <v>0</v>
      </c>
      <c r="GM158" s="79" cm="1">
        <f t="array" ref="GM158">SUMPRODUCT(($B$2:$B$126=5)*(GM$2:GM$126&gt;=23)*(GM$2:GM$126&lt;=27)*(GM$2:GM$126&lt;&gt;"")*($J$2:$J$126))</f>
        <v>0</v>
      </c>
      <c r="GN158" s="79" cm="1">
        <f t="array" ref="GN158">SUMPRODUCT(($B$2:$B$126=5)*(GN$2:GN$126&gt;=23)*(GN$2:GN$126&lt;=27)*(GN$2:GN$126&lt;&gt;"")*($J$2:$J$126))</f>
        <v>0</v>
      </c>
      <c r="GO158" s="79" cm="1">
        <f t="array" ref="GO158">SUMPRODUCT(($B$2:$B$126=5)*(GO$2:GO$126&gt;=23)*(GO$2:GO$126&lt;=27)*(GO$2:GO$126&lt;&gt;"")*($J$2:$J$126))</f>
        <v>0</v>
      </c>
      <c r="GP158" s="79" cm="1">
        <f t="array" ref="GP158">SUMPRODUCT(($B$2:$B$126=5)*(GP$2:GP$126&gt;=23)*(GP$2:GP$126&lt;=27)*(GP$2:GP$126&lt;&gt;"")*($J$2:$J$126))</f>
        <v>0</v>
      </c>
      <c r="GQ158" s="79" cm="1">
        <f t="array" ref="GQ158">SUMPRODUCT(($B$2:$B$126=5)*(GQ$2:GQ$126&gt;=23)*(GQ$2:GQ$126&lt;=27)*(GQ$2:GQ$126&lt;&gt;"")*($J$2:$J$126))</f>
        <v>0</v>
      </c>
      <c r="GR158" s="79" cm="1">
        <f t="array" ref="GR158">SUMPRODUCT(($B$2:$B$126=5)*(GR$2:GR$126&gt;=23)*(GR$2:GR$126&lt;=27)*(GR$2:GR$126&lt;&gt;"")*($J$2:$J$126))</f>
        <v>0</v>
      </c>
      <c r="GS158" s="79" cm="1">
        <f t="array" ref="GS158">SUMPRODUCT(($B$2:$B$126=5)*(GS$2:GS$126&gt;=23)*(GS$2:GS$126&lt;=27)*(GS$2:GS$126&lt;&gt;"")*($J$2:$J$126))</f>
        <v>0</v>
      </c>
      <c r="GT158" s="79" cm="1">
        <f t="array" ref="GT158">SUMPRODUCT(($B$2:$B$126=5)*(GT$2:GT$126&gt;=23)*(GT$2:GT$126&lt;=27)*(GT$2:GT$126&lt;&gt;"")*($J$2:$J$126))</f>
        <v>0</v>
      </c>
      <c r="GU158" s="79" cm="1">
        <f t="array" ref="GU158">SUMPRODUCT(($B$2:$B$126=5)*(GU$2:GU$126&gt;=23)*(GU$2:GU$126&lt;=27)*(GU$2:GU$126&lt;&gt;"")*($J$2:$J$126))</f>
        <v>0</v>
      </c>
      <c r="GV158" s="79" cm="1">
        <f t="array" ref="GV158">SUMPRODUCT(($B$2:$B$126=5)*(GV$2:GV$126&gt;=23)*(GV$2:GV$126&lt;=27)*(GV$2:GV$126&lt;&gt;"")*($J$2:$J$126))</f>
        <v>0</v>
      </c>
      <c r="GW158" s="79" cm="1">
        <f t="array" ref="GW158">SUMPRODUCT(($B$2:$B$126=5)*(GW$2:GW$126&gt;=23)*(GW$2:GW$126&lt;=27)*(GW$2:GW$126&lt;&gt;"")*($J$2:$J$126))</f>
        <v>0</v>
      </c>
      <c r="GX158" s="79" cm="1">
        <f t="array" ref="GX158">SUMPRODUCT(($B$2:$B$126=5)*(GX$2:GX$126&gt;=23)*(GX$2:GX$126&lt;=27)*(GX$2:GX$126&lt;&gt;"")*($J$2:$J$126))</f>
        <v>0</v>
      </c>
    </row>
    <row r="159" spans="1:206" x14ac:dyDescent="0.2">
      <c r="A159" s="84">
        <v>5</v>
      </c>
      <c r="B159" s="84" t="s">
        <v>259</v>
      </c>
      <c r="W159" s="79" cm="1">
        <f t="array" ref="W159">SUMPRODUCT(($B$2:$B$126=5)*(W$2:W$126&gt;=28)*(W$2:W$126&lt;=999)*(W$2:W$126&lt;&gt;"")*($J$2:$J$126))</f>
        <v>61</v>
      </c>
      <c r="X159" s="79" cm="1">
        <f t="array" ref="X159">SUMPRODUCT(($B$2:$B$126=5)*(X$2:X$126&gt;=28)*(X$2:X$126&lt;=999)*(X$2:X$126&lt;&gt;"")*($J$2:$J$126))</f>
        <v>61</v>
      </c>
      <c r="Y159" s="79" cm="1">
        <f t="array" ref="Y159">SUMPRODUCT(($B$2:$B$126=5)*(Y$2:Y$126&gt;=28)*(Y$2:Y$126&lt;=999)*(Y$2:Y$126&lt;&gt;"")*($J$2:$J$126))</f>
        <v>61</v>
      </c>
      <c r="Z159" s="79" cm="1">
        <f t="array" ref="Z159">SUMPRODUCT(($B$2:$B$126=5)*(Z$2:Z$126&gt;=28)*(Z$2:Z$126&lt;=999)*(Z$2:Z$126&lt;&gt;"")*($J$2:$J$126))</f>
        <v>61</v>
      </c>
      <c r="AA159" s="79" cm="1">
        <f t="array" ref="AA159">SUMPRODUCT(($B$2:$B$126=5)*(AA$2:AA$126&gt;=28)*(AA$2:AA$126&lt;=999)*(AA$2:AA$126&lt;&gt;"")*($J$2:$J$126))</f>
        <v>61</v>
      </c>
      <c r="AB159" s="79" cm="1">
        <f t="array" ref="AB159">SUMPRODUCT(($B$2:$B$126=5)*(AB$2:AB$126&gt;=28)*(AB$2:AB$126&lt;=999)*(AB$2:AB$126&lt;&gt;"")*($J$2:$J$126))</f>
        <v>44</v>
      </c>
      <c r="AC159" s="79" cm="1">
        <f t="array" ref="AC159">SUMPRODUCT(($B$2:$B$126=5)*(AC$2:AC$126&gt;=28)*(AC$2:AC$126&lt;=999)*(AC$2:AC$126&lt;&gt;"")*($J$2:$J$126))</f>
        <v>44</v>
      </c>
      <c r="AD159" s="79" cm="1">
        <f t="array" ref="AD159">SUMPRODUCT(($B$2:$B$126=5)*(AD$2:AD$126&gt;=28)*(AD$2:AD$126&lt;=999)*(AD$2:AD$126&lt;&gt;"")*($J$2:$J$126))</f>
        <v>112</v>
      </c>
      <c r="AE159" s="79" cm="1">
        <f t="array" ref="AE159">SUMPRODUCT(($B$2:$B$126=5)*(AE$2:AE$126&gt;=28)*(AE$2:AE$126&lt;=999)*(AE$2:AE$126&lt;&gt;"")*($J$2:$J$126))</f>
        <v>111</v>
      </c>
      <c r="AF159" s="79" cm="1">
        <f t="array" ref="AF159">SUMPRODUCT(($B$2:$B$126=5)*(AF$2:AF$126&gt;=28)*(AF$2:AF$126&lt;=999)*(AF$2:AF$126&lt;&gt;"")*($J$2:$J$126))</f>
        <v>111</v>
      </c>
      <c r="AG159" s="79" cm="1">
        <f t="array" ref="AG159">SUMPRODUCT(($B$2:$B$126=5)*(AG$2:AG$126&gt;=28)*(AG$2:AG$126&lt;=999)*(AG$2:AG$126&lt;&gt;"")*($J$2:$J$126))</f>
        <v>118</v>
      </c>
      <c r="AH159" s="79" cm="1">
        <f t="array" ref="AH159">SUMPRODUCT(($B$2:$B$126=5)*(AH$2:AH$126&gt;=28)*(AH$2:AH$126&lt;=999)*(AH$2:AH$126&lt;&gt;"")*($J$2:$J$126))</f>
        <v>102</v>
      </c>
      <c r="AI159" s="79" cm="1">
        <f t="array" ref="AI159">SUMPRODUCT(($B$2:$B$126=5)*(AI$2:AI$126&gt;=28)*(AI$2:AI$126&lt;=999)*(AI$2:AI$126&lt;&gt;"")*($J$2:$J$126))</f>
        <v>95</v>
      </c>
      <c r="AJ159" s="79" cm="1">
        <f t="array" ref="AJ159">SUMPRODUCT(($B$2:$B$126=5)*(AJ$2:AJ$126&gt;=28)*(AJ$2:AJ$126&lt;=999)*(AJ$2:AJ$126&lt;&gt;"")*($J$2:$J$126))</f>
        <v>84</v>
      </c>
      <c r="AK159" s="79" cm="1">
        <f t="array" ref="AK159">SUMPRODUCT(($B$2:$B$126=5)*(AK$2:AK$126&gt;=28)*(AK$2:AK$126&lt;=999)*(AK$2:AK$126&lt;&gt;"")*($J$2:$J$126))</f>
        <v>84</v>
      </c>
      <c r="AL159" s="79" cm="1">
        <f t="array" ref="AL159">SUMPRODUCT(($B$2:$B$126=5)*(AL$2:AL$126&gt;=28)*(AL$2:AL$126&lt;=999)*(AL$2:AL$126&lt;&gt;"")*($J$2:$J$126))</f>
        <v>84</v>
      </c>
      <c r="AM159" s="79" cm="1">
        <f t="array" ref="AM159">SUMPRODUCT(($B$2:$B$126=5)*(AM$2:AM$126&gt;=28)*(AM$2:AM$126&lt;=999)*(AM$2:AM$126&lt;&gt;"")*($J$2:$J$126))</f>
        <v>84</v>
      </c>
      <c r="AN159" s="79" cm="1">
        <f t="array" ref="AN159">SUMPRODUCT(($B$2:$B$126=5)*(AN$2:AN$126&gt;=28)*(AN$2:AN$126&lt;=999)*(AN$2:AN$126&lt;&gt;"")*($J$2:$J$126))</f>
        <v>84</v>
      </c>
      <c r="AO159" s="79" cm="1">
        <f t="array" ref="AO159">SUMPRODUCT(($B$2:$B$126=5)*(AO$2:AO$126&gt;=28)*(AO$2:AO$126&lt;=999)*(AO$2:AO$126&lt;&gt;"")*($J$2:$J$126))</f>
        <v>84</v>
      </c>
      <c r="AP159" s="79" cm="1">
        <f t="array" ref="AP159">SUMPRODUCT(($B$2:$B$126=5)*(AP$2:AP$126&gt;=28)*(AP$2:AP$126&lt;=999)*(AP$2:AP$126&lt;&gt;"")*($J$2:$J$126))</f>
        <v>84</v>
      </c>
      <c r="AQ159" s="79" cm="1">
        <f t="array" ref="AQ159">SUMPRODUCT(($B$2:$B$126=5)*(AQ$2:AQ$126&gt;=28)*(AQ$2:AQ$126&lt;=999)*(AQ$2:AQ$126&lt;&gt;"")*($J$2:$J$126))</f>
        <v>84</v>
      </c>
      <c r="AR159" s="79" cm="1">
        <f t="array" ref="AR159">SUMPRODUCT(($B$2:$B$126=5)*(AR$2:AR$126&gt;=28)*(AR$2:AR$126&lt;=999)*(AR$2:AR$126&lt;&gt;"")*($J$2:$J$126))</f>
        <v>84</v>
      </c>
      <c r="AS159" s="79" cm="1">
        <f t="array" ref="AS159">SUMPRODUCT(($B$2:$B$126=5)*(AS$2:AS$126&gt;=28)*(AS$2:AS$126&lt;=999)*(AS$2:AS$126&lt;&gt;"")*($J$2:$J$126))</f>
        <v>84</v>
      </c>
      <c r="AT159" s="79" cm="1">
        <f t="array" ref="AT159">SUMPRODUCT(($B$2:$B$126=5)*(AT$2:AT$126&gt;=28)*(AT$2:AT$126&lt;=999)*(AT$2:AT$126&lt;&gt;"")*($J$2:$J$126))</f>
        <v>84</v>
      </c>
      <c r="AU159" s="79" cm="1">
        <f t="array" ref="AU159">SUMPRODUCT(($B$2:$B$126=5)*(AU$2:AU$126&gt;=28)*(AU$2:AU$126&lt;=999)*(AU$2:AU$126&lt;&gt;"")*($J$2:$J$126))</f>
        <v>84</v>
      </c>
      <c r="AV159" s="79" cm="1">
        <f t="array" ref="AV159">SUMPRODUCT(($B$2:$B$126=5)*(AV$2:AV$126&gt;=28)*(AV$2:AV$126&lt;=999)*(AV$2:AV$126&lt;&gt;"")*($J$2:$J$126))</f>
        <v>84</v>
      </c>
      <c r="AW159" s="79" cm="1">
        <f t="array" ref="AW159">SUMPRODUCT(($B$2:$B$126=5)*(AW$2:AW$126&gt;=28)*(AW$2:AW$126&lt;=999)*(AW$2:AW$126&lt;&gt;"")*($J$2:$J$126))</f>
        <v>0</v>
      </c>
      <c r="AX159" s="79" cm="1">
        <f t="array" ref="AX159">SUMPRODUCT(($B$2:$B$126=5)*(AX$2:AX$126&gt;=28)*(AX$2:AX$126&lt;=999)*(AX$2:AX$126&lt;&gt;"")*($J$2:$J$126))</f>
        <v>0</v>
      </c>
      <c r="AY159" s="79" cm="1">
        <f t="array" ref="AY159">SUMPRODUCT(($B$2:$B$126=5)*(AY$2:AY$126&gt;=28)*(AY$2:AY$126&lt;=999)*(AY$2:AY$126&lt;&gt;"")*($J$2:$J$126))</f>
        <v>0</v>
      </c>
      <c r="AZ159" s="79" cm="1">
        <f t="array" ref="AZ159">SUMPRODUCT(($B$2:$B$126=5)*(AZ$2:AZ$126&gt;=28)*(AZ$2:AZ$126&lt;=999)*(AZ$2:AZ$126&lt;&gt;"")*($J$2:$J$126))</f>
        <v>0</v>
      </c>
      <c r="BA159" s="79" cm="1">
        <f t="array" ref="BA159">SUMPRODUCT(($B$2:$B$126=5)*(BA$2:BA$126&gt;=28)*(BA$2:BA$126&lt;=999)*(BA$2:BA$126&lt;&gt;"")*($J$2:$J$126))</f>
        <v>0</v>
      </c>
      <c r="BB159" s="79" cm="1">
        <f t="array" ref="BB159">SUMPRODUCT(($B$2:$B$126=5)*(BB$2:BB$126&gt;=28)*(BB$2:BB$126&lt;=999)*(BB$2:BB$126&lt;&gt;"")*($J$2:$J$126))</f>
        <v>0</v>
      </c>
      <c r="BC159" s="79" cm="1">
        <f t="array" ref="BC159">SUMPRODUCT(($B$2:$B$126=5)*(BC$2:BC$126&gt;=28)*(BC$2:BC$126&lt;=999)*(BC$2:BC$126&lt;&gt;"")*($J$2:$J$126))</f>
        <v>0</v>
      </c>
      <c r="BD159" s="79" cm="1">
        <f t="array" ref="BD159">SUMPRODUCT(($B$2:$B$126=5)*(BD$2:BD$126&gt;=28)*(BD$2:BD$126&lt;=999)*(BD$2:BD$126&lt;&gt;"")*($J$2:$J$126))</f>
        <v>0</v>
      </c>
      <c r="BE159" s="79" cm="1">
        <f t="array" ref="BE159">SUMPRODUCT(($B$2:$B$126=5)*(BE$2:BE$126&gt;=28)*(BE$2:BE$126&lt;=999)*(BE$2:BE$126&lt;&gt;"")*($J$2:$J$126))</f>
        <v>0</v>
      </c>
      <c r="BF159" s="79" cm="1">
        <f t="array" ref="BF159">SUMPRODUCT(($B$2:$B$126=5)*(BF$2:BF$126&gt;=28)*(BF$2:BF$126&lt;=999)*(BF$2:BF$126&lt;&gt;"")*($J$2:$J$126))</f>
        <v>0</v>
      </c>
      <c r="BG159" s="79" cm="1">
        <f t="array" ref="BG159">SUMPRODUCT(($B$2:$B$126=5)*(BG$2:BG$126&gt;=28)*(BG$2:BG$126&lt;=999)*(BG$2:BG$126&lt;&gt;"")*($J$2:$J$126))</f>
        <v>0</v>
      </c>
      <c r="BH159" s="79" cm="1">
        <f t="array" ref="BH159">SUMPRODUCT(($B$2:$B$126=5)*(BH$2:BH$126&gt;=28)*(BH$2:BH$126&lt;=999)*(BH$2:BH$126&lt;&gt;"")*($J$2:$J$126))</f>
        <v>0</v>
      </c>
      <c r="BI159" s="79" cm="1">
        <f t="array" ref="BI159">SUMPRODUCT(($B$2:$B$126=5)*(BI$2:BI$126&gt;=28)*(BI$2:BI$126&lt;=999)*(BI$2:BI$126&lt;&gt;"")*($J$2:$J$126))</f>
        <v>0</v>
      </c>
      <c r="BJ159" s="79" cm="1">
        <f t="array" ref="BJ159">SUMPRODUCT(($B$2:$B$126=5)*(BJ$2:BJ$126&gt;=28)*(BJ$2:BJ$126&lt;=999)*(BJ$2:BJ$126&lt;&gt;"")*($J$2:$J$126))</f>
        <v>0</v>
      </c>
      <c r="BK159" s="79" cm="1">
        <f t="array" ref="BK159">SUMPRODUCT(($B$2:$B$126=5)*(BK$2:BK$126&gt;=28)*(BK$2:BK$126&lt;=999)*(BK$2:BK$126&lt;&gt;"")*($J$2:$J$126))</f>
        <v>0</v>
      </c>
      <c r="BL159" s="79" cm="1">
        <f t="array" ref="BL159">SUMPRODUCT(($B$2:$B$126=5)*(BL$2:BL$126&gt;=28)*(BL$2:BL$126&lt;=999)*(BL$2:BL$126&lt;&gt;"")*($J$2:$J$126))</f>
        <v>0</v>
      </c>
      <c r="BM159" s="79" cm="1">
        <f t="array" ref="BM159">SUMPRODUCT(($B$2:$B$126=5)*(BM$2:BM$126&gt;=28)*(BM$2:BM$126&lt;=999)*(BM$2:BM$126&lt;&gt;"")*($J$2:$J$126))</f>
        <v>0</v>
      </c>
      <c r="BN159" s="79" cm="1">
        <f t="array" ref="BN159">SUMPRODUCT(($B$2:$B$126=5)*(BN$2:BN$126&gt;=28)*(BN$2:BN$126&lt;=999)*(BN$2:BN$126&lt;&gt;"")*($J$2:$J$126))</f>
        <v>0</v>
      </c>
      <c r="BO159" s="79" cm="1">
        <f t="array" ref="BO159">SUMPRODUCT(($B$2:$B$126=5)*(BO$2:BO$126&gt;=28)*(BO$2:BO$126&lt;=999)*(BO$2:BO$126&lt;&gt;"")*($J$2:$J$126))</f>
        <v>0</v>
      </c>
      <c r="BP159" s="79" cm="1">
        <f t="array" ref="BP159">SUMPRODUCT(($B$2:$B$126=5)*(BP$2:BP$126&gt;=28)*(BP$2:BP$126&lt;=999)*(BP$2:BP$126&lt;&gt;"")*($J$2:$J$126))</f>
        <v>0</v>
      </c>
      <c r="BQ159" s="79" cm="1">
        <f t="array" ref="BQ159">SUMPRODUCT(($B$2:$B$126=5)*(BQ$2:BQ$126&gt;=28)*(BQ$2:BQ$126&lt;=999)*(BQ$2:BQ$126&lt;&gt;"")*($J$2:$J$126))</f>
        <v>0</v>
      </c>
      <c r="BR159" s="79" cm="1">
        <f t="array" ref="BR159">SUMPRODUCT(($B$2:$B$126=5)*(BR$2:BR$126&gt;=28)*(BR$2:BR$126&lt;=999)*(BR$2:BR$126&lt;&gt;"")*($J$2:$J$126))</f>
        <v>0</v>
      </c>
      <c r="BS159" s="79" cm="1">
        <f t="array" ref="BS159">SUMPRODUCT(($B$2:$B$126=5)*(BS$2:BS$126&gt;=28)*(BS$2:BS$126&lt;=999)*(BS$2:BS$126&lt;&gt;"")*($J$2:$J$126))</f>
        <v>0</v>
      </c>
      <c r="BT159" s="79" cm="1">
        <f t="array" ref="BT159">SUMPRODUCT(($B$2:$B$126=5)*(BT$2:BT$126&gt;=28)*(BT$2:BT$126&lt;=999)*(BT$2:BT$126&lt;&gt;"")*($J$2:$J$126))</f>
        <v>0</v>
      </c>
      <c r="BU159" s="79" cm="1">
        <f t="array" ref="BU159">SUMPRODUCT(($B$2:$B$126=5)*(BU$2:BU$126&gt;=28)*(BU$2:BU$126&lt;=999)*(BU$2:BU$126&lt;&gt;"")*($J$2:$J$126))</f>
        <v>0</v>
      </c>
      <c r="BV159" s="79" cm="1">
        <f t="array" ref="BV159">SUMPRODUCT(($B$2:$B$126=5)*(BV$2:BV$126&gt;=28)*(BV$2:BV$126&lt;=999)*(BV$2:BV$126&lt;&gt;"")*($J$2:$J$126))</f>
        <v>0</v>
      </c>
      <c r="BW159" s="79" cm="1">
        <f t="array" ref="BW159">SUMPRODUCT(($B$2:$B$126=5)*(BW$2:BW$126&gt;=28)*(BW$2:BW$126&lt;=999)*(BW$2:BW$126&lt;&gt;"")*($J$2:$J$126))</f>
        <v>0</v>
      </c>
      <c r="BX159" s="79" cm="1">
        <f t="array" ref="BX159">SUMPRODUCT(($B$2:$B$126=5)*(BX$2:BX$126&gt;=28)*(BX$2:BX$126&lt;=999)*(BX$2:BX$126&lt;&gt;"")*($J$2:$J$126))</f>
        <v>0</v>
      </c>
      <c r="BY159" s="79" cm="1">
        <f t="array" ref="BY159">SUMPRODUCT(($B$2:$B$126=5)*(BY$2:BY$126&gt;=28)*(BY$2:BY$126&lt;=999)*(BY$2:BY$126&lt;&gt;"")*($J$2:$J$126))</f>
        <v>0</v>
      </c>
      <c r="BZ159" s="79" cm="1">
        <f t="array" ref="BZ159">SUMPRODUCT(($B$2:$B$126=5)*(BZ$2:BZ$126&gt;=28)*(BZ$2:BZ$126&lt;=999)*(BZ$2:BZ$126&lt;&gt;"")*($J$2:$J$126))</f>
        <v>0</v>
      </c>
      <c r="CA159" s="79" cm="1">
        <f t="array" ref="CA159">SUMPRODUCT(($B$2:$B$126=5)*(CA$2:CA$126&gt;=28)*(CA$2:CA$126&lt;=999)*(CA$2:CA$126&lt;&gt;"")*($J$2:$J$126))</f>
        <v>0</v>
      </c>
      <c r="CB159" s="79" cm="1">
        <f t="array" ref="CB159">SUMPRODUCT(($B$2:$B$126=5)*(CB$2:CB$126&gt;=28)*(CB$2:CB$126&lt;=999)*(CB$2:CB$126&lt;&gt;"")*($J$2:$J$126))</f>
        <v>55</v>
      </c>
      <c r="CC159" s="79" cm="1">
        <f t="array" ref="CC159">SUMPRODUCT(($B$2:$B$126=5)*(CC$2:CC$126&gt;=28)*(CC$2:CC$126&lt;=999)*(CC$2:CC$126&lt;&gt;"")*($J$2:$J$126))</f>
        <v>103</v>
      </c>
      <c r="CD159" s="79" cm="1">
        <f t="array" ref="CD159">SUMPRODUCT(($B$2:$B$126=5)*(CD$2:CD$126&gt;=28)*(CD$2:CD$126&lt;=999)*(CD$2:CD$126&lt;&gt;"")*($J$2:$J$126))</f>
        <v>103</v>
      </c>
      <c r="CE159" s="79" cm="1">
        <f t="array" ref="CE159">SUMPRODUCT(($B$2:$B$126=5)*(CE$2:CE$126&gt;=28)*(CE$2:CE$126&lt;=999)*(CE$2:CE$126&lt;&gt;"")*($J$2:$J$126))</f>
        <v>103</v>
      </c>
      <c r="CF159" s="79" cm="1">
        <f t="array" ref="CF159">SUMPRODUCT(($B$2:$B$126=5)*(CF$2:CF$126&gt;=28)*(CF$2:CF$126&lt;=999)*(CF$2:CF$126&lt;&gt;"")*($J$2:$J$126))</f>
        <v>103</v>
      </c>
      <c r="CG159" s="79" cm="1">
        <f t="array" ref="CG159">SUMPRODUCT(($B$2:$B$126=5)*(CG$2:CG$126&gt;=28)*(CG$2:CG$126&lt;=999)*(CG$2:CG$126&lt;&gt;"")*($J$2:$J$126))</f>
        <v>103</v>
      </c>
      <c r="CH159" s="79" cm="1">
        <f t="array" ref="CH159">SUMPRODUCT(($B$2:$B$126=5)*(CH$2:CH$126&gt;=28)*(CH$2:CH$126&lt;=999)*(CH$2:CH$126&lt;&gt;"")*($J$2:$J$126))</f>
        <v>103</v>
      </c>
      <c r="CI159" s="79" cm="1">
        <f t="array" ref="CI159">SUMPRODUCT(($B$2:$B$126=5)*(CI$2:CI$126&gt;=28)*(CI$2:CI$126&lt;=999)*(CI$2:CI$126&lt;&gt;"")*($J$2:$J$126))</f>
        <v>103</v>
      </c>
      <c r="CJ159" s="79" cm="1">
        <f t="array" ref="CJ159">SUMPRODUCT(($B$2:$B$126=5)*(CJ$2:CJ$126&gt;=28)*(CJ$2:CJ$126&lt;=999)*(CJ$2:CJ$126&lt;&gt;"")*($J$2:$J$126))</f>
        <v>103</v>
      </c>
      <c r="CK159" s="79" cm="1">
        <f t="array" ref="CK159">SUMPRODUCT(($B$2:$B$126=5)*(CK$2:CK$126&gt;=28)*(CK$2:CK$126&lt;=999)*(CK$2:CK$126&lt;&gt;"")*($J$2:$J$126))</f>
        <v>103</v>
      </c>
      <c r="CL159" s="79" cm="1">
        <f t="array" ref="CL159">SUMPRODUCT(($B$2:$B$126=5)*(CL$2:CL$126&gt;=28)*(CL$2:CL$126&lt;=999)*(CL$2:CL$126&lt;&gt;"")*($J$2:$J$126))</f>
        <v>103</v>
      </c>
      <c r="CM159" s="79" cm="1">
        <f t="array" ref="CM159">SUMPRODUCT(($B$2:$B$126=5)*(CM$2:CM$126&gt;=28)*(CM$2:CM$126&lt;=999)*(CM$2:CM$126&lt;&gt;"")*($J$2:$J$126))</f>
        <v>103</v>
      </c>
      <c r="CN159" s="79" cm="1">
        <f t="array" ref="CN159">SUMPRODUCT(($B$2:$B$126=5)*(CN$2:CN$126&gt;=28)*(CN$2:CN$126&lt;=999)*(CN$2:CN$126&lt;&gt;"")*($J$2:$J$126))</f>
        <v>109</v>
      </c>
      <c r="CO159" s="79" cm="1">
        <f t="array" ref="CO159">SUMPRODUCT(($B$2:$B$126=5)*(CO$2:CO$126&gt;=28)*(CO$2:CO$126&lt;=999)*(CO$2:CO$126&lt;&gt;"")*($J$2:$J$126))</f>
        <v>154</v>
      </c>
      <c r="CP159" s="79" cm="1">
        <f t="array" ref="CP159">SUMPRODUCT(($B$2:$B$126=5)*(CP$2:CP$126&gt;=28)*(CP$2:CP$126&lt;=999)*(CP$2:CP$126&lt;&gt;"")*($J$2:$J$126))</f>
        <v>154</v>
      </c>
      <c r="CQ159" s="79" cm="1">
        <f t="array" ref="CQ159">SUMPRODUCT(($B$2:$B$126=5)*(CQ$2:CQ$126&gt;=28)*(CQ$2:CQ$126&lt;=999)*(CQ$2:CQ$126&lt;&gt;"")*($J$2:$J$126))</f>
        <v>187</v>
      </c>
      <c r="CR159" s="79" cm="1">
        <f t="array" ref="CR159">SUMPRODUCT(($B$2:$B$126=5)*(CR$2:CR$126&gt;=28)*(CR$2:CR$126&lt;=999)*(CR$2:CR$126&lt;&gt;"")*($J$2:$J$126))</f>
        <v>187</v>
      </c>
      <c r="CS159" s="79" cm="1">
        <f t="array" ref="CS159">SUMPRODUCT(($B$2:$B$126=5)*(CS$2:CS$126&gt;=28)*(CS$2:CS$126&lt;=999)*(CS$2:CS$126&lt;&gt;"")*($J$2:$J$126))</f>
        <v>187</v>
      </c>
      <c r="CT159" s="79" cm="1">
        <f t="array" ref="CT159">SUMPRODUCT(($B$2:$B$126=5)*(CT$2:CT$126&gt;=28)*(CT$2:CT$126&lt;=999)*(CT$2:CT$126&lt;&gt;"")*($J$2:$J$126))</f>
        <v>187</v>
      </c>
      <c r="CU159" s="79" cm="1">
        <f t="array" ref="CU159">SUMPRODUCT(($B$2:$B$126=5)*(CU$2:CU$126&gt;=28)*(CU$2:CU$126&lt;=999)*(CU$2:CU$126&lt;&gt;"")*($J$2:$J$126))</f>
        <v>187</v>
      </c>
      <c r="CV159" s="79" cm="1">
        <f t="array" ref="CV159">SUMPRODUCT(($B$2:$B$126=5)*(CV$2:CV$126&gt;=28)*(CV$2:CV$126&lt;=999)*(CV$2:CV$126&lt;&gt;"")*($J$2:$J$126))</f>
        <v>187</v>
      </c>
      <c r="CW159" s="79" cm="1">
        <f t="array" ref="CW159">SUMPRODUCT(($B$2:$B$126=5)*(CW$2:CW$126&gt;=28)*(CW$2:CW$126&lt;=999)*(CW$2:CW$126&lt;&gt;"")*($J$2:$J$126))</f>
        <v>187</v>
      </c>
      <c r="CX159" s="79" cm="1">
        <f t="array" ref="CX159">SUMPRODUCT(($B$2:$B$126=5)*(CX$2:CX$126&gt;=28)*(CX$2:CX$126&lt;=999)*(CX$2:CX$126&lt;&gt;"")*($J$2:$J$126))</f>
        <v>187</v>
      </c>
      <c r="CY159" s="79" cm="1">
        <f t="array" ref="CY159">SUMPRODUCT(($B$2:$B$126=5)*(CY$2:CY$126&gt;=28)*(CY$2:CY$126&lt;=999)*(CY$2:CY$126&lt;&gt;"")*($J$2:$J$126))</f>
        <v>187</v>
      </c>
      <c r="CZ159" s="79" cm="1">
        <f t="array" ref="CZ159">SUMPRODUCT(($B$2:$B$126=5)*(CZ$2:CZ$126&gt;=28)*(CZ$2:CZ$126&lt;=999)*(CZ$2:CZ$126&lt;&gt;"")*($J$2:$J$126))</f>
        <v>187</v>
      </c>
      <c r="DA159" s="79" cm="1">
        <f t="array" ref="DA159">SUMPRODUCT(($B$2:$B$126=5)*(DA$2:DA$126&gt;=28)*(DA$2:DA$126&lt;=999)*(DA$2:DA$126&lt;&gt;"")*($J$2:$J$126))</f>
        <v>187</v>
      </c>
      <c r="DB159" s="79" cm="1">
        <f t="array" ref="DB159">SUMPRODUCT(($B$2:$B$126=5)*(DB$2:DB$126&gt;=28)*(DB$2:DB$126&lt;=999)*(DB$2:DB$126&lt;&gt;"")*($J$2:$J$126))</f>
        <v>187</v>
      </c>
      <c r="DC159" s="79" cm="1">
        <f t="array" ref="DC159">SUMPRODUCT(($B$2:$B$126=5)*(DC$2:DC$126&gt;=28)*(DC$2:DC$126&lt;=999)*(DC$2:DC$126&lt;&gt;"")*($J$2:$J$126))</f>
        <v>187</v>
      </c>
      <c r="DD159" s="79" cm="1">
        <f t="array" ref="DD159">SUMPRODUCT(($B$2:$B$126=5)*(DD$2:DD$126&gt;=28)*(DD$2:DD$126&lt;=999)*(DD$2:DD$126&lt;&gt;"")*($J$2:$J$126))</f>
        <v>187</v>
      </c>
      <c r="DE159" s="79" cm="1">
        <f t="array" ref="DE159">SUMPRODUCT(($B$2:$B$126=5)*(DE$2:DE$126&gt;=28)*(DE$2:DE$126&lt;=999)*(DE$2:DE$126&lt;&gt;"")*($J$2:$J$126))</f>
        <v>187</v>
      </c>
      <c r="DF159" s="79" cm="1">
        <f t="array" ref="DF159">SUMPRODUCT(($B$2:$B$126=5)*(DF$2:DF$126&gt;=28)*(DF$2:DF$126&lt;=999)*(DF$2:DF$126&lt;&gt;"")*($J$2:$J$126))</f>
        <v>187</v>
      </c>
      <c r="DG159" s="79" cm="1">
        <f t="array" ref="DG159">SUMPRODUCT(($B$2:$B$126=5)*(DG$2:DG$126&gt;=28)*(DG$2:DG$126&lt;=999)*(DG$2:DG$126&lt;&gt;"")*($J$2:$J$126))</f>
        <v>187</v>
      </c>
      <c r="DH159" s="79" cm="1">
        <f t="array" ref="DH159">SUMPRODUCT(($B$2:$B$126=5)*(DH$2:DH$126&gt;=28)*(DH$2:DH$126&lt;=999)*(DH$2:DH$126&lt;&gt;"")*($J$2:$J$126))</f>
        <v>187</v>
      </c>
      <c r="DI159" s="79" cm="1">
        <f t="array" ref="DI159">SUMPRODUCT(($B$2:$B$126=5)*(DI$2:DI$126&gt;=28)*(DI$2:DI$126&lt;=999)*(DI$2:DI$126&lt;&gt;"")*($J$2:$J$126))</f>
        <v>187</v>
      </c>
      <c r="DJ159" s="79" cm="1">
        <f t="array" ref="DJ159">SUMPRODUCT(($B$2:$B$126=5)*(DJ$2:DJ$126&gt;=28)*(DJ$2:DJ$126&lt;=999)*(DJ$2:DJ$126&lt;&gt;"")*($J$2:$J$126))</f>
        <v>187</v>
      </c>
      <c r="DK159" s="79" cm="1">
        <f t="array" ref="DK159">SUMPRODUCT(($B$2:$B$126=5)*(DK$2:DK$126&gt;=28)*(DK$2:DK$126&lt;=999)*(DK$2:DK$126&lt;&gt;"")*($J$2:$J$126))</f>
        <v>187</v>
      </c>
      <c r="DL159" s="79" cm="1">
        <f t="array" ref="DL159">SUMPRODUCT(($B$2:$B$126=5)*(DL$2:DL$126&gt;=28)*(DL$2:DL$126&lt;=999)*(DL$2:DL$126&lt;&gt;"")*($J$2:$J$126))</f>
        <v>187</v>
      </c>
      <c r="DM159" s="79" cm="1">
        <f t="array" ref="DM159">SUMPRODUCT(($B$2:$B$126=5)*(DM$2:DM$126&gt;=28)*(DM$2:DM$126&lt;=999)*(DM$2:DM$126&lt;&gt;"")*($J$2:$J$126))</f>
        <v>187</v>
      </c>
      <c r="DN159" s="79" cm="1">
        <f t="array" ref="DN159">SUMPRODUCT(($B$2:$B$126=5)*(DN$2:DN$126&gt;=28)*(DN$2:DN$126&lt;=999)*(DN$2:DN$126&lt;&gt;"")*($J$2:$J$126))</f>
        <v>187</v>
      </c>
      <c r="DO159" s="79" cm="1">
        <f t="array" ref="DO159">SUMPRODUCT(($B$2:$B$126=5)*(DO$2:DO$126&gt;=28)*(DO$2:DO$126&lt;=999)*(DO$2:DO$126&lt;&gt;"")*($J$2:$J$126))</f>
        <v>187</v>
      </c>
      <c r="DP159" s="79" cm="1">
        <f t="array" ref="DP159">SUMPRODUCT(($B$2:$B$126=5)*(DP$2:DP$126&gt;=28)*(DP$2:DP$126&lt;=999)*(DP$2:DP$126&lt;&gt;"")*($J$2:$J$126))</f>
        <v>187</v>
      </c>
      <c r="DQ159" s="79" cm="1">
        <f t="array" ref="DQ159">SUMPRODUCT(($B$2:$B$126=5)*(DQ$2:DQ$126&gt;=28)*(DQ$2:DQ$126&lt;=999)*(DQ$2:DQ$126&lt;&gt;"")*($J$2:$J$126))</f>
        <v>187</v>
      </c>
      <c r="DR159" s="79" cm="1">
        <f t="array" ref="DR159">SUMPRODUCT(($B$2:$B$126=5)*(DR$2:DR$126&gt;=28)*(DR$2:DR$126&lt;=999)*(DR$2:DR$126&lt;&gt;"")*($J$2:$J$126))</f>
        <v>187</v>
      </c>
      <c r="DS159" s="79" cm="1">
        <f t="array" ref="DS159">SUMPRODUCT(($B$2:$B$126=5)*(DS$2:DS$126&gt;=28)*(DS$2:DS$126&lt;=999)*(DS$2:DS$126&lt;&gt;"")*($J$2:$J$126))</f>
        <v>187</v>
      </c>
      <c r="DT159" s="79" cm="1">
        <f t="array" ref="DT159">SUMPRODUCT(($B$2:$B$126=5)*(DT$2:DT$126&gt;=28)*(DT$2:DT$126&lt;=999)*(DT$2:DT$126&lt;&gt;"")*($J$2:$J$126))</f>
        <v>187</v>
      </c>
      <c r="DU159" s="79" cm="1">
        <f t="array" ref="DU159">SUMPRODUCT(($B$2:$B$126=5)*(DU$2:DU$126&gt;=28)*(DU$2:DU$126&lt;=999)*(DU$2:DU$126&lt;&gt;"")*($J$2:$J$126))</f>
        <v>187</v>
      </c>
      <c r="DV159" s="79" cm="1">
        <f t="array" ref="DV159">SUMPRODUCT(($B$2:$B$126=5)*(DV$2:DV$126&gt;=28)*(DV$2:DV$126&lt;=999)*(DV$2:DV$126&lt;&gt;"")*($J$2:$J$126))</f>
        <v>187</v>
      </c>
      <c r="DW159" s="79" cm="1">
        <f t="array" ref="DW159">SUMPRODUCT(($B$2:$B$126=5)*(DW$2:DW$126&gt;=28)*(DW$2:DW$126&lt;=999)*(DW$2:DW$126&lt;&gt;"")*($J$2:$J$126))</f>
        <v>187</v>
      </c>
      <c r="DX159" s="79" cm="1">
        <f t="array" ref="DX159">SUMPRODUCT(($B$2:$B$126=5)*(DX$2:DX$126&gt;=28)*(DX$2:DX$126&lt;=999)*(DX$2:DX$126&lt;&gt;"")*($J$2:$J$126))</f>
        <v>187</v>
      </c>
      <c r="DY159" s="79" cm="1">
        <f t="array" ref="DY159">SUMPRODUCT(($B$2:$B$126=5)*(DY$2:DY$126&gt;=28)*(DY$2:DY$126&lt;=999)*(DY$2:DY$126&lt;&gt;"")*($J$2:$J$126))</f>
        <v>187</v>
      </c>
      <c r="DZ159" s="79" cm="1">
        <f t="array" ref="DZ159">SUMPRODUCT(($B$2:$B$126=5)*(DZ$2:DZ$126&gt;=28)*(DZ$2:DZ$126&lt;=999)*(DZ$2:DZ$126&lt;&gt;"")*($J$2:$J$126))</f>
        <v>187</v>
      </c>
      <c r="EA159" s="79" cm="1">
        <f t="array" ref="EA159">SUMPRODUCT(($B$2:$B$126=5)*(EA$2:EA$126&gt;=28)*(EA$2:EA$126&lt;=999)*(EA$2:EA$126&lt;&gt;"")*($J$2:$J$126))</f>
        <v>187</v>
      </c>
      <c r="EB159" s="79" cm="1">
        <f t="array" ref="EB159">SUMPRODUCT(($B$2:$B$126=5)*(EB$2:EB$126&gt;=28)*(EB$2:EB$126&lt;=999)*(EB$2:EB$126&lt;&gt;"")*($J$2:$J$126))</f>
        <v>187</v>
      </c>
      <c r="EC159" s="79" cm="1">
        <f t="array" ref="EC159">SUMPRODUCT(($B$2:$B$126=5)*(EC$2:EC$126&gt;=28)*(EC$2:EC$126&lt;=999)*(EC$2:EC$126&lt;&gt;"")*($J$2:$J$126))</f>
        <v>187</v>
      </c>
      <c r="ED159" s="79" cm="1">
        <f t="array" ref="ED159">SUMPRODUCT(($B$2:$B$126=5)*(ED$2:ED$126&gt;=28)*(ED$2:ED$126&lt;=999)*(ED$2:ED$126&lt;&gt;"")*($J$2:$J$126))</f>
        <v>187</v>
      </c>
      <c r="EE159" s="79" cm="1">
        <f t="array" ref="EE159">SUMPRODUCT(($B$2:$B$126=5)*(EE$2:EE$126&gt;=28)*(EE$2:EE$126&lt;=999)*(EE$2:EE$126&lt;&gt;"")*($J$2:$J$126))</f>
        <v>187</v>
      </c>
      <c r="EF159" s="79" cm="1">
        <f t="array" ref="EF159">SUMPRODUCT(($B$2:$B$126=5)*(EF$2:EF$126&gt;=28)*(EF$2:EF$126&lt;=999)*(EF$2:EF$126&lt;&gt;"")*($J$2:$J$126))</f>
        <v>187</v>
      </c>
      <c r="EG159" s="79" cm="1">
        <f t="array" ref="EG159">SUMPRODUCT(($B$2:$B$126=5)*(EG$2:EG$126&gt;=28)*(EG$2:EG$126&lt;=999)*(EG$2:EG$126&lt;&gt;"")*($J$2:$J$126))</f>
        <v>187</v>
      </c>
      <c r="EH159" s="79" cm="1">
        <f t="array" ref="EH159">SUMPRODUCT(($B$2:$B$126=5)*(EH$2:EH$126&gt;=28)*(EH$2:EH$126&lt;=999)*(EH$2:EH$126&lt;&gt;"")*($J$2:$J$126))</f>
        <v>187</v>
      </c>
      <c r="EI159" s="79" cm="1">
        <f t="array" ref="EI159">SUMPRODUCT(($B$2:$B$126=5)*(EI$2:EI$126&gt;=28)*(EI$2:EI$126&lt;=999)*(EI$2:EI$126&lt;&gt;"")*($J$2:$J$126))</f>
        <v>187</v>
      </c>
      <c r="EJ159" s="79" cm="1">
        <f t="array" ref="EJ159">SUMPRODUCT(($B$2:$B$126=5)*(EJ$2:EJ$126&gt;=28)*(EJ$2:EJ$126&lt;=999)*(EJ$2:EJ$126&lt;&gt;"")*($J$2:$J$126))</f>
        <v>187</v>
      </c>
      <c r="EK159" s="79" cm="1">
        <f t="array" ref="EK159">SUMPRODUCT(($B$2:$B$126=5)*(EK$2:EK$126&gt;=28)*(EK$2:EK$126&lt;=999)*(EK$2:EK$126&lt;&gt;"")*($J$2:$J$126))</f>
        <v>187</v>
      </c>
      <c r="EL159" s="79" cm="1">
        <f t="array" ref="EL159">SUMPRODUCT(($B$2:$B$126=5)*(EL$2:EL$126&gt;=28)*(EL$2:EL$126&lt;=999)*(EL$2:EL$126&lt;&gt;"")*($J$2:$J$126))</f>
        <v>187</v>
      </c>
      <c r="EM159" s="79" cm="1">
        <f t="array" ref="EM159">SUMPRODUCT(($B$2:$B$126=5)*(EM$2:EM$126&gt;=28)*(EM$2:EM$126&lt;=999)*(EM$2:EM$126&lt;&gt;"")*($J$2:$J$126))</f>
        <v>187</v>
      </c>
      <c r="EN159" s="79" cm="1">
        <f t="array" ref="EN159">SUMPRODUCT(($B$2:$B$126=5)*(EN$2:EN$126&gt;=28)*(EN$2:EN$126&lt;=999)*(EN$2:EN$126&lt;&gt;"")*($J$2:$J$126))</f>
        <v>187</v>
      </c>
      <c r="EO159" s="79" cm="1">
        <f t="array" ref="EO159">SUMPRODUCT(($B$2:$B$126=5)*(EO$2:EO$126&gt;=28)*(EO$2:EO$126&lt;=999)*(EO$2:EO$126&lt;&gt;"")*($J$2:$J$126))</f>
        <v>187</v>
      </c>
      <c r="EP159" s="79" cm="1">
        <f t="array" ref="EP159">SUMPRODUCT(($B$2:$B$126=5)*(EP$2:EP$126&gt;=28)*(EP$2:EP$126&lt;=999)*(EP$2:EP$126&lt;&gt;"")*($J$2:$J$126))</f>
        <v>187</v>
      </c>
      <c r="EQ159" s="79" cm="1">
        <f t="array" ref="EQ159">SUMPRODUCT(($B$2:$B$126=5)*(EQ$2:EQ$126&gt;=28)*(EQ$2:EQ$126&lt;=999)*(EQ$2:EQ$126&lt;&gt;"")*($J$2:$J$126))</f>
        <v>187</v>
      </c>
      <c r="ER159" s="79" cm="1">
        <f t="array" ref="ER159">SUMPRODUCT(($B$2:$B$126=5)*(ER$2:ER$126&gt;=28)*(ER$2:ER$126&lt;=999)*(ER$2:ER$126&lt;&gt;"")*($J$2:$J$126))</f>
        <v>187</v>
      </c>
      <c r="ES159" s="79" cm="1">
        <f t="array" ref="ES159">SUMPRODUCT(($B$2:$B$126=5)*(ES$2:ES$126&gt;=28)*(ES$2:ES$126&lt;=999)*(ES$2:ES$126&lt;&gt;"")*($J$2:$J$126))</f>
        <v>187</v>
      </c>
      <c r="ET159" s="79" cm="1">
        <f t="array" ref="ET159">SUMPRODUCT(($B$2:$B$126=5)*(ET$2:ET$126&gt;=28)*(ET$2:ET$126&lt;=999)*(ET$2:ET$126&lt;&gt;"")*($J$2:$J$126))</f>
        <v>187</v>
      </c>
      <c r="EU159" s="79" cm="1">
        <f t="array" ref="EU159">SUMPRODUCT(($B$2:$B$126=5)*(EU$2:EU$126&gt;=28)*(EU$2:EU$126&lt;=999)*(EU$2:EU$126&lt;&gt;"")*($J$2:$J$126))</f>
        <v>187</v>
      </c>
      <c r="EV159" s="79" cm="1">
        <f t="array" ref="EV159">SUMPRODUCT(($B$2:$B$126=5)*(EV$2:EV$126&gt;=28)*(EV$2:EV$126&lt;=999)*(EV$2:EV$126&lt;&gt;"")*($J$2:$J$126))</f>
        <v>187</v>
      </c>
      <c r="EW159" s="79" cm="1">
        <f t="array" ref="EW159">SUMPRODUCT(($B$2:$B$126=5)*(EW$2:EW$126&gt;=28)*(EW$2:EW$126&lt;=999)*(EW$2:EW$126&lt;&gt;"")*($J$2:$J$126))</f>
        <v>187</v>
      </c>
      <c r="EX159" s="79" cm="1">
        <f t="array" ref="EX159">SUMPRODUCT(($B$2:$B$126=5)*(EX$2:EX$126&gt;=28)*(EX$2:EX$126&lt;=999)*(EX$2:EX$126&lt;&gt;"")*($J$2:$J$126))</f>
        <v>187</v>
      </c>
      <c r="EY159" s="79" cm="1">
        <f t="array" ref="EY159">SUMPRODUCT(($B$2:$B$126=5)*(EY$2:EY$126&gt;=28)*(EY$2:EY$126&lt;=999)*(EY$2:EY$126&lt;&gt;"")*($J$2:$J$126))</f>
        <v>187</v>
      </c>
      <c r="EZ159" s="79" cm="1">
        <f t="array" ref="EZ159">SUMPRODUCT(($B$2:$B$126=5)*(EZ$2:EZ$126&gt;=28)*(EZ$2:EZ$126&lt;=999)*(EZ$2:EZ$126&lt;&gt;"")*($J$2:$J$126))</f>
        <v>187</v>
      </c>
      <c r="FA159" s="79" cm="1">
        <f t="array" ref="FA159">SUMPRODUCT(($B$2:$B$126=5)*(FA$2:FA$126&gt;=28)*(FA$2:FA$126&lt;=999)*(FA$2:FA$126&lt;&gt;"")*($J$2:$J$126))</f>
        <v>187</v>
      </c>
      <c r="FB159" s="79" cm="1">
        <f t="array" ref="FB159">SUMPRODUCT(($B$2:$B$126=5)*(FB$2:FB$126&gt;=28)*(FB$2:FB$126&lt;=999)*(FB$2:FB$126&lt;&gt;"")*($J$2:$J$126))</f>
        <v>187</v>
      </c>
      <c r="FC159" s="79" cm="1">
        <f t="array" ref="FC159">SUMPRODUCT(($B$2:$B$126=5)*(FC$2:FC$126&gt;=28)*(FC$2:FC$126&lt;=999)*(FC$2:FC$126&lt;&gt;"")*($J$2:$J$126))</f>
        <v>187</v>
      </c>
      <c r="FD159" s="79" cm="1">
        <f t="array" ref="FD159">SUMPRODUCT(($B$2:$B$126=5)*(FD$2:FD$126&gt;=28)*(FD$2:FD$126&lt;=999)*(FD$2:FD$126&lt;&gt;"")*($J$2:$J$126))</f>
        <v>187</v>
      </c>
      <c r="FE159" s="79" cm="1">
        <f t="array" ref="FE159">SUMPRODUCT(($B$2:$B$126=5)*(FE$2:FE$126&gt;=28)*(FE$2:FE$126&lt;=999)*(FE$2:FE$126&lt;&gt;"")*($J$2:$J$126))</f>
        <v>187</v>
      </c>
      <c r="FF159" s="79" cm="1">
        <f t="array" ref="FF159">SUMPRODUCT(($B$2:$B$126=5)*(FF$2:FF$126&gt;=28)*(FF$2:FF$126&lt;=999)*(FF$2:FF$126&lt;&gt;"")*($J$2:$J$126))</f>
        <v>187</v>
      </c>
      <c r="FG159" s="79" cm="1">
        <f t="array" ref="FG159">SUMPRODUCT(($B$2:$B$126=5)*(FG$2:FG$126&gt;=28)*(FG$2:FG$126&lt;=999)*(FG$2:FG$126&lt;&gt;"")*($J$2:$J$126))</f>
        <v>187</v>
      </c>
      <c r="FH159" s="79" cm="1">
        <f t="array" ref="FH159">SUMPRODUCT(($B$2:$B$126=5)*(FH$2:FH$126&gt;=28)*(FH$2:FH$126&lt;=999)*(FH$2:FH$126&lt;&gt;"")*($J$2:$J$126))</f>
        <v>187</v>
      </c>
      <c r="FI159" s="79" cm="1">
        <f t="array" ref="FI159">SUMPRODUCT(($B$2:$B$126=5)*(FI$2:FI$126&gt;=28)*(FI$2:FI$126&lt;=999)*(FI$2:FI$126&lt;&gt;"")*($J$2:$J$126))</f>
        <v>187</v>
      </c>
      <c r="FJ159" s="79" cm="1">
        <f t="array" ref="FJ159">SUMPRODUCT(($B$2:$B$126=5)*(FJ$2:FJ$126&gt;=28)*(FJ$2:FJ$126&lt;=999)*(FJ$2:FJ$126&lt;&gt;"")*($J$2:$J$126))</f>
        <v>187</v>
      </c>
      <c r="FK159" s="79" cm="1">
        <f t="array" ref="FK159">SUMPRODUCT(($B$2:$B$126=5)*(FK$2:FK$126&gt;=28)*(FK$2:FK$126&lt;=999)*(FK$2:FK$126&lt;&gt;"")*($J$2:$J$126))</f>
        <v>187</v>
      </c>
      <c r="FL159" s="79" cm="1">
        <f t="array" ref="FL159">SUMPRODUCT(($B$2:$B$126=5)*(FL$2:FL$126&gt;=28)*(FL$2:FL$126&lt;=999)*(FL$2:FL$126&lt;&gt;"")*($J$2:$J$126))</f>
        <v>187</v>
      </c>
      <c r="FM159" s="79" cm="1">
        <f t="array" ref="FM159">SUMPRODUCT(($B$2:$B$126=5)*(FM$2:FM$126&gt;=28)*(FM$2:FM$126&lt;=999)*(FM$2:FM$126&lt;&gt;"")*($J$2:$J$126))</f>
        <v>187</v>
      </c>
      <c r="FN159" s="79" cm="1">
        <f t="array" ref="FN159">SUMPRODUCT(($B$2:$B$126=5)*(FN$2:FN$126&gt;=28)*(FN$2:FN$126&lt;=999)*(FN$2:FN$126&lt;&gt;"")*($J$2:$J$126))</f>
        <v>187</v>
      </c>
      <c r="FO159" s="79" cm="1">
        <f t="array" ref="FO159">SUMPRODUCT(($B$2:$B$126=5)*(FO$2:FO$126&gt;=28)*(FO$2:FO$126&lt;=999)*(FO$2:FO$126&lt;&gt;"")*($J$2:$J$126))</f>
        <v>187</v>
      </c>
      <c r="FP159" s="79" cm="1">
        <f t="array" ref="FP159">SUMPRODUCT(($B$2:$B$126=5)*(FP$2:FP$126&gt;=28)*(FP$2:FP$126&lt;=999)*(FP$2:FP$126&lt;&gt;"")*($J$2:$J$126))</f>
        <v>187</v>
      </c>
      <c r="FQ159" s="79" cm="1">
        <f t="array" ref="FQ159">SUMPRODUCT(($B$2:$B$126=5)*(FQ$2:FQ$126&gt;=28)*(FQ$2:FQ$126&lt;=999)*(FQ$2:FQ$126&lt;&gt;"")*($J$2:$J$126))</f>
        <v>187</v>
      </c>
      <c r="FR159" s="79" cm="1">
        <f t="array" ref="FR159">SUMPRODUCT(($B$2:$B$126=5)*(FR$2:FR$126&gt;=28)*(FR$2:FR$126&lt;=999)*(FR$2:FR$126&lt;&gt;"")*($J$2:$J$126))</f>
        <v>187</v>
      </c>
      <c r="FS159" s="79" cm="1">
        <f t="array" ref="FS159">SUMPRODUCT(($B$2:$B$126=5)*(FS$2:FS$126&gt;=28)*(FS$2:FS$126&lt;=999)*(FS$2:FS$126&lt;&gt;"")*($J$2:$J$126))</f>
        <v>187</v>
      </c>
      <c r="FT159" s="79" cm="1">
        <f t="array" ref="FT159">SUMPRODUCT(($B$2:$B$126=5)*(FT$2:FT$126&gt;=28)*(FT$2:FT$126&lt;=999)*(FT$2:FT$126&lt;&gt;"")*($J$2:$J$126))</f>
        <v>187</v>
      </c>
      <c r="FU159" s="79" cm="1">
        <f t="array" ref="FU159">SUMPRODUCT(($B$2:$B$126=5)*(FU$2:FU$126&gt;=28)*(FU$2:FU$126&lt;=999)*(FU$2:FU$126&lt;&gt;"")*($J$2:$J$126))</f>
        <v>187</v>
      </c>
      <c r="FV159" s="79" cm="1">
        <f t="array" ref="FV159">SUMPRODUCT(($B$2:$B$126=5)*(FV$2:FV$126&gt;=28)*(FV$2:FV$126&lt;=999)*(FV$2:FV$126&lt;&gt;"")*($J$2:$J$126))</f>
        <v>187</v>
      </c>
      <c r="FW159" s="79" cm="1">
        <f t="array" ref="FW159">SUMPRODUCT(($B$2:$B$126=5)*(FW$2:FW$126&gt;=28)*(FW$2:FW$126&lt;=999)*(FW$2:FW$126&lt;&gt;"")*($J$2:$J$126))</f>
        <v>187</v>
      </c>
      <c r="FX159" s="79" cm="1">
        <f t="array" ref="FX159">SUMPRODUCT(($B$2:$B$126=5)*(FX$2:FX$126&gt;=28)*(FX$2:FX$126&lt;=999)*(FX$2:FX$126&lt;&gt;"")*($J$2:$J$126))</f>
        <v>187</v>
      </c>
      <c r="FY159" s="79" cm="1">
        <f t="array" ref="FY159">SUMPRODUCT(($B$2:$B$126=5)*(FY$2:FY$126&gt;=28)*(FY$2:FY$126&lt;=999)*(FY$2:FY$126&lt;&gt;"")*($J$2:$J$126))</f>
        <v>187</v>
      </c>
      <c r="FZ159" s="79" cm="1">
        <f t="array" ref="FZ159">SUMPRODUCT(($B$2:$B$126=5)*(FZ$2:FZ$126&gt;=28)*(FZ$2:FZ$126&lt;=999)*(FZ$2:FZ$126&lt;&gt;"")*($J$2:$J$126))</f>
        <v>187</v>
      </c>
      <c r="GA159" s="79" cm="1">
        <f t="array" ref="GA159">SUMPRODUCT(($B$2:$B$126=5)*(GA$2:GA$126&gt;=28)*(GA$2:GA$126&lt;=999)*(GA$2:GA$126&lt;&gt;"")*($J$2:$J$126))</f>
        <v>187</v>
      </c>
      <c r="GB159" s="79" cm="1">
        <f t="array" ref="GB159">SUMPRODUCT(($B$2:$B$126=5)*(GB$2:GB$126&gt;=28)*(GB$2:GB$126&lt;=999)*(GB$2:GB$126&lt;&gt;"")*($J$2:$J$126))</f>
        <v>187</v>
      </c>
      <c r="GC159" s="79" cm="1">
        <f t="array" ref="GC159">SUMPRODUCT(($B$2:$B$126=5)*(GC$2:GC$126&gt;=28)*(GC$2:GC$126&lt;=999)*(GC$2:GC$126&lt;&gt;"")*($J$2:$J$126))</f>
        <v>187</v>
      </c>
      <c r="GD159" s="79" cm="1">
        <f t="array" ref="GD159">SUMPRODUCT(($B$2:$B$126=5)*(GD$2:GD$126&gt;=28)*(GD$2:GD$126&lt;=999)*(GD$2:GD$126&lt;&gt;"")*($J$2:$J$126))</f>
        <v>187</v>
      </c>
      <c r="GE159" s="79" cm="1">
        <f t="array" ref="GE159">SUMPRODUCT(($B$2:$B$126=5)*(GE$2:GE$126&gt;=28)*(GE$2:GE$126&lt;=999)*(GE$2:GE$126&lt;&gt;"")*($J$2:$J$126))</f>
        <v>187</v>
      </c>
      <c r="GF159" s="79" cm="1">
        <f t="array" ref="GF159">SUMPRODUCT(($B$2:$B$126=5)*(GF$2:GF$126&gt;=28)*(GF$2:GF$126&lt;=999)*(GF$2:GF$126&lt;&gt;"")*($J$2:$J$126))</f>
        <v>187</v>
      </c>
      <c r="GG159" s="79" cm="1">
        <f t="array" ref="GG159">SUMPRODUCT(($B$2:$B$126=5)*(GG$2:GG$126&gt;=28)*(GG$2:GG$126&lt;=999)*(GG$2:GG$126&lt;&gt;"")*($J$2:$J$126))</f>
        <v>187</v>
      </c>
      <c r="GH159" s="79" cm="1">
        <f t="array" ref="GH159">SUMPRODUCT(($B$2:$B$126=5)*(GH$2:GH$126&gt;=28)*(GH$2:GH$126&lt;=999)*(GH$2:GH$126&lt;&gt;"")*($J$2:$J$126))</f>
        <v>187</v>
      </c>
      <c r="GI159" s="79" cm="1">
        <f t="array" ref="GI159">SUMPRODUCT(($B$2:$B$126=5)*(GI$2:GI$126&gt;=28)*(GI$2:GI$126&lt;=999)*(GI$2:GI$126&lt;&gt;"")*($J$2:$J$126))</f>
        <v>187</v>
      </c>
      <c r="GJ159" s="79" cm="1">
        <f t="array" ref="GJ159">SUMPRODUCT(($B$2:$B$126=5)*(GJ$2:GJ$126&gt;=28)*(GJ$2:GJ$126&lt;=999)*(GJ$2:GJ$126&lt;&gt;"")*($J$2:$J$126))</f>
        <v>187</v>
      </c>
      <c r="GK159" s="79" cm="1">
        <f t="array" ref="GK159">SUMPRODUCT(($B$2:$B$126=5)*(GK$2:GK$126&gt;=28)*(GK$2:GK$126&lt;=999)*(GK$2:GK$126&lt;&gt;"")*($J$2:$J$126))</f>
        <v>187</v>
      </c>
      <c r="GL159" s="79" cm="1">
        <f t="array" ref="GL159">SUMPRODUCT(($B$2:$B$126=5)*(GL$2:GL$126&gt;=28)*(GL$2:GL$126&lt;=999)*(GL$2:GL$126&lt;&gt;"")*($J$2:$J$126))</f>
        <v>187</v>
      </c>
      <c r="GM159" s="79" cm="1">
        <f t="array" ref="GM159">SUMPRODUCT(($B$2:$B$126=5)*(GM$2:GM$126&gt;=28)*(GM$2:GM$126&lt;=999)*(GM$2:GM$126&lt;&gt;"")*($J$2:$J$126))</f>
        <v>187</v>
      </c>
      <c r="GN159" s="79" cm="1">
        <f t="array" ref="GN159">SUMPRODUCT(($B$2:$B$126=5)*(GN$2:GN$126&gt;=28)*(GN$2:GN$126&lt;=999)*(GN$2:GN$126&lt;&gt;"")*($J$2:$J$126))</f>
        <v>187</v>
      </c>
      <c r="GO159" s="79" cm="1">
        <f t="array" ref="GO159">SUMPRODUCT(($B$2:$B$126=5)*(GO$2:GO$126&gt;=28)*(GO$2:GO$126&lt;=999)*(GO$2:GO$126&lt;&gt;"")*($J$2:$J$126))</f>
        <v>187</v>
      </c>
      <c r="GP159" s="79" cm="1">
        <f t="array" ref="GP159">SUMPRODUCT(($B$2:$B$126=5)*(GP$2:GP$126&gt;=28)*(GP$2:GP$126&lt;=999)*(GP$2:GP$126&lt;&gt;"")*($J$2:$J$126))</f>
        <v>187</v>
      </c>
      <c r="GQ159" s="79" cm="1">
        <f t="array" ref="GQ159">SUMPRODUCT(($B$2:$B$126=5)*(GQ$2:GQ$126&gt;=28)*(GQ$2:GQ$126&lt;=999)*(GQ$2:GQ$126&lt;&gt;"")*($J$2:$J$126))</f>
        <v>187</v>
      </c>
      <c r="GR159" s="79" cm="1">
        <f t="array" ref="GR159">SUMPRODUCT(($B$2:$B$126=5)*(GR$2:GR$126&gt;=28)*(GR$2:GR$126&lt;=999)*(GR$2:GR$126&lt;&gt;"")*($J$2:$J$126))</f>
        <v>187</v>
      </c>
      <c r="GS159" s="79" cm="1">
        <f t="array" ref="GS159">SUMPRODUCT(($B$2:$B$126=5)*(GS$2:GS$126&gt;=28)*(GS$2:GS$126&lt;=999)*(GS$2:GS$126&lt;&gt;"")*($J$2:$J$126))</f>
        <v>187</v>
      </c>
      <c r="GT159" s="79" cm="1">
        <f t="array" ref="GT159">SUMPRODUCT(($B$2:$B$126=5)*(GT$2:GT$126&gt;=28)*(GT$2:GT$126&lt;=999)*(GT$2:GT$126&lt;&gt;"")*($J$2:$J$126))</f>
        <v>187</v>
      </c>
      <c r="GU159" s="79" cm="1">
        <f t="array" ref="GU159">SUMPRODUCT(($B$2:$B$126=5)*(GU$2:GU$126&gt;=28)*(GU$2:GU$126&lt;=999)*(GU$2:GU$126&lt;&gt;"")*($J$2:$J$126))</f>
        <v>187</v>
      </c>
      <c r="GV159" s="79" cm="1">
        <f t="array" ref="GV159">SUMPRODUCT(($B$2:$B$126=5)*(GV$2:GV$126&gt;=28)*(GV$2:GV$126&lt;=999)*(GV$2:GV$126&lt;&gt;"")*($J$2:$J$126))</f>
        <v>187</v>
      </c>
      <c r="GW159" s="79" cm="1">
        <f t="array" ref="GW159">SUMPRODUCT(($B$2:$B$126=5)*(GW$2:GW$126&gt;=28)*(GW$2:GW$126&lt;=999)*(GW$2:GW$126&lt;&gt;"")*($J$2:$J$126))</f>
        <v>187</v>
      </c>
      <c r="GX159" s="79" cm="1">
        <f t="array" ref="GX159">SUMPRODUCT(($B$2:$B$126=5)*(GX$2:GX$126&gt;=28)*(GX$2:GX$126&lt;=999)*(GX$2:GX$126&lt;&gt;"")*($J$2:$J$126))</f>
        <v>187</v>
      </c>
    </row>
    <row r="160" spans="1:206" s="102" customFormat="1" x14ac:dyDescent="0.2">
      <c r="A160" s="101"/>
      <c r="B160" s="101" t="s">
        <v>265</v>
      </c>
      <c r="W160" s="103">
        <f>SUM(W155:W159)</f>
        <v>168</v>
      </c>
      <c r="X160" s="103">
        <f t="shared" ref="X160:CI160" si="174">SUM(X155:X159)</f>
        <v>168</v>
      </c>
      <c r="Y160" s="103">
        <f t="shared" si="174"/>
        <v>187</v>
      </c>
      <c r="Z160" s="103">
        <f t="shared" si="174"/>
        <v>187</v>
      </c>
      <c r="AA160" s="103">
        <f t="shared" si="174"/>
        <v>187</v>
      </c>
      <c r="AB160" s="103">
        <f t="shared" si="174"/>
        <v>187</v>
      </c>
      <c r="AC160" s="103">
        <f t="shared" si="174"/>
        <v>187</v>
      </c>
      <c r="AD160" s="103">
        <f t="shared" si="174"/>
        <v>187</v>
      </c>
      <c r="AE160" s="103">
        <f t="shared" si="174"/>
        <v>187</v>
      </c>
      <c r="AF160" s="103">
        <f t="shared" si="174"/>
        <v>187</v>
      </c>
      <c r="AG160" s="103">
        <f t="shared" si="174"/>
        <v>187</v>
      </c>
      <c r="AH160" s="103">
        <f t="shared" si="174"/>
        <v>187</v>
      </c>
      <c r="AI160" s="103">
        <f t="shared" si="174"/>
        <v>187</v>
      </c>
      <c r="AJ160" s="103">
        <f t="shared" si="174"/>
        <v>187</v>
      </c>
      <c r="AK160" s="103">
        <f t="shared" si="174"/>
        <v>187</v>
      </c>
      <c r="AL160" s="103">
        <f t="shared" si="174"/>
        <v>187</v>
      </c>
      <c r="AM160" s="103">
        <f t="shared" si="174"/>
        <v>187</v>
      </c>
      <c r="AN160" s="103">
        <f t="shared" si="174"/>
        <v>187</v>
      </c>
      <c r="AO160" s="103">
        <f t="shared" si="174"/>
        <v>187</v>
      </c>
      <c r="AP160" s="103">
        <f t="shared" si="174"/>
        <v>187</v>
      </c>
      <c r="AQ160" s="103">
        <f t="shared" si="174"/>
        <v>187</v>
      </c>
      <c r="AR160" s="103">
        <f t="shared" si="174"/>
        <v>187</v>
      </c>
      <c r="AS160" s="103">
        <f t="shared" si="174"/>
        <v>187</v>
      </c>
      <c r="AT160" s="103">
        <f t="shared" si="174"/>
        <v>187</v>
      </c>
      <c r="AU160" s="103">
        <f t="shared" si="174"/>
        <v>187</v>
      </c>
      <c r="AV160" s="103">
        <f t="shared" si="174"/>
        <v>187</v>
      </c>
      <c r="AW160" s="103">
        <f t="shared" si="174"/>
        <v>187</v>
      </c>
      <c r="AX160" s="103">
        <f t="shared" si="174"/>
        <v>187</v>
      </c>
      <c r="AY160" s="103">
        <f t="shared" si="174"/>
        <v>187</v>
      </c>
      <c r="AZ160" s="103">
        <f t="shared" si="174"/>
        <v>187</v>
      </c>
      <c r="BA160" s="103">
        <f t="shared" si="174"/>
        <v>187</v>
      </c>
      <c r="BB160" s="103">
        <f t="shared" si="174"/>
        <v>187</v>
      </c>
      <c r="BC160" s="103">
        <f t="shared" si="174"/>
        <v>187</v>
      </c>
      <c r="BD160" s="103">
        <f t="shared" si="174"/>
        <v>187</v>
      </c>
      <c r="BE160" s="103">
        <f t="shared" si="174"/>
        <v>187</v>
      </c>
      <c r="BF160" s="103">
        <f t="shared" si="174"/>
        <v>187</v>
      </c>
      <c r="BG160" s="103">
        <f t="shared" si="174"/>
        <v>187</v>
      </c>
      <c r="BH160" s="103">
        <f t="shared" si="174"/>
        <v>187</v>
      </c>
      <c r="BI160" s="103">
        <f t="shared" si="174"/>
        <v>187</v>
      </c>
      <c r="BJ160" s="103">
        <f t="shared" si="174"/>
        <v>187</v>
      </c>
      <c r="BK160" s="103">
        <f t="shared" si="174"/>
        <v>187</v>
      </c>
      <c r="BL160" s="103">
        <f t="shared" si="174"/>
        <v>187</v>
      </c>
      <c r="BM160" s="103">
        <f t="shared" si="174"/>
        <v>187</v>
      </c>
      <c r="BN160" s="103">
        <f t="shared" si="174"/>
        <v>187</v>
      </c>
      <c r="BO160" s="103">
        <f t="shared" si="174"/>
        <v>187</v>
      </c>
      <c r="BP160" s="103">
        <f t="shared" si="174"/>
        <v>187</v>
      </c>
      <c r="BQ160" s="103">
        <f t="shared" si="174"/>
        <v>187</v>
      </c>
      <c r="BR160" s="103">
        <f t="shared" si="174"/>
        <v>187</v>
      </c>
      <c r="BS160" s="103">
        <f t="shared" si="174"/>
        <v>187</v>
      </c>
      <c r="BT160" s="103">
        <f t="shared" si="174"/>
        <v>187</v>
      </c>
      <c r="BU160" s="103">
        <f t="shared" si="174"/>
        <v>187</v>
      </c>
      <c r="BV160" s="103">
        <f t="shared" si="174"/>
        <v>187</v>
      </c>
      <c r="BW160" s="103">
        <f t="shared" si="174"/>
        <v>187</v>
      </c>
      <c r="BX160" s="103">
        <f t="shared" si="174"/>
        <v>187</v>
      </c>
      <c r="BY160" s="103">
        <f t="shared" si="174"/>
        <v>187</v>
      </c>
      <c r="BZ160" s="103">
        <f t="shared" si="174"/>
        <v>187</v>
      </c>
      <c r="CA160" s="103">
        <f t="shared" si="174"/>
        <v>187</v>
      </c>
      <c r="CB160" s="103">
        <f t="shared" si="174"/>
        <v>187</v>
      </c>
      <c r="CC160" s="103">
        <f t="shared" si="174"/>
        <v>187</v>
      </c>
      <c r="CD160" s="103">
        <f t="shared" si="174"/>
        <v>187</v>
      </c>
      <c r="CE160" s="103">
        <f t="shared" si="174"/>
        <v>187</v>
      </c>
      <c r="CF160" s="103">
        <f t="shared" si="174"/>
        <v>187</v>
      </c>
      <c r="CG160" s="103">
        <f t="shared" si="174"/>
        <v>187</v>
      </c>
      <c r="CH160" s="103">
        <f t="shared" si="174"/>
        <v>187</v>
      </c>
      <c r="CI160" s="103">
        <f t="shared" si="174"/>
        <v>187</v>
      </c>
      <c r="CJ160" s="103">
        <f t="shared" ref="CJ160:EU160" si="175">SUM(CJ155:CJ159)</f>
        <v>187</v>
      </c>
      <c r="CK160" s="103">
        <f t="shared" si="175"/>
        <v>187</v>
      </c>
      <c r="CL160" s="103">
        <f t="shared" si="175"/>
        <v>187</v>
      </c>
      <c r="CM160" s="103">
        <f t="shared" si="175"/>
        <v>187</v>
      </c>
      <c r="CN160" s="103">
        <f t="shared" si="175"/>
        <v>187</v>
      </c>
      <c r="CO160" s="103">
        <f t="shared" si="175"/>
        <v>187</v>
      </c>
      <c r="CP160" s="103">
        <f t="shared" si="175"/>
        <v>187</v>
      </c>
      <c r="CQ160" s="103">
        <f t="shared" si="175"/>
        <v>187</v>
      </c>
      <c r="CR160" s="103">
        <f t="shared" si="175"/>
        <v>187</v>
      </c>
      <c r="CS160" s="103">
        <f t="shared" si="175"/>
        <v>187</v>
      </c>
      <c r="CT160" s="103">
        <f t="shared" si="175"/>
        <v>187</v>
      </c>
      <c r="CU160" s="103">
        <f t="shared" si="175"/>
        <v>187</v>
      </c>
      <c r="CV160" s="103">
        <f t="shared" si="175"/>
        <v>187</v>
      </c>
      <c r="CW160" s="103">
        <f t="shared" si="175"/>
        <v>187</v>
      </c>
      <c r="CX160" s="103">
        <f t="shared" si="175"/>
        <v>187</v>
      </c>
      <c r="CY160" s="103">
        <f t="shared" si="175"/>
        <v>187</v>
      </c>
      <c r="CZ160" s="103">
        <f t="shared" si="175"/>
        <v>187</v>
      </c>
      <c r="DA160" s="103">
        <f t="shared" si="175"/>
        <v>187</v>
      </c>
      <c r="DB160" s="103">
        <f t="shared" si="175"/>
        <v>187</v>
      </c>
      <c r="DC160" s="103">
        <f t="shared" si="175"/>
        <v>187</v>
      </c>
      <c r="DD160" s="103">
        <f t="shared" si="175"/>
        <v>187</v>
      </c>
      <c r="DE160" s="103">
        <f t="shared" si="175"/>
        <v>187</v>
      </c>
      <c r="DF160" s="103">
        <f t="shared" si="175"/>
        <v>187</v>
      </c>
      <c r="DG160" s="103">
        <f t="shared" si="175"/>
        <v>187</v>
      </c>
      <c r="DH160" s="103">
        <f t="shared" si="175"/>
        <v>187</v>
      </c>
      <c r="DI160" s="103">
        <f t="shared" si="175"/>
        <v>187</v>
      </c>
      <c r="DJ160" s="103">
        <f t="shared" si="175"/>
        <v>187</v>
      </c>
      <c r="DK160" s="103">
        <f t="shared" si="175"/>
        <v>187</v>
      </c>
      <c r="DL160" s="103">
        <f t="shared" si="175"/>
        <v>187</v>
      </c>
      <c r="DM160" s="103">
        <f t="shared" si="175"/>
        <v>187</v>
      </c>
      <c r="DN160" s="103">
        <f t="shared" si="175"/>
        <v>187</v>
      </c>
      <c r="DO160" s="103">
        <f t="shared" si="175"/>
        <v>187</v>
      </c>
      <c r="DP160" s="103">
        <f t="shared" si="175"/>
        <v>187</v>
      </c>
      <c r="DQ160" s="103">
        <f t="shared" si="175"/>
        <v>187</v>
      </c>
      <c r="DR160" s="103">
        <f t="shared" si="175"/>
        <v>187</v>
      </c>
      <c r="DS160" s="103">
        <f t="shared" si="175"/>
        <v>187</v>
      </c>
      <c r="DT160" s="103">
        <f t="shared" si="175"/>
        <v>187</v>
      </c>
      <c r="DU160" s="103">
        <f t="shared" si="175"/>
        <v>187</v>
      </c>
      <c r="DV160" s="103">
        <f t="shared" si="175"/>
        <v>187</v>
      </c>
      <c r="DW160" s="103">
        <f t="shared" si="175"/>
        <v>187</v>
      </c>
      <c r="DX160" s="103">
        <f t="shared" si="175"/>
        <v>187</v>
      </c>
      <c r="DY160" s="103">
        <f t="shared" si="175"/>
        <v>187</v>
      </c>
      <c r="DZ160" s="103">
        <f t="shared" si="175"/>
        <v>187</v>
      </c>
      <c r="EA160" s="103">
        <f t="shared" si="175"/>
        <v>187</v>
      </c>
      <c r="EB160" s="103">
        <f t="shared" si="175"/>
        <v>187</v>
      </c>
      <c r="EC160" s="103">
        <f t="shared" si="175"/>
        <v>187</v>
      </c>
      <c r="ED160" s="103">
        <f t="shared" si="175"/>
        <v>187</v>
      </c>
      <c r="EE160" s="103">
        <f t="shared" si="175"/>
        <v>187</v>
      </c>
      <c r="EF160" s="103">
        <f t="shared" si="175"/>
        <v>187</v>
      </c>
      <c r="EG160" s="103">
        <f t="shared" si="175"/>
        <v>187</v>
      </c>
      <c r="EH160" s="103">
        <f t="shared" si="175"/>
        <v>187</v>
      </c>
      <c r="EI160" s="103">
        <f t="shared" si="175"/>
        <v>187</v>
      </c>
      <c r="EJ160" s="103">
        <f t="shared" si="175"/>
        <v>187</v>
      </c>
      <c r="EK160" s="103">
        <f t="shared" si="175"/>
        <v>187</v>
      </c>
      <c r="EL160" s="103">
        <f t="shared" si="175"/>
        <v>187</v>
      </c>
      <c r="EM160" s="103">
        <f t="shared" si="175"/>
        <v>187</v>
      </c>
      <c r="EN160" s="103">
        <f t="shared" si="175"/>
        <v>187</v>
      </c>
      <c r="EO160" s="103">
        <f t="shared" si="175"/>
        <v>187</v>
      </c>
      <c r="EP160" s="103">
        <f t="shared" si="175"/>
        <v>187</v>
      </c>
      <c r="EQ160" s="103">
        <f t="shared" si="175"/>
        <v>187</v>
      </c>
      <c r="ER160" s="103">
        <f t="shared" si="175"/>
        <v>187</v>
      </c>
      <c r="ES160" s="103">
        <f t="shared" si="175"/>
        <v>187</v>
      </c>
      <c r="ET160" s="103">
        <f t="shared" si="175"/>
        <v>187</v>
      </c>
      <c r="EU160" s="103">
        <f t="shared" si="175"/>
        <v>187</v>
      </c>
      <c r="EV160" s="103">
        <f t="shared" ref="EV160:GX160" si="176">SUM(EV155:EV159)</f>
        <v>187</v>
      </c>
      <c r="EW160" s="103">
        <f t="shared" si="176"/>
        <v>187</v>
      </c>
      <c r="EX160" s="103">
        <f t="shared" si="176"/>
        <v>187</v>
      </c>
      <c r="EY160" s="103">
        <f t="shared" si="176"/>
        <v>187</v>
      </c>
      <c r="EZ160" s="103">
        <f t="shared" si="176"/>
        <v>187</v>
      </c>
      <c r="FA160" s="103">
        <f t="shared" si="176"/>
        <v>187</v>
      </c>
      <c r="FB160" s="103">
        <f t="shared" si="176"/>
        <v>187</v>
      </c>
      <c r="FC160" s="103">
        <f t="shared" si="176"/>
        <v>187</v>
      </c>
      <c r="FD160" s="103">
        <f t="shared" si="176"/>
        <v>187</v>
      </c>
      <c r="FE160" s="103">
        <f t="shared" si="176"/>
        <v>187</v>
      </c>
      <c r="FF160" s="103">
        <f t="shared" si="176"/>
        <v>187</v>
      </c>
      <c r="FG160" s="103">
        <f t="shared" si="176"/>
        <v>187</v>
      </c>
      <c r="FH160" s="103">
        <f t="shared" si="176"/>
        <v>187</v>
      </c>
      <c r="FI160" s="103">
        <f t="shared" si="176"/>
        <v>187</v>
      </c>
      <c r="FJ160" s="103">
        <f t="shared" si="176"/>
        <v>187</v>
      </c>
      <c r="FK160" s="103">
        <f t="shared" si="176"/>
        <v>187</v>
      </c>
      <c r="FL160" s="103">
        <f t="shared" si="176"/>
        <v>187</v>
      </c>
      <c r="FM160" s="103">
        <f t="shared" si="176"/>
        <v>187</v>
      </c>
      <c r="FN160" s="103">
        <f t="shared" si="176"/>
        <v>187</v>
      </c>
      <c r="FO160" s="103">
        <f t="shared" si="176"/>
        <v>187</v>
      </c>
      <c r="FP160" s="103">
        <f t="shared" si="176"/>
        <v>187</v>
      </c>
      <c r="FQ160" s="103">
        <f t="shared" si="176"/>
        <v>187</v>
      </c>
      <c r="FR160" s="103">
        <f t="shared" si="176"/>
        <v>187</v>
      </c>
      <c r="FS160" s="103">
        <f t="shared" si="176"/>
        <v>187</v>
      </c>
      <c r="FT160" s="103">
        <f t="shared" si="176"/>
        <v>187</v>
      </c>
      <c r="FU160" s="103">
        <f t="shared" si="176"/>
        <v>187</v>
      </c>
      <c r="FV160" s="103">
        <f t="shared" si="176"/>
        <v>187</v>
      </c>
      <c r="FW160" s="103">
        <f t="shared" si="176"/>
        <v>187</v>
      </c>
      <c r="FX160" s="103">
        <f t="shared" si="176"/>
        <v>187</v>
      </c>
      <c r="FY160" s="103">
        <f t="shared" si="176"/>
        <v>187</v>
      </c>
      <c r="FZ160" s="103">
        <f t="shared" si="176"/>
        <v>187</v>
      </c>
      <c r="GA160" s="103">
        <f t="shared" si="176"/>
        <v>187</v>
      </c>
      <c r="GB160" s="103">
        <f t="shared" si="176"/>
        <v>187</v>
      </c>
      <c r="GC160" s="103">
        <f t="shared" si="176"/>
        <v>187</v>
      </c>
      <c r="GD160" s="103">
        <f t="shared" si="176"/>
        <v>187</v>
      </c>
      <c r="GE160" s="103">
        <f t="shared" si="176"/>
        <v>187</v>
      </c>
      <c r="GF160" s="103">
        <f t="shared" si="176"/>
        <v>187</v>
      </c>
      <c r="GG160" s="103">
        <f t="shared" si="176"/>
        <v>187</v>
      </c>
      <c r="GH160" s="103">
        <f t="shared" si="176"/>
        <v>187</v>
      </c>
      <c r="GI160" s="103">
        <f t="shared" si="176"/>
        <v>187</v>
      </c>
      <c r="GJ160" s="103">
        <f t="shared" si="176"/>
        <v>187</v>
      </c>
      <c r="GK160" s="103">
        <f t="shared" si="176"/>
        <v>187</v>
      </c>
      <c r="GL160" s="103">
        <f t="shared" si="176"/>
        <v>187</v>
      </c>
      <c r="GM160" s="103">
        <f t="shared" si="176"/>
        <v>187</v>
      </c>
      <c r="GN160" s="103">
        <f t="shared" si="176"/>
        <v>187</v>
      </c>
      <c r="GO160" s="103">
        <f t="shared" si="176"/>
        <v>187</v>
      </c>
      <c r="GP160" s="103">
        <f t="shared" si="176"/>
        <v>187</v>
      </c>
      <c r="GQ160" s="103">
        <f t="shared" si="176"/>
        <v>187</v>
      </c>
      <c r="GR160" s="103">
        <f t="shared" si="176"/>
        <v>187</v>
      </c>
      <c r="GS160" s="103">
        <f t="shared" si="176"/>
        <v>187</v>
      </c>
      <c r="GT160" s="103">
        <f t="shared" si="176"/>
        <v>187</v>
      </c>
      <c r="GU160" s="103">
        <f t="shared" si="176"/>
        <v>187</v>
      </c>
      <c r="GV160" s="103">
        <f t="shared" si="176"/>
        <v>187</v>
      </c>
      <c r="GW160" s="103">
        <f t="shared" si="176"/>
        <v>187</v>
      </c>
      <c r="GX160" s="103">
        <f t="shared" si="176"/>
        <v>187</v>
      </c>
    </row>
    <row r="161" spans="1:206" x14ac:dyDescent="0.2">
      <c r="A161" s="85"/>
      <c r="B161" s="85" t="s">
        <v>266</v>
      </c>
      <c r="W161" s="79">
        <f>SUM(W136,W142,W148,W154,W160)</f>
        <v>2054.4300000000003</v>
      </c>
      <c r="X161" s="79">
        <f t="shared" ref="X161:CI161" si="177">SUM(X136,X142,X148,X154,X160)</f>
        <v>2150.7999999999997</v>
      </c>
      <c r="Y161" s="79">
        <f t="shared" si="177"/>
        <v>2240.6499999999996</v>
      </c>
      <c r="Z161" s="79">
        <f t="shared" si="177"/>
        <v>2336.15</v>
      </c>
      <c r="AA161" s="79">
        <f t="shared" si="177"/>
        <v>2336.15</v>
      </c>
      <c r="AB161" s="79">
        <f t="shared" si="177"/>
        <v>2336.1499999999996</v>
      </c>
      <c r="AC161" s="79">
        <f t="shared" si="177"/>
        <v>2336.15</v>
      </c>
      <c r="AD161" s="79">
        <f t="shared" si="177"/>
        <v>2336.15</v>
      </c>
      <c r="AE161" s="79">
        <f t="shared" si="177"/>
        <v>2336.15</v>
      </c>
      <c r="AF161" s="79">
        <f t="shared" si="177"/>
        <v>2336.15</v>
      </c>
      <c r="AG161" s="79">
        <f t="shared" si="177"/>
        <v>2336.1499999999996</v>
      </c>
      <c r="AH161" s="79">
        <f t="shared" si="177"/>
        <v>2336.15</v>
      </c>
      <c r="AI161" s="79">
        <f t="shared" si="177"/>
        <v>2336.1499999999996</v>
      </c>
      <c r="AJ161" s="79">
        <f t="shared" si="177"/>
        <v>2336.15</v>
      </c>
      <c r="AK161" s="79">
        <f t="shared" si="177"/>
        <v>2336.15</v>
      </c>
      <c r="AL161" s="79">
        <f t="shared" si="177"/>
        <v>2336.15</v>
      </c>
      <c r="AM161" s="79">
        <f t="shared" si="177"/>
        <v>2336.15</v>
      </c>
      <c r="AN161" s="79">
        <f t="shared" si="177"/>
        <v>2336.15</v>
      </c>
      <c r="AO161" s="79">
        <f t="shared" si="177"/>
        <v>2336.15</v>
      </c>
      <c r="AP161" s="79">
        <f t="shared" si="177"/>
        <v>2336.15</v>
      </c>
      <c r="AQ161" s="79">
        <f t="shared" si="177"/>
        <v>2336.15</v>
      </c>
      <c r="AR161" s="79">
        <f t="shared" si="177"/>
        <v>2336.1500000000005</v>
      </c>
      <c r="AS161" s="79">
        <f t="shared" si="177"/>
        <v>2336.1500000000005</v>
      </c>
      <c r="AT161" s="79">
        <f t="shared" si="177"/>
        <v>2336.1500000000005</v>
      </c>
      <c r="AU161" s="79">
        <f t="shared" si="177"/>
        <v>2336.1500000000005</v>
      </c>
      <c r="AV161" s="79">
        <f t="shared" si="177"/>
        <v>2336.1500000000005</v>
      </c>
      <c r="AW161" s="79">
        <f t="shared" si="177"/>
        <v>2336.15</v>
      </c>
      <c r="AX161" s="79">
        <f t="shared" si="177"/>
        <v>2336.15</v>
      </c>
      <c r="AY161" s="79">
        <f t="shared" si="177"/>
        <v>2336.15</v>
      </c>
      <c r="AZ161" s="79">
        <f t="shared" si="177"/>
        <v>2336.15</v>
      </c>
      <c r="BA161" s="79">
        <f t="shared" si="177"/>
        <v>2336.15</v>
      </c>
      <c r="BB161" s="79">
        <f t="shared" si="177"/>
        <v>2336.15</v>
      </c>
      <c r="BC161" s="79">
        <f t="shared" si="177"/>
        <v>2336.15</v>
      </c>
      <c r="BD161" s="79">
        <f t="shared" si="177"/>
        <v>2336.1499999999996</v>
      </c>
      <c r="BE161" s="79">
        <f t="shared" si="177"/>
        <v>2336.1499999999996</v>
      </c>
      <c r="BF161" s="79">
        <f t="shared" si="177"/>
        <v>2336.15</v>
      </c>
      <c r="BG161" s="79">
        <f t="shared" si="177"/>
        <v>2336.15</v>
      </c>
      <c r="BH161" s="79">
        <f t="shared" si="177"/>
        <v>2336.15</v>
      </c>
      <c r="BI161" s="79">
        <f t="shared" si="177"/>
        <v>2336.15</v>
      </c>
      <c r="BJ161" s="79">
        <f t="shared" si="177"/>
        <v>2336.15</v>
      </c>
      <c r="BK161" s="79">
        <f t="shared" si="177"/>
        <v>2336.15</v>
      </c>
      <c r="BL161" s="79">
        <f t="shared" si="177"/>
        <v>2336.15</v>
      </c>
      <c r="BM161" s="79">
        <f t="shared" si="177"/>
        <v>2336.15</v>
      </c>
      <c r="BN161" s="79">
        <f t="shared" si="177"/>
        <v>2336.15</v>
      </c>
      <c r="BO161" s="79">
        <f t="shared" si="177"/>
        <v>2336.15</v>
      </c>
      <c r="BP161" s="79">
        <f t="shared" si="177"/>
        <v>2336.15</v>
      </c>
      <c r="BQ161" s="79">
        <f t="shared" si="177"/>
        <v>2336.15</v>
      </c>
      <c r="BR161" s="79">
        <f t="shared" si="177"/>
        <v>2336.15</v>
      </c>
      <c r="BS161" s="79">
        <f t="shared" si="177"/>
        <v>2336.1499999999996</v>
      </c>
      <c r="BT161" s="79">
        <f t="shared" si="177"/>
        <v>2336.15</v>
      </c>
      <c r="BU161" s="79">
        <f t="shared" si="177"/>
        <v>2336.15</v>
      </c>
      <c r="BV161" s="79">
        <f t="shared" si="177"/>
        <v>2336.15</v>
      </c>
      <c r="BW161" s="79">
        <f t="shared" si="177"/>
        <v>2336.15</v>
      </c>
      <c r="BX161" s="79">
        <f t="shared" si="177"/>
        <v>2336.1499999999996</v>
      </c>
      <c r="BY161" s="79">
        <f t="shared" si="177"/>
        <v>2336.15</v>
      </c>
      <c r="BZ161" s="79">
        <f t="shared" si="177"/>
        <v>2336.15</v>
      </c>
      <c r="CA161" s="79">
        <f t="shared" si="177"/>
        <v>2336.15</v>
      </c>
      <c r="CB161" s="79">
        <f t="shared" si="177"/>
        <v>2336.15</v>
      </c>
      <c r="CC161" s="79">
        <f t="shared" si="177"/>
        <v>2336.1499999999996</v>
      </c>
      <c r="CD161" s="79">
        <f t="shared" si="177"/>
        <v>2336.15</v>
      </c>
      <c r="CE161" s="79">
        <f t="shared" si="177"/>
        <v>2336.1499999999996</v>
      </c>
      <c r="CF161" s="79">
        <f t="shared" si="177"/>
        <v>2336.1499999999996</v>
      </c>
      <c r="CG161" s="79">
        <f t="shared" si="177"/>
        <v>2336.15</v>
      </c>
      <c r="CH161" s="79">
        <f t="shared" si="177"/>
        <v>2336.15</v>
      </c>
      <c r="CI161" s="79">
        <f t="shared" si="177"/>
        <v>2336.15</v>
      </c>
      <c r="CJ161" s="79">
        <f t="shared" ref="CJ161:EU161" si="178">SUM(CJ136,CJ142,CJ148,CJ154,CJ160)</f>
        <v>2336.15</v>
      </c>
      <c r="CK161" s="79">
        <f t="shared" si="178"/>
        <v>2336.15</v>
      </c>
      <c r="CL161" s="79">
        <f t="shared" si="178"/>
        <v>2336.15</v>
      </c>
      <c r="CM161" s="79">
        <f t="shared" si="178"/>
        <v>2336.15</v>
      </c>
      <c r="CN161" s="79">
        <f t="shared" si="178"/>
        <v>2336.15</v>
      </c>
      <c r="CO161" s="79">
        <f t="shared" si="178"/>
        <v>2336.15</v>
      </c>
      <c r="CP161" s="79">
        <f t="shared" si="178"/>
        <v>2336.15</v>
      </c>
      <c r="CQ161" s="79">
        <f t="shared" si="178"/>
        <v>2336.1500000000005</v>
      </c>
      <c r="CR161" s="79">
        <f t="shared" si="178"/>
        <v>2336.1500000000005</v>
      </c>
      <c r="CS161" s="79">
        <f t="shared" si="178"/>
        <v>2336.1500000000005</v>
      </c>
      <c r="CT161" s="79">
        <f t="shared" si="178"/>
        <v>2336.1500000000005</v>
      </c>
      <c r="CU161" s="79">
        <f t="shared" si="178"/>
        <v>2336.1500000000005</v>
      </c>
      <c r="CV161" s="79">
        <f t="shared" si="178"/>
        <v>2336.1500000000005</v>
      </c>
      <c r="CW161" s="79">
        <f t="shared" si="178"/>
        <v>2336.1500000000005</v>
      </c>
      <c r="CX161" s="79">
        <f t="shared" si="178"/>
        <v>2336.1500000000005</v>
      </c>
      <c r="CY161" s="79">
        <f t="shared" si="178"/>
        <v>2336.1500000000005</v>
      </c>
      <c r="CZ161" s="79">
        <f t="shared" si="178"/>
        <v>2336.1500000000005</v>
      </c>
      <c r="DA161" s="79">
        <f t="shared" si="178"/>
        <v>2336.1500000000005</v>
      </c>
      <c r="DB161" s="79">
        <f t="shared" si="178"/>
        <v>2336.1500000000005</v>
      </c>
      <c r="DC161" s="79">
        <f t="shared" si="178"/>
        <v>2336.1500000000005</v>
      </c>
      <c r="DD161" s="79">
        <f t="shared" si="178"/>
        <v>2336.1500000000005</v>
      </c>
      <c r="DE161" s="79">
        <f t="shared" si="178"/>
        <v>2336.1500000000005</v>
      </c>
      <c r="DF161" s="79">
        <f t="shared" si="178"/>
        <v>2336.1500000000005</v>
      </c>
      <c r="DG161" s="79">
        <f t="shared" si="178"/>
        <v>2336.1500000000005</v>
      </c>
      <c r="DH161" s="79">
        <f t="shared" si="178"/>
        <v>2336.1500000000005</v>
      </c>
      <c r="DI161" s="79">
        <f t="shared" si="178"/>
        <v>2336.1500000000005</v>
      </c>
      <c r="DJ161" s="79">
        <f t="shared" si="178"/>
        <v>2336.1500000000005</v>
      </c>
      <c r="DK161" s="79">
        <f t="shared" si="178"/>
        <v>2336.1500000000005</v>
      </c>
      <c r="DL161" s="79">
        <f t="shared" si="178"/>
        <v>2336.1500000000005</v>
      </c>
      <c r="DM161" s="79">
        <f t="shared" si="178"/>
        <v>2336.1500000000005</v>
      </c>
      <c r="DN161" s="79">
        <f t="shared" si="178"/>
        <v>2336.1500000000005</v>
      </c>
      <c r="DO161" s="79">
        <f t="shared" si="178"/>
        <v>2336.1500000000005</v>
      </c>
      <c r="DP161" s="79">
        <f t="shared" si="178"/>
        <v>2336.1500000000005</v>
      </c>
      <c r="DQ161" s="79">
        <f t="shared" si="178"/>
        <v>2336.1500000000005</v>
      </c>
      <c r="DR161" s="79">
        <f t="shared" si="178"/>
        <v>2336.1500000000005</v>
      </c>
      <c r="DS161" s="79">
        <f t="shared" si="178"/>
        <v>2336.1500000000005</v>
      </c>
      <c r="DT161" s="79">
        <f t="shared" si="178"/>
        <v>2336.1500000000005</v>
      </c>
      <c r="DU161" s="79">
        <f t="shared" si="178"/>
        <v>2336.1500000000005</v>
      </c>
      <c r="DV161" s="79">
        <f t="shared" si="178"/>
        <v>2336.1500000000005</v>
      </c>
      <c r="DW161" s="79">
        <f t="shared" si="178"/>
        <v>2336.1500000000005</v>
      </c>
      <c r="DX161" s="79">
        <f t="shared" si="178"/>
        <v>2336.1500000000005</v>
      </c>
      <c r="DY161" s="79">
        <f t="shared" si="178"/>
        <v>2336.1500000000005</v>
      </c>
      <c r="DZ161" s="79">
        <f t="shared" si="178"/>
        <v>2336.1500000000005</v>
      </c>
      <c r="EA161" s="79">
        <f t="shared" si="178"/>
        <v>2336.1500000000005</v>
      </c>
      <c r="EB161" s="79">
        <f t="shared" si="178"/>
        <v>2336.1500000000005</v>
      </c>
      <c r="EC161" s="79">
        <f t="shared" si="178"/>
        <v>2336.1500000000005</v>
      </c>
      <c r="ED161" s="79">
        <f t="shared" si="178"/>
        <v>2336.1500000000005</v>
      </c>
      <c r="EE161" s="79">
        <f t="shared" si="178"/>
        <v>2336.1500000000005</v>
      </c>
      <c r="EF161" s="79">
        <f t="shared" si="178"/>
        <v>2336.1500000000005</v>
      </c>
      <c r="EG161" s="79">
        <f t="shared" si="178"/>
        <v>2336.1500000000005</v>
      </c>
      <c r="EH161" s="79">
        <f t="shared" si="178"/>
        <v>2336.1500000000005</v>
      </c>
      <c r="EI161" s="79">
        <f t="shared" si="178"/>
        <v>2336.1500000000005</v>
      </c>
      <c r="EJ161" s="79">
        <f t="shared" si="178"/>
        <v>2336.1500000000005</v>
      </c>
      <c r="EK161" s="79">
        <f t="shared" si="178"/>
        <v>2336.1500000000005</v>
      </c>
      <c r="EL161" s="79">
        <f t="shared" si="178"/>
        <v>2336.1500000000005</v>
      </c>
      <c r="EM161" s="79">
        <f t="shared" si="178"/>
        <v>2336.1500000000005</v>
      </c>
      <c r="EN161" s="79">
        <f t="shared" si="178"/>
        <v>2336.1500000000005</v>
      </c>
      <c r="EO161" s="79">
        <f t="shared" si="178"/>
        <v>2336.1500000000005</v>
      </c>
      <c r="EP161" s="79">
        <f t="shared" si="178"/>
        <v>2336.1500000000005</v>
      </c>
      <c r="EQ161" s="79">
        <f t="shared" si="178"/>
        <v>2336.1500000000005</v>
      </c>
      <c r="ER161" s="79">
        <f t="shared" si="178"/>
        <v>2336.1500000000005</v>
      </c>
      <c r="ES161" s="79">
        <f t="shared" si="178"/>
        <v>2336.1500000000005</v>
      </c>
      <c r="ET161" s="79">
        <f t="shared" si="178"/>
        <v>2336.1500000000005</v>
      </c>
      <c r="EU161" s="79">
        <f t="shared" si="178"/>
        <v>2336.1500000000005</v>
      </c>
      <c r="EV161" s="79">
        <f t="shared" ref="EV161:GX161" si="179">SUM(EV136,EV142,EV148,EV154,EV160)</f>
        <v>2336.1500000000005</v>
      </c>
      <c r="EW161" s="79">
        <f t="shared" si="179"/>
        <v>2336.1500000000005</v>
      </c>
      <c r="EX161" s="79">
        <f t="shared" si="179"/>
        <v>2336.1500000000005</v>
      </c>
      <c r="EY161" s="79">
        <f t="shared" si="179"/>
        <v>2336.1500000000005</v>
      </c>
      <c r="EZ161" s="79">
        <f t="shared" si="179"/>
        <v>2336.1500000000005</v>
      </c>
      <c r="FA161" s="79">
        <f t="shared" si="179"/>
        <v>2336.1500000000005</v>
      </c>
      <c r="FB161" s="79">
        <f t="shared" si="179"/>
        <v>2336.1500000000005</v>
      </c>
      <c r="FC161" s="79">
        <f t="shared" si="179"/>
        <v>2336.1500000000005</v>
      </c>
      <c r="FD161" s="79">
        <f t="shared" si="179"/>
        <v>2336.1500000000005</v>
      </c>
      <c r="FE161" s="79">
        <f t="shared" si="179"/>
        <v>2336.1500000000005</v>
      </c>
      <c r="FF161" s="79">
        <f t="shared" si="179"/>
        <v>2336.1500000000005</v>
      </c>
      <c r="FG161" s="79">
        <f t="shared" si="179"/>
        <v>2336.1500000000005</v>
      </c>
      <c r="FH161" s="79">
        <f t="shared" si="179"/>
        <v>2336.1500000000005</v>
      </c>
      <c r="FI161" s="79">
        <f t="shared" si="179"/>
        <v>2336.1500000000005</v>
      </c>
      <c r="FJ161" s="79">
        <f t="shared" si="179"/>
        <v>2336.1500000000005</v>
      </c>
      <c r="FK161" s="79">
        <f t="shared" si="179"/>
        <v>2336.1500000000005</v>
      </c>
      <c r="FL161" s="79">
        <f t="shared" si="179"/>
        <v>2336.1500000000005</v>
      </c>
      <c r="FM161" s="79">
        <f t="shared" si="179"/>
        <v>2336.1500000000005</v>
      </c>
      <c r="FN161" s="79">
        <f t="shared" si="179"/>
        <v>2336.1500000000005</v>
      </c>
      <c r="FO161" s="79">
        <f t="shared" si="179"/>
        <v>2336.1500000000005</v>
      </c>
      <c r="FP161" s="79">
        <f t="shared" si="179"/>
        <v>2336.1500000000005</v>
      </c>
      <c r="FQ161" s="79">
        <f t="shared" si="179"/>
        <v>2336.1500000000005</v>
      </c>
      <c r="FR161" s="79">
        <f t="shared" si="179"/>
        <v>2336.1500000000005</v>
      </c>
      <c r="FS161" s="79">
        <f t="shared" si="179"/>
        <v>2336.1500000000005</v>
      </c>
      <c r="FT161" s="79">
        <f t="shared" si="179"/>
        <v>2336.1500000000005</v>
      </c>
      <c r="FU161" s="79">
        <f t="shared" si="179"/>
        <v>2336.1500000000005</v>
      </c>
      <c r="FV161" s="79">
        <f t="shared" si="179"/>
        <v>2336.1500000000005</v>
      </c>
      <c r="FW161" s="79">
        <f t="shared" si="179"/>
        <v>2336.1500000000005</v>
      </c>
      <c r="FX161" s="79">
        <f t="shared" si="179"/>
        <v>2336.1500000000005</v>
      </c>
      <c r="FY161" s="79">
        <f t="shared" si="179"/>
        <v>2336.1500000000005</v>
      </c>
      <c r="FZ161" s="79">
        <f t="shared" si="179"/>
        <v>2336.1500000000005</v>
      </c>
      <c r="GA161" s="79">
        <f t="shared" si="179"/>
        <v>2336.1500000000005</v>
      </c>
      <c r="GB161" s="79">
        <f t="shared" si="179"/>
        <v>2336.1500000000005</v>
      </c>
      <c r="GC161" s="79">
        <f t="shared" si="179"/>
        <v>2336.1500000000005</v>
      </c>
      <c r="GD161" s="79">
        <f t="shared" si="179"/>
        <v>2336.1500000000005</v>
      </c>
      <c r="GE161" s="79">
        <f t="shared" si="179"/>
        <v>2336.1500000000005</v>
      </c>
      <c r="GF161" s="79">
        <f t="shared" si="179"/>
        <v>2336.1500000000005</v>
      </c>
      <c r="GG161" s="79">
        <f t="shared" si="179"/>
        <v>2336.1500000000005</v>
      </c>
      <c r="GH161" s="79">
        <f t="shared" si="179"/>
        <v>2336.1500000000005</v>
      </c>
      <c r="GI161" s="79">
        <f t="shared" si="179"/>
        <v>2336.1500000000005</v>
      </c>
      <c r="GJ161" s="79">
        <f t="shared" si="179"/>
        <v>2336.1500000000005</v>
      </c>
      <c r="GK161" s="79">
        <f t="shared" si="179"/>
        <v>2336.1500000000005</v>
      </c>
      <c r="GL161" s="79">
        <f t="shared" si="179"/>
        <v>2336.1500000000005</v>
      </c>
      <c r="GM161" s="79">
        <f t="shared" si="179"/>
        <v>2336.1500000000005</v>
      </c>
      <c r="GN161" s="79">
        <f t="shared" si="179"/>
        <v>2336.1500000000005</v>
      </c>
      <c r="GO161" s="79">
        <f t="shared" si="179"/>
        <v>2336.1500000000005</v>
      </c>
      <c r="GP161" s="79">
        <f t="shared" si="179"/>
        <v>2336.1500000000005</v>
      </c>
      <c r="GQ161" s="79">
        <f t="shared" si="179"/>
        <v>2336.1500000000005</v>
      </c>
      <c r="GR161" s="79">
        <f t="shared" si="179"/>
        <v>2336.1500000000005</v>
      </c>
      <c r="GS161" s="79">
        <f t="shared" si="179"/>
        <v>2336.1500000000005</v>
      </c>
      <c r="GT161" s="79">
        <f t="shared" si="179"/>
        <v>2336.1500000000005</v>
      </c>
      <c r="GU161" s="79">
        <f t="shared" si="179"/>
        <v>2336.1500000000005</v>
      </c>
      <c r="GV161" s="79">
        <f t="shared" si="179"/>
        <v>2336.1500000000005</v>
      </c>
      <c r="GW161" s="79">
        <f t="shared" si="179"/>
        <v>2336.1500000000005</v>
      </c>
      <c r="GX161" s="79">
        <f t="shared" si="179"/>
        <v>2336.1500000000005</v>
      </c>
    </row>
    <row r="163" spans="1:206" x14ac:dyDescent="0.2">
      <c r="A163" s="81" t="s">
        <v>267</v>
      </c>
      <c r="B163" s="81"/>
    </row>
    <row r="164" spans="1:206" x14ac:dyDescent="0.2">
      <c r="A164" s="82" t="s">
        <v>23</v>
      </c>
      <c r="B164" s="82" t="s">
        <v>31</v>
      </c>
    </row>
    <row r="165" spans="1:206" x14ac:dyDescent="0.2">
      <c r="A165" s="83">
        <v>1</v>
      </c>
      <c r="B165" s="83" t="s">
        <v>11</v>
      </c>
      <c r="W165" s="80">
        <f>IF(W$136=0,"",W131/W$136)</f>
        <v>0.27815455678568812</v>
      </c>
      <c r="X165" s="80">
        <f t="shared" ref="X165:CI165" si="180">IF(X$136=0,"",X131/X$136)</f>
        <v>0.27815455678568812</v>
      </c>
      <c r="Y165" s="80">
        <f t="shared" si="180"/>
        <v>0.18632231101986951</v>
      </c>
      <c r="Z165" s="80">
        <f t="shared" si="180"/>
        <v>0.18632231101986951</v>
      </c>
      <c r="AA165" s="80">
        <f t="shared" si="180"/>
        <v>0.18632231101986951</v>
      </c>
      <c r="AB165" s="80">
        <f t="shared" si="180"/>
        <v>0.19160129041718604</v>
      </c>
      <c r="AC165" s="80">
        <f t="shared" si="180"/>
        <v>0.19160129041718604</v>
      </c>
      <c r="AD165" s="80">
        <f t="shared" si="180"/>
        <v>0.19160129041718604</v>
      </c>
      <c r="AE165" s="80">
        <f t="shared" si="180"/>
        <v>0.25824840530830706</v>
      </c>
      <c r="AF165" s="80">
        <f t="shared" si="180"/>
        <v>0.25824840530830706</v>
      </c>
      <c r="AG165" s="80">
        <f t="shared" si="180"/>
        <v>0.25824840530830706</v>
      </c>
      <c r="AH165" s="80">
        <f t="shared" si="180"/>
        <v>0.24297969059315203</v>
      </c>
      <c r="AI165" s="80">
        <f t="shared" si="180"/>
        <v>0.33244739350392261</v>
      </c>
      <c r="AJ165" s="80">
        <f t="shared" si="180"/>
        <v>0.33244739350392261</v>
      </c>
      <c r="AK165" s="80">
        <f t="shared" si="180"/>
        <v>0.41141212698878221</v>
      </c>
      <c r="AL165" s="80">
        <f t="shared" si="180"/>
        <v>0.48412640222890246</v>
      </c>
      <c r="AM165" s="80">
        <f t="shared" si="180"/>
        <v>0.52357210939218424</v>
      </c>
      <c r="AN165" s="80">
        <f t="shared" si="180"/>
        <v>0.52357210939218424</v>
      </c>
      <c r="AO165" s="80">
        <f t="shared" si="180"/>
        <v>0.4513893980497104</v>
      </c>
      <c r="AP165" s="80">
        <f t="shared" si="180"/>
        <v>0.4513893980497104</v>
      </c>
      <c r="AQ165" s="80">
        <f t="shared" si="180"/>
        <v>0.56477747635457154</v>
      </c>
      <c r="AR165" s="80">
        <f t="shared" si="180"/>
        <v>0.54839064447540142</v>
      </c>
      <c r="AS165" s="80">
        <f t="shared" si="180"/>
        <v>0.64022289024122003</v>
      </c>
      <c r="AT165" s="80">
        <f t="shared" si="180"/>
        <v>0.64022289024122003</v>
      </c>
      <c r="AU165" s="80">
        <f t="shared" si="180"/>
        <v>0.63760173033213574</v>
      </c>
      <c r="AV165" s="80">
        <f t="shared" si="180"/>
        <v>0.54813402742136519</v>
      </c>
      <c r="AW165" s="80">
        <f t="shared" si="180"/>
        <v>0.66755260649607751</v>
      </c>
      <c r="AX165" s="80">
        <f t="shared" si="180"/>
        <v>0.66077058435369174</v>
      </c>
      <c r="AY165" s="80">
        <f t="shared" si="180"/>
        <v>0.6893283965100081</v>
      </c>
      <c r="AZ165" s="80">
        <f t="shared" si="180"/>
        <v>0.71940758120096782</v>
      </c>
      <c r="BA165" s="80">
        <f t="shared" si="180"/>
        <v>0.88784001759659814</v>
      </c>
      <c r="BB165" s="80">
        <f t="shared" si="180"/>
        <v>0.96055429283671823</v>
      </c>
      <c r="BC165" s="80">
        <f t="shared" si="180"/>
        <v>0.96055429283671823</v>
      </c>
      <c r="BD165" s="80">
        <f t="shared" si="180"/>
        <v>0.88661192169513903</v>
      </c>
      <c r="BE165" s="80">
        <f t="shared" si="180"/>
        <v>0.80172666617787236</v>
      </c>
      <c r="BF165" s="80">
        <f t="shared" si="180"/>
        <v>0.70989442041205364</v>
      </c>
      <c r="BG165" s="80">
        <f t="shared" si="180"/>
        <v>0.70989442041205364</v>
      </c>
      <c r="BH165" s="80">
        <f t="shared" si="180"/>
        <v>0.64299068846689644</v>
      </c>
      <c r="BI165" s="80">
        <f t="shared" si="180"/>
        <v>0.64299068846689644</v>
      </c>
      <c r="BJ165" s="80">
        <f t="shared" si="180"/>
        <v>0.52357210939218424</v>
      </c>
      <c r="BK165" s="80">
        <f t="shared" si="180"/>
        <v>0.56477747635457154</v>
      </c>
      <c r="BL165" s="80">
        <f t="shared" si="180"/>
        <v>0.54839064447540153</v>
      </c>
      <c r="BM165" s="80">
        <f t="shared" si="180"/>
        <v>0.57069799838697866</v>
      </c>
      <c r="BN165" s="80">
        <f t="shared" si="180"/>
        <v>0.40226556199134839</v>
      </c>
      <c r="BO165" s="80">
        <f t="shared" si="180"/>
        <v>0.39645501869638539</v>
      </c>
      <c r="BP165" s="80">
        <f t="shared" si="180"/>
        <v>0.39645501869638539</v>
      </c>
      <c r="BQ165" s="80">
        <f t="shared" si="180"/>
        <v>0.35700931153310356</v>
      </c>
      <c r="BR165" s="80">
        <f t="shared" si="180"/>
        <v>0.35700931153310367</v>
      </c>
      <c r="BS165" s="80">
        <f t="shared" si="180"/>
        <v>0.35700931153310367</v>
      </c>
      <c r="BT165" s="80">
        <f t="shared" si="180"/>
        <v>0.35700931153310356</v>
      </c>
      <c r="BU165" s="80">
        <f t="shared" si="180"/>
        <v>0.35700931153310356</v>
      </c>
      <c r="BV165" s="80">
        <f t="shared" si="180"/>
        <v>0.35700931153310356</v>
      </c>
      <c r="BW165" s="80">
        <f t="shared" si="180"/>
        <v>0.35700931153310367</v>
      </c>
      <c r="BX165" s="80">
        <f t="shared" si="180"/>
        <v>0.24362123322824256</v>
      </c>
      <c r="BY165" s="80">
        <f t="shared" si="180"/>
        <v>0.15873597771097589</v>
      </c>
      <c r="BZ165" s="80">
        <f t="shared" si="180"/>
        <v>6.6903731945157266E-2</v>
      </c>
      <c r="CA165" s="80">
        <f t="shared" si="180"/>
        <v>6.6903731945157266E-2</v>
      </c>
      <c r="CB165" s="80">
        <f t="shared" si="180"/>
        <v>0</v>
      </c>
      <c r="CC165" s="80">
        <f t="shared" si="180"/>
        <v>0</v>
      </c>
      <c r="CD165" s="80">
        <f t="shared" si="180"/>
        <v>0</v>
      </c>
      <c r="CE165" s="80">
        <f t="shared" si="180"/>
        <v>0</v>
      </c>
      <c r="CF165" s="80">
        <f t="shared" si="180"/>
        <v>0</v>
      </c>
      <c r="CG165" s="80">
        <f t="shared" si="180"/>
        <v>0</v>
      </c>
      <c r="CH165" s="80">
        <f t="shared" si="180"/>
        <v>0</v>
      </c>
      <c r="CI165" s="80">
        <f t="shared" si="180"/>
        <v>0</v>
      </c>
      <c r="CJ165" s="80">
        <f t="shared" ref="CJ165:EU165" si="181">IF(CJ$136=0,"",CJ131/CJ$136)</f>
        <v>0</v>
      </c>
      <c r="CK165" s="80">
        <f t="shared" si="181"/>
        <v>0</v>
      </c>
      <c r="CL165" s="80">
        <f t="shared" si="181"/>
        <v>0</v>
      </c>
      <c r="CM165" s="80">
        <f t="shared" si="181"/>
        <v>0</v>
      </c>
      <c r="CN165" s="80">
        <f t="shared" si="181"/>
        <v>0</v>
      </c>
      <c r="CO165" s="80">
        <f t="shared" si="181"/>
        <v>0</v>
      </c>
      <c r="CP165" s="80">
        <f t="shared" si="181"/>
        <v>0</v>
      </c>
      <c r="CQ165" s="80">
        <f t="shared" si="181"/>
        <v>0</v>
      </c>
      <c r="CR165" s="80">
        <f t="shared" si="181"/>
        <v>0</v>
      </c>
      <c r="CS165" s="80">
        <f t="shared" si="181"/>
        <v>0</v>
      </c>
      <c r="CT165" s="80">
        <f t="shared" si="181"/>
        <v>0</v>
      </c>
      <c r="CU165" s="80">
        <f t="shared" si="181"/>
        <v>0</v>
      </c>
      <c r="CV165" s="80">
        <f t="shared" si="181"/>
        <v>0</v>
      </c>
      <c r="CW165" s="80">
        <f t="shared" si="181"/>
        <v>0</v>
      </c>
      <c r="CX165" s="80">
        <f t="shared" si="181"/>
        <v>0</v>
      </c>
      <c r="CY165" s="80">
        <f t="shared" si="181"/>
        <v>0</v>
      </c>
      <c r="CZ165" s="80">
        <f t="shared" si="181"/>
        <v>0</v>
      </c>
      <c r="DA165" s="80">
        <f t="shared" si="181"/>
        <v>0</v>
      </c>
      <c r="DB165" s="80">
        <f t="shared" si="181"/>
        <v>0</v>
      </c>
      <c r="DC165" s="80">
        <f t="shared" si="181"/>
        <v>0</v>
      </c>
      <c r="DD165" s="80">
        <f t="shared" si="181"/>
        <v>0</v>
      </c>
      <c r="DE165" s="80">
        <f t="shared" si="181"/>
        <v>0</v>
      </c>
      <c r="DF165" s="80">
        <f t="shared" si="181"/>
        <v>0</v>
      </c>
      <c r="DG165" s="80">
        <f t="shared" si="181"/>
        <v>0</v>
      </c>
      <c r="DH165" s="80">
        <f t="shared" si="181"/>
        <v>0</v>
      </c>
      <c r="DI165" s="80">
        <f t="shared" si="181"/>
        <v>0</v>
      </c>
      <c r="DJ165" s="80">
        <f t="shared" si="181"/>
        <v>0</v>
      </c>
      <c r="DK165" s="80">
        <f t="shared" si="181"/>
        <v>0</v>
      </c>
      <c r="DL165" s="80">
        <f t="shared" si="181"/>
        <v>0</v>
      </c>
      <c r="DM165" s="80">
        <f t="shared" si="181"/>
        <v>0</v>
      </c>
      <c r="DN165" s="80">
        <f t="shared" si="181"/>
        <v>0</v>
      </c>
      <c r="DO165" s="80">
        <f t="shared" si="181"/>
        <v>0</v>
      </c>
      <c r="DP165" s="80">
        <f t="shared" si="181"/>
        <v>0</v>
      </c>
      <c r="DQ165" s="80">
        <f t="shared" si="181"/>
        <v>0</v>
      </c>
      <c r="DR165" s="80">
        <f t="shared" si="181"/>
        <v>0</v>
      </c>
      <c r="DS165" s="80">
        <f t="shared" si="181"/>
        <v>0</v>
      </c>
      <c r="DT165" s="80">
        <f t="shared" si="181"/>
        <v>0</v>
      </c>
      <c r="DU165" s="80">
        <f t="shared" si="181"/>
        <v>0</v>
      </c>
      <c r="DV165" s="80">
        <f t="shared" si="181"/>
        <v>0</v>
      </c>
      <c r="DW165" s="80">
        <f t="shared" si="181"/>
        <v>0</v>
      </c>
      <c r="DX165" s="80">
        <f t="shared" si="181"/>
        <v>0</v>
      </c>
      <c r="DY165" s="80">
        <f t="shared" si="181"/>
        <v>0</v>
      </c>
      <c r="DZ165" s="80">
        <f t="shared" si="181"/>
        <v>0</v>
      </c>
      <c r="EA165" s="80">
        <f t="shared" si="181"/>
        <v>0</v>
      </c>
      <c r="EB165" s="80">
        <f t="shared" si="181"/>
        <v>0</v>
      </c>
      <c r="EC165" s="80">
        <f t="shared" si="181"/>
        <v>0</v>
      </c>
      <c r="ED165" s="80">
        <f t="shared" si="181"/>
        <v>0</v>
      </c>
      <c r="EE165" s="80">
        <f t="shared" si="181"/>
        <v>0</v>
      </c>
      <c r="EF165" s="80">
        <f t="shared" si="181"/>
        <v>0</v>
      </c>
      <c r="EG165" s="80">
        <f t="shared" si="181"/>
        <v>0</v>
      </c>
      <c r="EH165" s="80">
        <f t="shared" si="181"/>
        <v>0</v>
      </c>
      <c r="EI165" s="80">
        <f t="shared" si="181"/>
        <v>0</v>
      </c>
      <c r="EJ165" s="80">
        <f t="shared" si="181"/>
        <v>0</v>
      </c>
      <c r="EK165" s="80">
        <f t="shared" si="181"/>
        <v>0</v>
      </c>
      <c r="EL165" s="80">
        <f t="shared" si="181"/>
        <v>0</v>
      </c>
      <c r="EM165" s="80">
        <f t="shared" si="181"/>
        <v>0</v>
      </c>
      <c r="EN165" s="80">
        <f t="shared" si="181"/>
        <v>0</v>
      </c>
      <c r="EO165" s="80">
        <f t="shared" si="181"/>
        <v>0</v>
      </c>
      <c r="EP165" s="80">
        <f t="shared" si="181"/>
        <v>0</v>
      </c>
      <c r="EQ165" s="80">
        <f t="shared" si="181"/>
        <v>0</v>
      </c>
      <c r="ER165" s="80">
        <f t="shared" si="181"/>
        <v>0</v>
      </c>
      <c r="ES165" s="80">
        <f t="shared" si="181"/>
        <v>0</v>
      </c>
      <c r="ET165" s="80">
        <f t="shared" si="181"/>
        <v>0</v>
      </c>
      <c r="EU165" s="80">
        <f t="shared" si="181"/>
        <v>0</v>
      </c>
      <c r="EV165" s="80">
        <f t="shared" ref="EV165:GX165" si="182">IF(EV$136=0,"",EV131/EV$136)</f>
        <v>0</v>
      </c>
      <c r="EW165" s="80">
        <f t="shared" si="182"/>
        <v>0</v>
      </c>
      <c r="EX165" s="80">
        <f t="shared" si="182"/>
        <v>0</v>
      </c>
      <c r="EY165" s="80">
        <f t="shared" si="182"/>
        <v>0</v>
      </c>
      <c r="EZ165" s="80">
        <f t="shared" si="182"/>
        <v>0</v>
      </c>
      <c r="FA165" s="80">
        <f t="shared" si="182"/>
        <v>0</v>
      </c>
      <c r="FB165" s="80">
        <f t="shared" si="182"/>
        <v>0</v>
      </c>
      <c r="FC165" s="80">
        <f t="shared" si="182"/>
        <v>0</v>
      </c>
      <c r="FD165" s="80">
        <f t="shared" si="182"/>
        <v>0</v>
      </c>
      <c r="FE165" s="80">
        <f t="shared" si="182"/>
        <v>0</v>
      </c>
      <c r="FF165" s="80">
        <f t="shared" si="182"/>
        <v>0</v>
      </c>
      <c r="FG165" s="80">
        <f t="shared" si="182"/>
        <v>0</v>
      </c>
      <c r="FH165" s="80">
        <f t="shared" si="182"/>
        <v>0</v>
      </c>
      <c r="FI165" s="80">
        <f t="shared" si="182"/>
        <v>0</v>
      </c>
      <c r="FJ165" s="80">
        <f t="shared" si="182"/>
        <v>0</v>
      </c>
      <c r="FK165" s="80">
        <f t="shared" si="182"/>
        <v>0</v>
      </c>
      <c r="FL165" s="80">
        <f t="shared" si="182"/>
        <v>0</v>
      </c>
      <c r="FM165" s="80">
        <f t="shared" si="182"/>
        <v>0</v>
      </c>
      <c r="FN165" s="80">
        <f t="shared" si="182"/>
        <v>0</v>
      </c>
      <c r="FO165" s="80">
        <f t="shared" si="182"/>
        <v>0</v>
      </c>
      <c r="FP165" s="80">
        <f t="shared" si="182"/>
        <v>0</v>
      </c>
      <c r="FQ165" s="80">
        <f t="shared" si="182"/>
        <v>0</v>
      </c>
      <c r="FR165" s="80">
        <f t="shared" si="182"/>
        <v>0</v>
      </c>
      <c r="FS165" s="80">
        <f t="shared" si="182"/>
        <v>0</v>
      </c>
      <c r="FT165" s="80">
        <f t="shared" si="182"/>
        <v>0</v>
      </c>
      <c r="FU165" s="80">
        <f t="shared" si="182"/>
        <v>0</v>
      </c>
      <c r="FV165" s="80">
        <f t="shared" si="182"/>
        <v>0</v>
      </c>
      <c r="FW165" s="80">
        <f t="shared" si="182"/>
        <v>0</v>
      </c>
      <c r="FX165" s="80">
        <f t="shared" si="182"/>
        <v>0</v>
      </c>
      <c r="FY165" s="80">
        <f t="shared" si="182"/>
        <v>0</v>
      </c>
      <c r="FZ165" s="80">
        <f t="shared" si="182"/>
        <v>0</v>
      </c>
      <c r="GA165" s="80">
        <f t="shared" si="182"/>
        <v>0</v>
      </c>
      <c r="GB165" s="80">
        <f t="shared" si="182"/>
        <v>0</v>
      </c>
      <c r="GC165" s="80">
        <f t="shared" si="182"/>
        <v>0</v>
      </c>
      <c r="GD165" s="80">
        <f t="shared" si="182"/>
        <v>0</v>
      </c>
      <c r="GE165" s="80">
        <f t="shared" si="182"/>
        <v>0</v>
      </c>
      <c r="GF165" s="80">
        <f t="shared" si="182"/>
        <v>0</v>
      </c>
      <c r="GG165" s="80">
        <f t="shared" si="182"/>
        <v>0</v>
      </c>
      <c r="GH165" s="80">
        <f t="shared" si="182"/>
        <v>0</v>
      </c>
      <c r="GI165" s="80">
        <f t="shared" si="182"/>
        <v>0</v>
      </c>
      <c r="GJ165" s="80">
        <f t="shared" si="182"/>
        <v>0</v>
      </c>
      <c r="GK165" s="80">
        <f t="shared" si="182"/>
        <v>0</v>
      </c>
      <c r="GL165" s="80">
        <f t="shared" si="182"/>
        <v>0</v>
      </c>
      <c r="GM165" s="80">
        <f t="shared" si="182"/>
        <v>0</v>
      </c>
      <c r="GN165" s="80">
        <f t="shared" si="182"/>
        <v>0</v>
      </c>
      <c r="GO165" s="80">
        <f t="shared" si="182"/>
        <v>0</v>
      </c>
      <c r="GP165" s="80">
        <f t="shared" si="182"/>
        <v>0</v>
      </c>
      <c r="GQ165" s="80">
        <f t="shared" si="182"/>
        <v>0</v>
      </c>
      <c r="GR165" s="80">
        <f t="shared" si="182"/>
        <v>0</v>
      </c>
      <c r="GS165" s="80">
        <f t="shared" si="182"/>
        <v>0</v>
      </c>
      <c r="GT165" s="80">
        <f t="shared" si="182"/>
        <v>0</v>
      </c>
      <c r="GU165" s="80">
        <f t="shared" si="182"/>
        <v>0</v>
      </c>
      <c r="GV165" s="80">
        <f t="shared" si="182"/>
        <v>0</v>
      </c>
      <c r="GW165" s="80">
        <f t="shared" si="182"/>
        <v>0</v>
      </c>
      <c r="GX165" s="80">
        <f t="shared" si="182"/>
        <v>0</v>
      </c>
    </row>
    <row r="166" spans="1:206" x14ac:dyDescent="0.2">
      <c r="A166" s="84">
        <v>1</v>
      </c>
      <c r="B166" s="84" t="s">
        <v>255</v>
      </c>
      <c r="W166" s="80">
        <f>IF(W$136=0,"",W132/W$136)</f>
        <v>8.4885255517266681E-2</v>
      </c>
      <c r="X166" s="80">
        <f t="shared" ref="X166:CI166" si="183">IF(X$136=0,"",X132/X$136)</f>
        <v>8.4885255517266681E-2</v>
      </c>
      <c r="Y166" s="80">
        <f t="shared" si="183"/>
        <v>0.17671750128308528</v>
      </c>
      <c r="Z166" s="80">
        <f t="shared" si="183"/>
        <v>0.17671750128308528</v>
      </c>
      <c r="AA166" s="80">
        <f t="shared" si="183"/>
        <v>9.1832245765818624E-2</v>
      </c>
      <c r="AB166" s="80">
        <f t="shared" si="183"/>
        <v>0.15873597771097589</v>
      </c>
      <c r="AC166" s="80">
        <f t="shared" si="183"/>
        <v>0.15873597771097589</v>
      </c>
      <c r="AD166" s="80">
        <f t="shared" si="183"/>
        <v>6.690373194515728E-2</v>
      </c>
      <c r="AE166" s="80">
        <f t="shared" si="183"/>
        <v>0.10152870445047292</v>
      </c>
      <c r="AF166" s="80">
        <f t="shared" si="183"/>
        <v>0.10152870445047292</v>
      </c>
      <c r="AG166" s="80">
        <f t="shared" si="183"/>
        <v>3.462497250531564E-2</v>
      </c>
      <c r="AH166" s="80">
        <f t="shared" si="183"/>
        <v>0.11941857907471225</v>
      </c>
      <c r="AI166" s="80">
        <f t="shared" si="183"/>
        <v>0.11941857907471225</v>
      </c>
      <c r="AJ166" s="80">
        <f t="shared" si="183"/>
        <v>8.4793606569396593E-2</v>
      </c>
      <c r="AK166" s="80">
        <f t="shared" si="183"/>
        <v>8.4793606569396593E-2</v>
      </c>
      <c r="AL166" s="80">
        <f t="shared" si="183"/>
        <v>8.4793606569396593E-2</v>
      </c>
      <c r="AM166" s="80">
        <f t="shared" si="183"/>
        <v>0</v>
      </c>
      <c r="AN166" s="80">
        <f t="shared" si="183"/>
        <v>0</v>
      </c>
      <c r="AO166" s="80">
        <f t="shared" si="183"/>
        <v>7.2182711342473782E-2</v>
      </c>
      <c r="AP166" s="80">
        <f t="shared" si="183"/>
        <v>7.2182711342473782E-2</v>
      </c>
      <c r="AQ166" s="80">
        <f t="shared" si="183"/>
        <v>7.2182711342473796E-2</v>
      </c>
      <c r="AR166" s="80">
        <f t="shared" si="183"/>
        <v>0.17345479873891045</v>
      </c>
      <c r="AS166" s="80">
        <f t="shared" si="183"/>
        <v>0.17345479873891045</v>
      </c>
      <c r="AT166" s="80">
        <f t="shared" si="183"/>
        <v>0.10127208739643667</v>
      </c>
      <c r="AU166" s="80">
        <f t="shared" si="183"/>
        <v>0.17079697925067819</v>
      </c>
      <c r="AV166" s="80">
        <f t="shared" si="183"/>
        <v>0.26026468216144877</v>
      </c>
      <c r="AW166" s="80">
        <f t="shared" si="183"/>
        <v>0.15899259476501212</v>
      </c>
      <c r="AX166" s="80">
        <f t="shared" si="183"/>
        <v>0.2379573282498717</v>
      </c>
      <c r="AY166" s="80">
        <f t="shared" si="183"/>
        <v>0.31067160348999201</v>
      </c>
      <c r="AZ166" s="80">
        <f t="shared" si="183"/>
        <v>0.28059241879903218</v>
      </c>
      <c r="BA166" s="80">
        <f t="shared" si="183"/>
        <v>0.11215998240340201</v>
      </c>
      <c r="BB166" s="80">
        <f t="shared" si="183"/>
        <v>3.944570716328176E-2</v>
      </c>
      <c r="BC166" s="80">
        <f t="shared" si="183"/>
        <v>3.944570716328176E-2</v>
      </c>
      <c r="BD166" s="80">
        <f t="shared" si="183"/>
        <v>0.11338807830486107</v>
      </c>
      <c r="BE166" s="80">
        <f t="shared" si="183"/>
        <v>0.19827333382212775</v>
      </c>
      <c r="BF166" s="80">
        <f t="shared" si="183"/>
        <v>0.29010557958794636</v>
      </c>
      <c r="BG166" s="80">
        <f t="shared" si="183"/>
        <v>0.29010557958794636</v>
      </c>
      <c r="BH166" s="80">
        <f t="shared" si="183"/>
        <v>0.35700931153310367</v>
      </c>
      <c r="BI166" s="80">
        <f t="shared" si="183"/>
        <v>0.24362123322824256</v>
      </c>
      <c r="BJ166" s="80">
        <f t="shared" si="183"/>
        <v>0.27815455678568812</v>
      </c>
      <c r="BK166" s="80">
        <f t="shared" si="183"/>
        <v>0.2585050223623433</v>
      </c>
      <c r="BL166" s="80">
        <f t="shared" si="183"/>
        <v>0.35977710975877997</v>
      </c>
      <c r="BM166" s="80">
        <f t="shared" si="183"/>
        <v>0.3623982696678642</v>
      </c>
      <c r="BN166" s="80">
        <f t="shared" si="183"/>
        <v>0.53083070606349436</v>
      </c>
      <c r="BO166" s="80">
        <f t="shared" si="183"/>
        <v>0.48412640222890246</v>
      </c>
      <c r="BP166" s="80">
        <f t="shared" si="183"/>
        <v>0.41194369088642868</v>
      </c>
      <c r="BQ166" s="80">
        <f t="shared" si="183"/>
        <v>0.35011731065327367</v>
      </c>
      <c r="BR166" s="80">
        <f t="shared" si="183"/>
        <v>0.28059241879903224</v>
      </c>
      <c r="BS166" s="80">
        <f t="shared" si="183"/>
        <v>0.11215998240340201</v>
      </c>
      <c r="BT166" s="80">
        <f t="shared" si="183"/>
        <v>3.944570716328176E-2</v>
      </c>
      <c r="BU166" s="80">
        <f t="shared" si="183"/>
        <v>3.944570716328176E-2</v>
      </c>
      <c r="BV166" s="80">
        <f t="shared" si="183"/>
        <v>0</v>
      </c>
      <c r="BW166" s="80">
        <f t="shared" si="183"/>
        <v>0</v>
      </c>
      <c r="BX166" s="80">
        <f t="shared" si="183"/>
        <v>0.11338807830486107</v>
      </c>
      <c r="BY166" s="80">
        <f t="shared" si="183"/>
        <v>0.19827333382212775</v>
      </c>
      <c r="BZ166" s="80">
        <f t="shared" si="183"/>
        <v>0.29010557958794631</v>
      </c>
      <c r="CA166" s="80">
        <f t="shared" si="183"/>
        <v>0.29010557958794631</v>
      </c>
      <c r="CB166" s="80">
        <f t="shared" si="183"/>
        <v>0.35700931153310367</v>
      </c>
      <c r="CC166" s="80">
        <f t="shared" si="183"/>
        <v>0.24362123322824256</v>
      </c>
      <c r="CD166" s="80">
        <f t="shared" si="183"/>
        <v>0.15873597771097589</v>
      </c>
      <c r="CE166" s="80">
        <f t="shared" si="183"/>
        <v>6.690373194515728E-2</v>
      </c>
      <c r="CF166" s="80">
        <f t="shared" si="183"/>
        <v>6.690373194515728E-2</v>
      </c>
      <c r="CG166" s="80">
        <f t="shared" si="183"/>
        <v>0</v>
      </c>
      <c r="CH166" s="80">
        <f t="shared" si="183"/>
        <v>0</v>
      </c>
      <c r="CI166" s="80">
        <f t="shared" si="183"/>
        <v>0</v>
      </c>
      <c r="CJ166" s="80">
        <f t="shared" ref="CJ166:EU166" si="184">IF(CJ$136=0,"",CJ132/CJ$136)</f>
        <v>0</v>
      </c>
      <c r="CK166" s="80">
        <f t="shared" si="184"/>
        <v>0</v>
      </c>
      <c r="CL166" s="80">
        <f t="shared" si="184"/>
        <v>0</v>
      </c>
      <c r="CM166" s="80">
        <f t="shared" si="184"/>
        <v>0</v>
      </c>
      <c r="CN166" s="80">
        <f t="shared" si="184"/>
        <v>0</v>
      </c>
      <c r="CO166" s="80">
        <f t="shared" si="184"/>
        <v>0</v>
      </c>
      <c r="CP166" s="80">
        <f t="shared" si="184"/>
        <v>0</v>
      </c>
      <c r="CQ166" s="80">
        <f t="shared" si="184"/>
        <v>0</v>
      </c>
      <c r="CR166" s="80">
        <f t="shared" si="184"/>
        <v>0</v>
      </c>
      <c r="CS166" s="80">
        <f t="shared" si="184"/>
        <v>0</v>
      </c>
      <c r="CT166" s="80">
        <f t="shared" si="184"/>
        <v>0</v>
      </c>
      <c r="CU166" s="80">
        <f t="shared" si="184"/>
        <v>0</v>
      </c>
      <c r="CV166" s="80">
        <f t="shared" si="184"/>
        <v>0</v>
      </c>
      <c r="CW166" s="80">
        <f t="shared" si="184"/>
        <v>0</v>
      </c>
      <c r="CX166" s="80">
        <f t="shared" si="184"/>
        <v>0</v>
      </c>
      <c r="CY166" s="80">
        <f t="shared" si="184"/>
        <v>0</v>
      </c>
      <c r="CZ166" s="80">
        <f t="shared" si="184"/>
        <v>0</v>
      </c>
      <c r="DA166" s="80">
        <f t="shared" si="184"/>
        <v>0</v>
      </c>
      <c r="DB166" s="80">
        <f t="shared" si="184"/>
        <v>0</v>
      </c>
      <c r="DC166" s="80">
        <f t="shared" si="184"/>
        <v>0</v>
      </c>
      <c r="DD166" s="80">
        <f t="shared" si="184"/>
        <v>0</v>
      </c>
      <c r="DE166" s="80">
        <f t="shared" si="184"/>
        <v>0</v>
      </c>
      <c r="DF166" s="80">
        <f t="shared" si="184"/>
        <v>0</v>
      </c>
      <c r="DG166" s="80">
        <f t="shared" si="184"/>
        <v>0</v>
      </c>
      <c r="DH166" s="80">
        <f t="shared" si="184"/>
        <v>0</v>
      </c>
      <c r="DI166" s="80">
        <f t="shared" si="184"/>
        <v>0</v>
      </c>
      <c r="DJ166" s="80">
        <f t="shared" si="184"/>
        <v>0</v>
      </c>
      <c r="DK166" s="80">
        <f t="shared" si="184"/>
        <v>0</v>
      </c>
      <c r="DL166" s="80">
        <f t="shared" si="184"/>
        <v>0</v>
      </c>
      <c r="DM166" s="80">
        <f t="shared" si="184"/>
        <v>0</v>
      </c>
      <c r="DN166" s="80">
        <f t="shared" si="184"/>
        <v>0</v>
      </c>
      <c r="DO166" s="80">
        <f t="shared" si="184"/>
        <v>0</v>
      </c>
      <c r="DP166" s="80">
        <f t="shared" si="184"/>
        <v>0</v>
      </c>
      <c r="DQ166" s="80">
        <f t="shared" si="184"/>
        <v>0</v>
      </c>
      <c r="DR166" s="80">
        <f t="shared" si="184"/>
        <v>0</v>
      </c>
      <c r="DS166" s="80">
        <f t="shared" si="184"/>
        <v>0</v>
      </c>
      <c r="DT166" s="80">
        <f t="shared" si="184"/>
        <v>0</v>
      </c>
      <c r="DU166" s="80">
        <f t="shared" si="184"/>
        <v>0</v>
      </c>
      <c r="DV166" s="80">
        <f t="shared" si="184"/>
        <v>0</v>
      </c>
      <c r="DW166" s="80">
        <f t="shared" si="184"/>
        <v>0</v>
      </c>
      <c r="DX166" s="80">
        <f t="shared" si="184"/>
        <v>0</v>
      </c>
      <c r="DY166" s="80">
        <f t="shared" si="184"/>
        <v>0</v>
      </c>
      <c r="DZ166" s="80">
        <f t="shared" si="184"/>
        <v>0</v>
      </c>
      <c r="EA166" s="80">
        <f t="shared" si="184"/>
        <v>0</v>
      </c>
      <c r="EB166" s="80">
        <f t="shared" si="184"/>
        <v>0</v>
      </c>
      <c r="EC166" s="80">
        <f t="shared" si="184"/>
        <v>0</v>
      </c>
      <c r="ED166" s="80">
        <f t="shared" si="184"/>
        <v>0</v>
      </c>
      <c r="EE166" s="80">
        <f t="shared" si="184"/>
        <v>0</v>
      </c>
      <c r="EF166" s="80">
        <f t="shared" si="184"/>
        <v>0</v>
      </c>
      <c r="EG166" s="80">
        <f t="shared" si="184"/>
        <v>0</v>
      </c>
      <c r="EH166" s="80">
        <f t="shared" si="184"/>
        <v>0</v>
      </c>
      <c r="EI166" s="80">
        <f t="shared" si="184"/>
        <v>0</v>
      </c>
      <c r="EJ166" s="80">
        <f t="shared" si="184"/>
        <v>0</v>
      </c>
      <c r="EK166" s="80">
        <f t="shared" si="184"/>
        <v>0</v>
      </c>
      <c r="EL166" s="80">
        <f t="shared" si="184"/>
        <v>0</v>
      </c>
      <c r="EM166" s="80">
        <f t="shared" si="184"/>
        <v>0</v>
      </c>
      <c r="EN166" s="80">
        <f t="shared" si="184"/>
        <v>0</v>
      </c>
      <c r="EO166" s="80">
        <f t="shared" si="184"/>
        <v>0</v>
      </c>
      <c r="EP166" s="80">
        <f t="shared" si="184"/>
        <v>0</v>
      </c>
      <c r="EQ166" s="80">
        <f t="shared" si="184"/>
        <v>0</v>
      </c>
      <c r="ER166" s="80">
        <f t="shared" si="184"/>
        <v>0</v>
      </c>
      <c r="ES166" s="80">
        <f t="shared" si="184"/>
        <v>0</v>
      </c>
      <c r="ET166" s="80">
        <f t="shared" si="184"/>
        <v>0</v>
      </c>
      <c r="EU166" s="80">
        <f t="shared" si="184"/>
        <v>0</v>
      </c>
      <c r="EV166" s="80">
        <f t="shared" ref="EV166:GX166" si="185">IF(EV$136=0,"",EV132/EV$136)</f>
        <v>0</v>
      </c>
      <c r="EW166" s="80">
        <f t="shared" si="185"/>
        <v>0</v>
      </c>
      <c r="EX166" s="80">
        <f t="shared" si="185"/>
        <v>0</v>
      </c>
      <c r="EY166" s="80">
        <f t="shared" si="185"/>
        <v>0</v>
      </c>
      <c r="EZ166" s="80">
        <f t="shared" si="185"/>
        <v>0</v>
      </c>
      <c r="FA166" s="80">
        <f t="shared" si="185"/>
        <v>0</v>
      </c>
      <c r="FB166" s="80">
        <f t="shared" si="185"/>
        <v>0</v>
      </c>
      <c r="FC166" s="80">
        <f t="shared" si="185"/>
        <v>0</v>
      </c>
      <c r="FD166" s="80">
        <f t="shared" si="185"/>
        <v>0</v>
      </c>
      <c r="FE166" s="80">
        <f t="shared" si="185"/>
        <v>0</v>
      </c>
      <c r="FF166" s="80">
        <f t="shared" si="185"/>
        <v>0</v>
      </c>
      <c r="FG166" s="80">
        <f t="shared" si="185"/>
        <v>0</v>
      </c>
      <c r="FH166" s="80">
        <f t="shared" si="185"/>
        <v>0</v>
      </c>
      <c r="FI166" s="80">
        <f t="shared" si="185"/>
        <v>0</v>
      </c>
      <c r="FJ166" s="80">
        <f t="shared" si="185"/>
        <v>0</v>
      </c>
      <c r="FK166" s="80">
        <f t="shared" si="185"/>
        <v>0</v>
      </c>
      <c r="FL166" s="80">
        <f t="shared" si="185"/>
        <v>0</v>
      </c>
      <c r="FM166" s="80">
        <f t="shared" si="185"/>
        <v>0</v>
      </c>
      <c r="FN166" s="80">
        <f t="shared" si="185"/>
        <v>0</v>
      </c>
      <c r="FO166" s="80">
        <f t="shared" si="185"/>
        <v>0</v>
      </c>
      <c r="FP166" s="80">
        <f t="shared" si="185"/>
        <v>0</v>
      </c>
      <c r="FQ166" s="80">
        <f t="shared" si="185"/>
        <v>0</v>
      </c>
      <c r="FR166" s="80">
        <f t="shared" si="185"/>
        <v>0</v>
      </c>
      <c r="FS166" s="80">
        <f t="shared" si="185"/>
        <v>0</v>
      </c>
      <c r="FT166" s="80">
        <f t="shared" si="185"/>
        <v>0</v>
      </c>
      <c r="FU166" s="80">
        <f t="shared" si="185"/>
        <v>0</v>
      </c>
      <c r="FV166" s="80">
        <f t="shared" si="185"/>
        <v>0</v>
      </c>
      <c r="FW166" s="80">
        <f t="shared" si="185"/>
        <v>0</v>
      </c>
      <c r="FX166" s="80">
        <f t="shared" si="185"/>
        <v>0</v>
      </c>
      <c r="FY166" s="80">
        <f t="shared" si="185"/>
        <v>0</v>
      </c>
      <c r="FZ166" s="80">
        <f t="shared" si="185"/>
        <v>0</v>
      </c>
      <c r="GA166" s="80">
        <f t="shared" si="185"/>
        <v>0</v>
      </c>
      <c r="GB166" s="80">
        <f t="shared" si="185"/>
        <v>0</v>
      </c>
      <c r="GC166" s="80">
        <f t="shared" si="185"/>
        <v>0</v>
      </c>
      <c r="GD166" s="80">
        <f t="shared" si="185"/>
        <v>0</v>
      </c>
      <c r="GE166" s="80">
        <f t="shared" si="185"/>
        <v>0</v>
      </c>
      <c r="GF166" s="80">
        <f t="shared" si="185"/>
        <v>0</v>
      </c>
      <c r="GG166" s="80">
        <f t="shared" si="185"/>
        <v>0</v>
      </c>
      <c r="GH166" s="80">
        <f t="shared" si="185"/>
        <v>0</v>
      </c>
      <c r="GI166" s="80">
        <f t="shared" si="185"/>
        <v>0</v>
      </c>
      <c r="GJ166" s="80">
        <f t="shared" si="185"/>
        <v>0</v>
      </c>
      <c r="GK166" s="80">
        <f t="shared" si="185"/>
        <v>0</v>
      </c>
      <c r="GL166" s="80">
        <f t="shared" si="185"/>
        <v>0</v>
      </c>
      <c r="GM166" s="80">
        <f t="shared" si="185"/>
        <v>0</v>
      </c>
      <c r="GN166" s="80">
        <f t="shared" si="185"/>
        <v>0</v>
      </c>
      <c r="GO166" s="80">
        <f t="shared" si="185"/>
        <v>0</v>
      </c>
      <c r="GP166" s="80">
        <f t="shared" si="185"/>
        <v>0</v>
      </c>
      <c r="GQ166" s="80">
        <f t="shared" si="185"/>
        <v>0</v>
      </c>
      <c r="GR166" s="80">
        <f t="shared" si="185"/>
        <v>0</v>
      </c>
      <c r="GS166" s="80">
        <f t="shared" si="185"/>
        <v>0</v>
      </c>
      <c r="GT166" s="80">
        <f t="shared" si="185"/>
        <v>0</v>
      </c>
      <c r="GU166" s="80">
        <f t="shared" si="185"/>
        <v>0</v>
      </c>
      <c r="GV166" s="80">
        <f t="shared" si="185"/>
        <v>0</v>
      </c>
      <c r="GW166" s="80">
        <f t="shared" si="185"/>
        <v>0</v>
      </c>
      <c r="GX166" s="80">
        <f t="shared" si="185"/>
        <v>0</v>
      </c>
    </row>
    <row r="167" spans="1:206" x14ac:dyDescent="0.2">
      <c r="A167" s="84">
        <v>1</v>
      </c>
      <c r="B167" s="84" t="s">
        <v>256</v>
      </c>
      <c r="W167" s="80">
        <f>IF(W$136=0,"",W133/W$136)</f>
        <v>0.39398049710389327</v>
      </c>
      <c r="X167" s="80">
        <f t="shared" ref="X167:CI167" si="186">IF(X$136=0,"",X133/X$136)</f>
        <v>0.30451279419312266</v>
      </c>
      <c r="Y167" s="80">
        <f t="shared" si="186"/>
        <v>0.22554806070826308</v>
      </c>
      <c r="Z167" s="80">
        <f t="shared" si="186"/>
        <v>0.15283378546814283</v>
      </c>
      <c r="AA167" s="80">
        <f t="shared" si="186"/>
        <v>0.2377190409854095</v>
      </c>
      <c r="AB167" s="80">
        <f t="shared" si="186"/>
        <v>8.4885255517266681E-2</v>
      </c>
      <c r="AC167" s="80">
        <f t="shared" si="186"/>
        <v>8.4885255517266681E-2</v>
      </c>
      <c r="AD167" s="80">
        <f t="shared" si="186"/>
        <v>0.17671750128308528</v>
      </c>
      <c r="AE167" s="80">
        <f t="shared" si="186"/>
        <v>0.17671750128308528</v>
      </c>
      <c r="AF167" s="80">
        <f t="shared" si="186"/>
        <v>9.1832245765818624E-2</v>
      </c>
      <c r="AG167" s="80">
        <f t="shared" si="186"/>
        <v>0.15873597771097589</v>
      </c>
      <c r="AH167" s="80">
        <f t="shared" si="186"/>
        <v>0.15873597771097589</v>
      </c>
      <c r="AI167" s="80">
        <f t="shared" si="186"/>
        <v>6.690373194515728E-2</v>
      </c>
      <c r="AJ167" s="80">
        <f t="shared" si="186"/>
        <v>0.10152870445047292</v>
      </c>
      <c r="AK167" s="80">
        <f t="shared" si="186"/>
        <v>0.10152870445047292</v>
      </c>
      <c r="AL167" s="80">
        <f t="shared" si="186"/>
        <v>3.462497250531564E-2</v>
      </c>
      <c r="AM167" s="80">
        <f t="shared" si="186"/>
        <v>0.11941857907471225</v>
      </c>
      <c r="AN167" s="80">
        <f t="shared" si="186"/>
        <v>0.11941857907471225</v>
      </c>
      <c r="AO167" s="80">
        <f t="shared" si="186"/>
        <v>8.4793606569396565E-2</v>
      </c>
      <c r="AP167" s="80">
        <f t="shared" si="186"/>
        <v>8.4793606569396565E-2</v>
      </c>
      <c r="AQ167" s="80">
        <f t="shared" si="186"/>
        <v>8.4793606569396593E-2</v>
      </c>
      <c r="AR167" s="80">
        <f t="shared" si="186"/>
        <v>0</v>
      </c>
      <c r="AS167" s="80">
        <f t="shared" si="186"/>
        <v>0</v>
      </c>
      <c r="AT167" s="80">
        <f t="shared" si="186"/>
        <v>7.2182711342473782E-2</v>
      </c>
      <c r="AU167" s="80">
        <f t="shared" si="186"/>
        <v>7.2182711342473782E-2</v>
      </c>
      <c r="AV167" s="80">
        <f t="shared" si="186"/>
        <v>7.2182711342473782E-2</v>
      </c>
      <c r="AW167" s="80">
        <f t="shared" si="186"/>
        <v>0.17345479873891048</v>
      </c>
      <c r="AX167" s="80">
        <f t="shared" si="186"/>
        <v>0.1012720873964367</v>
      </c>
      <c r="AY167" s="80">
        <f t="shared" si="186"/>
        <v>0</v>
      </c>
      <c r="AZ167" s="80">
        <f t="shared" si="186"/>
        <v>0</v>
      </c>
      <c r="BA167" s="80">
        <f t="shared" si="186"/>
        <v>0</v>
      </c>
      <c r="BB167" s="80">
        <f t="shared" si="186"/>
        <v>0</v>
      </c>
      <c r="BC167" s="80">
        <f t="shared" si="186"/>
        <v>0</v>
      </c>
      <c r="BD167" s="80">
        <f t="shared" si="186"/>
        <v>0</v>
      </c>
      <c r="BE167" s="80">
        <f t="shared" si="186"/>
        <v>0</v>
      </c>
      <c r="BF167" s="80">
        <f t="shared" si="186"/>
        <v>0</v>
      </c>
      <c r="BG167" s="80">
        <f t="shared" si="186"/>
        <v>0</v>
      </c>
      <c r="BH167" s="80">
        <f t="shared" si="186"/>
        <v>0</v>
      </c>
      <c r="BI167" s="80">
        <f t="shared" si="186"/>
        <v>0.11338807830486107</v>
      </c>
      <c r="BJ167" s="80">
        <f t="shared" si="186"/>
        <v>0.19827333382212775</v>
      </c>
      <c r="BK167" s="80">
        <f t="shared" si="186"/>
        <v>0.17671750128308528</v>
      </c>
      <c r="BL167" s="80">
        <f t="shared" si="186"/>
        <v>9.1832245765818624E-2</v>
      </c>
      <c r="BM167" s="80">
        <f t="shared" si="186"/>
        <v>6.690373194515728E-2</v>
      </c>
      <c r="BN167" s="80">
        <f t="shared" si="186"/>
        <v>6.690373194515728E-2</v>
      </c>
      <c r="BO167" s="80">
        <f t="shared" si="186"/>
        <v>0.11941857907471225</v>
      </c>
      <c r="BP167" s="80">
        <f t="shared" si="186"/>
        <v>0.19160129041718604</v>
      </c>
      <c r="BQ167" s="80">
        <f t="shared" si="186"/>
        <v>0.29287337781362266</v>
      </c>
      <c r="BR167" s="80">
        <f t="shared" si="186"/>
        <v>0.3623982696678642</v>
      </c>
      <c r="BS167" s="80">
        <f t="shared" si="186"/>
        <v>0.53083070606349436</v>
      </c>
      <c r="BT167" s="80">
        <f t="shared" si="186"/>
        <v>0.48412640222890235</v>
      </c>
      <c r="BU167" s="80">
        <f t="shared" si="186"/>
        <v>0.41194369088642857</v>
      </c>
      <c r="BV167" s="80">
        <f t="shared" si="186"/>
        <v>0.35011731065327367</v>
      </c>
      <c r="BW167" s="80">
        <f t="shared" si="186"/>
        <v>0.28059241879903224</v>
      </c>
      <c r="BX167" s="80">
        <f t="shared" si="186"/>
        <v>0.11215998240340201</v>
      </c>
      <c r="BY167" s="80">
        <f t="shared" si="186"/>
        <v>3.9445707163281767E-2</v>
      </c>
      <c r="BZ167" s="80">
        <f t="shared" si="186"/>
        <v>3.944570716328176E-2</v>
      </c>
      <c r="CA167" s="80">
        <f t="shared" si="186"/>
        <v>0</v>
      </c>
      <c r="CB167" s="80">
        <f t="shared" si="186"/>
        <v>0</v>
      </c>
      <c r="CC167" s="80">
        <f t="shared" si="186"/>
        <v>0.11338807830486107</v>
      </c>
      <c r="CD167" s="80">
        <f t="shared" si="186"/>
        <v>0.19827333382212775</v>
      </c>
      <c r="CE167" s="80">
        <f t="shared" si="186"/>
        <v>0.29010557958794636</v>
      </c>
      <c r="CF167" s="80">
        <f t="shared" si="186"/>
        <v>0.29010557958794636</v>
      </c>
      <c r="CG167" s="80">
        <f t="shared" si="186"/>
        <v>0.35700931153310367</v>
      </c>
      <c r="CH167" s="80">
        <f t="shared" si="186"/>
        <v>0.24362123322824256</v>
      </c>
      <c r="CI167" s="80">
        <f t="shared" si="186"/>
        <v>0.15873597771097589</v>
      </c>
      <c r="CJ167" s="80">
        <f t="shared" ref="CJ167:EU167" si="187">IF(CJ$136=0,"",CJ133/CJ$136)</f>
        <v>6.690373194515728E-2</v>
      </c>
      <c r="CK167" s="80">
        <f t="shared" si="187"/>
        <v>6.690373194515728E-2</v>
      </c>
      <c r="CL167" s="80">
        <f t="shared" si="187"/>
        <v>0</v>
      </c>
      <c r="CM167" s="80">
        <f t="shared" si="187"/>
        <v>0</v>
      </c>
      <c r="CN167" s="80">
        <f t="shared" si="187"/>
        <v>0</v>
      </c>
      <c r="CO167" s="80">
        <f t="shared" si="187"/>
        <v>0</v>
      </c>
      <c r="CP167" s="80">
        <f t="shared" si="187"/>
        <v>0</v>
      </c>
      <c r="CQ167" s="80">
        <f t="shared" si="187"/>
        <v>0</v>
      </c>
      <c r="CR167" s="80">
        <f t="shared" si="187"/>
        <v>0</v>
      </c>
      <c r="CS167" s="80">
        <f t="shared" si="187"/>
        <v>0</v>
      </c>
      <c r="CT167" s="80">
        <f t="shared" si="187"/>
        <v>0</v>
      </c>
      <c r="CU167" s="80">
        <f t="shared" si="187"/>
        <v>0</v>
      </c>
      <c r="CV167" s="80">
        <f t="shared" si="187"/>
        <v>0</v>
      </c>
      <c r="CW167" s="80">
        <f t="shared" si="187"/>
        <v>0</v>
      </c>
      <c r="CX167" s="80">
        <f t="shared" si="187"/>
        <v>0</v>
      </c>
      <c r="CY167" s="80">
        <f t="shared" si="187"/>
        <v>0</v>
      </c>
      <c r="CZ167" s="80">
        <f t="shared" si="187"/>
        <v>0</v>
      </c>
      <c r="DA167" s="80">
        <f t="shared" si="187"/>
        <v>0</v>
      </c>
      <c r="DB167" s="80">
        <f t="shared" si="187"/>
        <v>0</v>
      </c>
      <c r="DC167" s="80">
        <f t="shared" si="187"/>
        <v>0</v>
      </c>
      <c r="DD167" s="80">
        <f t="shared" si="187"/>
        <v>0</v>
      </c>
      <c r="DE167" s="80">
        <f t="shared" si="187"/>
        <v>0</v>
      </c>
      <c r="DF167" s="80">
        <f t="shared" si="187"/>
        <v>0</v>
      </c>
      <c r="DG167" s="80">
        <f t="shared" si="187"/>
        <v>0</v>
      </c>
      <c r="DH167" s="80">
        <f t="shared" si="187"/>
        <v>0</v>
      </c>
      <c r="DI167" s="80">
        <f t="shared" si="187"/>
        <v>0</v>
      </c>
      <c r="DJ167" s="80">
        <f t="shared" si="187"/>
        <v>0</v>
      </c>
      <c r="DK167" s="80">
        <f t="shared" si="187"/>
        <v>0</v>
      </c>
      <c r="DL167" s="80">
        <f t="shared" si="187"/>
        <v>0</v>
      </c>
      <c r="DM167" s="80">
        <f t="shared" si="187"/>
        <v>0</v>
      </c>
      <c r="DN167" s="80">
        <f t="shared" si="187"/>
        <v>0</v>
      </c>
      <c r="DO167" s="80">
        <f t="shared" si="187"/>
        <v>0</v>
      </c>
      <c r="DP167" s="80">
        <f t="shared" si="187"/>
        <v>0</v>
      </c>
      <c r="DQ167" s="80">
        <f t="shared" si="187"/>
        <v>0</v>
      </c>
      <c r="DR167" s="80">
        <f t="shared" si="187"/>
        <v>0</v>
      </c>
      <c r="DS167" s="80">
        <f t="shared" si="187"/>
        <v>0</v>
      </c>
      <c r="DT167" s="80">
        <f t="shared" si="187"/>
        <v>0</v>
      </c>
      <c r="DU167" s="80">
        <f t="shared" si="187"/>
        <v>0</v>
      </c>
      <c r="DV167" s="80">
        <f t="shared" si="187"/>
        <v>0</v>
      </c>
      <c r="DW167" s="80">
        <f t="shared" si="187"/>
        <v>0</v>
      </c>
      <c r="DX167" s="80">
        <f t="shared" si="187"/>
        <v>0</v>
      </c>
      <c r="DY167" s="80">
        <f t="shared" si="187"/>
        <v>0</v>
      </c>
      <c r="DZ167" s="80">
        <f t="shared" si="187"/>
        <v>0</v>
      </c>
      <c r="EA167" s="80">
        <f t="shared" si="187"/>
        <v>0</v>
      </c>
      <c r="EB167" s="80">
        <f t="shared" si="187"/>
        <v>0</v>
      </c>
      <c r="EC167" s="80">
        <f t="shared" si="187"/>
        <v>0</v>
      </c>
      <c r="ED167" s="80">
        <f t="shared" si="187"/>
        <v>0</v>
      </c>
      <c r="EE167" s="80">
        <f t="shared" si="187"/>
        <v>0</v>
      </c>
      <c r="EF167" s="80">
        <f t="shared" si="187"/>
        <v>0</v>
      </c>
      <c r="EG167" s="80">
        <f t="shared" si="187"/>
        <v>0</v>
      </c>
      <c r="EH167" s="80">
        <f t="shared" si="187"/>
        <v>0</v>
      </c>
      <c r="EI167" s="80">
        <f t="shared" si="187"/>
        <v>0</v>
      </c>
      <c r="EJ167" s="80">
        <f t="shared" si="187"/>
        <v>0</v>
      </c>
      <c r="EK167" s="80">
        <f t="shared" si="187"/>
        <v>0</v>
      </c>
      <c r="EL167" s="80">
        <f t="shared" si="187"/>
        <v>0</v>
      </c>
      <c r="EM167" s="80">
        <f t="shared" si="187"/>
        <v>0</v>
      </c>
      <c r="EN167" s="80">
        <f t="shared" si="187"/>
        <v>0</v>
      </c>
      <c r="EO167" s="80">
        <f t="shared" si="187"/>
        <v>0</v>
      </c>
      <c r="EP167" s="80">
        <f t="shared" si="187"/>
        <v>0</v>
      </c>
      <c r="EQ167" s="80">
        <f t="shared" si="187"/>
        <v>0</v>
      </c>
      <c r="ER167" s="80">
        <f t="shared" si="187"/>
        <v>0</v>
      </c>
      <c r="ES167" s="80">
        <f t="shared" si="187"/>
        <v>0</v>
      </c>
      <c r="ET167" s="80">
        <f t="shared" si="187"/>
        <v>0</v>
      </c>
      <c r="EU167" s="80">
        <f t="shared" si="187"/>
        <v>0</v>
      </c>
      <c r="EV167" s="80">
        <f t="shared" ref="EV167:GX167" si="188">IF(EV$136=0,"",EV133/EV$136)</f>
        <v>0</v>
      </c>
      <c r="EW167" s="80">
        <f t="shared" si="188"/>
        <v>0</v>
      </c>
      <c r="EX167" s="80">
        <f t="shared" si="188"/>
        <v>0</v>
      </c>
      <c r="EY167" s="80">
        <f t="shared" si="188"/>
        <v>0</v>
      </c>
      <c r="EZ167" s="80">
        <f t="shared" si="188"/>
        <v>0</v>
      </c>
      <c r="FA167" s="80">
        <f t="shared" si="188"/>
        <v>0</v>
      </c>
      <c r="FB167" s="80">
        <f t="shared" si="188"/>
        <v>0</v>
      </c>
      <c r="FC167" s="80">
        <f t="shared" si="188"/>
        <v>0</v>
      </c>
      <c r="FD167" s="80">
        <f t="shared" si="188"/>
        <v>0</v>
      </c>
      <c r="FE167" s="80">
        <f t="shared" si="188"/>
        <v>0</v>
      </c>
      <c r="FF167" s="80">
        <f t="shared" si="188"/>
        <v>0</v>
      </c>
      <c r="FG167" s="80">
        <f t="shared" si="188"/>
        <v>0</v>
      </c>
      <c r="FH167" s="80">
        <f t="shared" si="188"/>
        <v>0</v>
      </c>
      <c r="FI167" s="80">
        <f t="shared" si="188"/>
        <v>0</v>
      </c>
      <c r="FJ167" s="80">
        <f t="shared" si="188"/>
        <v>0</v>
      </c>
      <c r="FK167" s="80">
        <f t="shared" si="188"/>
        <v>0</v>
      </c>
      <c r="FL167" s="80">
        <f t="shared" si="188"/>
        <v>0</v>
      </c>
      <c r="FM167" s="80">
        <f t="shared" si="188"/>
        <v>0</v>
      </c>
      <c r="FN167" s="80">
        <f t="shared" si="188"/>
        <v>0</v>
      </c>
      <c r="FO167" s="80">
        <f t="shared" si="188"/>
        <v>0</v>
      </c>
      <c r="FP167" s="80">
        <f t="shared" si="188"/>
        <v>0</v>
      </c>
      <c r="FQ167" s="80">
        <f t="shared" si="188"/>
        <v>0</v>
      </c>
      <c r="FR167" s="80">
        <f t="shared" si="188"/>
        <v>0</v>
      </c>
      <c r="FS167" s="80">
        <f t="shared" si="188"/>
        <v>0</v>
      </c>
      <c r="FT167" s="80">
        <f t="shared" si="188"/>
        <v>0</v>
      </c>
      <c r="FU167" s="80">
        <f t="shared" si="188"/>
        <v>0</v>
      </c>
      <c r="FV167" s="80">
        <f t="shared" si="188"/>
        <v>0</v>
      </c>
      <c r="FW167" s="80">
        <f t="shared" si="188"/>
        <v>0</v>
      </c>
      <c r="FX167" s="80">
        <f t="shared" si="188"/>
        <v>0</v>
      </c>
      <c r="FY167" s="80">
        <f t="shared" si="188"/>
        <v>0</v>
      </c>
      <c r="FZ167" s="80">
        <f t="shared" si="188"/>
        <v>0</v>
      </c>
      <c r="GA167" s="80">
        <f t="shared" si="188"/>
        <v>0</v>
      </c>
      <c r="GB167" s="80">
        <f t="shared" si="188"/>
        <v>0</v>
      </c>
      <c r="GC167" s="80">
        <f t="shared" si="188"/>
        <v>0</v>
      </c>
      <c r="GD167" s="80">
        <f t="shared" si="188"/>
        <v>0</v>
      </c>
      <c r="GE167" s="80">
        <f t="shared" si="188"/>
        <v>0</v>
      </c>
      <c r="GF167" s="80">
        <f t="shared" si="188"/>
        <v>0</v>
      </c>
      <c r="GG167" s="80">
        <f t="shared" si="188"/>
        <v>0</v>
      </c>
      <c r="GH167" s="80">
        <f t="shared" si="188"/>
        <v>0</v>
      </c>
      <c r="GI167" s="80">
        <f t="shared" si="188"/>
        <v>0</v>
      </c>
      <c r="GJ167" s="80">
        <f t="shared" si="188"/>
        <v>0</v>
      </c>
      <c r="GK167" s="80">
        <f t="shared" si="188"/>
        <v>0</v>
      </c>
      <c r="GL167" s="80">
        <f t="shared" si="188"/>
        <v>0</v>
      </c>
      <c r="GM167" s="80">
        <f t="shared" si="188"/>
        <v>0</v>
      </c>
      <c r="GN167" s="80">
        <f t="shared" si="188"/>
        <v>0</v>
      </c>
      <c r="GO167" s="80">
        <f t="shared" si="188"/>
        <v>0</v>
      </c>
      <c r="GP167" s="80">
        <f t="shared" si="188"/>
        <v>0</v>
      </c>
      <c r="GQ167" s="80">
        <f t="shared" si="188"/>
        <v>0</v>
      </c>
      <c r="GR167" s="80">
        <f t="shared" si="188"/>
        <v>0</v>
      </c>
      <c r="GS167" s="80">
        <f t="shared" si="188"/>
        <v>0</v>
      </c>
      <c r="GT167" s="80">
        <f t="shared" si="188"/>
        <v>0</v>
      </c>
      <c r="GU167" s="80">
        <f t="shared" si="188"/>
        <v>0</v>
      </c>
      <c r="GV167" s="80">
        <f t="shared" si="188"/>
        <v>0</v>
      </c>
      <c r="GW167" s="80">
        <f t="shared" si="188"/>
        <v>0</v>
      </c>
      <c r="GX167" s="80">
        <f t="shared" si="188"/>
        <v>0</v>
      </c>
    </row>
    <row r="168" spans="1:206" x14ac:dyDescent="0.2">
      <c r="A168" s="84">
        <v>1</v>
      </c>
      <c r="B168" s="84" t="s">
        <v>257</v>
      </c>
      <c r="W168" s="80">
        <f>IF(W$136=0,"",W134/W$136)</f>
        <v>0</v>
      </c>
      <c r="X168" s="80">
        <f t="shared" ref="X168:CI168" si="189">IF(X$136=0,"",X134/X$136)</f>
        <v>8.9467702910770594E-2</v>
      </c>
      <c r="Y168" s="80">
        <f t="shared" si="189"/>
        <v>0.16843243639563019</v>
      </c>
      <c r="Z168" s="80">
        <f t="shared" si="189"/>
        <v>0.24114671163575044</v>
      </c>
      <c r="AA168" s="80">
        <f t="shared" si="189"/>
        <v>0.24114671163575044</v>
      </c>
      <c r="AB168" s="80">
        <f t="shared" si="189"/>
        <v>0.39398049710389327</v>
      </c>
      <c r="AC168" s="80">
        <f t="shared" si="189"/>
        <v>0.30451279419312266</v>
      </c>
      <c r="AD168" s="80">
        <f t="shared" si="189"/>
        <v>0.22554806070826308</v>
      </c>
      <c r="AE168" s="80">
        <f t="shared" si="189"/>
        <v>0.15283378546814283</v>
      </c>
      <c r="AF168" s="80">
        <f t="shared" si="189"/>
        <v>0.2377190409854095</v>
      </c>
      <c r="AG168" s="80">
        <f t="shared" si="189"/>
        <v>8.4885255517266681E-2</v>
      </c>
      <c r="AH168" s="80">
        <f t="shared" si="189"/>
        <v>8.4885255517266681E-2</v>
      </c>
      <c r="AI168" s="80">
        <f t="shared" si="189"/>
        <v>0.17671750128308528</v>
      </c>
      <c r="AJ168" s="80">
        <f t="shared" si="189"/>
        <v>0.17671750128308528</v>
      </c>
      <c r="AK168" s="80">
        <f t="shared" si="189"/>
        <v>9.1832245765818624E-2</v>
      </c>
      <c r="AL168" s="80">
        <f t="shared" si="189"/>
        <v>0.15873597771097589</v>
      </c>
      <c r="AM168" s="80">
        <f t="shared" si="189"/>
        <v>0.15873597771097589</v>
      </c>
      <c r="AN168" s="80">
        <f t="shared" si="189"/>
        <v>6.690373194515728E-2</v>
      </c>
      <c r="AO168" s="80">
        <f t="shared" si="189"/>
        <v>0.10152870445047289</v>
      </c>
      <c r="AP168" s="80">
        <f t="shared" si="189"/>
        <v>0.10152870445047289</v>
      </c>
      <c r="AQ168" s="80">
        <f t="shared" si="189"/>
        <v>3.462497250531564E-2</v>
      </c>
      <c r="AR168" s="80">
        <f t="shared" si="189"/>
        <v>0.11941857907471222</v>
      </c>
      <c r="AS168" s="80">
        <f t="shared" si="189"/>
        <v>0.11941857907471222</v>
      </c>
      <c r="AT168" s="80">
        <f t="shared" si="189"/>
        <v>8.4793606569396565E-2</v>
      </c>
      <c r="AU168" s="80">
        <f t="shared" si="189"/>
        <v>8.4793606569396565E-2</v>
      </c>
      <c r="AV168" s="80">
        <f t="shared" si="189"/>
        <v>8.4793606569396565E-2</v>
      </c>
      <c r="AW168" s="80">
        <f t="shared" si="189"/>
        <v>0</v>
      </c>
      <c r="AX168" s="80">
        <f t="shared" si="189"/>
        <v>0</v>
      </c>
      <c r="AY168" s="80">
        <f t="shared" si="189"/>
        <v>0</v>
      </c>
      <c r="AZ168" s="80">
        <f t="shared" si="189"/>
        <v>0</v>
      </c>
      <c r="BA168" s="80">
        <f t="shared" si="189"/>
        <v>0</v>
      </c>
      <c r="BB168" s="80">
        <f t="shared" si="189"/>
        <v>0</v>
      </c>
      <c r="BC168" s="80">
        <f t="shared" si="189"/>
        <v>0</v>
      </c>
      <c r="BD168" s="80">
        <f t="shared" si="189"/>
        <v>0</v>
      </c>
      <c r="BE168" s="80">
        <f t="shared" si="189"/>
        <v>0</v>
      </c>
      <c r="BF168" s="80">
        <f t="shared" si="189"/>
        <v>0</v>
      </c>
      <c r="BG168" s="80">
        <f t="shared" si="189"/>
        <v>0</v>
      </c>
      <c r="BH168" s="80">
        <f t="shared" si="189"/>
        <v>0</v>
      </c>
      <c r="BI168" s="80">
        <f t="shared" si="189"/>
        <v>0</v>
      </c>
      <c r="BJ168" s="80">
        <f t="shared" si="189"/>
        <v>0</v>
      </c>
      <c r="BK168" s="80">
        <f t="shared" si="189"/>
        <v>0</v>
      </c>
      <c r="BL168" s="80">
        <f t="shared" si="189"/>
        <v>0</v>
      </c>
      <c r="BM168" s="80">
        <f t="shared" si="189"/>
        <v>0</v>
      </c>
      <c r="BN168" s="80">
        <f t="shared" si="189"/>
        <v>0</v>
      </c>
      <c r="BO168" s="80">
        <f t="shared" si="189"/>
        <v>0</v>
      </c>
      <c r="BP168" s="80">
        <f t="shared" si="189"/>
        <v>0</v>
      </c>
      <c r="BQ168" s="80">
        <f t="shared" si="189"/>
        <v>0</v>
      </c>
      <c r="BR168" s="80">
        <f t="shared" si="189"/>
        <v>0</v>
      </c>
      <c r="BS168" s="80">
        <f t="shared" si="189"/>
        <v>0</v>
      </c>
      <c r="BT168" s="80">
        <f t="shared" si="189"/>
        <v>0.11941857907471222</v>
      </c>
      <c r="BU168" s="80">
        <f t="shared" si="189"/>
        <v>0.19160129041718599</v>
      </c>
      <c r="BV168" s="80">
        <f t="shared" si="189"/>
        <v>0.29287337781362266</v>
      </c>
      <c r="BW168" s="80">
        <f t="shared" si="189"/>
        <v>0.3623982696678642</v>
      </c>
      <c r="BX168" s="80">
        <f t="shared" si="189"/>
        <v>0.53083070606349436</v>
      </c>
      <c r="BY168" s="80">
        <f t="shared" si="189"/>
        <v>0.48412640222890246</v>
      </c>
      <c r="BZ168" s="80">
        <f t="shared" si="189"/>
        <v>0.41194369088642857</v>
      </c>
      <c r="CA168" s="80">
        <f t="shared" si="189"/>
        <v>0.35011731065327367</v>
      </c>
      <c r="CB168" s="80">
        <f t="shared" si="189"/>
        <v>0.28059241879903224</v>
      </c>
      <c r="CC168" s="80">
        <f t="shared" si="189"/>
        <v>0.11215998240340201</v>
      </c>
      <c r="CD168" s="80">
        <f t="shared" si="189"/>
        <v>3.9445707163281767E-2</v>
      </c>
      <c r="CE168" s="80">
        <f t="shared" si="189"/>
        <v>3.9445707163281767E-2</v>
      </c>
      <c r="CF168" s="80">
        <f t="shared" si="189"/>
        <v>0</v>
      </c>
      <c r="CG168" s="80">
        <f t="shared" si="189"/>
        <v>0</v>
      </c>
      <c r="CH168" s="80">
        <f t="shared" si="189"/>
        <v>0.11338807830486107</v>
      </c>
      <c r="CI168" s="80">
        <f t="shared" si="189"/>
        <v>0.19827333382212775</v>
      </c>
      <c r="CJ168" s="80">
        <f t="shared" ref="CJ168:EU168" si="190">IF(CJ$136=0,"",CJ134/CJ$136)</f>
        <v>0.29010557958794636</v>
      </c>
      <c r="CK168" s="80">
        <f t="shared" si="190"/>
        <v>0.29010557958794636</v>
      </c>
      <c r="CL168" s="80">
        <f t="shared" si="190"/>
        <v>0.35700931153310367</v>
      </c>
      <c r="CM168" s="80">
        <f t="shared" si="190"/>
        <v>0.24362123322824256</v>
      </c>
      <c r="CN168" s="80">
        <f t="shared" si="190"/>
        <v>0.15873597771097589</v>
      </c>
      <c r="CO168" s="80">
        <f t="shared" si="190"/>
        <v>6.690373194515728E-2</v>
      </c>
      <c r="CP168" s="80">
        <f t="shared" si="190"/>
        <v>6.690373194515728E-2</v>
      </c>
      <c r="CQ168" s="80">
        <f t="shared" si="190"/>
        <v>0</v>
      </c>
      <c r="CR168" s="80">
        <f t="shared" si="190"/>
        <v>0</v>
      </c>
      <c r="CS168" s="80">
        <f t="shared" si="190"/>
        <v>0</v>
      </c>
      <c r="CT168" s="80">
        <f t="shared" si="190"/>
        <v>0</v>
      </c>
      <c r="CU168" s="80">
        <f t="shared" si="190"/>
        <v>0</v>
      </c>
      <c r="CV168" s="80">
        <f t="shared" si="190"/>
        <v>0</v>
      </c>
      <c r="CW168" s="80">
        <f t="shared" si="190"/>
        <v>0</v>
      </c>
      <c r="CX168" s="80">
        <f t="shared" si="190"/>
        <v>0</v>
      </c>
      <c r="CY168" s="80">
        <f t="shared" si="190"/>
        <v>0</v>
      </c>
      <c r="CZ168" s="80">
        <f t="shared" si="190"/>
        <v>0</v>
      </c>
      <c r="DA168" s="80">
        <f t="shared" si="190"/>
        <v>0</v>
      </c>
      <c r="DB168" s="80">
        <f t="shared" si="190"/>
        <v>0</v>
      </c>
      <c r="DC168" s="80">
        <f t="shared" si="190"/>
        <v>0</v>
      </c>
      <c r="DD168" s="80">
        <f t="shared" si="190"/>
        <v>0</v>
      </c>
      <c r="DE168" s="80">
        <f t="shared" si="190"/>
        <v>0</v>
      </c>
      <c r="DF168" s="80">
        <f t="shared" si="190"/>
        <v>0</v>
      </c>
      <c r="DG168" s="80">
        <f t="shared" si="190"/>
        <v>0</v>
      </c>
      <c r="DH168" s="80">
        <f t="shared" si="190"/>
        <v>0</v>
      </c>
      <c r="DI168" s="80">
        <f t="shared" si="190"/>
        <v>0</v>
      </c>
      <c r="DJ168" s="80">
        <f t="shared" si="190"/>
        <v>0</v>
      </c>
      <c r="DK168" s="80">
        <f t="shared" si="190"/>
        <v>0</v>
      </c>
      <c r="DL168" s="80">
        <f t="shared" si="190"/>
        <v>0</v>
      </c>
      <c r="DM168" s="80">
        <f t="shared" si="190"/>
        <v>0</v>
      </c>
      <c r="DN168" s="80">
        <f t="shared" si="190"/>
        <v>0</v>
      </c>
      <c r="DO168" s="80">
        <f t="shared" si="190"/>
        <v>0</v>
      </c>
      <c r="DP168" s="80">
        <f t="shared" si="190"/>
        <v>0</v>
      </c>
      <c r="DQ168" s="80">
        <f t="shared" si="190"/>
        <v>0</v>
      </c>
      <c r="DR168" s="80">
        <f t="shared" si="190"/>
        <v>0</v>
      </c>
      <c r="DS168" s="80">
        <f t="shared" si="190"/>
        <v>0</v>
      </c>
      <c r="DT168" s="80">
        <f t="shared" si="190"/>
        <v>0</v>
      </c>
      <c r="DU168" s="80">
        <f t="shared" si="190"/>
        <v>0</v>
      </c>
      <c r="DV168" s="80">
        <f t="shared" si="190"/>
        <v>0</v>
      </c>
      <c r="DW168" s="80">
        <f t="shared" si="190"/>
        <v>0</v>
      </c>
      <c r="DX168" s="80">
        <f t="shared" si="190"/>
        <v>0</v>
      </c>
      <c r="DY168" s="80">
        <f t="shared" si="190"/>
        <v>0</v>
      </c>
      <c r="DZ168" s="80">
        <f t="shared" si="190"/>
        <v>0</v>
      </c>
      <c r="EA168" s="80">
        <f t="shared" si="190"/>
        <v>0</v>
      </c>
      <c r="EB168" s="80">
        <f t="shared" si="190"/>
        <v>0</v>
      </c>
      <c r="EC168" s="80">
        <f t="shared" si="190"/>
        <v>0</v>
      </c>
      <c r="ED168" s="80">
        <f t="shared" si="190"/>
        <v>0</v>
      </c>
      <c r="EE168" s="80">
        <f t="shared" si="190"/>
        <v>0</v>
      </c>
      <c r="EF168" s="80">
        <f t="shared" si="190"/>
        <v>0</v>
      </c>
      <c r="EG168" s="80">
        <f t="shared" si="190"/>
        <v>0</v>
      </c>
      <c r="EH168" s="80">
        <f t="shared" si="190"/>
        <v>0</v>
      </c>
      <c r="EI168" s="80">
        <f t="shared" si="190"/>
        <v>0</v>
      </c>
      <c r="EJ168" s="80">
        <f t="shared" si="190"/>
        <v>0</v>
      </c>
      <c r="EK168" s="80">
        <f t="shared" si="190"/>
        <v>0</v>
      </c>
      <c r="EL168" s="80">
        <f t="shared" si="190"/>
        <v>0</v>
      </c>
      <c r="EM168" s="80">
        <f t="shared" si="190"/>
        <v>0</v>
      </c>
      <c r="EN168" s="80">
        <f t="shared" si="190"/>
        <v>0</v>
      </c>
      <c r="EO168" s="80">
        <f t="shared" si="190"/>
        <v>0</v>
      </c>
      <c r="EP168" s="80">
        <f t="shared" si="190"/>
        <v>0</v>
      </c>
      <c r="EQ168" s="80">
        <f t="shared" si="190"/>
        <v>0</v>
      </c>
      <c r="ER168" s="80">
        <f t="shared" si="190"/>
        <v>0</v>
      </c>
      <c r="ES168" s="80">
        <f t="shared" si="190"/>
        <v>0</v>
      </c>
      <c r="ET168" s="80">
        <f t="shared" si="190"/>
        <v>0</v>
      </c>
      <c r="EU168" s="80">
        <f t="shared" si="190"/>
        <v>0</v>
      </c>
      <c r="EV168" s="80">
        <f t="shared" ref="EV168:GX168" si="191">IF(EV$136=0,"",EV134/EV$136)</f>
        <v>0</v>
      </c>
      <c r="EW168" s="80">
        <f t="shared" si="191"/>
        <v>0</v>
      </c>
      <c r="EX168" s="80">
        <f t="shared" si="191"/>
        <v>0</v>
      </c>
      <c r="EY168" s="80">
        <f t="shared" si="191"/>
        <v>0</v>
      </c>
      <c r="EZ168" s="80">
        <f t="shared" si="191"/>
        <v>0</v>
      </c>
      <c r="FA168" s="80">
        <f t="shared" si="191"/>
        <v>0</v>
      </c>
      <c r="FB168" s="80">
        <f t="shared" si="191"/>
        <v>0</v>
      </c>
      <c r="FC168" s="80">
        <f t="shared" si="191"/>
        <v>0</v>
      </c>
      <c r="FD168" s="80">
        <f t="shared" si="191"/>
        <v>0</v>
      </c>
      <c r="FE168" s="80">
        <f t="shared" si="191"/>
        <v>0</v>
      </c>
      <c r="FF168" s="80">
        <f t="shared" si="191"/>
        <v>0</v>
      </c>
      <c r="FG168" s="80">
        <f t="shared" si="191"/>
        <v>0</v>
      </c>
      <c r="FH168" s="80">
        <f t="shared" si="191"/>
        <v>0</v>
      </c>
      <c r="FI168" s="80">
        <f t="shared" si="191"/>
        <v>0</v>
      </c>
      <c r="FJ168" s="80">
        <f t="shared" si="191"/>
        <v>0</v>
      </c>
      <c r="FK168" s="80">
        <f t="shared" si="191"/>
        <v>0</v>
      </c>
      <c r="FL168" s="80">
        <f t="shared" si="191"/>
        <v>0</v>
      </c>
      <c r="FM168" s="80">
        <f t="shared" si="191"/>
        <v>0</v>
      </c>
      <c r="FN168" s="80">
        <f t="shared" si="191"/>
        <v>0</v>
      </c>
      <c r="FO168" s="80">
        <f t="shared" si="191"/>
        <v>0</v>
      </c>
      <c r="FP168" s="80">
        <f t="shared" si="191"/>
        <v>0</v>
      </c>
      <c r="FQ168" s="80">
        <f t="shared" si="191"/>
        <v>0</v>
      </c>
      <c r="FR168" s="80">
        <f t="shared" si="191"/>
        <v>0</v>
      </c>
      <c r="FS168" s="80">
        <f t="shared" si="191"/>
        <v>0</v>
      </c>
      <c r="FT168" s="80">
        <f t="shared" si="191"/>
        <v>0</v>
      </c>
      <c r="FU168" s="80">
        <f t="shared" si="191"/>
        <v>0</v>
      </c>
      <c r="FV168" s="80">
        <f t="shared" si="191"/>
        <v>0</v>
      </c>
      <c r="FW168" s="80">
        <f t="shared" si="191"/>
        <v>0</v>
      </c>
      <c r="FX168" s="80">
        <f t="shared" si="191"/>
        <v>0</v>
      </c>
      <c r="FY168" s="80">
        <f t="shared" si="191"/>
        <v>0</v>
      </c>
      <c r="FZ168" s="80">
        <f t="shared" si="191"/>
        <v>0</v>
      </c>
      <c r="GA168" s="80">
        <f t="shared" si="191"/>
        <v>0</v>
      </c>
      <c r="GB168" s="80">
        <f t="shared" si="191"/>
        <v>0</v>
      </c>
      <c r="GC168" s="80">
        <f t="shared" si="191"/>
        <v>0</v>
      </c>
      <c r="GD168" s="80">
        <f t="shared" si="191"/>
        <v>0</v>
      </c>
      <c r="GE168" s="80">
        <f t="shared" si="191"/>
        <v>0</v>
      </c>
      <c r="GF168" s="80">
        <f t="shared" si="191"/>
        <v>0</v>
      </c>
      <c r="GG168" s="80">
        <f t="shared" si="191"/>
        <v>0</v>
      </c>
      <c r="GH168" s="80">
        <f t="shared" si="191"/>
        <v>0</v>
      </c>
      <c r="GI168" s="80">
        <f t="shared" si="191"/>
        <v>0</v>
      </c>
      <c r="GJ168" s="80">
        <f t="shared" si="191"/>
        <v>0</v>
      </c>
      <c r="GK168" s="80">
        <f t="shared" si="191"/>
        <v>0</v>
      </c>
      <c r="GL168" s="80">
        <f t="shared" si="191"/>
        <v>0</v>
      </c>
      <c r="GM168" s="80">
        <f t="shared" si="191"/>
        <v>0</v>
      </c>
      <c r="GN168" s="80">
        <f t="shared" si="191"/>
        <v>0</v>
      </c>
      <c r="GO168" s="80">
        <f t="shared" si="191"/>
        <v>0</v>
      </c>
      <c r="GP168" s="80">
        <f t="shared" si="191"/>
        <v>0</v>
      </c>
      <c r="GQ168" s="80">
        <f t="shared" si="191"/>
        <v>0</v>
      </c>
      <c r="GR168" s="80">
        <f t="shared" si="191"/>
        <v>0</v>
      </c>
      <c r="GS168" s="80">
        <f t="shared" si="191"/>
        <v>0</v>
      </c>
      <c r="GT168" s="80">
        <f t="shared" si="191"/>
        <v>0</v>
      </c>
      <c r="GU168" s="80">
        <f t="shared" si="191"/>
        <v>0</v>
      </c>
      <c r="GV168" s="80">
        <f t="shared" si="191"/>
        <v>0</v>
      </c>
      <c r="GW168" s="80">
        <f t="shared" si="191"/>
        <v>0</v>
      </c>
      <c r="GX168" s="80">
        <f t="shared" si="191"/>
        <v>0</v>
      </c>
    </row>
    <row r="169" spans="1:206" x14ac:dyDescent="0.2">
      <c r="A169" s="84">
        <v>1</v>
      </c>
      <c r="B169" s="84" t="s">
        <v>259</v>
      </c>
      <c r="W169" s="80">
        <f>IF(W$136=0,"",W135/W$136)</f>
        <v>0.24297969059315203</v>
      </c>
      <c r="X169" s="80">
        <f t="shared" ref="X169:CI169" si="192">IF(X$136=0,"",X135/X$136)</f>
        <v>0.24297969059315203</v>
      </c>
      <c r="Y169" s="80">
        <f t="shared" si="192"/>
        <v>0.24297969059315203</v>
      </c>
      <c r="Z169" s="80">
        <f t="shared" si="192"/>
        <v>0.24297969059315203</v>
      </c>
      <c r="AA169" s="80">
        <f t="shared" si="192"/>
        <v>0.24297969059315203</v>
      </c>
      <c r="AB169" s="80">
        <f t="shared" si="192"/>
        <v>0.17079697925067824</v>
      </c>
      <c r="AC169" s="80">
        <f t="shared" si="192"/>
        <v>0.26026468216144882</v>
      </c>
      <c r="AD169" s="80">
        <f t="shared" si="192"/>
        <v>0.33922941564630837</v>
      </c>
      <c r="AE169" s="80">
        <f t="shared" si="192"/>
        <v>0.31067160348999201</v>
      </c>
      <c r="AF169" s="80">
        <f t="shared" si="192"/>
        <v>0.31067160348999201</v>
      </c>
      <c r="AG169" s="80">
        <f t="shared" si="192"/>
        <v>0.46350538895813481</v>
      </c>
      <c r="AH169" s="80">
        <f t="shared" si="192"/>
        <v>0.39398049710389327</v>
      </c>
      <c r="AI169" s="80">
        <f t="shared" si="192"/>
        <v>0.30451279419312266</v>
      </c>
      <c r="AJ169" s="80">
        <f t="shared" si="192"/>
        <v>0.30451279419312266</v>
      </c>
      <c r="AK169" s="80">
        <f t="shared" si="192"/>
        <v>0.31043331622552978</v>
      </c>
      <c r="AL169" s="80">
        <f t="shared" si="192"/>
        <v>0.2377190409854095</v>
      </c>
      <c r="AM169" s="80">
        <f t="shared" si="192"/>
        <v>0.19827333382212775</v>
      </c>
      <c r="AN169" s="80">
        <f t="shared" si="192"/>
        <v>0.29010557958794636</v>
      </c>
      <c r="AO169" s="80">
        <f t="shared" si="192"/>
        <v>0.29010557958794631</v>
      </c>
      <c r="AP169" s="80">
        <f t="shared" si="192"/>
        <v>0.29010557958794631</v>
      </c>
      <c r="AQ169" s="80">
        <f t="shared" si="192"/>
        <v>0.24362123322824256</v>
      </c>
      <c r="AR169" s="80">
        <f t="shared" si="192"/>
        <v>0.15873597771097586</v>
      </c>
      <c r="AS169" s="80">
        <f t="shared" si="192"/>
        <v>6.6903731945157266E-2</v>
      </c>
      <c r="AT169" s="80">
        <f t="shared" si="192"/>
        <v>0.10152870445047289</v>
      </c>
      <c r="AU169" s="80">
        <f t="shared" si="192"/>
        <v>3.4624972505315633E-2</v>
      </c>
      <c r="AV169" s="80">
        <f t="shared" si="192"/>
        <v>3.4624972505315633E-2</v>
      </c>
      <c r="AW169" s="80">
        <f t="shared" si="192"/>
        <v>0</v>
      </c>
      <c r="AX169" s="80">
        <f t="shared" si="192"/>
        <v>0</v>
      </c>
      <c r="AY169" s="80">
        <f t="shared" si="192"/>
        <v>0</v>
      </c>
      <c r="AZ169" s="80">
        <f t="shared" si="192"/>
        <v>0</v>
      </c>
      <c r="BA169" s="80">
        <f t="shared" si="192"/>
        <v>0</v>
      </c>
      <c r="BB169" s="80">
        <f t="shared" si="192"/>
        <v>0</v>
      </c>
      <c r="BC169" s="80">
        <f t="shared" si="192"/>
        <v>0</v>
      </c>
      <c r="BD169" s="80">
        <f t="shared" si="192"/>
        <v>0</v>
      </c>
      <c r="BE169" s="80">
        <f t="shared" si="192"/>
        <v>0</v>
      </c>
      <c r="BF169" s="80">
        <f t="shared" si="192"/>
        <v>0</v>
      </c>
      <c r="BG169" s="80">
        <f t="shared" si="192"/>
        <v>0</v>
      </c>
      <c r="BH169" s="80">
        <f t="shared" si="192"/>
        <v>0</v>
      </c>
      <c r="BI169" s="80">
        <f t="shared" si="192"/>
        <v>0</v>
      </c>
      <c r="BJ169" s="80">
        <f t="shared" si="192"/>
        <v>0</v>
      </c>
      <c r="BK169" s="80">
        <f t="shared" si="192"/>
        <v>0</v>
      </c>
      <c r="BL169" s="80">
        <f t="shared" si="192"/>
        <v>0</v>
      </c>
      <c r="BM169" s="80">
        <f t="shared" si="192"/>
        <v>0</v>
      </c>
      <c r="BN169" s="80">
        <f t="shared" si="192"/>
        <v>0</v>
      </c>
      <c r="BO169" s="80">
        <f t="shared" si="192"/>
        <v>0</v>
      </c>
      <c r="BP169" s="80">
        <f t="shared" si="192"/>
        <v>0</v>
      </c>
      <c r="BQ169" s="80">
        <f t="shared" si="192"/>
        <v>0</v>
      </c>
      <c r="BR169" s="80">
        <f t="shared" si="192"/>
        <v>0</v>
      </c>
      <c r="BS169" s="80">
        <f t="shared" si="192"/>
        <v>0</v>
      </c>
      <c r="BT169" s="80">
        <f t="shared" si="192"/>
        <v>0</v>
      </c>
      <c r="BU169" s="80">
        <f t="shared" si="192"/>
        <v>0</v>
      </c>
      <c r="BV169" s="80">
        <f t="shared" si="192"/>
        <v>0</v>
      </c>
      <c r="BW169" s="80">
        <f t="shared" si="192"/>
        <v>0</v>
      </c>
      <c r="BX169" s="80">
        <f t="shared" si="192"/>
        <v>0</v>
      </c>
      <c r="BY169" s="80">
        <f t="shared" si="192"/>
        <v>0.11941857907471225</v>
      </c>
      <c r="BZ169" s="80">
        <f t="shared" si="192"/>
        <v>0.19160129041718599</v>
      </c>
      <c r="CA169" s="80">
        <f t="shared" si="192"/>
        <v>0.29287337781362266</v>
      </c>
      <c r="CB169" s="80">
        <f t="shared" si="192"/>
        <v>0.3623982696678642</v>
      </c>
      <c r="CC169" s="80">
        <f t="shared" si="192"/>
        <v>0.53083070606349436</v>
      </c>
      <c r="CD169" s="80">
        <f t="shared" si="192"/>
        <v>0.60354498130361467</v>
      </c>
      <c r="CE169" s="80">
        <f t="shared" si="192"/>
        <v>0.60354498130361467</v>
      </c>
      <c r="CF169" s="80">
        <f t="shared" si="192"/>
        <v>0.64299068846689644</v>
      </c>
      <c r="CG169" s="80">
        <f t="shared" si="192"/>
        <v>0.64299068846689644</v>
      </c>
      <c r="CH169" s="80">
        <f t="shared" si="192"/>
        <v>0.64299068846689644</v>
      </c>
      <c r="CI169" s="80">
        <f t="shared" si="192"/>
        <v>0.64299068846689644</v>
      </c>
      <c r="CJ169" s="80">
        <f t="shared" ref="CJ169:EU169" si="193">IF(CJ$136=0,"",CJ135/CJ$136)</f>
        <v>0.64299068846689644</v>
      </c>
      <c r="CK169" s="80">
        <f t="shared" si="193"/>
        <v>0.64299068846689644</v>
      </c>
      <c r="CL169" s="80">
        <f t="shared" si="193"/>
        <v>0.64299068846689644</v>
      </c>
      <c r="CM169" s="80">
        <f t="shared" si="193"/>
        <v>0.75637876677175753</v>
      </c>
      <c r="CN169" s="80">
        <f t="shared" si="193"/>
        <v>0.84126402228902419</v>
      </c>
      <c r="CO169" s="80">
        <f t="shared" si="193"/>
        <v>0.9330962680548428</v>
      </c>
      <c r="CP169" s="80">
        <f t="shared" si="193"/>
        <v>0.9330962680548428</v>
      </c>
      <c r="CQ169" s="80">
        <f t="shared" si="193"/>
        <v>1</v>
      </c>
      <c r="CR169" s="80">
        <f t="shared" si="193"/>
        <v>1</v>
      </c>
      <c r="CS169" s="80">
        <f t="shared" si="193"/>
        <v>1</v>
      </c>
      <c r="CT169" s="80">
        <f t="shared" si="193"/>
        <v>1</v>
      </c>
      <c r="CU169" s="80">
        <f t="shared" si="193"/>
        <v>1</v>
      </c>
      <c r="CV169" s="80">
        <f t="shared" si="193"/>
        <v>1</v>
      </c>
      <c r="CW169" s="80">
        <f t="shared" si="193"/>
        <v>1</v>
      </c>
      <c r="CX169" s="80">
        <f t="shared" si="193"/>
        <v>1</v>
      </c>
      <c r="CY169" s="80">
        <f t="shared" si="193"/>
        <v>1</v>
      </c>
      <c r="CZ169" s="80">
        <f t="shared" si="193"/>
        <v>1</v>
      </c>
      <c r="DA169" s="80">
        <f t="shared" si="193"/>
        <v>1</v>
      </c>
      <c r="DB169" s="80">
        <f t="shared" si="193"/>
        <v>1</v>
      </c>
      <c r="DC169" s="80">
        <f t="shared" si="193"/>
        <v>1</v>
      </c>
      <c r="DD169" s="80">
        <f t="shared" si="193"/>
        <v>1</v>
      </c>
      <c r="DE169" s="80">
        <f t="shared" si="193"/>
        <v>1</v>
      </c>
      <c r="DF169" s="80">
        <f t="shared" si="193"/>
        <v>1</v>
      </c>
      <c r="DG169" s="80">
        <f t="shared" si="193"/>
        <v>1</v>
      </c>
      <c r="DH169" s="80">
        <f t="shared" si="193"/>
        <v>1</v>
      </c>
      <c r="DI169" s="80">
        <f t="shared" si="193"/>
        <v>1</v>
      </c>
      <c r="DJ169" s="80">
        <f t="shared" si="193"/>
        <v>1</v>
      </c>
      <c r="DK169" s="80">
        <f t="shared" si="193"/>
        <v>1</v>
      </c>
      <c r="DL169" s="80">
        <f t="shared" si="193"/>
        <v>1</v>
      </c>
      <c r="DM169" s="80">
        <f t="shared" si="193"/>
        <v>1</v>
      </c>
      <c r="DN169" s="80">
        <f t="shared" si="193"/>
        <v>1</v>
      </c>
      <c r="DO169" s="80">
        <f t="shared" si="193"/>
        <v>1</v>
      </c>
      <c r="DP169" s="80">
        <f t="shared" si="193"/>
        <v>1</v>
      </c>
      <c r="DQ169" s="80">
        <f t="shared" si="193"/>
        <v>1</v>
      </c>
      <c r="DR169" s="80">
        <f t="shared" si="193"/>
        <v>1</v>
      </c>
      <c r="DS169" s="80">
        <f t="shared" si="193"/>
        <v>1</v>
      </c>
      <c r="DT169" s="80">
        <f t="shared" si="193"/>
        <v>1</v>
      </c>
      <c r="DU169" s="80">
        <f t="shared" si="193"/>
        <v>1</v>
      </c>
      <c r="DV169" s="80">
        <f t="shared" si="193"/>
        <v>1</v>
      </c>
      <c r="DW169" s="80">
        <f t="shared" si="193"/>
        <v>1</v>
      </c>
      <c r="DX169" s="80">
        <f t="shared" si="193"/>
        <v>1</v>
      </c>
      <c r="DY169" s="80">
        <f t="shared" si="193"/>
        <v>1</v>
      </c>
      <c r="DZ169" s="80">
        <f t="shared" si="193"/>
        <v>1</v>
      </c>
      <c r="EA169" s="80">
        <f t="shared" si="193"/>
        <v>1</v>
      </c>
      <c r="EB169" s="80">
        <f t="shared" si="193"/>
        <v>1</v>
      </c>
      <c r="EC169" s="80">
        <f t="shared" si="193"/>
        <v>1</v>
      </c>
      <c r="ED169" s="80">
        <f t="shared" si="193"/>
        <v>1</v>
      </c>
      <c r="EE169" s="80">
        <f t="shared" si="193"/>
        <v>1</v>
      </c>
      <c r="EF169" s="80">
        <f t="shared" si="193"/>
        <v>1</v>
      </c>
      <c r="EG169" s="80">
        <f t="shared" si="193"/>
        <v>1</v>
      </c>
      <c r="EH169" s="80">
        <f t="shared" si="193"/>
        <v>1</v>
      </c>
      <c r="EI169" s="80">
        <f t="shared" si="193"/>
        <v>1</v>
      </c>
      <c r="EJ169" s="80">
        <f t="shared" si="193"/>
        <v>1</v>
      </c>
      <c r="EK169" s="80">
        <f t="shared" si="193"/>
        <v>1</v>
      </c>
      <c r="EL169" s="80">
        <f t="shared" si="193"/>
        <v>1</v>
      </c>
      <c r="EM169" s="80">
        <f t="shared" si="193"/>
        <v>1</v>
      </c>
      <c r="EN169" s="80">
        <f t="shared" si="193"/>
        <v>1</v>
      </c>
      <c r="EO169" s="80">
        <f t="shared" si="193"/>
        <v>1</v>
      </c>
      <c r="EP169" s="80">
        <f t="shared" si="193"/>
        <v>1</v>
      </c>
      <c r="EQ169" s="80">
        <f t="shared" si="193"/>
        <v>1</v>
      </c>
      <c r="ER169" s="80">
        <f t="shared" si="193"/>
        <v>1</v>
      </c>
      <c r="ES169" s="80">
        <f t="shared" si="193"/>
        <v>1</v>
      </c>
      <c r="ET169" s="80">
        <f t="shared" si="193"/>
        <v>1</v>
      </c>
      <c r="EU169" s="80">
        <f t="shared" si="193"/>
        <v>1</v>
      </c>
      <c r="EV169" s="80">
        <f t="shared" ref="EV169:GX169" si="194">IF(EV$136=0,"",EV135/EV$136)</f>
        <v>1</v>
      </c>
      <c r="EW169" s="80">
        <f t="shared" si="194"/>
        <v>1</v>
      </c>
      <c r="EX169" s="80">
        <f t="shared" si="194"/>
        <v>1</v>
      </c>
      <c r="EY169" s="80">
        <f t="shared" si="194"/>
        <v>1</v>
      </c>
      <c r="EZ169" s="80">
        <f t="shared" si="194"/>
        <v>1</v>
      </c>
      <c r="FA169" s="80">
        <f t="shared" si="194"/>
        <v>1</v>
      </c>
      <c r="FB169" s="80">
        <f t="shared" si="194"/>
        <v>1</v>
      </c>
      <c r="FC169" s="80">
        <f t="shared" si="194"/>
        <v>1</v>
      </c>
      <c r="FD169" s="80">
        <f t="shared" si="194"/>
        <v>1</v>
      </c>
      <c r="FE169" s="80">
        <f t="shared" si="194"/>
        <v>1</v>
      </c>
      <c r="FF169" s="80">
        <f t="shared" si="194"/>
        <v>1</v>
      </c>
      <c r="FG169" s="80">
        <f t="shared" si="194"/>
        <v>1</v>
      </c>
      <c r="FH169" s="80">
        <f t="shared" si="194"/>
        <v>1</v>
      </c>
      <c r="FI169" s="80">
        <f t="shared" si="194"/>
        <v>1</v>
      </c>
      <c r="FJ169" s="80">
        <f t="shared" si="194"/>
        <v>1</v>
      </c>
      <c r="FK169" s="80">
        <f t="shared" si="194"/>
        <v>1</v>
      </c>
      <c r="FL169" s="80">
        <f t="shared" si="194"/>
        <v>1</v>
      </c>
      <c r="FM169" s="80">
        <f t="shared" si="194"/>
        <v>1</v>
      </c>
      <c r="FN169" s="80">
        <f t="shared" si="194"/>
        <v>1</v>
      </c>
      <c r="FO169" s="80">
        <f t="shared" si="194"/>
        <v>1</v>
      </c>
      <c r="FP169" s="80">
        <f t="shared" si="194"/>
        <v>1</v>
      </c>
      <c r="FQ169" s="80">
        <f t="shared" si="194"/>
        <v>1</v>
      </c>
      <c r="FR169" s="80">
        <f t="shared" si="194"/>
        <v>1</v>
      </c>
      <c r="FS169" s="80">
        <f t="shared" si="194"/>
        <v>1</v>
      </c>
      <c r="FT169" s="80">
        <f t="shared" si="194"/>
        <v>1</v>
      </c>
      <c r="FU169" s="80">
        <f t="shared" si="194"/>
        <v>1</v>
      </c>
      <c r="FV169" s="80">
        <f t="shared" si="194"/>
        <v>1</v>
      </c>
      <c r="FW169" s="80">
        <f t="shared" si="194"/>
        <v>1</v>
      </c>
      <c r="FX169" s="80">
        <f t="shared" si="194"/>
        <v>1</v>
      </c>
      <c r="FY169" s="80">
        <f t="shared" si="194"/>
        <v>1</v>
      </c>
      <c r="FZ169" s="80">
        <f t="shared" si="194"/>
        <v>1</v>
      </c>
      <c r="GA169" s="80">
        <f t="shared" si="194"/>
        <v>1</v>
      </c>
      <c r="GB169" s="80">
        <f t="shared" si="194"/>
        <v>1</v>
      </c>
      <c r="GC169" s="80">
        <f t="shared" si="194"/>
        <v>1</v>
      </c>
      <c r="GD169" s="80">
        <f t="shared" si="194"/>
        <v>1</v>
      </c>
      <c r="GE169" s="80">
        <f t="shared" si="194"/>
        <v>1</v>
      </c>
      <c r="GF169" s="80">
        <f t="shared" si="194"/>
        <v>1</v>
      </c>
      <c r="GG169" s="80">
        <f t="shared" si="194"/>
        <v>1</v>
      </c>
      <c r="GH169" s="80">
        <f t="shared" si="194"/>
        <v>1</v>
      </c>
      <c r="GI169" s="80">
        <f t="shared" si="194"/>
        <v>1</v>
      </c>
      <c r="GJ169" s="80">
        <f t="shared" si="194"/>
        <v>1</v>
      </c>
      <c r="GK169" s="80">
        <f t="shared" si="194"/>
        <v>1</v>
      </c>
      <c r="GL169" s="80">
        <f t="shared" si="194"/>
        <v>1</v>
      </c>
      <c r="GM169" s="80">
        <f t="shared" si="194"/>
        <v>1</v>
      </c>
      <c r="GN169" s="80">
        <f t="shared" si="194"/>
        <v>1</v>
      </c>
      <c r="GO169" s="80">
        <f t="shared" si="194"/>
        <v>1</v>
      </c>
      <c r="GP169" s="80">
        <f t="shared" si="194"/>
        <v>1</v>
      </c>
      <c r="GQ169" s="80">
        <f t="shared" si="194"/>
        <v>1</v>
      </c>
      <c r="GR169" s="80">
        <f t="shared" si="194"/>
        <v>1</v>
      </c>
      <c r="GS169" s="80">
        <f t="shared" si="194"/>
        <v>1</v>
      </c>
      <c r="GT169" s="80">
        <f t="shared" si="194"/>
        <v>1</v>
      </c>
      <c r="GU169" s="80">
        <f t="shared" si="194"/>
        <v>1</v>
      </c>
      <c r="GV169" s="80">
        <f t="shared" si="194"/>
        <v>1</v>
      </c>
      <c r="GW169" s="80">
        <f t="shared" si="194"/>
        <v>1</v>
      </c>
      <c r="GX169" s="80">
        <f t="shared" si="194"/>
        <v>1</v>
      </c>
    </row>
    <row r="170" spans="1:206" x14ac:dyDescent="0.2">
      <c r="A170" s="84"/>
      <c r="B170" s="84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80"/>
      <c r="AP170" s="80"/>
      <c r="AQ170" s="80"/>
      <c r="AR170" s="80"/>
      <c r="AS170" s="80"/>
      <c r="AT170" s="80"/>
      <c r="AU170" s="80"/>
      <c r="AV170" s="80"/>
      <c r="AW170" s="80"/>
      <c r="AX170" s="80"/>
      <c r="AY170" s="80"/>
      <c r="AZ170" s="80"/>
      <c r="BA170" s="80"/>
      <c r="BB170" s="80"/>
      <c r="BC170" s="80"/>
      <c r="BD170" s="80"/>
      <c r="BE170" s="80"/>
      <c r="BF170" s="80"/>
      <c r="BG170" s="80"/>
      <c r="BH170" s="80"/>
      <c r="BI170" s="80"/>
      <c r="BJ170" s="80"/>
      <c r="BK170" s="80"/>
      <c r="BL170" s="80"/>
      <c r="BM170" s="80"/>
      <c r="BN170" s="80"/>
      <c r="BO170" s="80"/>
      <c r="BP170" s="80"/>
      <c r="BQ170" s="80"/>
      <c r="BR170" s="80"/>
      <c r="BS170" s="80"/>
      <c r="BT170" s="80"/>
      <c r="BU170" s="80"/>
      <c r="BV170" s="80"/>
      <c r="BW170" s="80"/>
      <c r="BX170" s="80"/>
      <c r="BY170" s="80"/>
      <c r="BZ170" s="80"/>
      <c r="CA170" s="80"/>
      <c r="CB170" s="80"/>
      <c r="CC170" s="80"/>
      <c r="CD170" s="80"/>
      <c r="CE170" s="80"/>
      <c r="CF170" s="80"/>
      <c r="CG170" s="80"/>
      <c r="CH170" s="80"/>
      <c r="CI170" s="80"/>
      <c r="CJ170" s="80"/>
      <c r="CK170" s="80"/>
      <c r="CL170" s="80"/>
      <c r="CM170" s="80"/>
      <c r="CN170" s="80"/>
      <c r="CO170" s="80"/>
      <c r="CP170" s="80"/>
      <c r="CQ170" s="80"/>
      <c r="CR170" s="80"/>
      <c r="CS170" s="80"/>
      <c r="CT170" s="80"/>
      <c r="CU170" s="80"/>
      <c r="CV170" s="80"/>
      <c r="CW170" s="80"/>
      <c r="CX170" s="80"/>
      <c r="CY170" s="80"/>
      <c r="CZ170" s="80"/>
      <c r="DA170" s="80"/>
      <c r="DB170" s="80"/>
      <c r="DC170" s="80"/>
      <c r="DD170" s="80"/>
      <c r="DE170" s="80"/>
      <c r="DF170" s="80"/>
      <c r="DG170" s="80"/>
      <c r="DH170" s="80"/>
      <c r="DI170" s="80"/>
      <c r="DJ170" s="80"/>
      <c r="DK170" s="80"/>
      <c r="DL170" s="80"/>
      <c r="DM170" s="80"/>
      <c r="DN170" s="80"/>
      <c r="DO170" s="80"/>
      <c r="DP170" s="80"/>
      <c r="DQ170" s="80"/>
      <c r="DR170" s="80"/>
      <c r="DS170" s="80"/>
      <c r="DT170" s="80"/>
      <c r="DU170" s="80"/>
      <c r="DV170" s="80"/>
      <c r="DW170" s="80"/>
      <c r="DX170" s="80"/>
      <c r="DY170" s="80"/>
      <c r="DZ170" s="80"/>
      <c r="EA170" s="80"/>
      <c r="EB170" s="80"/>
      <c r="EC170" s="80"/>
      <c r="ED170" s="80"/>
      <c r="EE170" s="80"/>
      <c r="EF170" s="80"/>
      <c r="EG170" s="80"/>
      <c r="EH170" s="80"/>
      <c r="EI170" s="80"/>
      <c r="EJ170" s="80"/>
      <c r="EK170" s="80"/>
      <c r="EL170" s="80"/>
      <c r="EM170" s="80"/>
      <c r="EN170" s="80"/>
      <c r="EO170" s="80"/>
      <c r="EP170" s="80"/>
      <c r="EQ170" s="80"/>
      <c r="ER170" s="80"/>
      <c r="ES170" s="80"/>
      <c r="ET170" s="80"/>
      <c r="EU170" s="80"/>
      <c r="EV170" s="80"/>
      <c r="EW170" s="80"/>
      <c r="EX170" s="80"/>
      <c r="EY170" s="80"/>
      <c r="EZ170" s="80"/>
      <c r="FA170" s="80"/>
      <c r="FB170" s="80"/>
      <c r="FC170" s="80"/>
      <c r="FD170" s="80"/>
      <c r="FE170" s="80"/>
      <c r="FF170" s="80"/>
      <c r="FG170" s="80"/>
      <c r="FH170" s="80"/>
      <c r="FI170" s="80"/>
      <c r="FJ170" s="80"/>
      <c r="FK170" s="80"/>
      <c r="FL170" s="80"/>
      <c r="FM170" s="80"/>
      <c r="FN170" s="80"/>
      <c r="FO170" s="80"/>
      <c r="FP170" s="80"/>
      <c r="FQ170" s="80"/>
      <c r="FR170" s="80"/>
      <c r="FS170" s="80"/>
      <c r="FT170" s="80"/>
      <c r="FU170" s="80"/>
      <c r="FV170" s="80"/>
      <c r="FW170" s="80"/>
      <c r="FX170" s="80"/>
      <c r="FY170" s="80"/>
      <c r="FZ170" s="80"/>
      <c r="GA170" s="80"/>
      <c r="GB170" s="80"/>
      <c r="GC170" s="80"/>
      <c r="GD170" s="80"/>
      <c r="GE170" s="80"/>
      <c r="GF170" s="80"/>
      <c r="GG170" s="80"/>
      <c r="GH170" s="80"/>
      <c r="GI170" s="80"/>
      <c r="GJ170" s="80"/>
      <c r="GK170" s="80"/>
      <c r="GL170" s="80"/>
      <c r="GM170" s="80"/>
      <c r="GN170" s="80"/>
      <c r="GO170" s="80"/>
      <c r="GP170" s="80"/>
      <c r="GQ170" s="80"/>
      <c r="GR170" s="80"/>
      <c r="GS170" s="80"/>
      <c r="GT170" s="80"/>
      <c r="GU170" s="80"/>
      <c r="GV170" s="80"/>
      <c r="GW170" s="80"/>
      <c r="GX170" s="80"/>
    </row>
    <row r="171" spans="1:206" x14ac:dyDescent="0.2">
      <c r="A171" s="84">
        <v>2</v>
      </c>
      <c r="B171" s="84" t="s">
        <v>11</v>
      </c>
      <c r="W171" s="80">
        <f>IF(W$142=0,"",W137/W$142)</f>
        <v>0.53682932214616907</v>
      </c>
      <c r="X171" s="80">
        <f t="shared" ref="X171:CI171" si="195">IF(X$142=0,"",X137/X$142)</f>
        <v>0.3990290068829892</v>
      </c>
      <c r="Y171" s="80">
        <f t="shared" si="195"/>
        <v>0.3990290068829892</v>
      </c>
      <c r="Z171" s="80">
        <f t="shared" si="195"/>
        <v>0.38077396158576965</v>
      </c>
      <c r="AA171" s="80">
        <f t="shared" si="195"/>
        <v>0.38077396158576965</v>
      </c>
      <c r="AB171" s="80">
        <f t="shared" si="195"/>
        <v>0.32733465796196426</v>
      </c>
      <c r="AC171" s="80">
        <f t="shared" si="195"/>
        <v>0.3273346579619642</v>
      </c>
      <c r="AD171" s="80">
        <f t="shared" si="195"/>
        <v>0.1978427476582458</v>
      </c>
      <c r="AE171" s="80">
        <f t="shared" si="195"/>
        <v>0.26167092440155171</v>
      </c>
      <c r="AF171" s="80">
        <f t="shared" si="195"/>
        <v>0.24060932917021477</v>
      </c>
      <c r="AG171" s="80">
        <f t="shared" si="195"/>
        <v>0.24060932917021483</v>
      </c>
      <c r="AH171" s="80">
        <f t="shared" si="195"/>
        <v>0.20679345254991011</v>
      </c>
      <c r="AI171" s="80">
        <f t="shared" si="195"/>
        <v>0.20679345254991011</v>
      </c>
      <c r="AJ171" s="80">
        <f t="shared" si="195"/>
        <v>0.20679345254991011</v>
      </c>
      <c r="AK171" s="80">
        <f t="shared" si="195"/>
        <v>0.14007001608477621</v>
      </c>
      <c r="AL171" s="80">
        <f t="shared" si="195"/>
        <v>0.14007001608477621</v>
      </c>
      <c r="AM171" s="80">
        <f t="shared" si="195"/>
        <v>0.14584161226227643</v>
      </c>
      <c r="AN171" s="80">
        <f t="shared" si="195"/>
        <v>0.19776705459362282</v>
      </c>
      <c r="AO171" s="80">
        <f t="shared" si="195"/>
        <v>0.19776705459362282</v>
      </c>
      <c r="AP171" s="80">
        <f t="shared" si="195"/>
        <v>0.22257545652379598</v>
      </c>
      <c r="AQ171" s="80">
        <f t="shared" si="195"/>
        <v>0.23580281956665719</v>
      </c>
      <c r="AR171" s="80">
        <f t="shared" si="195"/>
        <v>0.3331251774056202</v>
      </c>
      <c r="AS171" s="80">
        <f t="shared" si="195"/>
        <v>0.49132368246759384</v>
      </c>
      <c r="AT171" s="80">
        <f t="shared" si="195"/>
        <v>0.49132368246759384</v>
      </c>
      <c r="AU171" s="80">
        <f t="shared" si="195"/>
        <v>0.53289809821175138</v>
      </c>
      <c r="AV171" s="80">
        <f t="shared" si="195"/>
        <v>0.53289809821175138</v>
      </c>
      <c r="AW171" s="80">
        <f t="shared" si="195"/>
        <v>0.53289809821175138</v>
      </c>
      <c r="AX171" s="80">
        <f t="shared" si="195"/>
        <v>0.55539786167092442</v>
      </c>
      <c r="AY171" s="80">
        <f t="shared" si="195"/>
        <v>0.58223105307976164</v>
      </c>
      <c r="AZ171" s="80">
        <f t="shared" si="195"/>
        <v>0.50021761756079097</v>
      </c>
      <c r="BA171" s="80">
        <f t="shared" si="195"/>
        <v>0.53872646418771875</v>
      </c>
      <c r="BB171" s="80">
        <f t="shared" si="195"/>
        <v>0.53872646418771875</v>
      </c>
      <c r="BC171" s="80">
        <f t="shared" si="195"/>
        <v>0.51391806225754566</v>
      </c>
      <c r="BD171" s="80">
        <f t="shared" si="195"/>
        <v>0.50069069921468445</v>
      </c>
      <c r="BE171" s="80">
        <f t="shared" si="195"/>
        <v>0.49641404106348758</v>
      </c>
      <c r="BF171" s="80">
        <f t="shared" si="195"/>
        <v>0.55846343078815397</v>
      </c>
      <c r="BG171" s="80">
        <f t="shared" si="195"/>
        <v>0.74120541205412049</v>
      </c>
      <c r="BH171" s="80">
        <f t="shared" si="195"/>
        <v>0.78164443182893373</v>
      </c>
      <c r="BI171" s="80">
        <f t="shared" si="195"/>
        <v>0.81546030844923834</v>
      </c>
      <c r="BJ171" s="80">
        <f t="shared" si="195"/>
        <v>0.81546030844923834</v>
      </c>
      <c r="BK171" s="80">
        <f t="shared" si="195"/>
        <v>0.79296054499006541</v>
      </c>
      <c r="BL171" s="80">
        <f t="shared" si="195"/>
        <v>0.76612735358122819</v>
      </c>
      <c r="BM171" s="80">
        <f t="shared" si="195"/>
        <v>0.90909262938783242</v>
      </c>
      <c r="BN171" s="80">
        <f t="shared" si="195"/>
        <v>0.86023275617371553</v>
      </c>
      <c r="BO171" s="80">
        <f t="shared" si="195"/>
        <v>0.9095657110417259</v>
      </c>
      <c r="BP171" s="80">
        <f t="shared" si="195"/>
        <v>0.9095657110417259</v>
      </c>
      <c r="BQ171" s="80">
        <f t="shared" si="195"/>
        <v>0.9095657110417259</v>
      </c>
      <c r="BR171" s="80">
        <f t="shared" si="195"/>
        <v>0.75269183461065381</v>
      </c>
      <c r="BS171" s="80">
        <f t="shared" si="195"/>
        <v>0.53244393982401372</v>
      </c>
      <c r="BT171" s="80">
        <f t="shared" si="195"/>
        <v>0.34970195855804714</v>
      </c>
      <c r="BU171" s="80">
        <f t="shared" si="195"/>
        <v>0.26768852303907659</v>
      </c>
      <c r="BV171" s="80">
        <f t="shared" si="195"/>
        <v>0.23387264641877192</v>
      </c>
      <c r="BW171" s="80">
        <f t="shared" si="195"/>
        <v>0.23387264641877187</v>
      </c>
      <c r="BX171" s="80">
        <f t="shared" si="195"/>
        <v>0.23387264641877192</v>
      </c>
      <c r="BY171" s="80">
        <f t="shared" si="195"/>
        <v>0.23387264641877187</v>
      </c>
      <c r="BZ171" s="80">
        <f t="shared" si="195"/>
        <v>9.0907370612167665E-2</v>
      </c>
      <c r="CA171" s="80">
        <f t="shared" si="195"/>
        <v>4.9332954868010225E-2</v>
      </c>
      <c r="CB171" s="80">
        <f t="shared" si="195"/>
        <v>0</v>
      </c>
      <c r="CC171" s="80">
        <f t="shared" si="195"/>
        <v>0</v>
      </c>
      <c r="CD171" s="80">
        <f t="shared" si="195"/>
        <v>0</v>
      </c>
      <c r="CE171" s="80">
        <f t="shared" si="195"/>
        <v>0</v>
      </c>
      <c r="CF171" s="80">
        <f t="shared" si="195"/>
        <v>0</v>
      </c>
      <c r="CG171" s="80">
        <f t="shared" si="195"/>
        <v>0</v>
      </c>
      <c r="CH171" s="80">
        <f t="shared" si="195"/>
        <v>0</v>
      </c>
      <c r="CI171" s="80">
        <f t="shared" si="195"/>
        <v>0</v>
      </c>
      <c r="CJ171" s="80">
        <f t="shared" ref="CJ171:EU171" si="196">IF(CJ$142=0,"",CJ137/CJ$142)</f>
        <v>0</v>
      </c>
      <c r="CK171" s="80">
        <f t="shared" si="196"/>
        <v>0</v>
      </c>
      <c r="CL171" s="80">
        <f t="shared" si="196"/>
        <v>0</v>
      </c>
      <c r="CM171" s="80">
        <f t="shared" si="196"/>
        <v>0</v>
      </c>
      <c r="CN171" s="80">
        <f t="shared" si="196"/>
        <v>0</v>
      </c>
      <c r="CO171" s="80">
        <f t="shared" si="196"/>
        <v>0</v>
      </c>
      <c r="CP171" s="80">
        <f t="shared" si="196"/>
        <v>0</v>
      </c>
      <c r="CQ171" s="80">
        <f t="shared" si="196"/>
        <v>0</v>
      </c>
      <c r="CR171" s="80">
        <f t="shared" si="196"/>
        <v>0</v>
      </c>
      <c r="CS171" s="80">
        <f t="shared" si="196"/>
        <v>0</v>
      </c>
      <c r="CT171" s="80">
        <f t="shared" si="196"/>
        <v>0</v>
      </c>
      <c r="CU171" s="80">
        <f t="shared" si="196"/>
        <v>0</v>
      </c>
      <c r="CV171" s="80">
        <f t="shared" si="196"/>
        <v>0</v>
      </c>
      <c r="CW171" s="80">
        <f t="shared" si="196"/>
        <v>0</v>
      </c>
      <c r="CX171" s="80">
        <f t="shared" si="196"/>
        <v>0</v>
      </c>
      <c r="CY171" s="80">
        <f t="shared" si="196"/>
        <v>0</v>
      </c>
      <c r="CZ171" s="80">
        <f t="shared" si="196"/>
        <v>0</v>
      </c>
      <c r="DA171" s="80">
        <f t="shared" si="196"/>
        <v>0</v>
      </c>
      <c r="DB171" s="80">
        <f t="shared" si="196"/>
        <v>0</v>
      </c>
      <c r="DC171" s="80">
        <f t="shared" si="196"/>
        <v>0</v>
      </c>
      <c r="DD171" s="80">
        <f t="shared" si="196"/>
        <v>0</v>
      </c>
      <c r="DE171" s="80">
        <f t="shared" si="196"/>
        <v>0</v>
      </c>
      <c r="DF171" s="80">
        <f t="shared" si="196"/>
        <v>0</v>
      </c>
      <c r="DG171" s="80">
        <f t="shared" si="196"/>
        <v>0</v>
      </c>
      <c r="DH171" s="80">
        <f t="shared" si="196"/>
        <v>0</v>
      </c>
      <c r="DI171" s="80">
        <f t="shared" si="196"/>
        <v>0</v>
      </c>
      <c r="DJ171" s="80">
        <f t="shared" si="196"/>
        <v>0</v>
      </c>
      <c r="DK171" s="80">
        <f t="shared" si="196"/>
        <v>0</v>
      </c>
      <c r="DL171" s="80">
        <f t="shared" si="196"/>
        <v>0</v>
      </c>
      <c r="DM171" s="80">
        <f t="shared" si="196"/>
        <v>0</v>
      </c>
      <c r="DN171" s="80">
        <f t="shared" si="196"/>
        <v>0</v>
      </c>
      <c r="DO171" s="80">
        <f t="shared" si="196"/>
        <v>0</v>
      </c>
      <c r="DP171" s="80">
        <f t="shared" si="196"/>
        <v>0</v>
      </c>
      <c r="DQ171" s="80">
        <f t="shared" si="196"/>
        <v>0</v>
      </c>
      <c r="DR171" s="80">
        <f t="shared" si="196"/>
        <v>0</v>
      </c>
      <c r="DS171" s="80">
        <f t="shared" si="196"/>
        <v>0</v>
      </c>
      <c r="DT171" s="80">
        <f t="shared" si="196"/>
        <v>0</v>
      </c>
      <c r="DU171" s="80">
        <f t="shared" si="196"/>
        <v>0</v>
      </c>
      <c r="DV171" s="80">
        <f t="shared" si="196"/>
        <v>0</v>
      </c>
      <c r="DW171" s="80">
        <f t="shared" si="196"/>
        <v>0</v>
      </c>
      <c r="DX171" s="80">
        <f t="shared" si="196"/>
        <v>0</v>
      </c>
      <c r="DY171" s="80">
        <f t="shared" si="196"/>
        <v>0</v>
      </c>
      <c r="DZ171" s="80">
        <f t="shared" si="196"/>
        <v>0</v>
      </c>
      <c r="EA171" s="80">
        <f t="shared" si="196"/>
        <v>0</v>
      </c>
      <c r="EB171" s="80">
        <f t="shared" si="196"/>
        <v>0</v>
      </c>
      <c r="EC171" s="80">
        <f t="shared" si="196"/>
        <v>0</v>
      </c>
      <c r="ED171" s="80">
        <f t="shared" si="196"/>
        <v>0</v>
      </c>
      <c r="EE171" s="80">
        <f t="shared" si="196"/>
        <v>0</v>
      </c>
      <c r="EF171" s="80">
        <f t="shared" si="196"/>
        <v>0</v>
      </c>
      <c r="EG171" s="80">
        <f t="shared" si="196"/>
        <v>0</v>
      </c>
      <c r="EH171" s="80">
        <f t="shared" si="196"/>
        <v>0</v>
      </c>
      <c r="EI171" s="80">
        <f t="shared" si="196"/>
        <v>0</v>
      </c>
      <c r="EJ171" s="80">
        <f t="shared" si="196"/>
        <v>0</v>
      </c>
      <c r="EK171" s="80">
        <f t="shared" si="196"/>
        <v>0</v>
      </c>
      <c r="EL171" s="80">
        <f t="shared" si="196"/>
        <v>0</v>
      </c>
      <c r="EM171" s="80">
        <f t="shared" si="196"/>
        <v>0</v>
      </c>
      <c r="EN171" s="80">
        <f t="shared" si="196"/>
        <v>0</v>
      </c>
      <c r="EO171" s="80">
        <f t="shared" si="196"/>
        <v>0</v>
      </c>
      <c r="EP171" s="80">
        <f t="shared" si="196"/>
        <v>0</v>
      </c>
      <c r="EQ171" s="80">
        <f t="shared" si="196"/>
        <v>0</v>
      </c>
      <c r="ER171" s="80">
        <f t="shared" si="196"/>
        <v>0</v>
      </c>
      <c r="ES171" s="80">
        <f t="shared" si="196"/>
        <v>0</v>
      </c>
      <c r="ET171" s="80">
        <f t="shared" si="196"/>
        <v>0</v>
      </c>
      <c r="EU171" s="80">
        <f t="shared" si="196"/>
        <v>0</v>
      </c>
      <c r="EV171" s="80">
        <f t="shared" ref="EV171:GX171" si="197">IF(EV$142=0,"",EV137/EV$142)</f>
        <v>0</v>
      </c>
      <c r="EW171" s="80">
        <f t="shared" si="197"/>
        <v>0</v>
      </c>
      <c r="EX171" s="80">
        <f t="shared" si="197"/>
        <v>0</v>
      </c>
      <c r="EY171" s="80">
        <f t="shared" si="197"/>
        <v>0</v>
      </c>
      <c r="EZ171" s="80">
        <f t="shared" si="197"/>
        <v>0</v>
      </c>
      <c r="FA171" s="80">
        <f t="shared" si="197"/>
        <v>0</v>
      </c>
      <c r="FB171" s="80">
        <f t="shared" si="197"/>
        <v>0</v>
      </c>
      <c r="FC171" s="80">
        <f t="shared" si="197"/>
        <v>0</v>
      </c>
      <c r="FD171" s="80">
        <f t="shared" si="197"/>
        <v>0</v>
      </c>
      <c r="FE171" s="80">
        <f t="shared" si="197"/>
        <v>0</v>
      </c>
      <c r="FF171" s="80">
        <f t="shared" si="197"/>
        <v>0</v>
      </c>
      <c r="FG171" s="80">
        <f t="shared" si="197"/>
        <v>0</v>
      </c>
      <c r="FH171" s="80">
        <f t="shared" si="197"/>
        <v>0</v>
      </c>
      <c r="FI171" s="80">
        <f t="shared" si="197"/>
        <v>0</v>
      </c>
      <c r="FJ171" s="80">
        <f t="shared" si="197"/>
        <v>0</v>
      </c>
      <c r="FK171" s="80">
        <f t="shared" si="197"/>
        <v>0</v>
      </c>
      <c r="FL171" s="80">
        <f t="shared" si="197"/>
        <v>0</v>
      </c>
      <c r="FM171" s="80">
        <f t="shared" si="197"/>
        <v>0</v>
      </c>
      <c r="FN171" s="80">
        <f t="shared" si="197"/>
        <v>0</v>
      </c>
      <c r="FO171" s="80">
        <f t="shared" si="197"/>
        <v>0</v>
      </c>
      <c r="FP171" s="80">
        <f t="shared" si="197"/>
        <v>0</v>
      </c>
      <c r="FQ171" s="80">
        <f t="shared" si="197"/>
        <v>0</v>
      </c>
      <c r="FR171" s="80">
        <f t="shared" si="197"/>
        <v>0</v>
      </c>
      <c r="FS171" s="80">
        <f t="shared" si="197"/>
        <v>0</v>
      </c>
      <c r="FT171" s="80">
        <f t="shared" si="197"/>
        <v>0</v>
      </c>
      <c r="FU171" s="80">
        <f t="shared" si="197"/>
        <v>0</v>
      </c>
      <c r="FV171" s="80">
        <f t="shared" si="197"/>
        <v>0</v>
      </c>
      <c r="FW171" s="80">
        <f t="shared" si="197"/>
        <v>0</v>
      </c>
      <c r="FX171" s="80">
        <f t="shared" si="197"/>
        <v>0</v>
      </c>
      <c r="FY171" s="80">
        <f t="shared" si="197"/>
        <v>0</v>
      </c>
      <c r="FZ171" s="80">
        <f t="shared" si="197"/>
        <v>0</v>
      </c>
      <c r="GA171" s="80">
        <f t="shared" si="197"/>
        <v>0</v>
      </c>
      <c r="GB171" s="80">
        <f t="shared" si="197"/>
        <v>0</v>
      </c>
      <c r="GC171" s="80">
        <f t="shared" si="197"/>
        <v>0</v>
      </c>
      <c r="GD171" s="80">
        <f t="shared" si="197"/>
        <v>0</v>
      </c>
      <c r="GE171" s="80">
        <f t="shared" si="197"/>
        <v>0</v>
      </c>
      <c r="GF171" s="80">
        <f t="shared" si="197"/>
        <v>0</v>
      </c>
      <c r="GG171" s="80">
        <f t="shared" si="197"/>
        <v>0</v>
      </c>
      <c r="GH171" s="80">
        <f t="shared" si="197"/>
        <v>0</v>
      </c>
      <c r="GI171" s="80">
        <f t="shared" si="197"/>
        <v>0</v>
      </c>
      <c r="GJ171" s="80">
        <f t="shared" si="197"/>
        <v>0</v>
      </c>
      <c r="GK171" s="80">
        <f t="shared" si="197"/>
        <v>0</v>
      </c>
      <c r="GL171" s="80">
        <f t="shared" si="197"/>
        <v>0</v>
      </c>
      <c r="GM171" s="80">
        <f t="shared" si="197"/>
        <v>0</v>
      </c>
      <c r="GN171" s="80">
        <f t="shared" si="197"/>
        <v>0</v>
      </c>
      <c r="GO171" s="80">
        <f t="shared" si="197"/>
        <v>0</v>
      </c>
      <c r="GP171" s="80">
        <f t="shared" si="197"/>
        <v>0</v>
      </c>
      <c r="GQ171" s="80">
        <f t="shared" si="197"/>
        <v>0</v>
      </c>
      <c r="GR171" s="80">
        <f t="shared" si="197"/>
        <v>0</v>
      </c>
      <c r="GS171" s="80">
        <f t="shared" si="197"/>
        <v>0</v>
      </c>
      <c r="GT171" s="80">
        <f t="shared" si="197"/>
        <v>0</v>
      </c>
      <c r="GU171" s="80">
        <f t="shared" si="197"/>
        <v>0</v>
      </c>
      <c r="GV171" s="80">
        <f t="shared" si="197"/>
        <v>0</v>
      </c>
      <c r="GW171" s="80">
        <f t="shared" si="197"/>
        <v>0</v>
      </c>
      <c r="GX171" s="80">
        <f t="shared" si="197"/>
        <v>0</v>
      </c>
    </row>
    <row r="172" spans="1:206" x14ac:dyDescent="0.2">
      <c r="A172" s="84">
        <v>2</v>
      </c>
      <c r="B172" s="84" t="s">
        <v>255</v>
      </c>
      <c r="W172" s="80">
        <f>IF(W$142=0,"",W138/W$142)</f>
        <v>0.23241333627732391</v>
      </c>
      <c r="X172" s="80">
        <f t="shared" ref="X172:CI172" si="198">IF(X$142=0,"",X138/X$142)</f>
        <v>0.38688135037692567</v>
      </c>
      <c r="Y172" s="80">
        <f t="shared" si="198"/>
        <v>0.38688135037692567</v>
      </c>
      <c r="Z172" s="80">
        <f t="shared" si="198"/>
        <v>0.42145898382060742</v>
      </c>
      <c r="AA172" s="80">
        <f t="shared" si="198"/>
        <v>0.30776800075693067</v>
      </c>
      <c r="AB172" s="80">
        <f t="shared" si="198"/>
        <v>0.27571198788910967</v>
      </c>
      <c r="AC172" s="80">
        <f t="shared" si="198"/>
        <v>0.11751348282713596</v>
      </c>
      <c r="AD172" s="80">
        <f t="shared" si="198"/>
        <v>0.24700539313085437</v>
      </c>
      <c r="AE172" s="80">
        <f t="shared" si="198"/>
        <v>0.18293121392752387</v>
      </c>
      <c r="AF172" s="80">
        <f t="shared" si="198"/>
        <v>0.20399280915886078</v>
      </c>
      <c r="AG172" s="80">
        <f t="shared" si="198"/>
        <v>0.15055350553505534</v>
      </c>
      <c r="AH172" s="80">
        <f t="shared" si="198"/>
        <v>0.18436938215535997</v>
      </c>
      <c r="AI172" s="80">
        <f t="shared" si="198"/>
        <v>5.4877471851641588E-2</v>
      </c>
      <c r="AJ172" s="80">
        <f t="shared" si="198"/>
        <v>5.4877471851641588E-2</v>
      </c>
      <c r="AK172" s="80">
        <f t="shared" si="198"/>
        <v>0.10053931308543855</v>
      </c>
      <c r="AL172" s="80">
        <f t="shared" si="198"/>
        <v>0.10053931308543855</v>
      </c>
      <c r="AM172" s="80">
        <f t="shared" si="198"/>
        <v>0.14296527580660423</v>
      </c>
      <c r="AN172" s="80">
        <f t="shared" si="198"/>
        <v>0.14296527580660423</v>
      </c>
      <c r="AO172" s="80">
        <f t="shared" si="198"/>
        <v>0.14296527580660423</v>
      </c>
      <c r="AP172" s="80">
        <f t="shared" si="198"/>
        <v>7.624183934147033E-2</v>
      </c>
      <c r="AQ172" s="80">
        <f t="shared" si="198"/>
        <v>7.624183934147033E-2</v>
      </c>
      <c r="AR172" s="80">
        <f t="shared" si="198"/>
        <v>6.3828176743305889E-2</v>
      </c>
      <c r="AS172" s="80">
        <f t="shared" si="198"/>
        <v>6.3828176743305889E-2</v>
      </c>
      <c r="AT172" s="80">
        <f t="shared" si="198"/>
        <v>6.3828176743305889E-2</v>
      </c>
      <c r="AU172" s="80">
        <f t="shared" si="198"/>
        <v>6.3828176743305889E-2</v>
      </c>
      <c r="AV172" s="80">
        <f t="shared" si="198"/>
        <v>6.3828176743305889E-2</v>
      </c>
      <c r="AW172" s="80">
        <f t="shared" si="198"/>
        <v>0</v>
      </c>
      <c r="AX172" s="80">
        <f t="shared" si="198"/>
        <v>0</v>
      </c>
      <c r="AY172" s="80">
        <f t="shared" si="198"/>
        <v>0</v>
      </c>
      <c r="AZ172" s="80">
        <f t="shared" si="198"/>
        <v>8.201343551897057E-2</v>
      </c>
      <c r="BA172" s="80">
        <f t="shared" si="198"/>
        <v>0.13393887785031697</v>
      </c>
      <c r="BB172" s="80">
        <f t="shared" si="198"/>
        <v>0.13393887785031697</v>
      </c>
      <c r="BC172" s="80">
        <f t="shared" si="198"/>
        <v>0.15874727978049014</v>
      </c>
      <c r="BD172" s="80">
        <f t="shared" si="198"/>
        <v>0.17197464282335131</v>
      </c>
      <c r="BE172" s="80">
        <f t="shared" si="198"/>
        <v>0.19918629955530326</v>
      </c>
      <c r="BF172" s="80">
        <f t="shared" si="198"/>
        <v>0.15819850506197367</v>
      </c>
      <c r="BG172" s="80">
        <f t="shared" si="198"/>
        <v>0</v>
      </c>
      <c r="BH172" s="80">
        <f t="shared" si="198"/>
        <v>4.1574415744157434E-2</v>
      </c>
      <c r="BI172" s="80">
        <f t="shared" si="198"/>
        <v>4.1574415744157434E-2</v>
      </c>
      <c r="BJ172" s="80">
        <f t="shared" si="198"/>
        <v>4.1574415744157434E-2</v>
      </c>
      <c r="BK172" s="80">
        <f t="shared" si="198"/>
        <v>6.4074179203330486E-2</v>
      </c>
      <c r="BL172" s="80">
        <f t="shared" si="198"/>
        <v>9.0907370612167651E-2</v>
      </c>
      <c r="BM172" s="80">
        <f t="shared" si="198"/>
        <v>4.9332954868010218E-2</v>
      </c>
      <c r="BN172" s="80">
        <f t="shared" si="198"/>
        <v>0.13976724382628442</v>
      </c>
      <c r="BO172" s="80">
        <f t="shared" si="198"/>
        <v>9.0434288958274184E-2</v>
      </c>
      <c r="BP172" s="80">
        <f t="shared" si="198"/>
        <v>9.0434288958274184E-2</v>
      </c>
      <c r="BQ172" s="80">
        <f t="shared" si="198"/>
        <v>9.0434288958274184E-2</v>
      </c>
      <c r="BR172" s="80">
        <f t="shared" si="198"/>
        <v>0.24730816538934616</v>
      </c>
      <c r="BS172" s="80">
        <f t="shared" si="198"/>
        <v>0.37712177121771218</v>
      </c>
      <c r="BT172" s="80">
        <f t="shared" si="198"/>
        <v>0.55986375248367881</v>
      </c>
      <c r="BU172" s="80">
        <f t="shared" si="198"/>
        <v>0.64187718800264937</v>
      </c>
      <c r="BV172" s="80">
        <f t="shared" si="198"/>
        <v>0.67569306462295398</v>
      </c>
      <c r="BW172" s="80">
        <f t="shared" si="198"/>
        <v>0.51881918819188189</v>
      </c>
      <c r="BX172" s="80">
        <f t="shared" si="198"/>
        <v>0.2985712934052418</v>
      </c>
      <c r="BY172" s="80">
        <f t="shared" si="198"/>
        <v>0.11582931213927525</v>
      </c>
      <c r="BZ172" s="80">
        <f t="shared" si="198"/>
        <v>0.17678115242690895</v>
      </c>
      <c r="CA172" s="80">
        <f t="shared" si="198"/>
        <v>0.18453969155076169</v>
      </c>
      <c r="CB172" s="80">
        <f t="shared" si="198"/>
        <v>0.23387264641877187</v>
      </c>
      <c r="CC172" s="80">
        <f t="shared" si="198"/>
        <v>0.23387264641877192</v>
      </c>
      <c r="CD172" s="80">
        <f t="shared" si="198"/>
        <v>0.23387264641877187</v>
      </c>
      <c r="CE172" s="80">
        <f t="shared" si="198"/>
        <v>9.0907370612167665E-2</v>
      </c>
      <c r="CF172" s="80">
        <f t="shared" si="198"/>
        <v>4.9332954868010225E-2</v>
      </c>
      <c r="CG172" s="80">
        <f t="shared" si="198"/>
        <v>0</v>
      </c>
      <c r="CH172" s="80">
        <f t="shared" si="198"/>
        <v>0</v>
      </c>
      <c r="CI172" s="80">
        <f t="shared" si="198"/>
        <v>0</v>
      </c>
      <c r="CJ172" s="80">
        <f t="shared" ref="CJ172:EU172" si="199">IF(CJ$142=0,"",CJ138/CJ$142)</f>
        <v>0</v>
      </c>
      <c r="CK172" s="80">
        <f t="shared" si="199"/>
        <v>0</v>
      </c>
      <c r="CL172" s="80">
        <f t="shared" si="199"/>
        <v>0</v>
      </c>
      <c r="CM172" s="80">
        <f t="shared" si="199"/>
        <v>0</v>
      </c>
      <c r="CN172" s="80">
        <f t="shared" si="199"/>
        <v>0</v>
      </c>
      <c r="CO172" s="80">
        <f t="shared" si="199"/>
        <v>0</v>
      </c>
      <c r="CP172" s="80">
        <f t="shared" si="199"/>
        <v>0</v>
      </c>
      <c r="CQ172" s="80">
        <f t="shared" si="199"/>
        <v>0</v>
      </c>
      <c r="CR172" s="80">
        <f t="shared" si="199"/>
        <v>0</v>
      </c>
      <c r="CS172" s="80">
        <f t="shared" si="199"/>
        <v>0</v>
      </c>
      <c r="CT172" s="80">
        <f t="shared" si="199"/>
        <v>0</v>
      </c>
      <c r="CU172" s="80">
        <f t="shared" si="199"/>
        <v>0</v>
      </c>
      <c r="CV172" s="80">
        <f t="shared" si="199"/>
        <v>0</v>
      </c>
      <c r="CW172" s="80">
        <f t="shared" si="199"/>
        <v>0</v>
      </c>
      <c r="CX172" s="80">
        <f t="shared" si="199"/>
        <v>0</v>
      </c>
      <c r="CY172" s="80">
        <f t="shared" si="199"/>
        <v>0</v>
      </c>
      <c r="CZ172" s="80">
        <f t="shared" si="199"/>
        <v>0</v>
      </c>
      <c r="DA172" s="80">
        <f t="shared" si="199"/>
        <v>0</v>
      </c>
      <c r="DB172" s="80">
        <f t="shared" si="199"/>
        <v>0</v>
      </c>
      <c r="DC172" s="80">
        <f t="shared" si="199"/>
        <v>0</v>
      </c>
      <c r="DD172" s="80">
        <f t="shared" si="199"/>
        <v>0</v>
      </c>
      <c r="DE172" s="80">
        <f t="shared" si="199"/>
        <v>0</v>
      </c>
      <c r="DF172" s="80">
        <f t="shared" si="199"/>
        <v>0</v>
      </c>
      <c r="DG172" s="80">
        <f t="shared" si="199"/>
        <v>0</v>
      </c>
      <c r="DH172" s="80">
        <f t="shared" si="199"/>
        <v>0</v>
      </c>
      <c r="DI172" s="80">
        <f t="shared" si="199"/>
        <v>0</v>
      </c>
      <c r="DJ172" s="80">
        <f t="shared" si="199"/>
        <v>0</v>
      </c>
      <c r="DK172" s="80">
        <f t="shared" si="199"/>
        <v>0</v>
      </c>
      <c r="DL172" s="80">
        <f t="shared" si="199"/>
        <v>0</v>
      </c>
      <c r="DM172" s="80">
        <f t="shared" si="199"/>
        <v>0</v>
      </c>
      <c r="DN172" s="80">
        <f t="shared" si="199"/>
        <v>0</v>
      </c>
      <c r="DO172" s="80">
        <f t="shared" si="199"/>
        <v>0</v>
      </c>
      <c r="DP172" s="80">
        <f t="shared" si="199"/>
        <v>0</v>
      </c>
      <c r="DQ172" s="80">
        <f t="shared" si="199"/>
        <v>0</v>
      </c>
      <c r="DR172" s="80">
        <f t="shared" si="199"/>
        <v>0</v>
      </c>
      <c r="DS172" s="80">
        <f t="shared" si="199"/>
        <v>0</v>
      </c>
      <c r="DT172" s="80">
        <f t="shared" si="199"/>
        <v>0</v>
      </c>
      <c r="DU172" s="80">
        <f t="shared" si="199"/>
        <v>0</v>
      </c>
      <c r="DV172" s="80">
        <f t="shared" si="199"/>
        <v>0</v>
      </c>
      <c r="DW172" s="80">
        <f t="shared" si="199"/>
        <v>0</v>
      </c>
      <c r="DX172" s="80">
        <f t="shared" si="199"/>
        <v>0</v>
      </c>
      <c r="DY172" s="80">
        <f t="shared" si="199"/>
        <v>0</v>
      </c>
      <c r="DZ172" s="80">
        <f t="shared" si="199"/>
        <v>0</v>
      </c>
      <c r="EA172" s="80">
        <f t="shared" si="199"/>
        <v>0</v>
      </c>
      <c r="EB172" s="80">
        <f t="shared" si="199"/>
        <v>0</v>
      </c>
      <c r="EC172" s="80">
        <f t="shared" si="199"/>
        <v>0</v>
      </c>
      <c r="ED172" s="80">
        <f t="shared" si="199"/>
        <v>0</v>
      </c>
      <c r="EE172" s="80">
        <f t="shared" si="199"/>
        <v>0</v>
      </c>
      <c r="EF172" s="80">
        <f t="shared" si="199"/>
        <v>0</v>
      </c>
      <c r="EG172" s="80">
        <f t="shared" si="199"/>
        <v>0</v>
      </c>
      <c r="EH172" s="80">
        <f t="shared" si="199"/>
        <v>0</v>
      </c>
      <c r="EI172" s="80">
        <f t="shared" si="199"/>
        <v>0</v>
      </c>
      <c r="EJ172" s="80">
        <f t="shared" si="199"/>
        <v>0</v>
      </c>
      <c r="EK172" s="80">
        <f t="shared" si="199"/>
        <v>0</v>
      </c>
      <c r="EL172" s="80">
        <f t="shared" si="199"/>
        <v>0</v>
      </c>
      <c r="EM172" s="80">
        <f t="shared" si="199"/>
        <v>0</v>
      </c>
      <c r="EN172" s="80">
        <f t="shared" si="199"/>
        <v>0</v>
      </c>
      <c r="EO172" s="80">
        <f t="shared" si="199"/>
        <v>0</v>
      </c>
      <c r="EP172" s="80">
        <f t="shared" si="199"/>
        <v>0</v>
      </c>
      <c r="EQ172" s="80">
        <f t="shared" si="199"/>
        <v>0</v>
      </c>
      <c r="ER172" s="80">
        <f t="shared" si="199"/>
        <v>0</v>
      </c>
      <c r="ES172" s="80">
        <f t="shared" si="199"/>
        <v>0</v>
      </c>
      <c r="ET172" s="80">
        <f t="shared" si="199"/>
        <v>0</v>
      </c>
      <c r="EU172" s="80">
        <f t="shared" si="199"/>
        <v>0</v>
      </c>
      <c r="EV172" s="80">
        <f t="shared" ref="EV172:GX172" si="200">IF(EV$142=0,"",EV138/EV$142)</f>
        <v>0</v>
      </c>
      <c r="EW172" s="80">
        <f t="shared" si="200"/>
        <v>0</v>
      </c>
      <c r="EX172" s="80">
        <f t="shared" si="200"/>
        <v>0</v>
      </c>
      <c r="EY172" s="80">
        <f t="shared" si="200"/>
        <v>0</v>
      </c>
      <c r="EZ172" s="80">
        <f t="shared" si="200"/>
        <v>0</v>
      </c>
      <c r="FA172" s="80">
        <f t="shared" si="200"/>
        <v>0</v>
      </c>
      <c r="FB172" s="80">
        <f t="shared" si="200"/>
        <v>0</v>
      </c>
      <c r="FC172" s="80">
        <f t="shared" si="200"/>
        <v>0</v>
      </c>
      <c r="FD172" s="80">
        <f t="shared" si="200"/>
        <v>0</v>
      </c>
      <c r="FE172" s="80">
        <f t="shared" si="200"/>
        <v>0</v>
      </c>
      <c r="FF172" s="80">
        <f t="shared" si="200"/>
        <v>0</v>
      </c>
      <c r="FG172" s="80">
        <f t="shared" si="200"/>
        <v>0</v>
      </c>
      <c r="FH172" s="80">
        <f t="shared" si="200"/>
        <v>0</v>
      </c>
      <c r="FI172" s="80">
        <f t="shared" si="200"/>
        <v>0</v>
      </c>
      <c r="FJ172" s="80">
        <f t="shared" si="200"/>
        <v>0</v>
      </c>
      <c r="FK172" s="80">
        <f t="shared" si="200"/>
        <v>0</v>
      </c>
      <c r="FL172" s="80">
        <f t="shared" si="200"/>
        <v>0</v>
      </c>
      <c r="FM172" s="80">
        <f t="shared" si="200"/>
        <v>0</v>
      </c>
      <c r="FN172" s="80">
        <f t="shared" si="200"/>
        <v>0</v>
      </c>
      <c r="FO172" s="80">
        <f t="shared" si="200"/>
        <v>0</v>
      </c>
      <c r="FP172" s="80">
        <f t="shared" si="200"/>
        <v>0</v>
      </c>
      <c r="FQ172" s="80">
        <f t="shared" si="200"/>
        <v>0</v>
      </c>
      <c r="FR172" s="80">
        <f t="shared" si="200"/>
        <v>0</v>
      </c>
      <c r="FS172" s="80">
        <f t="shared" si="200"/>
        <v>0</v>
      </c>
      <c r="FT172" s="80">
        <f t="shared" si="200"/>
        <v>0</v>
      </c>
      <c r="FU172" s="80">
        <f t="shared" si="200"/>
        <v>0</v>
      </c>
      <c r="FV172" s="80">
        <f t="shared" si="200"/>
        <v>0</v>
      </c>
      <c r="FW172" s="80">
        <f t="shared" si="200"/>
        <v>0</v>
      </c>
      <c r="FX172" s="80">
        <f t="shared" si="200"/>
        <v>0</v>
      </c>
      <c r="FY172" s="80">
        <f t="shared" si="200"/>
        <v>0</v>
      </c>
      <c r="FZ172" s="80">
        <f t="shared" si="200"/>
        <v>0</v>
      </c>
      <c r="GA172" s="80">
        <f t="shared" si="200"/>
        <v>0</v>
      </c>
      <c r="GB172" s="80">
        <f t="shared" si="200"/>
        <v>0</v>
      </c>
      <c r="GC172" s="80">
        <f t="shared" si="200"/>
        <v>0</v>
      </c>
      <c r="GD172" s="80">
        <f t="shared" si="200"/>
        <v>0</v>
      </c>
      <c r="GE172" s="80">
        <f t="shared" si="200"/>
        <v>0</v>
      </c>
      <c r="GF172" s="80">
        <f t="shared" si="200"/>
        <v>0</v>
      </c>
      <c r="GG172" s="80">
        <f t="shared" si="200"/>
        <v>0</v>
      </c>
      <c r="GH172" s="80">
        <f t="shared" si="200"/>
        <v>0</v>
      </c>
      <c r="GI172" s="80">
        <f t="shared" si="200"/>
        <v>0</v>
      </c>
      <c r="GJ172" s="80">
        <f t="shared" si="200"/>
        <v>0</v>
      </c>
      <c r="GK172" s="80">
        <f t="shared" si="200"/>
        <v>0</v>
      </c>
      <c r="GL172" s="80">
        <f t="shared" si="200"/>
        <v>0</v>
      </c>
      <c r="GM172" s="80">
        <f t="shared" si="200"/>
        <v>0</v>
      </c>
      <c r="GN172" s="80">
        <f t="shared" si="200"/>
        <v>0</v>
      </c>
      <c r="GO172" s="80">
        <f t="shared" si="200"/>
        <v>0</v>
      </c>
      <c r="GP172" s="80">
        <f t="shared" si="200"/>
        <v>0</v>
      </c>
      <c r="GQ172" s="80">
        <f t="shared" si="200"/>
        <v>0</v>
      </c>
      <c r="GR172" s="80">
        <f t="shared" si="200"/>
        <v>0</v>
      </c>
      <c r="GS172" s="80">
        <f t="shared" si="200"/>
        <v>0</v>
      </c>
      <c r="GT172" s="80">
        <f t="shared" si="200"/>
        <v>0</v>
      </c>
      <c r="GU172" s="80">
        <f t="shared" si="200"/>
        <v>0</v>
      </c>
      <c r="GV172" s="80">
        <f t="shared" si="200"/>
        <v>0</v>
      </c>
      <c r="GW172" s="80">
        <f t="shared" si="200"/>
        <v>0</v>
      </c>
      <c r="GX172" s="80">
        <f t="shared" si="200"/>
        <v>0</v>
      </c>
    </row>
    <row r="173" spans="1:206" x14ac:dyDescent="0.2">
      <c r="A173" s="84">
        <v>2</v>
      </c>
      <c r="B173" s="84" t="s">
        <v>256</v>
      </c>
      <c r="W173" s="80">
        <f>IF(W$142=0,"",W139/W$142)</f>
        <v>0.15628173989843233</v>
      </c>
      <c r="X173" s="80">
        <f t="shared" ref="X173:CI173" si="201">IF(X$142=0,"",X139/X$142)</f>
        <v>0.14499344477220585</v>
      </c>
      <c r="Y173" s="80">
        <f t="shared" si="201"/>
        <v>0.14499344477220585</v>
      </c>
      <c r="Z173" s="80">
        <f t="shared" si="201"/>
        <v>0.13393887785031697</v>
      </c>
      <c r="AA173" s="80">
        <f t="shared" si="201"/>
        <v>0.24762986091399375</v>
      </c>
      <c r="AB173" s="80">
        <f t="shared" si="201"/>
        <v>0.19918629955530326</v>
      </c>
      <c r="AC173" s="80">
        <f t="shared" si="201"/>
        <v>0.35738480461727695</v>
      </c>
      <c r="AD173" s="80">
        <f t="shared" si="201"/>
        <v>0.35738480461727695</v>
      </c>
      <c r="AE173" s="80">
        <f t="shared" si="201"/>
        <v>0.42145898382060742</v>
      </c>
      <c r="AF173" s="80">
        <f t="shared" si="201"/>
        <v>0.30776800075693067</v>
      </c>
      <c r="AG173" s="80">
        <f t="shared" si="201"/>
        <v>0.27571198788910967</v>
      </c>
      <c r="AH173" s="80">
        <f t="shared" si="201"/>
        <v>0.11751348282713596</v>
      </c>
      <c r="AI173" s="80">
        <f t="shared" si="201"/>
        <v>0.24700539313085437</v>
      </c>
      <c r="AJ173" s="80">
        <f t="shared" si="201"/>
        <v>0.18293121392752387</v>
      </c>
      <c r="AK173" s="80">
        <f t="shared" si="201"/>
        <v>0.20399280915886078</v>
      </c>
      <c r="AL173" s="80">
        <f t="shared" si="201"/>
        <v>0.15055350553505531</v>
      </c>
      <c r="AM173" s="80">
        <f t="shared" si="201"/>
        <v>0.18436938215535997</v>
      </c>
      <c r="AN173" s="80">
        <f t="shared" si="201"/>
        <v>5.4877471851641588E-2</v>
      </c>
      <c r="AO173" s="80">
        <f t="shared" si="201"/>
        <v>5.4877471851641588E-2</v>
      </c>
      <c r="AP173" s="80">
        <f t="shared" si="201"/>
        <v>0.10053931308543855</v>
      </c>
      <c r="AQ173" s="80">
        <f t="shared" si="201"/>
        <v>0.10053931308543855</v>
      </c>
      <c r="AR173" s="80">
        <f t="shared" si="201"/>
        <v>0.14296527580660423</v>
      </c>
      <c r="AS173" s="80">
        <f t="shared" si="201"/>
        <v>0.14296527580660423</v>
      </c>
      <c r="AT173" s="80">
        <f t="shared" si="201"/>
        <v>0.14296527580660423</v>
      </c>
      <c r="AU173" s="80">
        <f t="shared" si="201"/>
        <v>7.624183934147033E-2</v>
      </c>
      <c r="AV173" s="80">
        <f t="shared" si="201"/>
        <v>7.624183934147033E-2</v>
      </c>
      <c r="AW173" s="80">
        <f t="shared" si="201"/>
        <v>6.3828176743305889E-2</v>
      </c>
      <c r="AX173" s="80">
        <f t="shared" si="201"/>
        <v>6.3828176743305889E-2</v>
      </c>
      <c r="AY173" s="80">
        <f t="shared" si="201"/>
        <v>6.3828176743305889E-2</v>
      </c>
      <c r="AZ173" s="80">
        <f t="shared" si="201"/>
        <v>6.3828176743305889E-2</v>
      </c>
      <c r="BA173" s="80">
        <f t="shared" si="201"/>
        <v>0</v>
      </c>
      <c r="BB173" s="80">
        <f t="shared" si="201"/>
        <v>0</v>
      </c>
      <c r="BC173" s="80">
        <f t="shared" si="201"/>
        <v>0</v>
      </c>
      <c r="BD173" s="80">
        <f t="shared" si="201"/>
        <v>0</v>
      </c>
      <c r="BE173" s="80">
        <f t="shared" si="201"/>
        <v>8.2013435518970598E-2</v>
      </c>
      <c r="BF173" s="80">
        <f t="shared" si="201"/>
        <v>8.201343551897057E-2</v>
      </c>
      <c r="BG173" s="80">
        <f t="shared" si="201"/>
        <v>8.201343551897057E-2</v>
      </c>
      <c r="BH173" s="80">
        <f t="shared" si="201"/>
        <v>0</v>
      </c>
      <c r="BI173" s="80">
        <f t="shared" si="201"/>
        <v>0</v>
      </c>
      <c r="BJ173" s="80">
        <f t="shared" si="201"/>
        <v>0</v>
      </c>
      <c r="BK173" s="80">
        <f t="shared" si="201"/>
        <v>0</v>
      </c>
      <c r="BL173" s="80">
        <f t="shared" si="201"/>
        <v>0</v>
      </c>
      <c r="BM173" s="80">
        <f t="shared" si="201"/>
        <v>4.1574415744157434E-2</v>
      </c>
      <c r="BN173" s="80">
        <f t="shared" si="201"/>
        <v>0</v>
      </c>
      <c r="BO173" s="80">
        <f t="shared" si="201"/>
        <v>0</v>
      </c>
      <c r="BP173" s="80">
        <f t="shared" si="201"/>
        <v>0</v>
      </c>
      <c r="BQ173" s="80">
        <f t="shared" si="201"/>
        <v>0</v>
      </c>
      <c r="BR173" s="80">
        <f t="shared" si="201"/>
        <v>0</v>
      </c>
      <c r="BS173" s="80">
        <f t="shared" si="201"/>
        <v>9.0434288958274212E-2</v>
      </c>
      <c r="BT173" s="80">
        <f t="shared" si="201"/>
        <v>9.0434288958274212E-2</v>
      </c>
      <c r="BU173" s="80">
        <f t="shared" si="201"/>
        <v>9.0434288958274212E-2</v>
      </c>
      <c r="BV173" s="80">
        <f t="shared" si="201"/>
        <v>9.0434288958274212E-2</v>
      </c>
      <c r="BW173" s="80">
        <f t="shared" si="201"/>
        <v>0.24730816538934616</v>
      </c>
      <c r="BX173" s="80">
        <f t="shared" si="201"/>
        <v>0.37712177121771218</v>
      </c>
      <c r="BY173" s="80">
        <f t="shared" si="201"/>
        <v>0.5598637524836787</v>
      </c>
      <c r="BZ173" s="80">
        <f t="shared" si="201"/>
        <v>0.64187718800264937</v>
      </c>
      <c r="CA173" s="80">
        <f t="shared" si="201"/>
        <v>0.67569306462295398</v>
      </c>
      <c r="CB173" s="80">
        <f t="shared" si="201"/>
        <v>0.51881918819188189</v>
      </c>
      <c r="CC173" s="80">
        <f t="shared" si="201"/>
        <v>0.2985712934052418</v>
      </c>
      <c r="CD173" s="80">
        <f t="shared" si="201"/>
        <v>0.11582931213927525</v>
      </c>
      <c r="CE173" s="80">
        <f t="shared" si="201"/>
        <v>0.17678115242690895</v>
      </c>
      <c r="CF173" s="80">
        <f t="shared" si="201"/>
        <v>0.18453969155076169</v>
      </c>
      <c r="CG173" s="80">
        <f t="shared" si="201"/>
        <v>0.23387264641877187</v>
      </c>
      <c r="CH173" s="80">
        <f t="shared" si="201"/>
        <v>0.23387264641877187</v>
      </c>
      <c r="CI173" s="80">
        <f t="shared" si="201"/>
        <v>0.23387264641877187</v>
      </c>
      <c r="CJ173" s="80">
        <f t="shared" ref="CJ173:EU173" si="202">IF(CJ$142=0,"",CJ139/CJ$142)</f>
        <v>9.0907370612167651E-2</v>
      </c>
      <c r="CK173" s="80">
        <f t="shared" si="202"/>
        <v>4.9332954868010218E-2</v>
      </c>
      <c r="CL173" s="80">
        <f t="shared" si="202"/>
        <v>0</v>
      </c>
      <c r="CM173" s="80">
        <f t="shared" si="202"/>
        <v>0</v>
      </c>
      <c r="CN173" s="80">
        <f t="shared" si="202"/>
        <v>0</v>
      </c>
      <c r="CO173" s="80">
        <f t="shared" si="202"/>
        <v>0</v>
      </c>
      <c r="CP173" s="80">
        <f t="shared" si="202"/>
        <v>0</v>
      </c>
      <c r="CQ173" s="80">
        <f t="shared" si="202"/>
        <v>0</v>
      </c>
      <c r="CR173" s="80">
        <f t="shared" si="202"/>
        <v>0</v>
      </c>
      <c r="CS173" s="80">
        <f t="shared" si="202"/>
        <v>0</v>
      </c>
      <c r="CT173" s="80">
        <f t="shared" si="202"/>
        <v>0</v>
      </c>
      <c r="CU173" s="80">
        <f t="shared" si="202"/>
        <v>0</v>
      </c>
      <c r="CV173" s="80">
        <f t="shared" si="202"/>
        <v>0</v>
      </c>
      <c r="CW173" s="80">
        <f t="shared" si="202"/>
        <v>0</v>
      </c>
      <c r="CX173" s="80">
        <f t="shared" si="202"/>
        <v>0</v>
      </c>
      <c r="CY173" s="80">
        <f t="shared" si="202"/>
        <v>0</v>
      </c>
      <c r="CZ173" s="80">
        <f t="shared" si="202"/>
        <v>0</v>
      </c>
      <c r="DA173" s="80">
        <f t="shared" si="202"/>
        <v>0</v>
      </c>
      <c r="DB173" s="80">
        <f t="shared" si="202"/>
        <v>0</v>
      </c>
      <c r="DC173" s="80">
        <f t="shared" si="202"/>
        <v>0</v>
      </c>
      <c r="DD173" s="80">
        <f t="shared" si="202"/>
        <v>0</v>
      </c>
      <c r="DE173" s="80">
        <f t="shared" si="202"/>
        <v>0</v>
      </c>
      <c r="DF173" s="80">
        <f t="shared" si="202"/>
        <v>0</v>
      </c>
      <c r="DG173" s="80">
        <f t="shared" si="202"/>
        <v>0</v>
      </c>
      <c r="DH173" s="80">
        <f t="shared" si="202"/>
        <v>0</v>
      </c>
      <c r="DI173" s="80">
        <f t="shared" si="202"/>
        <v>0</v>
      </c>
      <c r="DJ173" s="80">
        <f t="shared" si="202"/>
        <v>0</v>
      </c>
      <c r="DK173" s="80">
        <f t="shared" si="202"/>
        <v>0</v>
      </c>
      <c r="DL173" s="80">
        <f t="shared" si="202"/>
        <v>0</v>
      </c>
      <c r="DM173" s="80">
        <f t="shared" si="202"/>
        <v>0</v>
      </c>
      <c r="DN173" s="80">
        <f t="shared" si="202"/>
        <v>0</v>
      </c>
      <c r="DO173" s="80">
        <f t="shared" si="202"/>
        <v>0</v>
      </c>
      <c r="DP173" s="80">
        <f t="shared" si="202"/>
        <v>0</v>
      </c>
      <c r="DQ173" s="80">
        <f t="shared" si="202"/>
        <v>0</v>
      </c>
      <c r="DR173" s="80">
        <f t="shared" si="202"/>
        <v>0</v>
      </c>
      <c r="DS173" s="80">
        <f t="shared" si="202"/>
        <v>0</v>
      </c>
      <c r="DT173" s="80">
        <f t="shared" si="202"/>
        <v>0</v>
      </c>
      <c r="DU173" s="80">
        <f t="shared" si="202"/>
        <v>0</v>
      </c>
      <c r="DV173" s="80">
        <f t="shared" si="202"/>
        <v>0</v>
      </c>
      <c r="DW173" s="80">
        <f t="shared" si="202"/>
        <v>0</v>
      </c>
      <c r="DX173" s="80">
        <f t="shared" si="202"/>
        <v>0</v>
      </c>
      <c r="DY173" s="80">
        <f t="shared" si="202"/>
        <v>0</v>
      </c>
      <c r="DZ173" s="80">
        <f t="shared" si="202"/>
        <v>0</v>
      </c>
      <c r="EA173" s="80">
        <f t="shared" si="202"/>
        <v>0</v>
      </c>
      <c r="EB173" s="80">
        <f t="shared" si="202"/>
        <v>0</v>
      </c>
      <c r="EC173" s="80">
        <f t="shared" si="202"/>
        <v>0</v>
      </c>
      <c r="ED173" s="80">
        <f t="shared" si="202"/>
        <v>0</v>
      </c>
      <c r="EE173" s="80">
        <f t="shared" si="202"/>
        <v>0</v>
      </c>
      <c r="EF173" s="80">
        <f t="shared" si="202"/>
        <v>0</v>
      </c>
      <c r="EG173" s="80">
        <f t="shared" si="202"/>
        <v>0</v>
      </c>
      <c r="EH173" s="80">
        <f t="shared" si="202"/>
        <v>0</v>
      </c>
      <c r="EI173" s="80">
        <f t="shared" si="202"/>
        <v>0</v>
      </c>
      <c r="EJ173" s="80">
        <f t="shared" si="202"/>
        <v>0</v>
      </c>
      <c r="EK173" s="80">
        <f t="shared" si="202"/>
        <v>0</v>
      </c>
      <c r="EL173" s="80">
        <f t="shared" si="202"/>
        <v>0</v>
      </c>
      <c r="EM173" s="80">
        <f t="shared" si="202"/>
        <v>0</v>
      </c>
      <c r="EN173" s="80">
        <f t="shared" si="202"/>
        <v>0</v>
      </c>
      <c r="EO173" s="80">
        <f t="shared" si="202"/>
        <v>0</v>
      </c>
      <c r="EP173" s="80">
        <f t="shared" si="202"/>
        <v>0</v>
      </c>
      <c r="EQ173" s="80">
        <f t="shared" si="202"/>
        <v>0</v>
      </c>
      <c r="ER173" s="80">
        <f t="shared" si="202"/>
        <v>0</v>
      </c>
      <c r="ES173" s="80">
        <f t="shared" si="202"/>
        <v>0</v>
      </c>
      <c r="ET173" s="80">
        <f t="shared" si="202"/>
        <v>0</v>
      </c>
      <c r="EU173" s="80">
        <f t="shared" si="202"/>
        <v>0</v>
      </c>
      <c r="EV173" s="80">
        <f t="shared" ref="EV173:GX173" si="203">IF(EV$142=0,"",EV139/EV$142)</f>
        <v>0</v>
      </c>
      <c r="EW173" s="80">
        <f t="shared" si="203"/>
        <v>0</v>
      </c>
      <c r="EX173" s="80">
        <f t="shared" si="203"/>
        <v>0</v>
      </c>
      <c r="EY173" s="80">
        <f t="shared" si="203"/>
        <v>0</v>
      </c>
      <c r="EZ173" s="80">
        <f t="shared" si="203"/>
        <v>0</v>
      </c>
      <c r="FA173" s="80">
        <f t="shared" si="203"/>
        <v>0</v>
      </c>
      <c r="FB173" s="80">
        <f t="shared" si="203"/>
        <v>0</v>
      </c>
      <c r="FC173" s="80">
        <f t="shared" si="203"/>
        <v>0</v>
      </c>
      <c r="FD173" s="80">
        <f t="shared" si="203"/>
        <v>0</v>
      </c>
      <c r="FE173" s="80">
        <f t="shared" si="203"/>
        <v>0</v>
      </c>
      <c r="FF173" s="80">
        <f t="shared" si="203"/>
        <v>0</v>
      </c>
      <c r="FG173" s="80">
        <f t="shared" si="203"/>
        <v>0</v>
      </c>
      <c r="FH173" s="80">
        <f t="shared" si="203"/>
        <v>0</v>
      </c>
      <c r="FI173" s="80">
        <f t="shared" si="203"/>
        <v>0</v>
      </c>
      <c r="FJ173" s="80">
        <f t="shared" si="203"/>
        <v>0</v>
      </c>
      <c r="FK173" s="80">
        <f t="shared" si="203"/>
        <v>0</v>
      </c>
      <c r="FL173" s="80">
        <f t="shared" si="203"/>
        <v>0</v>
      </c>
      <c r="FM173" s="80">
        <f t="shared" si="203"/>
        <v>0</v>
      </c>
      <c r="FN173" s="80">
        <f t="shared" si="203"/>
        <v>0</v>
      </c>
      <c r="FO173" s="80">
        <f t="shared" si="203"/>
        <v>0</v>
      </c>
      <c r="FP173" s="80">
        <f t="shared" si="203"/>
        <v>0</v>
      </c>
      <c r="FQ173" s="80">
        <f t="shared" si="203"/>
        <v>0</v>
      </c>
      <c r="FR173" s="80">
        <f t="shared" si="203"/>
        <v>0</v>
      </c>
      <c r="FS173" s="80">
        <f t="shared" si="203"/>
        <v>0</v>
      </c>
      <c r="FT173" s="80">
        <f t="shared" si="203"/>
        <v>0</v>
      </c>
      <c r="FU173" s="80">
        <f t="shared" si="203"/>
        <v>0</v>
      </c>
      <c r="FV173" s="80">
        <f t="shared" si="203"/>
        <v>0</v>
      </c>
      <c r="FW173" s="80">
        <f t="shared" si="203"/>
        <v>0</v>
      </c>
      <c r="FX173" s="80">
        <f t="shared" si="203"/>
        <v>0</v>
      </c>
      <c r="FY173" s="80">
        <f t="shared" si="203"/>
        <v>0</v>
      </c>
      <c r="FZ173" s="80">
        <f t="shared" si="203"/>
        <v>0</v>
      </c>
      <c r="GA173" s="80">
        <f t="shared" si="203"/>
        <v>0</v>
      </c>
      <c r="GB173" s="80">
        <f t="shared" si="203"/>
        <v>0</v>
      </c>
      <c r="GC173" s="80">
        <f t="shared" si="203"/>
        <v>0</v>
      </c>
      <c r="GD173" s="80">
        <f t="shared" si="203"/>
        <v>0</v>
      </c>
      <c r="GE173" s="80">
        <f t="shared" si="203"/>
        <v>0</v>
      </c>
      <c r="GF173" s="80">
        <f t="shared" si="203"/>
        <v>0</v>
      </c>
      <c r="GG173" s="80">
        <f t="shared" si="203"/>
        <v>0</v>
      </c>
      <c r="GH173" s="80">
        <f t="shared" si="203"/>
        <v>0</v>
      </c>
      <c r="GI173" s="80">
        <f t="shared" si="203"/>
        <v>0</v>
      </c>
      <c r="GJ173" s="80">
        <f t="shared" si="203"/>
        <v>0</v>
      </c>
      <c r="GK173" s="80">
        <f t="shared" si="203"/>
        <v>0</v>
      </c>
      <c r="GL173" s="80">
        <f t="shared" si="203"/>
        <v>0</v>
      </c>
      <c r="GM173" s="80">
        <f t="shared" si="203"/>
        <v>0</v>
      </c>
      <c r="GN173" s="80">
        <f t="shared" si="203"/>
        <v>0</v>
      </c>
      <c r="GO173" s="80">
        <f t="shared" si="203"/>
        <v>0</v>
      </c>
      <c r="GP173" s="80">
        <f t="shared" si="203"/>
        <v>0</v>
      </c>
      <c r="GQ173" s="80">
        <f t="shared" si="203"/>
        <v>0</v>
      </c>
      <c r="GR173" s="80">
        <f t="shared" si="203"/>
        <v>0</v>
      </c>
      <c r="GS173" s="80">
        <f t="shared" si="203"/>
        <v>0</v>
      </c>
      <c r="GT173" s="80">
        <f t="shared" si="203"/>
        <v>0</v>
      </c>
      <c r="GU173" s="80">
        <f t="shared" si="203"/>
        <v>0</v>
      </c>
      <c r="GV173" s="80">
        <f t="shared" si="203"/>
        <v>0</v>
      </c>
      <c r="GW173" s="80">
        <f t="shared" si="203"/>
        <v>0</v>
      </c>
      <c r="GX173" s="80">
        <f t="shared" si="203"/>
        <v>0</v>
      </c>
    </row>
    <row r="174" spans="1:206" x14ac:dyDescent="0.2">
      <c r="A174" s="84">
        <v>2</v>
      </c>
      <c r="B174" s="84" t="s">
        <v>257</v>
      </c>
      <c r="W174" s="80">
        <f>IF(W$142=0,"",W140/W$142)</f>
        <v>7.4475601678074627E-2</v>
      </c>
      <c r="X174" s="80">
        <f t="shared" ref="X174:CI174" si="204">IF(X$142=0,"",X140/X$142)</f>
        <v>6.9096197967879386E-2</v>
      </c>
      <c r="Y174" s="80">
        <f t="shared" si="204"/>
        <v>6.9096197967879386E-2</v>
      </c>
      <c r="Z174" s="80">
        <f t="shared" si="204"/>
        <v>0</v>
      </c>
      <c r="AA174" s="80">
        <f t="shared" si="204"/>
        <v>0</v>
      </c>
      <c r="AB174" s="80">
        <f t="shared" si="204"/>
        <v>0.133938877850317</v>
      </c>
      <c r="AC174" s="80">
        <f t="shared" si="204"/>
        <v>0.13393887785031697</v>
      </c>
      <c r="AD174" s="80">
        <f t="shared" si="204"/>
        <v>0.13393887785031697</v>
      </c>
      <c r="AE174" s="80">
        <f t="shared" si="204"/>
        <v>0.13393887785031697</v>
      </c>
      <c r="AF174" s="80">
        <f t="shared" si="204"/>
        <v>0.24762986091399375</v>
      </c>
      <c r="AG174" s="80">
        <f t="shared" si="204"/>
        <v>0.19918629955530326</v>
      </c>
      <c r="AH174" s="80">
        <f t="shared" si="204"/>
        <v>0.35738480461727695</v>
      </c>
      <c r="AI174" s="80">
        <f t="shared" si="204"/>
        <v>0.35738480461727695</v>
      </c>
      <c r="AJ174" s="80">
        <f t="shared" si="204"/>
        <v>0.42145898382060742</v>
      </c>
      <c r="AK174" s="80">
        <f t="shared" si="204"/>
        <v>0.30776800075693067</v>
      </c>
      <c r="AL174" s="80">
        <f t="shared" si="204"/>
        <v>0.27571198788910961</v>
      </c>
      <c r="AM174" s="80">
        <f t="shared" si="204"/>
        <v>0.11751348282713596</v>
      </c>
      <c r="AN174" s="80">
        <f t="shared" si="204"/>
        <v>0.24700539313085437</v>
      </c>
      <c r="AO174" s="80">
        <f t="shared" si="204"/>
        <v>0.18293121392752387</v>
      </c>
      <c r="AP174" s="80">
        <f t="shared" si="204"/>
        <v>0.20399280915886078</v>
      </c>
      <c r="AQ174" s="80">
        <f t="shared" si="204"/>
        <v>0.15055350553505531</v>
      </c>
      <c r="AR174" s="80">
        <f t="shared" si="204"/>
        <v>0.18436938215535997</v>
      </c>
      <c r="AS174" s="80">
        <f t="shared" si="204"/>
        <v>5.4877471851641588E-2</v>
      </c>
      <c r="AT174" s="80">
        <f t="shared" si="204"/>
        <v>5.4877471851641588E-2</v>
      </c>
      <c r="AU174" s="80">
        <f t="shared" si="204"/>
        <v>0.10053931308543855</v>
      </c>
      <c r="AV174" s="80">
        <f t="shared" si="204"/>
        <v>0.10053931308543855</v>
      </c>
      <c r="AW174" s="80">
        <f t="shared" si="204"/>
        <v>0.14296527580660423</v>
      </c>
      <c r="AX174" s="80">
        <f t="shared" si="204"/>
        <v>0.14296527580660423</v>
      </c>
      <c r="AY174" s="80">
        <f t="shared" si="204"/>
        <v>0.14296527580660423</v>
      </c>
      <c r="AZ174" s="80">
        <f t="shared" si="204"/>
        <v>7.624183934147033E-2</v>
      </c>
      <c r="BA174" s="80">
        <f t="shared" si="204"/>
        <v>7.624183934147033E-2</v>
      </c>
      <c r="BB174" s="80">
        <f t="shared" si="204"/>
        <v>0</v>
      </c>
      <c r="BC174" s="80">
        <f t="shared" si="204"/>
        <v>0</v>
      </c>
      <c r="BD174" s="80">
        <f t="shared" si="204"/>
        <v>0</v>
      </c>
      <c r="BE174" s="80">
        <f t="shared" si="204"/>
        <v>0</v>
      </c>
      <c r="BF174" s="80">
        <f t="shared" si="204"/>
        <v>0</v>
      </c>
      <c r="BG174" s="80">
        <f t="shared" si="204"/>
        <v>0</v>
      </c>
      <c r="BH174" s="80">
        <f t="shared" si="204"/>
        <v>0</v>
      </c>
      <c r="BI174" s="80">
        <f t="shared" si="204"/>
        <v>0</v>
      </c>
      <c r="BJ174" s="80">
        <f t="shared" si="204"/>
        <v>0</v>
      </c>
      <c r="BK174" s="80">
        <f t="shared" si="204"/>
        <v>0</v>
      </c>
      <c r="BL174" s="80">
        <f t="shared" si="204"/>
        <v>0</v>
      </c>
      <c r="BM174" s="80">
        <f t="shared" si="204"/>
        <v>0</v>
      </c>
      <c r="BN174" s="80">
        <f t="shared" si="204"/>
        <v>0</v>
      </c>
      <c r="BO174" s="80">
        <f t="shared" si="204"/>
        <v>0</v>
      </c>
      <c r="BP174" s="80">
        <f t="shared" si="204"/>
        <v>0</v>
      </c>
      <c r="BQ174" s="80">
        <f t="shared" si="204"/>
        <v>0</v>
      </c>
      <c r="BR174" s="80">
        <f t="shared" si="204"/>
        <v>0</v>
      </c>
      <c r="BS174" s="80">
        <f t="shared" si="204"/>
        <v>0</v>
      </c>
      <c r="BT174" s="80">
        <f t="shared" si="204"/>
        <v>0</v>
      </c>
      <c r="BU174" s="80">
        <f t="shared" si="204"/>
        <v>0</v>
      </c>
      <c r="BV174" s="80">
        <f t="shared" si="204"/>
        <v>0</v>
      </c>
      <c r="BW174" s="80">
        <f t="shared" si="204"/>
        <v>0</v>
      </c>
      <c r="BX174" s="80">
        <f t="shared" si="204"/>
        <v>9.0434288958274212E-2</v>
      </c>
      <c r="BY174" s="80">
        <f t="shared" si="204"/>
        <v>9.0434288958274184E-2</v>
      </c>
      <c r="BZ174" s="80">
        <f t="shared" si="204"/>
        <v>9.0434288958274212E-2</v>
      </c>
      <c r="CA174" s="80">
        <f t="shared" si="204"/>
        <v>9.0434288958274212E-2</v>
      </c>
      <c r="CB174" s="80">
        <f t="shared" si="204"/>
        <v>0.24730816538934616</v>
      </c>
      <c r="CC174" s="80">
        <f t="shared" si="204"/>
        <v>0.37712177121771218</v>
      </c>
      <c r="CD174" s="80">
        <f t="shared" si="204"/>
        <v>0.5598637524836787</v>
      </c>
      <c r="CE174" s="80">
        <f t="shared" si="204"/>
        <v>0.64187718800264937</v>
      </c>
      <c r="CF174" s="80">
        <f t="shared" si="204"/>
        <v>0.67569306462295398</v>
      </c>
      <c r="CG174" s="80">
        <f t="shared" si="204"/>
        <v>0.51881918819188189</v>
      </c>
      <c r="CH174" s="80">
        <f t="shared" si="204"/>
        <v>0.29857129340524174</v>
      </c>
      <c r="CI174" s="80">
        <f t="shared" si="204"/>
        <v>0.11582931213927525</v>
      </c>
      <c r="CJ174" s="80">
        <f t="shared" ref="CJ174:EU174" si="205">IF(CJ$142=0,"",CJ140/CJ$142)</f>
        <v>0.17678115242690889</v>
      </c>
      <c r="CK174" s="80">
        <f t="shared" si="205"/>
        <v>0.18453969155076166</v>
      </c>
      <c r="CL174" s="80">
        <f t="shared" si="205"/>
        <v>0.23387264641877187</v>
      </c>
      <c r="CM174" s="80">
        <f t="shared" si="205"/>
        <v>0.23387264641877187</v>
      </c>
      <c r="CN174" s="80">
        <f t="shared" si="205"/>
        <v>0.23387264641877187</v>
      </c>
      <c r="CO174" s="80">
        <f t="shared" si="205"/>
        <v>9.0907370612167651E-2</v>
      </c>
      <c r="CP174" s="80">
        <f t="shared" si="205"/>
        <v>4.9332954868010204E-2</v>
      </c>
      <c r="CQ174" s="80">
        <f t="shared" si="205"/>
        <v>0</v>
      </c>
      <c r="CR174" s="80">
        <f t="shared" si="205"/>
        <v>0</v>
      </c>
      <c r="CS174" s="80">
        <f t="shared" si="205"/>
        <v>0</v>
      </c>
      <c r="CT174" s="80">
        <f t="shared" si="205"/>
        <v>0</v>
      </c>
      <c r="CU174" s="80">
        <f t="shared" si="205"/>
        <v>0</v>
      </c>
      <c r="CV174" s="80">
        <f t="shared" si="205"/>
        <v>0</v>
      </c>
      <c r="CW174" s="80">
        <f t="shared" si="205"/>
        <v>0</v>
      </c>
      <c r="CX174" s="80">
        <f t="shared" si="205"/>
        <v>0</v>
      </c>
      <c r="CY174" s="80">
        <f t="shared" si="205"/>
        <v>0</v>
      </c>
      <c r="CZ174" s="80">
        <f t="shared" si="205"/>
        <v>0</v>
      </c>
      <c r="DA174" s="80">
        <f t="shared" si="205"/>
        <v>0</v>
      </c>
      <c r="DB174" s="80">
        <f t="shared" si="205"/>
        <v>0</v>
      </c>
      <c r="DC174" s="80">
        <f t="shared" si="205"/>
        <v>0</v>
      </c>
      <c r="DD174" s="80">
        <f t="shared" si="205"/>
        <v>0</v>
      </c>
      <c r="DE174" s="80">
        <f t="shared" si="205"/>
        <v>0</v>
      </c>
      <c r="DF174" s="80">
        <f t="shared" si="205"/>
        <v>0</v>
      </c>
      <c r="DG174" s="80">
        <f t="shared" si="205"/>
        <v>0</v>
      </c>
      <c r="DH174" s="80">
        <f t="shared" si="205"/>
        <v>0</v>
      </c>
      <c r="DI174" s="80">
        <f t="shared" si="205"/>
        <v>0</v>
      </c>
      <c r="DJ174" s="80">
        <f t="shared" si="205"/>
        <v>0</v>
      </c>
      <c r="DK174" s="80">
        <f t="shared" si="205"/>
        <v>0</v>
      </c>
      <c r="DL174" s="80">
        <f t="shared" si="205"/>
        <v>0</v>
      </c>
      <c r="DM174" s="80">
        <f t="shared" si="205"/>
        <v>0</v>
      </c>
      <c r="DN174" s="80">
        <f t="shared" si="205"/>
        <v>0</v>
      </c>
      <c r="DO174" s="80">
        <f t="shared" si="205"/>
        <v>0</v>
      </c>
      <c r="DP174" s="80">
        <f t="shared" si="205"/>
        <v>0</v>
      </c>
      <c r="DQ174" s="80">
        <f t="shared" si="205"/>
        <v>0</v>
      </c>
      <c r="DR174" s="80">
        <f t="shared" si="205"/>
        <v>0</v>
      </c>
      <c r="DS174" s="80">
        <f t="shared" si="205"/>
        <v>0</v>
      </c>
      <c r="DT174" s="80">
        <f t="shared" si="205"/>
        <v>0</v>
      </c>
      <c r="DU174" s="80">
        <f t="shared" si="205"/>
        <v>0</v>
      </c>
      <c r="DV174" s="80">
        <f t="shared" si="205"/>
        <v>0</v>
      </c>
      <c r="DW174" s="80">
        <f t="shared" si="205"/>
        <v>0</v>
      </c>
      <c r="DX174" s="80">
        <f t="shared" si="205"/>
        <v>0</v>
      </c>
      <c r="DY174" s="80">
        <f t="shared" si="205"/>
        <v>0</v>
      </c>
      <c r="DZ174" s="80">
        <f t="shared" si="205"/>
        <v>0</v>
      </c>
      <c r="EA174" s="80">
        <f t="shared" si="205"/>
        <v>0</v>
      </c>
      <c r="EB174" s="80">
        <f t="shared" si="205"/>
        <v>0</v>
      </c>
      <c r="EC174" s="80">
        <f t="shared" si="205"/>
        <v>0</v>
      </c>
      <c r="ED174" s="80">
        <f t="shared" si="205"/>
        <v>0</v>
      </c>
      <c r="EE174" s="80">
        <f t="shared" si="205"/>
        <v>0</v>
      </c>
      <c r="EF174" s="80">
        <f t="shared" si="205"/>
        <v>0</v>
      </c>
      <c r="EG174" s="80">
        <f t="shared" si="205"/>
        <v>0</v>
      </c>
      <c r="EH174" s="80">
        <f t="shared" si="205"/>
        <v>0</v>
      </c>
      <c r="EI174" s="80">
        <f t="shared" si="205"/>
        <v>0</v>
      </c>
      <c r="EJ174" s="80">
        <f t="shared" si="205"/>
        <v>0</v>
      </c>
      <c r="EK174" s="80">
        <f t="shared" si="205"/>
        <v>0</v>
      </c>
      <c r="EL174" s="80">
        <f t="shared" si="205"/>
        <v>0</v>
      </c>
      <c r="EM174" s="80">
        <f t="shared" si="205"/>
        <v>0</v>
      </c>
      <c r="EN174" s="80">
        <f t="shared" si="205"/>
        <v>0</v>
      </c>
      <c r="EO174" s="80">
        <f t="shared" si="205"/>
        <v>0</v>
      </c>
      <c r="EP174" s="80">
        <f t="shared" si="205"/>
        <v>0</v>
      </c>
      <c r="EQ174" s="80">
        <f t="shared" si="205"/>
        <v>0</v>
      </c>
      <c r="ER174" s="80">
        <f t="shared" si="205"/>
        <v>0</v>
      </c>
      <c r="ES174" s="80">
        <f t="shared" si="205"/>
        <v>0</v>
      </c>
      <c r="ET174" s="80">
        <f t="shared" si="205"/>
        <v>0</v>
      </c>
      <c r="EU174" s="80">
        <f t="shared" si="205"/>
        <v>0</v>
      </c>
      <c r="EV174" s="80">
        <f t="shared" ref="EV174:GX174" si="206">IF(EV$142=0,"",EV140/EV$142)</f>
        <v>0</v>
      </c>
      <c r="EW174" s="80">
        <f t="shared" si="206"/>
        <v>0</v>
      </c>
      <c r="EX174" s="80">
        <f t="shared" si="206"/>
        <v>0</v>
      </c>
      <c r="EY174" s="80">
        <f t="shared" si="206"/>
        <v>0</v>
      </c>
      <c r="EZ174" s="80">
        <f t="shared" si="206"/>
        <v>0</v>
      </c>
      <c r="FA174" s="80">
        <f t="shared" si="206"/>
        <v>0</v>
      </c>
      <c r="FB174" s="80">
        <f t="shared" si="206"/>
        <v>0</v>
      </c>
      <c r="FC174" s="80">
        <f t="shared" si="206"/>
        <v>0</v>
      </c>
      <c r="FD174" s="80">
        <f t="shared" si="206"/>
        <v>0</v>
      </c>
      <c r="FE174" s="80">
        <f t="shared" si="206"/>
        <v>0</v>
      </c>
      <c r="FF174" s="80">
        <f t="shared" si="206"/>
        <v>0</v>
      </c>
      <c r="FG174" s="80">
        <f t="shared" si="206"/>
        <v>0</v>
      </c>
      <c r="FH174" s="80">
        <f t="shared" si="206"/>
        <v>0</v>
      </c>
      <c r="FI174" s="80">
        <f t="shared" si="206"/>
        <v>0</v>
      </c>
      <c r="FJ174" s="80">
        <f t="shared" si="206"/>
        <v>0</v>
      </c>
      <c r="FK174" s="80">
        <f t="shared" si="206"/>
        <v>0</v>
      </c>
      <c r="FL174" s="80">
        <f t="shared" si="206"/>
        <v>0</v>
      </c>
      <c r="FM174" s="80">
        <f t="shared" si="206"/>
        <v>0</v>
      </c>
      <c r="FN174" s="80">
        <f t="shared" si="206"/>
        <v>0</v>
      </c>
      <c r="FO174" s="80">
        <f t="shared" si="206"/>
        <v>0</v>
      </c>
      <c r="FP174" s="80">
        <f t="shared" si="206"/>
        <v>0</v>
      </c>
      <c r="FQ174" s="80">
        <f t="shared" si="206"/>
        <v>0</v>
      </c>
      <c r="FR174" s="80">
        <f t="shared" si="206"/>
        <v>0</v>
      </c>
      <c r="FS174" s="80">
        <f t="shared" si="206"/>
        <v>0</v>
      </c>
      <c r="FT174" s="80">
        <f t="shared" si="206"/>
        <v>0</v>
      </c>
      <c r="FU174" s="80">
        <f t="shared" si="206"/>
        <v>0</v>
      </c>
      <c r="FV174" s="80">
        <f t="shared" si="206"/>
        <v>0</v>
      </c>
      <c r="FW174" s="80">
        <f t="shared" si="206"/>
        <v>0</v>
      </c>
      <c r="FX174" s="80">
        <f t="shared" si="206"/>
        <v>0</v>
      </c>
      <c r="FY174" s="80">
        <f t="shared" si="206"/>
        <v>0</v>
      </c>
      <c r="FZ174" s="80">
        <f t="shared" si="206"/>
        <v>0</v>
      </c>
      <c r="GA174" s="80">
        <f t="shared" si="206"/>
        <v>0</v>
      </c>
      <c r="GB174" s="80">
        <f t="shared" si="206"/>
        <v>0</v>
      </c>
      <c r="GC174" s="80">
        <f t="shared" si="206"/>
        <v>0</v>
      </c>
      <c r="GD174" s="80">
        <f t="shared" si="206"/>
        <v>0</v>
      </c>
      <c r="GE174" s="80">
        <f t="shared" si="206"/>
        <v>0</v>
      </c>
      <c r="GF174" s="80">
        <f t="shared" si="206"/>
        <v>0</v>
      </c>
      <c r="GG174" s="80">
        <f t="shared" si="206"/>
        <v>0</v>
      </c>
      <c r="GH174" s="80">
        <f t="shared" si="206"/>
        <v>0</v>
      </c>
      <c r="GI174" s="80">
        <f t="shared" si="206"/>
        <v>0</v>
      </c>
      <c r="GJ174" s="80">
        <f t="shared" si="206"/>
        <v>0</v>
      </c>
      <c r="GK174" s="80">
        <f t="shared" si="206"/>
        <v>0</v>
      </c>
      <c r="GL174" s="80">
        <f t="shared" si="206"/>
        <v>0</v>
      </c>
      <c r="GM174" s="80">
        <f t="shared" si="206"/>
        <v>0</v>
      </c>
      <c r="GN174" s="80">
        <f t="shared" si="206"/>
        <v>0</v>
      </c>
      <c r="GO174" s="80">
        <f t="shared" si="206"/>
        <v>0</v>
      </c>
      <c r="GP174" s="80">
        <f t="shared" si="206"/>
        <v>0</v>
      </c>
      <c r="GQ174" s="80">
        <f t="shared" si="206"/>
        <v>0</v>
      </c>
      <c r="GR174" s="80">
        <f t="shared" si="206"/>
        <v>0</v>
      </c>
      <c r="GS174" s="80">
        <f t="shared" si="206"/>
        <v>0</v>
      </c>
      <c r="GT174" s="80">
        <f t="shared" si="206"/>
        <v>0</v>
      </c>
      <c r="GU174" s="80">
        <f t="shared" si="206"/>
        <v>0</v>
      </c>
      <c r="GV174" s="80">
        <f t="shared" si="206"/>
        <v>0</v>
      </c>
      <c r="GW174" s="80">
        <f t="shared" si="206"/>
        <v>0</v>
      </c>
      <c r="GX174" s="80">
        <f t="shared" si="206"/>
        <v>0</v>
      </c>
    </row>
    <row r="175" spans="1:206" x14ac:dyDescent="0.2">
      <c r="A175" s="84">
        <v>2</v>
      </c>
      <c r="B175" s="84" t="s">
        <v>259</v>
      </c>
      <c r="W175" s="80">
        <f>IF(W$142=0,"",W141/W$142)</f>
        <v>0</v>
      </c>
      <c r="X175" s="80">
        <f t="shared" ref="X175:CI175" si="207">IF(X$142=0,"",X141/X$142)</f>
        <v>0</v>
      </c>
      <c r="Y175" s="80">
        <f t="shared" si="207"/>
        <v>0</v>
      </c>
      <c r="Z175" s="80">
        <f t="shared" si="207"/>
        <v>6.3828176743305889E-2</v>
      </c>
      <c r="AA175" s="80">
        <f t="shared" si="207"/>
        <v>6.3828176743305889E-2</v>
      </c>
      <c r="AB175" s="80">
        <f t="shared" si="207"/>
        <v>6.3828176743305903E-2</v>
      </c>
      <c r="AC175" s="80">
        <f t="shared" si="207"/>
        <v>6.3828176743305889E-2</v>
      </c>
      <c r="AD175" s="80">
        <f t="shared" si="207"/>
        <v>6.3828176743305889E-2</v>
      </c>
      <c r="AE175" s="80">
        <f t="shared" si="207"/>
        <v>0</v>
      </c>
      <c r="AF175" s="80">
        <f t="shared" si="207"/>
        <v>0</v>
      </c>
      <c r="AG175" s="80">
        <f t="shared" si="207"/>
        <v>0.133938877850317</v>
      </c>
      <c r="AH175" s="80">
        <f t="shared" si="207"/>
        <v>0.13393887785031697</v>
      </c>
      <c r="AI175" s="80">
        <f t="shared" si="207"/>
        <v>0.13393887785031697</v>
      </c>
      <c r="AJ175" s="80">
        <f t="shared" si="207"/>
        <v>0.13393887785031697</v>
      </c>
      <c r="AK175" s="80">
        <f t="shared" si="207"/>
        <v>0.24762986091399375</v>
      </c>
      <c r="AL175" s="80">
        <f t="shared" si="207"/>
        <v>0.3331251774056202</v>
      </c>
      <c r="AM175" s="80">
        <f t="shared" si="207"/>
        <v>0.40931024694862334</v>
      </c>
      <c r="AN175" s="80">
        <f t="shared" si="207"/>
        <v>0.35738480461727695</v>
      </c>
      <c r="AO175" s="80">
        <f t="shared" si="207"/>
        <v>0.42145898382060742</v>
      </c>
      <c r="AP175" s="80">
        <f t="shared" si="207"/>
        <v>0.39665058189043428</v>
      </c>
      <c r="AQ175" s="80">
        <f t="shared" si="207"/>
        <v>0.43686252247137852</v>
      </c>
      <c r="AR175" s="80">
        <f t="shared" si="207"/>
        <v>0.27571198788910961</v>
      </c>
      <c r="AS175" s="80">
        <f t="shared" si="207"/>
        <v>0.24700539313085437</v>
      </c>
      <c r="AT175" s="80">
        <f t="shared" si="207"/>
        <v>0.24700539313085437</v>
      </c>
      <c r="AU175" s="80">
        <f t="shared" si="207"/>
        <v>0.22649257261803385</v>
      </c>
      <c r="AV175" s="80">
        <f t="shared" si="207"/>
        <v>0.22649257261803385</v>
      </c>
      <c r="AW175" s="80">
        <f t="shared" si="207"/>
        <v>0.26030844923833851</v>
      </c>
      <c r="AX175" s="80">
        <f t="shared" si="207"/>
        <v>0.23780868577916547</v>
      </c>
      <c r="AY175" s="80">
        <f t="shared" si="207"/>
        <v>0.21097549437032828</v>
      </c>
      <c r="AZ175" s="80">
        <f t="shared" si="207"/>
        <v>0.27769893083546215</v>
      </c>
      <c r="BA175" s="80">
        <f t="shared" si="207"/>
        <v>0.25109281862049387</v>
      </c>
      <c r="BB175" s="80">
        <f t="shared" si="207"/>
        <v>0.3273346579619642</v>
      </c>
      <c r="BC175" s="80">
        <f t="shared" si="207"/>
        <v>0.32733465796196426</v>
      </c>
      <c r="BD175" s="80">
        <f t="shared" si="207"/>
        <v>0.32733465796196426</v>
      </c>
      <c r="BE175" s="80">
        <f t="shared" si="207"/>
        <v>0.22238622386223866</v>
      </c>
      <c r="BF175" s="80">
        <f t="shared" si="207"/>
        <v>0.2013246286309017</v>
      </c>
      <c r="BG175" s="80">
        <f t="shared" si="207"/>
        <v>0.17678115242690889</v>
      </c>
      <c r="BH175" s="80">
        <f t="shared" si="207"/>
        <v>0.17678115242690889</v>
      </c>
      <c r="BI175" s="80">
        <f t="shared" si="207"/>
        <v>0.14296527580660423</v>
      </c>
      <c r="BJ175" s="80">
        <f t="shared" si="207"/>
        <v>0.14296527580660423</v>
      </c>
      <c r="BK175" s="80">
        <f t="shared" si="207"/>
        <v>0.14296527580660423</v>
      </c>
      <c r="BL175" s="80">
        <f t="shared" si="207"/>
        <v>0.14296527580660423</v>
      </c>
      <c r="BM175" s="80">
        <f t="shared" si="207"/>
        <v>0</v>
      </c>
      <c r="BN175" s="80">
        <f t="shared" si="207"/>
        <v>0</v>
      </c>
      <c r="BO175" s="80">
        <f t="shared" si="207"/>
        <v>0</v>
      </c>
      <c r="BP175" s="80">
        <f t="shared" si="207"/>
        <v>0</v>
      </c>
      <c r="BQ175" s="80">
        <f t="shared" si="207"/>
        <v>0</v>
      </c>
      <c r="BR175" s="80">
        <f t="shared" si="207"/>
        <v>0</v>
      </c>
      <c r="BS175" s="80">
        <f t="shared" si="207"/>
        <v>0</v>
      </c>
      <c r="BT175" s="80">
        <f t="shared" si="207"/>
        <v>0</v>
      </c>
      <c r="BU175" s="80">
        <f t="shared" si="207"/>
        <v>0</v>
      </c>
      <c r="BV175" s="80">
        <f t="shared" si="207"/>
        <v>0</v>
      </c>
      <c r="BW175" s="80">
        <f t="shared" si="207"/>
        <v>0</v>
      </c>
      <c r="BX175" s="80">
        <f t="shared" si="207"/>
        <v>0</v>
      </c>
      <c r="BY175" s="80">
        <f t="shared" si="207"/>
        <v>0</v>
      </c>
      <c r="BZ175" s="80">
        <f t="shared" si="207"/>
        <v>0</v>
      </c>
      <c r="CA175" s="80">
        <f t="shared" si="207"/>
        <v>0</v>
      </c>
      <c r="CB175" s="80">
        <f t="shared" si="207"/>
        <v>0</v>
      </c>
      <c r="CC175" s="80">
        <f t="shared" si="207"/>
        <v>9.0434288958274212E-2</v>
      </c>
      <c r="CD175" s="80">
        <f t="shared" si="207"/>
        <v>9.0434288958274184E-2</v>
      </c>
      <c r="CE175" s="80">
        <f t="shared" si="207"/>
        <v>9.0434288958274212E-2</v>
      </c>
      <c r="CF175" s="80">
        <f t="shared" si="207"/>
        <v>9.0434288958274212E-2</v>
      </c>
      <c r="CG175" s="80">
        <f t="shared" si="207"/>
        <v>0.24730816538934616</v>
      </c>
      <c r="CH175" s="80">
        <f t="shared" si="207"/>
        <v>0.46755606017598633</v>
      </c>
      <c r="CI175" s="80">
        <f t="shared" si="207"/>
        <v>0.6502980414419528</v>
      </c>
      <c r="CJ175" s="80">
        <f t="shared" ref="CJ175:EU175" si="208">IF(CJ$142=0,"",CJ141/CJ$142)</f>
        <v>0.73231147696092347</v>
      </c>
      <c r="CK175" s="80">
        <f t="shared" si="208"/>
        <v>0.76612735358122819</v>
      </c>
      <c r="CL175" s="80">
        <f t="shared" si="208"/>
        <v>0.76612735358122819</v>
      </c>
      <c r="CM175" s="80">
        <f t="shared" si="208"/>
        <v>0.76612735358122819</v>
      </c>
      <c r="CN175" s="80">
        <f t="shared" si="208"/>
        <v>0.76612735358122819</v>
      </c>
      <c r="CO175" s="80">
        <f t="shared" si="208"/>
        <v>0.90909262938783242</v>
      </c>
      <c r="CP175" s="80">
        <f t="shared" si="208"/>
        <v>0.95066704513198974</v>
      </c>
      <c r="CQ175" s="80">
        <f t="shared" si="208"/>
        <v>1</v>
      </c>
      <c r="CR175" s="80">
        <f t="shared" si="208"/>
        <v>1</v>
      </c>
      <c r="CS175" s="80">
        <f t="shared" si="208"/>
        <v>1</v>
      </c>
      <c r="CT175" s="80">
        <f t="shared" si="208"/>
        <v>1</v>
      </c>
      <c r="CU175" s="80">
        <f t="shared" si="208"/>
        <v>1</v>
      </c>
      <c r="CV175" s="80">
        <f t="shared" si="208"/>
        <v>1</v>
      </c>
      <c r="CW175" s="80">
        <f t="shared" si="208"/>
        <v>1</v>
      </c>
      <c r="CX175" s="80">
        <f t="shared" si="208"/>
        <v>1</v>
      </c>
      <c r="CY175" s="80">
        <f t="shared" si="208"/>
        <v>1</v>
      </c>
      <c r="CZ175" s="80">
        <f t="shared" si="208"/>
        <v>1</v>
      </c>
      <c r="DA175" s="80">
        <f t="shared" si="208"/>
        <v>1</v>
      </c>
      <c r="DB175" s="80">
        <f t="shared" si="208"/>
        <v>1</v>
      </c>
      <c r="DC175" s="80">
        <f t="shared" si="208"/>
        <v>1</v>
      </c>
      <c r="DD175" s="80">
        <f t="shared" si="208"/>
        <v>1</v>
      </c>
      <c r="DE175" s="80">
        <f t="shared" si="208"/>
        <v>1</v>
      </c>
      <c r="DF175" s="80">
        <f t="shared" si="208"/>
        <v>1</v>
      </c>
      <c r="DG175" s="80">
        <f t="shared" si="208"/>
        <v>1</v>
      </c>
      <c r="DH175" s="80">
        <f t="shared" si="208"/>
        <v>1</v>
      </c>
      <c r="DI175" s="80">
        <f t="shared" si="208"/>
        <v>1</v>
      </c>
      <c r="DJ175" s="80">
        <f t="shared" si="208"/>
        <v>1</v>
      </c>
      <c r="DK175" s="80">
        <f t="shared" si="208"/>
        <v>1</v>
      </c>
      <c r="DL175" s="80">
        <f t="shared" si="208"/>
        <v>1</v>
      </c>
      <c r="DM175" s="80">
        <f t="shared" si="208"/>
        <v>1</v>
      </c>
      <c r="DN175" s="80">
        <f t="shared" si="208"/>
        <v>1</v>
      </c>
      <c r="DO175" s="80">
        <f t="shared" si="208"/>
        <v>1</v>
      </c>
      <c r="DP175" s="80">
        <f t="shared" si="208"/>
        <v>1</v>
      </c>
      <c r="DQ175" s="80">
        <f t="shared" si="208"/>
        <v>1</v>
      </c>
      <c r="DR175" s="80">
        <f t="shared" si="208"/>
        <v>1</v>
      </c>
      <c r="DS175" s="80">
        <f t="shared" si="208"/>
        <v>1</v>
      </c>
      <c r="DT175" s="80">
        <f t="shared" si="208"/>
        <v>1</v>
      </c>
      <c r="DU175" s="80">
        <f t="shared" si="208"/>
        <v>1</v>
      </c>
      <c r="DV175" s="80">
        <f t="shared" si="208"/>
        <v>1</v>
      </c>
      <c r="DW175" s="80">
        <f t="shared" si="208"/>
        <v>1</v>
      </c>
      <c r="DX175" s="80">
        <f t="shared" si="208"/>
        <v>1</v>
      </c>
      <c r="DY175" s="80">
        <f t="shared" si="208"/>
        <v>1</v>
      </c>
      <c r="DZ175" s="80">
        <f t="shared" si="208"/>
        <v>1</v>
      </c>
      <c r="EA175" s="80">
        <f t="shared" si="208"/>
        <v>1</v>
      </c>
      <c r="EB175" s="80">
        <f t="shared" si="208"/>
        <v>1</v>
      </c>
      <c r="EC175" s="80">
        <f t="shared" si="208"/>
        <v>1</v>
      </c>
      <c r="ED175" s="80">
        <f t="shared" si="208"/>
        <v>1</v>
      </c>
      <c r="EE175" s="80">
        <f t="shared" si="208"/>
        <v>1</v>
      </c>
      <c r="EF175" s="80">
        <f t="shared" si="208"/>
        <v>1</v>
      </c>
      <c r="EG175" s="80">
        <f t="shared" si="208"/>
        <v>1</v>
      </c>
      <c r="EH175" s="80">
        <f t="shared" si="208"/>
        <v>1</v>
      </c>
      <c r="EI175" s="80">
        <f t="shared" si="208"/>
        <v>1</v>
      </c>
      <c r="EJ175" s="80">
        <f t="shared" si="208"/>
        <v>1</v>
      </c>
      <c r="EK175" s="80">
        <f t="shared" si="208"/>
        <v>1</v>
      </c>
      <c r="EL175" s="80">
        <f t="shared" si="208"/>
        <v>1</v>
      </c>
      <c r="EM175" s="80">
        <f t="shared" si="208"/>
        <v>1</v>
      </c>
      <c r="EN175" s="80">
        <f t="shared" si="208"/>
        <v>1</v>
      </c>
      <c r="EO175" s="80">
        <f t="shared" si="208"/>
        <v>1</v>
      </c>
      <c r="EP175" s="80">
        <f t="shared" si="208"/>
        <v>1</v>
      </c>
      <c r="EQ175" s="80">
        <f t="shared" si="208"/>
        <v>1</v>
      </c>
      <c r="ER175" s="80">
        <f t="shared" si="208"/>
        <v>1</v>
      </c>
      <c r="ES175" s="80">
        <f t="shared" si="208"/>
        <v>1</v>
      </c>
      <c r="ET175" s="80">
        <f t="shared" si="208"/>
        <v>1</v>
      </c>
      <c r="EU175" s="80">
        <f t="shared" si="208"/>
        <v>1</v>
      </c>
      <c r="EV175" s="80">
        <f t="shared" ref="EV175:GX175" si="209">IF(EV$142=0,"",EV141/EV$142)</f>
        <v>1</v>
      </c>
      <c r="EW175" s="80">
        <f t="shared" si="209"/>
        <v>1</v>
      </c>
      <c r="EX175" s="80">
        <f t="shared" si="209"/>
        <v>1</v>
      </c>
      <c r="EY175" s="80">
        <f t="shared" si="209"/>
        <v>1</v>
      </c>
      <c r="EZ175" s="80">
        <f t="shared" si="209"/>
        <v>1</v>
      </c>
      <c r="FA175" s="80">
        <f t="shared" si="209"/>
        <v>1</v>
      </c>
      <c r="FB175" s="80">
        <f t="shared" si="209"/>
        <v>1</v>
      </c>
      <c r="FC175" s="80">
        <f t="shared" si="209"/>
        <v>1</v>
      </c>
      <c r="FD175" s="80">
        <f t="shared" si="209"/>
        <v>1</v>
      </c>
      <c r="FE175" s="80">
        <f t="shared" si="209"/>
        <v>1</v>
      </c>
      <c r="FF175" s="80">
        <f t="shared" si="209"/>
        <v>1</v>
      </c>
      <c r="FG175" s="80">
        <f t="shared" si="209"/>
        <v>1</v>
      </c>
      <c r="FH175" s="80">
        <f t="shared" si="209"/>
        <v>1</v>
      </c>
      <c r="FI175" s="80">
        <f t="shared" si="209"/>
        <v>1</v>
      </c>
      <c r="FJ175" s="80">
        <f t="shared" si="209"/>
        <v>1</v>
      </c>
      <c r="FK175" s="80">
        <f t="shared" si="209"/>
        <v>1</v>
      </c>
      <c r="FL175" s="80">
        <f t="shared" si="209"/>
        <v>1</v>
      </c>
      <c r="FM175" s="80">
        <f t="shared" si="209"/>
        <v>1</v>
      </c>
      <c r="FN175" s="80">
        <f t="shared" si="209"/>
        <v>1</v>
      </c>
      <c r="FO175" s="80">
        <f t="shared" si="209"/>
        <v>1</v>
      </c>
      <c r="FP175" s="80">
        <f t="shared" si="209"/>
        <v>1</v>
      </c>
      <c r="FQ175" s="80">
        <f t="shared" si="209"/>
        <v>1</v>
      </c>
      <c r="FR175" s="80">
        <f t="shared" si="209"/>
        <v>1</v>
      </c>
      <c r="FS175" s="80">
        <f t="shared" si="209"/>
        <v>1</v>
      </c>
      <c r="FT175" s="80">
        <f t="shared" si="209"/>
        <v>1</v>
      </c>
      <c r="FU175" s="80">
        <f t="shared" si="209"/>
        <v>1</v>
      </c>
      <c r="FV175" s="80">
        <f t="shared" si="209"/>
        <v>1</v>
      </c>
      <c r="FW175" s="80">
        <f t="shared" si="209"/>
        <v>1</v>
      </c>
      <c r="FX175" s="80">
        <f t="shared" si="209"/>
        <v>1</v>
      </c>
      <c r="FY175" s="80">
        <f t="shared" si="209"/>
        <v>1</v>
      </c>
      <c r="FZ175" s="80">
        <f t="shared" si="209"/>
        <v>1</v>
      </c>
      <c r="GA175" s="80">
        <f t="shared" si="209"/>
        <v>1</v>
      </c>
      <c r="GB175" s="80">
        <f t="shared" si="209"/>
        <v>1</v>
      </c>
      <c r="GC175" s="80">
        <f t="shared" si="209"/>
        <v>1</v>
      </c>
      <c r="GD175" s="80">
        <f t="shared" si="209"/>
        <v>1</v>
      </c>
      <c r="GE175" s="80">
        <f t="shared" si="209"/>
        <v>1</v>
      </c>
      <c r="GF175" s="80">
        <f t="shared" si="209"/>
        <v>1</v>
      </c>
      <c r="GG175" s="80">
        <f t="shared" si="209"/>
        <v>1</v>
      </c>
      <c r="GH175" s="80">
        <f t="shared" si="209"/>
        <v>1</v>
      </c>
      <c r="GI175" s="80">
        <f t="shared" si="209"/>
        <v>1</v>
      </c>
      <c r="GJ175" s="80">
        <f t="shared" si="209"/>
        <v>1</v>
      </c>
      <c r="GK175" s="80">
        <f t="shared" si="209"/>
        <v>1</v>
      </c>
      <c r="GL175" s="80">
        <f t="shared" si="209"/>
        <v>1</v>
      </c>
      <c r="GM175" s="80">
        <f t="shared" si="209"/>
        <v>1</v>
      </c>
      <c r="GN175" s="80">
        <f t="shared" si="209"/>
        <v>1</v>
      </c>
      <c r="GO175" s="80">
        <f t="shared" si="209"/>
        <v>1</v>
      </c>
      <c r="GP175" s="80">
        <f t="shared" si="209"/>
        <v>1</v>
      </c>
      <c r="GQ175" s="80">
        <f t="shared" si="209"/>
        <v>1</v>
      </c>
      <c r="GR175" s="80">
        <f t="shared" si="209"/>
        <v>1</v>
      </c>
      <c r="GS175" s="80">
        <f t="shared" si="209"/>
        <v>1</v>
      </c>
      <c r="GT175" s="80">
        <f t="shared" si="209"/>
        <v>1</v>
      </c>
      <c r="GU175" s="80">
        <f t="shared" si="209"/>
        <v>1</v>
      </c>
      <c r="GV175" s="80">
        <f t="shared" si="209"/>
        <v>1</v>
      </c>
      <c r="GW175" s="80">
        <f t="shared" si="209"/>
        <v>1</v>
      </c>
      <c r="GX175" s="80">
        <f t="shared" si="209"/>
        <v>1</v>
      </c>
    </row>
    <row r="176" spans="1:206" x14ac:dyDescent="0.2">
      <c r="A176" s="84"/>
      <c r="B176" s="84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  <c r="AQ176" s="80"/>
      <c r="AR176" s="80"/>
      <c r="AS176" s="80"/>
      <c r="AT176" s="80"/>
      <c r="AU176" s="80"/>
      <c r="AV176" s="80"/>
      <c r="AW176" s="80"/>
      <c r="AX176" s="80"/>
      <c r="AY176" s="80"/>
      <c r="AZ176" s="80"/>
      <c r="BA176" s="80"/>
      <c r="BB176" s="80"/>
      <c r="BC176" s="80"/>
      <c r="BD176" s="80"/>
      <c r="BE176" s="80"/>
      <c r="BF176" s="80"/>
      <c r="BG176" s="80"/>
      <c r="BH176" s="80"/>
      <c r="BI176" s="80"/>
      <c r="BJ176" s="80"/>
      <c r="BK176" s="80"/>
      <c r="BL176" s="80"/>
      <c r="BM176" s="80"/>
      <c r="BN176" s="80"/>
      <c r="BO176" s="80"/>
      <c r="BP176" s="80"/>
      <c r="BQ176" s="80"/>
      <c r="BR176" s="80"/>
      <c r="BS176" s="80"/>
      <c r="BT176" s="80"/>
      <c r="BU176" s="80"/>
      <c r="BV176" s="80"/>
      <c r="BW176" s="80"/>
      <c r="BX176" s="80"/>
      <c r="BY176" s="80"/>
      <c r="BZ176" s="80"/>
      <c r="CA176" s="80"/>
      <c r="CB176" s="80"/>
      <c r="CC176" s="80"/>
      <c r="CD176" s="80"/>
      <c r="CE176" s="80"/>
      <c r="CF176" s="80"/>
      <c r="CG176" s="80"/>
      <c r="CH176" s="80"/>
      <c r="CI176" s="80"/>
      <c r="CJ176" s="80"/>
      <c r="CK176" s="80"/>
      <c r="CL176" s="80"/>
      <c r="CM176" s="80"/>
      <c r="CN176" s="80"/>
      <c r="CO176" s="80"/>
      <c r="CP176" s="80"/>
      <c r="CQ176" s="80"/>
      <c r="CR176" s="80"/>
      <c r="CS176" s="80"/>
      <c r="CT176" s="80"/>
      <c r="CU176" s="80"/>
      <c r="CV176" s="80"/>
      <c r="CW176" s="80"/>
      <c r="CX176" s="80"/>
      <c r="CY176" s="80"/>
      <c r="CZ176" s="80"/>
      <c r="DA176" s="80"/>
      <c r="DB176" s="80"/>
      <c r="DC176" s="80"/>
      <c r="DD176" s="80"/>
      <c r="DE176" s="80"/>
      <c r="DF176" s="80"/>
      <c r="DG176" s="80"/>
      <c r="DH176" s="80"/>
      <c r="DI176" s="80"/>
      <c r="DJ176" s="80"/>
      <c r="DK176" s="80"/>
      <c r="DL176" s="80"/>
      <c r="DM176" s="80"/>
      <c r="DN176" s="80"/>
      <c r="DO176" s="80"/>
      <c r="DP176" s="80"/>
      <c r="DQ176" s="80"/>
      <c r="DR176" s="80"/>
      <c r="DS176" s="80"/>
      <c r="DT176" s="80"/>
      <c r="DU176" s="80"/>
      <c r="DV176" s="80"/>
      <c r="DW176" s="80"/>
      <c r="DX176" s="80"/>
      <c r="DY176" s="80"/>
      <c r="DZ176" s="80"/>
      <c r="EA176" s="80"/>
      <c r="EB176" s="80"/>
      <c r="EC176" s="80"/>
      <c r="ED176" s="80"/>
      <c r="EE176" s="80"/>
      <c r="EF176" s="80"/>
      <c r="EG176" s="80"/>
      <c r="EH176" s="80"/>
      <c r="EI176" s="80"/>
      <c r="EJ176" s="80"/>
      <c r="EK176" s="80"/>
      <c r="EL176" s="80"/>
      <c r="EM176" s="80"/>
      <c r="EN176" s="80"/>
      <c r="EO176" s="80"/>
      <c r="EP176" s="80"/>
      <c r="EQ176" s="80"/>
      <c r="ER176" s="80"/>
      <c r="ES176" s="80"/>
      <c r="ET176" s="80"/>
      <c r="EU176" s="80"/>
      <c r="EV176" s="80"/>
      <c r="EW176" s="80"/>
      <c r="EX176" s="80"/>
      <c r="EY176" s="80"/>
      <c r="EZ176" s="80"/>
      <c r="FA176" s="80"/>
      <c r="FB176" s="80"/>
      <c r="FC176" s="80"/>
      <c r="FD176" s="80"/>
      <c r="FE176" s="80"/>
      <c r="FF176" s="80"/>
      <c r="FG176" s="80"/>
      <c r="FH176" s="80"/>
      <c r="FI176" s="80"/>
      <c r="FJ176" s="80"/>
      <c r="FK176" s="80"/>
      <c r="FL176" s="80"/>
      <c r="FM176" s="80"/>
      <c r="FN176" s="80"/>
      <c r="FO176" s="80"/>
      <c r="FP176" s="80"/>
      <c r="FQ176" s="80"/>
      <c r="FR176" s="80"/>
      <c r="FS176" s="80"/>
      <c r="FT176" s="80"/>
      <c r="FU176" s="80"/>
      <c r="FV176" s="80"/>
      <c r="FW176" s="80"/>
      <c r="FX176" s="80"/>
      <c r="FY176" s="80"/>
      <c r="FZ176" s="80"/>
      <c r="GA176" s="80"/>
      <c r="GB176" s="80"/>
      <c r="GC176" s="80"/>
      <c r="GD176" s="80"/>
      <c r="GE176" s="80"/>
      <c r="GF176" s="80"/>
      <c r="GG176" s="80"/>
      <c r="GH176" s="80"/>
      <c r="GI176" s="80"/>
      <c r="GJ176" s="80"/>
      <c r="GK176" s="80"/>
      <c r="GL176" s="80"/>
      <c r="GM176" s="80"/>
      <c r="GN176" s="80"/>
      <c r="GO176" s="80"/>
      <c r="GP176" s="80"/>
      <c r="GQ176" s="80"/>
      <c r="GR176" s="80"/>
      <c r="GS176" s="80"/>
      <c r="GT176" s="80"/>
      <c r="GU176" s="80"/>
      <c r="GV176" s="80"/>
      <c r="GW176" s="80"/>
      <c r="GX176" s="80"/>
    </row>
    <row r="177" spans="1:206" x14ac:dyDescent="0.2">
      <c r="A177" s="84">
        <v>3</v>
      </c>
      <c r="B177" s="84" t="s">
        <v>11</v>
      </c>
      <c r="W177" s="80">
        <f>IF(W$148=0,"",W143/W$148)</f>
        <v>0.56325526932084302</v>
      </c>
      <c r="X177" s="80">
        <f t="shared" ref="X177:CI177" si="210">IF(X$148=0,"",X143/X$148)</f>
        <v>0.60144044794939189</v>
      </c>
      <c r="Y177" s="80">
        <f t="shared" si="210"/>
        <v>0.63388150567970891</v>
      </c>
      <c r="Z177" s="80">
        <f t="shared" si="210"/>
        <v>0.49977726631524239</v>
      </c>
      <c r="AA177" s="80">
        <f t="shared" si="210"/>
        <v>0.49977726631524239</v>
      </c>
      <c r="AB177" s="80">
        <f t="shared" si="210"/>
        <v>0.49977726631524239</v>
      </c>
      <c r="AC177" s="80">
        <f t="shared" si="210"/>
        <v>0.45354146558764569</v>
      </c>
      <c r="AD177" s="80">
        <f t="shared" si="210"/>
        <v>0.42091098077065853</v>
      </c>
      <c r="AE177" s="80">
        <f t="shared" si="210"/>
        <v>0.37771920706808221</v>
      </c>
      <c r="AF177" s="80">
        <f t="shared" si="210"/>
        <v>0.41749573093770875</v>
      </c>
      <c r="AG177" s="80">
        <f t="shared" si="210"/>
        <v>0.50684906080629588</v>
      </c>
      <c r="AH177" s="80">
        <f t="shared" si="210"/>
        <v>0.73858489865617338</v>
      </c>
      <c r="AI177" s="80">
        <f t="shared" si="210"/>
        <v>0.66096220951815288</v>
      </c>
      <c r="AJ177" s="80">
        <f t="shared" si="210"/>
        <v>0.80869032593362544</v>
      </c>
      <c r="AK177" s="80">
        <f t="shared" si="210"/>
        <v>0.80638874452446363</v>
      </c>
      <c r="AL177" s="80">
        <f t="shared" si="210"/>
        <v>0.67488306481550231</v>
      </c>
      <c r="AM177" s="80">
        <f t="shared" si="210"/>
        <v>0.74959165491127777</v>
      </c>
      <c r="AN177" s="80">
        <f t="shared" si="210"/>
        <v>0.79256069492909642</v>
      </c>
      <c r="AO177" s="80">
        <f t="shared" si="210"/>
        <v>0.79256069492909642</v>
      </c>
      <c r="AP177" s="80">
        <f t="shared" si="210"/>
        <v>0.77039869329571609</v>
      </c>
      <c r="AQ177" s="80">
        <f t="shared" si="210"/>
        <v>0.77039869329571609</v>
      </c>
      <c r="AR177" s="80">
        <f t="shared" si="210"/>
        <v>0.73888187690251683</v>
      </c>
      <c r="AS177" s="80">
        <f t="shared" si="210"/>
        <v>0.69910535303289034</v>
      </c>
      <c r="AT177" s="80">
        <f t="shared" si="210"/>
        <v>0.68568564852624547</v>
      </c>
      <c r="AU177" s="80">
        <f t="shared" si="210"/>
        <v>0.45394981067636797</v>
      </c>
      <c r="AV177" s="80">
        <f t="shared" si="210"/>
        <v>0.41497141584378944</v>
      </c>
      <c r="AW177" s="80">
        <f t="shared" si="210"/>
        <v>0.39874897913727819</v>
      </c>
      <c r="AX177" s="80">
        <f t="shared" si="210"/>
        <v>0.35663375157769689</v>
      </c>
      <c r="AY177" s="80">
        <f t="shared" si="210"/>
        <v>0.53654688544064155</v>
      </c>
      <c r="AZ177" s="80">
        <f t="shared" si="210"/>
        <v>0.5532519117974608</v>
      </c>
      <c r="BA177" s="80">
        <f t="shared" si="210"/>
        <v>0.71631153018041438</v>
      </c>
      <c r="BB177" s="80">
        <f t="shared" si="210"/>
        <v>0.71631153018041438</v>
      </c>
      <c r="BC177" s="80">
        <f t="shared" si="210"/>
        <v>0.71631153018041438</v>
      </c>
      <c r="BD177" s="80">
        <f t="shared" si="210"/>
        <v>0.71631153018041438</v>
      </c>
      <c r="BE177" s="80">
        <f t="shared" si="210"/>
        <v>0.76891380206399895</v>
      </c>
      <c r="BF177" s="80">
        <f t="shared" si="210"/>
        <v>0.91725443611255475</v>
      </c>
      <c r="BG177" s="80">
        <f t="shared" si="210"/>
        <v>0.88428985076843125</v>
      </c>
      <c r="BH177" s="80">
        <f t="shared" si="210"/>
        <v>0.88428985076843125</v>
      </c>
      <c r="BI177" s="80">
        <f t="shared" si="210"/>
        <v>0.88428985076843125</v>
      </c>
      <c r="BJ177" s="80">
        <f t="shared" si="210"/>
        <v>0.75278417105947004</v>
      </c>
      <c r="BK177" s="80">
        <f t="shared" si="210"/>
        <v>0.72126735466627079</v>
      </c>
      <c r="BL177" s="80">
        <f t="shared" si="210"/>
        <v>0.67285990051228761</v>
      </c>
      <c r="BM177" s="80">
        <f t="shared" si="210"/>
        <v>0.64022941569530034</v>
      </c>
      <c r="BN177" s="80">
        <f t="shared" si="210"/>
        <v>0.54929838889301363</v>
      </c>
      <c r="BO177" s="80">
        <f t="shared" si="210"/>
        <v>0.72958274556388747</v>
      </c>
      <c r="BP177" s="80">
        <f t="shared" si="210"/>
        <v>0.72958274556388747</v>
      </c>
      <c r="BQ177" s="80">
        <f t="shared" si="210"/>
        <v>0.72958274556388747</v>
      </c>
      <c r="BR177" s="80">
        <f t="shared" si="210"/>
        <v>0.67698047368030301</v>
      </c>
      <c r="BS177" s="80">
        <f t="shared" si="210"/>
        <v>0.52863983963174699</v>
      </c>
      <c r="BT177" s="80">
        <f t="shared" si="210"/>
        <v>0.48567079961392834</v>
      </c>
      <c r="BU177" s="80">
        <f t="shared" si="210"/>
        <v>0.48567079961392823</v>
      </c>
      <c r="BV177" s="80">
        <f t="shared" si="210"/>
        <v>0.48567079961392834</v>
      </c>
      <c r="BW177" s="80">
        <f t="shared" si="210"/>
        <v>0.48567079961392834</v>
      </c>
      <c r="BX177" s="80">
        <f t="shared" si="210"/>
        <v>0.46666419184794711</v>
      </c>
      <c r="BY177" s="80">
        <f t="shared" si="210"/>
        <v>0.22006088054050046</v>
      </c>
      <c r="BZ177" s="80">
        <f t="shared" si="210"/>
        <v>0.18028435667087386</v>
      </c>
      <c r="CA177" s="80">
        <f t="shared" si="210"/>
        <v>0.18028435667087389</v>
      </c>
      <c r="CB177" s="80">
        <f t="shared" si="210"/>
        <v>0</v>
      </c>
      <c r="CC177" s="80">
        <f t="shared" si="210"/>
        <v>0</v>
      </c>
      <c r="CD177" s="80">
        <f t="shared" si="210"/>
        <v>0</v>
      </c>
      <c r="CE177" s="80">
        <f t="shared" si="210"/>
        <v>0</v>
      </c>
      <c r="CF177" s="80">
        <f t="shared" si="210"/>
        <v>0</v>
      </c>
      <c r="CG177" s="80">
        <f t="shared" si="210"/>
        <v>0</v>
      </c>
      <c r="CH177" s="80">
        <f t="shared" si="210"/>
        <v>0</v>
      </c>
      <c r="CI177" s="80">
        <f t="shared" si="210"/>
        <v>0</v>
      </c>
      <c r="CJ177" s="80">
        <f t="shared" ref="CJ177:EU177" si="211">IF(CJ$148=0,"",CJ143/CJ$148)</f>
        <v>0</v>
      </c>
      <c r="CK177" s="80">
        <f t="shared" si="211"/>
        <v>0</v>
      </c>
      <c r="CL177" s="80">
        <f t="shared" si="211"/>
        <v>0</v>
      </c>
      <c r="CM177" s="80">
        <f t="shared" si="211"/>
        <v>0</v>
      </c>
      <c r="CN177" s="80">
        <f t="shared" si="211"/>
        <v>0</v>
      </c>
      <c r="CO177" s="80">
        <f t="shared" si="211"/>
        <v>0</v>
      </c>
      <c r="CP177" s="80">
        <f t="shared" si="211"/>
        <v>0</v>
      </c>
      <c r="CQ177" s="80">
        <f t="shared" si="211"/>
        <v>0</v>
      </c>
      <c r="CR177" s="80">
        <f t="shared" si="211"/>
        <v>0</v>
      </c>
      <c r="CS177" s="80">
        <f t="shared" si="211"/>
        <v>0</v>
      </c>
      <c r="CT177" s="80">
        <f t="shared" si="211"/>
        <v>0</v>
      </c>
      <c r="CU177" s="80">
        <f t="shared" si="211"/>
        <v>0</v>
      </c>
      <c r="CV177" s="80">
        <f t="shared" si="211"/>
        <v>0</v>
      </c>
      <c r="CW177" s="80">
        <f t="shared" si="211"/>
        <v>0</v>
      </c>
      <c r="CX177" s="80">
        <f t="shared" si="211"/>
        <v>0</v>
      </c>
      <c r="CY177" s="80">
        <f t="shared" si="211"/>
        <v>0</v>
      </c>
      <c r="CZ177" s="80">
        <f t="shared" si="211"/>
        <v>0</v>
      </c>
      <c r="DA177" s="80">
        <f t="shared" si="211"/>
        <v>0</v>
      </c>
      <c r="DB177" s="80">
        <f t="shared" si="211"/>
        <v>0</v>
      </c>
      <c r="DC177" s="80">
        <f t="shared" si="211"/>
        <v>0</v>
      </c>
      <c r="DD177" s="80">
        <f t="shared" si="211"/>
        <v>0</v>
      </c>
      <c r="DE177" s="80">
        <f t="shared" si="211"/>
        <v>0</v>
      </c>
      <c r="DF177" s="80">
        <f t="shared" si="211"/>
        <v>0</v>
      </c>
      <c r="DG177" s="80">
        <f t="shared" si="211"/>
        <v>0</v>
      </c>
      <c r="DH177" s="80">
        <f t="shared" si="211"/>
        <v>0</v>
      </c>
      <c r="DI177" s="80">
        <f t="shared" si="211"/>
        <v>0</v>
      </c>
      <c r="DJ177" s="80">
        <f t="shared" si="211"/>
        <v>0</v>
      </c>
      <c r="DK177" s="80">
        <f t="shared" si="211"/>
        <v>0</v>
      </c>
      <c r="DL177" s="80">
        <f t="shared" si="211"/>
        <v>0</v>
      </c>
      <c r="DM177" s="80">
        <f t="shared" si="211"/>
        <v>0</v>
      </c>
      <c r="DN177" s="80">
        <f t="shared" si="211"/>
        <v>0</v>
      </c>
      <c r="DO177" s="80">
        <f t="shared" si="211"/>
        <v>0</v>
      </c>
      <c r="DP177" s="80">
        <f t="shared" si="211"/>
        <v>0</v>
      </c>
      <c r="DQ177" s="80">
        <f t="shared" si="211"/>
        <v>0</v>
      </c>
      <c r="DR177" s="80">
        <f t="shared" si="211"/>
        <v>0</v>
      </c>
      <c r="DS177" s="80">
        <f t="shared" si="211"/>
        <v>0</v>
      </c>
      <c r="DT177" s="80">
        <f t="shared" si="211"/>
        <v>0</v>
      </c>
      <c r="DU177" s="80">
        <f t="shared" si="211"/>
        <v>0</v>
      </c>
      <c r="DV177" s="80">
        <f t="shared" si="211"/>
        <v>0</v>
      </c>
      <c r="DW177" s="80">
        <f t="shared" si="211"/>
        <v>0</v>
      </c>
      <c r="DX177" s="80">
        <f t="shared" si="211"/>
        <v>0</v>
      </c>
      <c r="DY177" s="80">
        <f t="shared" si="211"/>
        <v>0</v>
      </c>
      <c r="DZ177" s="80">
        <f t="shared" si="211"/>
        <v>0</v>
      </c>
      <c r="EA177" s="80">
        <f t="shared" si="211"/>
        <v>0</v>
      </c>
      <c r="EB177" s="80">
        <f t="shared" si="211"/>
        <v>0</v>
      </c>
      <c r="EC177" s="80">
        <f t="shared" si="211"/>
        <v>0</v>
      </c>
      <c r="ED177" s="80">
        <f t="shared" si="211"/>
        <v>0</v>
      </c>
      <c r="EE177" s="80">
        <f t="shared" si="211"/>
        <v>0</v>
      </c>
      <c r="EF177" s="80">
        <f t="shared" si="211"/>
        <v>0</v>
      </c>
      <c r="EG177" s="80">
        <f t="shared" si="211"/>
        <v>0</v>
      </c>
      <c r="EH177" s="80">
        <f t="shared" si="211"/>
        <v>0</v>
      </c>
      <c r="EI177" s="80">
        <f t="shared" si="211"/>
        <v>0</v>
      </c>
      <c r="EJ177" s="80">
        <f t="shared" si="211"/>
        <v>0</v>
      </c>
      <c r="EK177" s="80">
        <f t="shared" si="211"/>
        <v>0</v>
      </c>
      <c r="EL177" s="80">
        <f t="shared" si="211"/>
        <v>0</v>
      </c>
      <c r="EM177" s="80">
        <f t="shared" si="211"/>
        <v>0</v>
      </c>
      <c r="EN177" s="80">
        <f t="shared" si="211"/>
        <v>0</v>
      </c>
      <c r="EO177" s="80">
        <f t="shared" si="211"/>
        <v>0</v>
      </c>
      <c r="EP177" s="80">
        <f t="shared" si="211"/>
        <v>0</v>
      </c>
      <c r="EQ177" s="80">
        <f t="shared" si="211"/>
        <v>0</v>
      </c>
      <c r="ER177" s="80">
        <f t="shared" si="211"/>
        <v>0</v>
      </c>
      <c r="ES177" s="80">
        <f t="shared" si="211"/>
        <v>0</v>
      </c>
      <c r="ET177" s="80">
        <f t="shared" si="211"/>
        <v>0</v>
      </c>
      <c r="EU177" s="80">
        <f t="shared" si="211"/>
        <v>0</v>
      </c>
      <c r="EV177" s="80">
        <f t="shared" ref="EV177:GX177" si="212">IF(EV$148=0,"",EV143/EV$148)</f>
        <v>0</v>
      </c>
      <c r="EW177" s="80">
        <f t="shared" si="212"/>
        <v>0</v>
      </c>
      <c r="EX177" s="80">
        <f t="shared" si="212"/>
        <v>0</v>
      </c>
      <c r="EY177" s="80">
        <f t="shared" si="212"/>
        <v>0</v>
      </c>
      <c r="EZ177" s="80">
        <f t="shared" si="212"/>
        <v>0</v>
      </c>
      <c r="FA177" s="80">
        <f t="shared" si="212"/>
        <v>0</v>
      </c>
      <c r="FB177" s="80">
        <f t="shared" si="212"/>
        <v>0</v>
      </c>
      <c r="FC177" s="80">
        <f t="shared" si="212"/>
        <v>0</v>
      </c>
      <c r="FD177" s="80">
        <f t="shared" si="212"/>
        <v>0</v>
      </c>
      <c r="FE177" s="80">
        <f t="shared" si="212"/>
        <v>0</v>
      </c>
      <c r="FF177" s="80">
        <f t="shared" si="212"/>
        <v>0</v>
      </c>
      <c r="FG177" s="80">
        <f t="shared" si="212"/>
        <v>0</v>
      </c>
      <c r="FH177" s="80">
        <f t="shared" si="212"/>
        <v>0</v>
      </c>
      <c r="FI177" s="80">
        <f t="shared" si="212"/>
        <v>0</v>
      </c>
      <c r="FJ177" s="80">
        <f t="shared" si="212"/>
        <v>0</v>
      </c>
      <c r="FK177" s="80">
        <f t="shared" si="212"/>
        <v>0</v>
      </c>
      <c r="FL177" s="80">
        <f t="shared" si="212"/>
        <v>0</v>
      </c>
      <c r="FM177" s="80">
        <f t="shared" si="212"/>
        <v>0</v>
      </c>
      <c r="FN177" s="80">
        <f t="shared" si="212"/>
        <v>0</v>
      </c>
      <c r="FO177" s="80">
        <f t="shared" si="212"/>
        <v>0</v>
      </c>
      <c r="FP177" s="80">
        <f t="shared" si="212"/>
        <v>0</v>
      </c>
      <c r="FQ177" s="80">
        <f t="shared" si="212"/>
        <v>0</v>
      </c>
      <c r="FR177" s="80">
        <f t="shared" si="212"/>
        <v>0</v>
      </c>
      <c r="FS177" s="80">
        <f t="shared" si="212"/>
        <v>0</v>
      </c>
      <c r="FT177" s="80">
        <f t="shared" si="212"/>
        <v>0</v>
      </c>
      <c r="FU177" s="80">
        <f t="shared" si="212"/>
        <v>0</v>
      </c>
      <c r="FV177" s="80">
        <f t="shared" si="212"/>
        <v>0</v>
      </c>
      <c r="FW177" s="80">
        <f t="shared" si="212"/>
        <v>0</v>
      </c>
      <c r="FX177" s="80">
        <f t="shared" si="212"/>
        <v>0</v>
      </c>
      <c r="FY177" s="80">
        <f t="shared" si="212"/>
        <v>0</v>
      </c>
      <c r="FZ177" s="80">
        <f t="shared" si="212"/>
        <v>0</v>
      </c>
      <c r="GA177" s="80">
        <f t="shared" si="212"/>
        <v>0</v>
      </c>
      <c r="GB177" s="80">
        <f t="shared" si="212"/>
        <v>0</v>
      </c>
      <c r="GC177" s="80">
        <f t="shared" si="212"/>
        <v>0</v>
      </c>
      <c r="GD177" s="80">
        <f t="shared" si="212"/>
        <v>0</v>
      </c>
      <c r="GE177" s="80">
        <f t="shared" si="212"/>
        <v>0</v>
      </c>
      <c r="GF177" s="80">
        <f t="shared" si="212"/>
        <v>0</v>
      </c>
      <c r="GG177" s="80">
        <f t="shared" si="212"/>
        <v>0</v>
      </c>
      <c r="GH177" s="80">
        <f t="shared" si="212"/>
        <v>0</v>
      </c>
      <c r="GI177" s="80">
        <f t="shared" si="212"/>
        <v>0</v>
      </c>
      <c r="GJ177" s="80">
        <f t="shared" si="212"/>
        <v>0</v>
      </c>
      <c r="GK177" s="80">
        <f t="shared" si="212"/>
        <v>0</v>
      </c>
      <c r="GL177" s="80">
        <f t="shared" si="212"/>
        <v>0</v>
      </c>
      <c r="GM177" s="80">
        <f t="shared" si="212"/>
        <v>0</v>
      </c>
      <c r="GN177" s="80">
        <f t="shared" si="212"/>
        <v>0</v>
      </c>
      <c r="GO177" s="80">
        <f t="shared" si="212"/>
        <v>0</v>
      </c>
      <c r="GP177" s="80">
        <f t="shared" si="212"/>
        <v>0</v>
      </c>
      <c r="GQ177" s="80">
        <f t="shared" si="212"/>
        <v>0</v>
      </c>
      <c r="GR177" s="80">
        <f t="shared" si="212"/>
        <v>0</v>
      </c>
      <c r="GS177" s="80">
        <f t="shared" si="212"/>
        <v>0</v>
      </c>
      <c r="GT177" s="80">
        <f t="shared" si="212"/>
        <v>0</v>
      </c>
      <c r="GU177" s="80">
        <f t="shared" si="212"/>
        <v>0</v>
      </c>
      <c r="GV177" s="80">
        <f t="shared" si="212"/>
        <v>0</v>
      </c>
      <c r="GW177" s="80">
        <f t="shared" si="212"/>
        <v>0</v>
      </c>
      <c r="GX177" s="80">
        <f t="shared" si="212"/>
        <v>0</v>
      </c>
    </row>
    <row r="178" spans="1:206" x14ac:dyDescent="0.2">
      <c r="A178" s="84">
        <v>3</v>
      </c>
      <c r="B178" s="84" t="s">
        <v>255</v>
      </c>
      <c r="W178" s="80">
        <f>IF(W$148=0,"",W144/W$148)</f>
        <v>0.20608899297423888</v>
      </c>
      <c r="X178" s="80">
        <f t="shared" ref="X178:CI178" si="213">IF(X$148=0,"",X144/X$148)</f>
        <v>0.18807035541022848</v>
      </c>
      <c r="Y178" s="80">
        <f t="shared" si="213"/>
        <v>0.18330982255549783</v>
      </c>
      <c r="Z178" s="80">
        <f t="shared" si="213"/>
        <v>0.31741406191996441</v>
      </c>
      <c r="AA178" s="80">
        <f t="shared" si="213"/>
        <v>0.15407602643106391</v>
      </c>
      <c r="AB178" s="80">
        <f t="shared" si="213"/>
        <v>0.15407602643106391</v>
      </c>
      <c r="AC178" s="80">
        <f t="shared" si="213"/>
        <v>0.22247382879204097</v>
      </c>
      <c r="AD178" s="80">
        <f t="shared" si="213"/>
        <v>0.23513252654243078</v>
      </c>
      <c r="AE178" s="80">
        <f t="shared" si="213"/>
        <v>0.17573687727373971</v>
      </c>
      <c r="AF178" s="80">
        <f t="shared" si="213"/>
        <v>0.17573687727373971</v>
      </c>
      <c r="AG178" s="80">
        <f t="shared" si="213"/>
        <v>0.17573687727373971</v>
      </c>
      <c r="AH178" s="80">
        <f t="shared" si="213"/>
        <v>0.10733907491276264</v>
      </c>
      <c r="AI178" s="80">
        <f t="shared" si="213"/>
        <v>0.19130967406637464</v>
      </c>
      <c r="AJ178" s="80">
        <f t="shared" si="213"/>
        <v>0.11660108397059915</v>
      </c>
      <c r="AK178" s="80">
        <f t="shared" si="213"/>
        <v>0.11890266537976094</v>
      </c>
      <c r="AL178" s="80">
        <f t="shared" si="213"/>
        <v>0.25040834508872223</v>
      </c>
      <c r="AM178" s="80">
        <f t="shared" si="213"/>
        <v>0.25040834508872223</v>
      </c>
      <c r="AN178" s="80">
        <f t="shared" si="213"/>
        <v>0.20743930507090355</v>
      </c>
      <c r="AO178" s="80">
        <f t="shared" si="213"/>
        <v>0.20743930507090355</v>
      </c>
      <c r="AP178" s="80">
        <f t="shared" si="213"/>
        <v>0.15366768134234166</v>
      </c>
      <c r="AQ178" s="80">
        <f t="shared" si="213"/>
        <v>2.2162001633380356E-2</v>
      </c>
      <c r="AR178" s="80">
        <f t="shared" si="213"/>
        <v>5.3678818026579554E-2</v>
      </c>
      <c r="AS178" s="80">
        <f t="shared" si="213"/>
        <v>9.3455341896206107E-2</v>
      </c>
      <c r="AT178" s="80">
        <f t="shared" si="213"/>
        <v>0.18280867176479321</v>
      </c>
      <c r="AU178" s="80">
        <f t="shared" si="213"/>
        <v>0.39238250798129032</v>
      </c>
      <c r="AV178" s="80">
        <f t="shared" si="213"/>
        <v>0.43136090281386885</v>
      </c>
      <c r="AW178" s="80">
        <f t="shared" si="213"/>
        <v>0.54757220283614227</v>
      </c>
      <c r="AX178" s="80">
        <f t="shared" si="213"/>
        <v>0.58142772291929612</v>
      </c>
      <c r="AY178" s="80">
        <f t="shared" si="213"/>
        <v>0.42367659068973207</v>
      </c>
      <c r="AZ178" s="80">
        <f t="shared" si="213"/>
        <v>0.31604053753062589</v>
      </c>
      <c r="BA178" s="80">
        <f t="shared" si="213"/>
        <v>0.2239401588833618</v>
      </c>
      <c r="BB178" s="80">
        <f t="shared" si="213"/>
        <v>0.19130967406637464</v>
      </c>
      <c r="BC178" s="80">
        <f t="shared" si="213"/>
        <v>0.11767763011359418</v>
      </c>
      <c r="BD178" s="80">
        <f t="shared" si="213"/>
        <v>0.11767763011359418</v>
      </c>
      <c r="BE178" s="80">
        <f t="shared" si="213"/>
        <v>4.2969040017818691E-2</v>
      </c>
      <c r="BF178" s="80">
        <f t="shared" si="213"/>
        <v>0</v>
      </c>
      <c r="BG178" s="80">
        <f t="shared" si="213"/>
        <v>7.5933625361942231E-2</v>
      </c>
      <c r="BH178" s="80">
        <f t="shared" si="213"/>
        <v>7.5933625361942231E-2</v>
      </c>
      <c r="BI178" s="80">
        <f t="shared" si="213"/>
        <v>7.5933625361942231E-2</v>
      </c>
      <c r="BJ178" s="80">
        <f t="shared" si="213"/>
        <v>0.20743930507090358</v>
      </c>
      <c r="BK178" s="80">
        <f t="shared" si="213"/>
        <v>0.23895612146410283</v>
      </c>
      <c r="BL178" s="80">
        <f t="shared" si="213"/>
        <v>0.21142995025614378</v>
      </c>
      <c r="BM178" s="80">
        <f t="shared" si="213"/>
        <v>0.28383695894275746</v>
      </c>
      <c r="BN178" s="80">
        <f t="shared" si="213"/>
        <v>0.37476798574504411</v>
      </c>
      <c r="BO178" s="80">
        <f t="shared" si="213"/>
        <v>0.19448362907417033</v>
      </c>
      <c r="BP178" s="80">
        <f t="shared" si="213"/>
        <v>0.16296681268097113</v>
      </c>
      <c r="BQ178" s="80">
        <f t="shared" si="213"/>
        <v>7.2407008686613705E-2</v>
      </c>
      <c r="BR178" s="80">
        <f t="shared" si="213"/>
        <v>5.2602271883584524E-2</v>
      </c>
      <c r="BS178" s="80">
        <f t="shared" si="213"/>
        <v>0.20094290593214048</v>
      </c>
      <c r="BT178" s="80">
        <f t="shared" si="213"/>
        <v>0.24391194594995921</v>
      </c>
      <c r="BU178" s="80">
        <f t="shared" si="213"/>
        <v>0.24391194594995916</v>
      </c>
      <c r="BV178" s="80">
        <f t="shared" si="213"/>
        <v>0.24391194594995921</v>
      </c>
      <c r="BW178" s="80">
        <f t="shared" si="213"/>
        <v>0.19130967406637467</v>
      </c>
      <c r="BX178" s="80">
        <f t="shared" si="213"/>
        <v>6.1975647783799839E-2</v>
      </c>
      <c r="BY178" s="80">
        <f t="shared" si="213"/>
        <v>0.2656099190734279</v>
      </c>
      <c r="BZ178" s="80">
        <f t="shared" si="213"/>
        <v>0.30538644294305445</v>
      </c>
      <c r="CA178" s="80">
        <f t="shared" si="213"/>
        <v>0.3053864429430545</v>
      </c>
      <c r="CB178" s="80">
        <f t="shared" si="213"/>
        <v>0.48567079961392823</v>
      </c>
      <c r="CC178" s="80">
        <f t="shared" si="213"/>
        <v>0.46666419184794711</v>
      </c>
      <c r="CD178" s="80">
        <f t="shared" si="213"/>
        <v>0.22006088054050041</v>
      </c>
      <c r="CE178" s="80">
        <f t="shared" si="213"/>
        <v>0.18028435667087386</v>
      </c>
      <c r="CF178" s="80">
        <f t="shared" si="213"/>
        <v>0.18028435667087386</v>
      </c>
      <c r="CG178" s="80">
        <f t="shared" si="213"/>
        <v>0</v>
      </c>
      <c r="CH178" s="80">
        <f t="shared" si="213"/>
        <v>0</v>
      </c>
      <c r="CI178" s="80">
        <f t="shared" si="213"/>
        <v>0</v>
      </c>
      <c r="CJ178" s="80">
        <f t="shared" ref="CJ178:EU178" si="214">IF(CJ$148=0,"",CJ144/CJ$148)</f>
        <v>0</v>
      </c>
      <c r="CK178" s="80">
        <f t="shared" si="214"/>
        <v>0</v>
      </c>
      <c r="CL178" s="80">
        <f t="shared" si="214"/>
        <v>0</v>
      </c>
      <c r="CM178" s="80">
        <f t="shared" si="214"/>
        <v>0</v>
      </c>
      <c r="CN178" s="80">
        <f t="shared" si="214"/>
        <v>0</v>
      </c>
      <c r="CO178" s="80">
        <f t="shared" si="214"/>
        <v>0</v>
      </c>
      <c r="CP178" s="80">
        <f t="shared" si="214"/>
        <v>0</v>
      </c>
      <c r="CQ178" s="80">
        <f t="shared" si="214"/>
        <v>0</v>
      </c>
      <c r="CR178" s="80">
        <f t="shared" si="214"/>
        <v>0</v>
      </c>
      <c r="CS178" s="80">
        <f t="shared" si="214"/>
        <v>0</v>
      </c>
      <c r="CT178" s="80">
        <f t="shared" si="214"/>
        <v>0</v>
      </c>
      <c r="CU178" s="80">
        <f t="shared" si="214"/>
        <v>0</v>
      </c>
      <c r="CV178" s="80">
        <f t="shared" si="214"/>
        <v>0</v>
      </c>
      <c r="CW178" s="80">
        <f t="shared" si="214"/>
        <v>0</v>
      </c>
      <c r="CX178" s="80">
        <f t="shared" si="214"/>
        <v>0</v>
      </c>
      <c r="CY178" s="80">
        <f t="shared" si="214"/>
        <v>0</v>
      </c>
      <c r="CZ178" s="80">
        <f t="shared" si="214"/>
        <v>0</v>
      </c>
      <c r="DA178" s="80">
        <f t="shared" si="214"/>
        <v>0</v>
      </c>
      <c r="DB178" s="80">
        <f t="shared" si="214"/>
        <v>0</v>
      </c>
      <c r="DC178" s="80">
        <f t="shared" si="214"/>
        <v>0</v>
      </c>
      <c r="DD178" s="80">
        <f t="shared" si="214"/>
        <v>0</v>
      </c>
      <c r="DE178" s="80">
        <f t="shared" si="214"/>
        <v>0</v>
      </c>
      <c r="DF178" s="80">
        <f t="shared" si="214"/>
        <v>0</v>
      </c>
      <c r="DG178" s="80">
        <f t="shared" si="214"/>
        <v>0</v>
      </c>
      <c r="DH178" s="80">
        <f t="shared" si="214"/>
        <v>0</v>
      </c>
      <c r="DI178" s="80">
        <f t="shared" si="214"/>
        <v>0</v>
      </c>
      <c r="DJ178" s="80">
        <f t="shared" si="214"/>
        <v>0</v>
      </c>
      <c r="DK178" s="80">
        <f t="shared" si="214"/>
        <v>0</v>
      </c>
      <c r="DL178" s="80">
        <f t="shared" si="214"/>
        <v>0</v>
      </c>
      <c r="DM178" s="80">
        <f t="shared" si="214"/>
        <v>0</v>
      </c>
      <c r="DN178" s="80">
        <f t="shared" si="214"/>
        <v>0</v>
      </c>
      <c r="DO178" s="80">
        <f t="shared" si="214"/>
        <v>0</v>
      </c>
      <c r="DP178" s="80">
        <f t="shared" si="214"/>
        <v>0</v>
      </c>
      <c r="DQ178" s="80">
        <f t="shared" si="214"/>
        <v>0</v>
      </c>
      <c r="DR178" s="80">
        <f t="shared" si="214"/>
        <v>0</v>
      </c>
      <c r="DS178" s="80">
        <f t="shared" si="214"/>
        <v>0</v>
      </c>
      <c r="DT178" s="80">
        <f t="shared" si="214"/>
        <v>0</v>
      </c>
      <c r="DU178" s="80">
        <f t="shared" si="214"/>
        <v>0</v>
      </c>
      <c r="DV178" s="80">
        <f t="shared" si="214"/>
        <v>0</v>
      </c>
      <c r="DW178" s="80">
        <f t="shared" si="214"/>
        <v>0</v>
      </c>
      <c r="DX178" s="80">
        <f t="shared" si="214"/>
        <v>0</v>
      </c>
      <c r="DY178" s="80">
        <f t="shared" si="214"/>
        <v>0</v>
      </c>
      <c r="DZ178" s="80">
        <f t="shared" si="214"/>
        <v>0</v>
      </c>
      <c r="EA178" s="80">
        <f t="shared" si="214"/>
        <v>0</v>
      </c>
      <c r="EB178" s="80">
        <f t="shared" si="214"/>
        <v>0</v>
      </c>
      <c r="EC178" s="80">
        <f t="shared" si="214"/>
        <v>0</v>
      </c>
      <c r="ED178" s="80">
        <f t="shared" si="214"/>
        <v>0</v>
      </c>
      <c r="EE178" s="80">
        <f t="shared" si="214"/>
        <v>0</v>
      </c>
      <c r="EF178" s="80">
        <f t="shared" si="214"/>
        <v>0</v>
      </c>
      <c r="EG178" s="80">
        <f t="shared" si="214"/>
        <v>0</v>
      </c>
      <c r="EH178" s="80">
        <f t="shared" si="214"/>
        <v>0</v>
      </c>
      <c r="EI178" s="80">
        <f t="shared" si="214"/>
        <v>0</v>
      </c>
      <c r="EJ178" s="80">
        <f t="shared" si="214"/>
        <v>0</v>
      </c>
      <c r="EK178" s="80">
        <f t="shared" si="214"/>
        <v>0</v>
      </c>
      <c r="EL178" s="80">
        <f t="shared" si="214"/>
        <v>0</v>
      </c>
      <c r="EM178" s="80">
        <f t="shared" si="214"/>
        <v>0</v>
      </c>
      <c r="EN178" s="80">
        <f t="shared" si="214"/>
        <v>0</v>
      </c>
      <c r="EO178" s="80">
        <f t="shared" si="214"/>
        <v>0</v>
      </c>
      <c r="EP178" s="80">
        <f t="shared" si="214"/>
        <v>0</v>
      </c>
      <c r="EQ178" s="80">
        <f t="shared" si="214"/>
        <v>0</v>
      </c>
      <c r="ER178" s="80">
        <f t="shared" si="214"/>
        <v>0</v>
      </c>
      <c r="ES178" s="80">
        <f t="shared" si="214"/>
        <v>0</v>
      </c>
      <c r="ET178" s="80">
        <f t="shared" si="214"/>
        <v>0</v>
      </c>
      <c r="EU178" s="80">
        <f t="shared" si="214"/>
        <v>0</v>
      </c>
      <c r="EV178" s="80">
        <f t="shared" ref="EV178:GX178" si="215">IF(EV$148=0,"",EV144/EV$148)</f>
        <v>0</v>
      </c>
      <c r="EW178" s="80">
        <f t="shared" si="215"/>
        <v>0</v>
      </c>
      <c r="EX178" s="80">
        <f t="shared" si="215"/>
        <v>0</v>
      </c>
      <c r="EY178" s="80">
        <f t="shared" si="215"/>
        <v>0</v>
      </c>
      <c r="EZ178" s="80">
        <f t="shared" si="215"/>
        <v>0</v>
      </c>
      <c r="FA178" s="80">
        <f t="shared" si="215"/>
        <v>0</v>
      </c>
      <c r="FB178" s="80">
        <f t="shared" si="215"/>
        <v>0</v>
      </c>
      <c r="FC178" s="80">
        <f t="shared" si="215"/>
        <v>0</v>
      </c>
      <c r="FD178" s="80">
        <f t="shared" si="215"/>
        <v>0</v>
      </c>
      <c r="FE178" s="80">
        <f t="shared" si="215"/>
        <v>0</v>
      </c>
      <c r="FF178" s="80">
        <f t="shared" si="215"/>
        <v>0</v>
      </c>
      <c r="FG178" s="80">
        <f t="shared" si="215"/>
        <v>0</v>
      </c>
      <c r="FH178" s="80">
        <f t="shared" si="215"/>
        <v>0</v>
      </c>
      <c r="FI178" s="80">
        <f t="shared" si="215"/>
        <v>0</v>
      </c>
      <c r="FJ178" s="80">
        <f t="shared" si="215"/>
        <v>0</v>
      </c>
      <c r="FK178" s="80">
        <f t="shared" si="215"/>
        <v>0</v>
      </c>
      <c r="FL178" s="80">
        <f t="shared" si="215"/>
        <v>0</v>
      </c>
      <c r="FM178" s="80">
        <f t="shared" si="215"/>
        <v>0</v>
      </c>
      <c r="FN178" s="80">
        <f t="shared" si="215"/>
        <v>0</v>
      </c>
      <c r="FO178" s="80">
        <f t="shared" si="215"/>
        <v>0</v>
      </c>
      <c r="FP178" s="80">
        <f t="shared" si="215"/>
        <v>0</v>
      </c>
      <c r="FQ178" s="80">
        <f t="shared" si="215"/>
        <v>0</v>
      </c>
      <c r="FR178" s="80">
        <f t="shared" si="215"/>
        <v>0</v>
      </c>
      <c r="FS178" s="80">
        <f t="shared" si="215"/>
        <v>0</v>
      </c>
      <c r="FT178" s="80">
        <f t="shared" si="215"/>
        <v>0</v>
      </c>
      <c r="FU178" s="80">
        <f t="shared" si="215"/>
        <v>0</v>
      </c>
      <c r="FV178" s="80">
        <f t="shared" si="215"/>
        <v>0</v>
      </c>
      <c r="FW178" s="80">
        <f t="shared" si="215"/>
        <v>0</v>
      </c>
      <c r="FX178" s="80">
        <f t="shared" si="215"/>
        <v>0</v>
      </c>
      <c r="FY178" s="80">
        <f t="shared" si="215"/>
        <v>0</v>
      </c>
      <c r="FZ178" s="80">
        <f t="shared" si="215"/>
        <v>0</v>
      </c>
      <c r="GA178" s="80">
        <f t="shared" si="215"/>
        <v>0</v>
      </c>
      <c r="GB178" s="80">
        <f t="shared" si="215"/>
        <v>0</v>
      </c>
      <c r="GC178" s="80">
        <f t="shared" si="215"/>
        <v>0</v>
      </c>
      <c r="GD178" s="80">
        <f t="shared" si="215"/>
        <v>0</v>
      </c>
      <c r="GE178" s="80">
        <f t="shared" si="215"/>
        <v>0</v>
      </c>
      <c r="GF178" s="80">
        <f t="shared" si="215"/>
        <v>0</v>
      </c>
      <c r="GG178" s="80">
        <f t="shared" si="215"/>
        <v>0</v>
      </c>
      <c r="GH178" s="80">
        <f t="shared" si="215"/>
        <v>0</v>
      </c>
      <c r="GI178" s="80">
        <f t="shared" si="215"/>
        <v>0</v>
      </c>
      <c r="GJ178" s="80">
        <f t="shared" si="215"/>
        <v>0</v>
      </c>
      <c r="GK178" s="80">
        <f t="shared" si="215"/>
        <v>0</v>
      </c>
      <c r="GL178" s="80">
        <f t="shared" si="215"/>
        <v>0</v>
      </c>
      <c r="GM178" s="80">
        <f t="shared" si="215"/>
        <v>0</v>
      </c>
      <c r="GN178" s="80">
        <f t="shared" si="215"/>
        <v>0</v>
      </c>
      <c r="GO178" s="80">
        <f t="shared" si="215"/>
        <v>0</v>
      </c>
      <c r="GP178" s="80">
        <f t="shared" si="215"/>
        <v>0</v>
      </c>
      <c r="GQ178" s="80">
        <f t="shared" si="215"/>
        <v>0</v>
      </c>
      <c r="GR178" s="80">
        <f t="shared" si="215"/>
        <v>0</v>
      </c>
      <c r="GS178" s="80">
        <f t="shared" si="215"/>
        <v>0</v>
      </c>
      <c r="GT178" s="80">
        <f t="shared" si="215"/>
        <v>0</v>
      </c>
      <c r="GU178" s="80">
        <f t="shared" si="215"/>
        <v>0</v>
      </c>
      <c r="GV178" s="80">
        <f t="shared" si="215"/>
        <v>0</v>
      </c>
      <c r="GW178" s="80">
        <f t="shared" si="215"/>
        <v>0</v>
      </c>
      <c r="GX178" s="80">
        <f t="shared" si="215"/>
        <v>0</v>
      </c>
    </row>
    <row r="179" spans="1:206" x14ac:dyDescent="0.2">
      <c r="A179" s="84">
        <v>3</v>
      </c>
      <c r="B179" s="84" t="s">
        <v>256</v>
      </c>
      <c r="W179" s="80">
        <f>IF(W$148=0,"",W145/W$148)</f>
        <v>0.20269320843091337</v>
      </c>
      <c r="X179" s="80">
        <f t="shared" ref="X179:CI179" si="216">IF(X$148=0,"",X145/X$148)</f>
        <v>0.18497146887221905</v>
      </c>
      <c r="Y179" s="80">
        <f t="shared" si="216"/>
        <v>0.1606466701314129</v>
      </c>
      <c r="Z179" s="80">
        <f t="shared" si="216"/>
        <v>0.1606466701314129</v>
      </c>
      <c r="AA179" s="80">
        <f t="shared" si="216"/>
        <v>0.29246788922711409</v>
      </c>
      <c r="AB179" s="80">
        <f t="shared" si="216"/>
        <v>0.16333803548890044</v>
      </c>
      <c r="AC179" s="80">
        <f t="shared" si="216"/>
        <v>0.16333803548890044</v>
      </c>
      <c r="AD179" s="80">
        <f t="shared" si="216"/>
        <v>0.18330982255549783</v>
      </c>
      <c r="AE179" s="80">
        <f t="shared" si="216"/>
        <v>0.31741406191996441</v>
      </c>
      <c r="AF179" s="80">
        <f t="shared" si="216"/>
        <v>0.15407602643106391</v>
      </c>
      <c r="AG179" s="80">
        <f t="shared" si="216"/>
        <v>0.15407602643106391</v>
      </c>
      <c r="AH179" s="80">
        <f t="shared" si="216"/>
        <v>0.15407602643106391</v>
      </c>
      <c r="AI179" s="80">
        <f t="shared" si="216"/>
        <v>0.14772811641547257</v>
      </c>
      <c r="AJ179" s="80">
        <f t="shared" si="216"/>
        <v>7.470859009577549E-2</v>
      </c>
      <c r="AK179" s="80">
        <f t="shared" si="216"/>
        <v>7.470859009577549E-2</v>
      </c>
      <c r="AL179" s="80">
        <f t="shared" si="216"/>
        <v>7.470859009577549E-2</v>
      </c>
      <c r="AM179" s="80">
        <f t="shared" si="216"/>
        <v>0</v>
      </c>
      <c r="AN179" s="80">
        <f t="shared" si="216"/>
        <v>0</v>
      </c>
      <c r="AO179" s="80">
        <f t="shared" si="216"/>
        <v>0</v>
      </c>
      <c r="AP179" s="80">
        <f t="shared" si="216"/>
        <v>7.5933625361942231E-2</v>
      </c>
      <c r="AQ179" s="80">
        <f t="shared" si="216"/>
        <v>0.20743930507090355</v>
      </c>
      <c r="AR179" s="80">
        <f t="shared" si="216"/>
        <v>0.20743930507090355</v>
      </c>
      <c r="AS179" s="80">
        <f t="shared" si="216"/>
        <v>0.20743930507090355</v>
      </c>
      <c r="AT179" s="80">
        <f t="shared" si="216"/>
        <v>0.13150567970896129</v>
      </c>
      <c r="AU179" s="80">
        <f t="shared" si="216"/>
        <v>0.15366768134234166</v>
      </c>
      <c r="AV179" s="80">
        <f t="shared" si="216"/>
        <v>2.2162001633380356E-2</v>
      </c>
      <c r="AW179" s="80">
        <f t="shared" si="216"/>
        <v>5.3678818026579554E-2</v>
      </c>
      <c r="AX179" s="80">
        <f t="shared" si="216"/>
        <v>6.1938525503006901E-2</v>
      </c>
      <c r="AY179" s="80">
        <f t="shared" si="216"/>
        <v>3.9776523869626559E-2</v>
      </c>
      <c r="AZ179" s="80">
        <f t="shared" si="216"/>
        <v>0.13070755067191328</v>
      </c>
      <c r="BA179" s="80">
        <f t="shared" si="216"/>
        <v>5.9748310936223917E-2</v>
      </c>
      <c r="BB179" s="80">
        <f t="shared" si="216"/>
        <v>9.2378795753211077E-2</v>
      </c>
      <c r="BC179" s="80">
        <f t="shared" si="216"/>
        <v>0.12623431583636499</v>
      </c>
      <c r="BD179" s="80">
        <f t="shared" si="216"/>
        <v>0.12623431583636499</v>
      </c>
      <c r="BE179" s="80">
        <f t="shared" si="216"/>
        <v>0.14834063404855594</v>
      </c>
      <c r="BF179" s="80">
        <f t="shared" si="216"/>
        <v>4.2969040017818691E-2</v>
      </c>
      <c r="BG179" s="80">
        <f t="shared" si="216"/>
        <v>0</v>
      </c>
      <c r="BH179" s="80">
        <f t="shared" si="216"/>
        <v>0</v>
      </c>
      <c r="BI179" s="80">
        <f t="shared" si="216"/>
        <v>0</v>
      </c>
      <c r="BJ179" s="80">
        <f t="shared" si="216"/>
        <v>0</v>
      </c>
      <c r="BK179" s="80">
        <f t="shared" si="216"/>
        <v>0</v>
      </c>
      <c r="BL179" s="80">
        <f t="shared" si="216"/>
        <v>7.5933625361942245E-2</v>
      </c>
      <c r="BM179" s="80">
        <f t="shared" si="216"/>
        <v>7.5933625361942231E-2</v>
      </c>
      <c r="BN179" s="80">
        <f t="shared" si="216"/>
        <v>7.5933625361942231E-2</v>
      </c>
      <c r="BO179" s="80">
        <f t="shared" si="216"/>
        <v>7.5933625361942231E-2</v>
      </c>
      <c r="BP179" s="80">
        <f t="shared" si="216"/>
        <v>0.10745044175514144</v>
      </c>
      <c r="BQ179" s="80">
        <f t="shared" si="216"/>
        <v>0.12207662038755661</v>
      </c>
      <c r="BR179" s="80">
        <f t="shared" si="216"/>
        <v>0.19448362907417033</v>
      </c>
      <c r="BS179" s="80">
        <f t="shared" si="216"/>
        <v>0.19448362907417033</v>
      </c>
      <c r="BT179" s="80">
        <f t="shared" si="216"/>
        <v>0.19448362907417036</v>
      </c>
      <c r="BU179" s="80">
        <f t="shared" si="216"/>
        <v>0.16296681268097113</v>
      </c>
      <c r="BV179" s="80">
        <f t="shared" si="216"/>
        <v>7.2407008686613719E-2</v>
      </c>
      <c r="BW179" s="80">
        <f t="shared" si="216"/>
        <v>5.2602271883584531E-2</v>
      </c>
      <c r="BX179" s="80">
        <f t="shared" si="216"/>
        <v>0.20094290593214048</v>
      </c>
      <c r="BY179" s="80">
        <f t="shared" si="216"/>
        <v>0.24391194594995921</v>
      </c>
      <c r="BZ179" s="80">
        <f t="shared" si="216"/>
        <v>0.24391194594995916</v>
      </c>
      <c r="CA179" s="80">
        <f t="shared" si="216"/>
        <v>0.24391194594995921</v>
      </c>
      <c r="CB179" s="80">
        <f t="shared" si="216"/>
        <v>0.19130967406637464</v>
      </c>
      <c r="CC179" s="80">
        <f t="shared" si="216"/>
        <v>6.1975647783799839E-2</v>
      </c>
      <c r="CD179" s="80">
        <f t="shared" si="216"/>
        <v>0.26560991907342785</v>
      </c>
      <c r="CE179" s="80">
        <f t="shared" si="216"/>
        <v>0.30538644294305445</v>
      </c>
      <c r="CF179" s="80">
        <f t="shared" si="216"/>
        <v>0.30538644294305445</v>
      </c>
      <c r="CG179" s="80">
        <f t="shared" si="216"/>
        <v>0.48567079961392823</v>
      </c>
      <c r="CH179" s="80">
        <f t="shared" si="216"/>
        <v>0.46666419184794711</v>
      </c>
      <c r="CI179" s="80">
        <f t="shared" si="216"/>
        <v>0.22006088054050041</v>
      </c>
      <c r="CJ179" s="80">
        <f t="shared" ref="CJ179:EU179" si="217">IF(CJ$148=0,"",CJ145/CJ$148)</f>
        <v>0.18028435667087386</v>
      </c>
      <c r="CK179" s="80">
        <f t="shared" si="217"/>
        <v>0.18028435667087386</v>
      </c>
      <c r="CL179" s="80">
        <f t="shared" si="217"/>
        <v>0</v>
      </c>
      <c r="CM179" s="80">
        <f t="shared" si="217"/>
        <v>0</v>
      </c>
      <c r="CN179" s="80">
        <f t="shared" si="217"/>
        <v>0</v>
      </c>
      <c r="CO179" s="80">
        <f t="shared" si="217"/>
        <v>0</v>
      </c>
      <c r="CP179" s="80">
        <f t="shared" si="217"/>
        <v>0</v>
      </c>
      <c r="CQ179" s="80">
        <f t="shared" si="217"/>
        <v>0</v>
      </c>
      <c r="CR179" s="80">
        <f t="shared" si="217"/>
        <v>0</v>
      </c>
      <c r="CS179" s="80">
        <f t="shared" si="217"/>
        <v>0</v>
      </c>
      <c r="CT179" s="80">
        <f t="shared" si="217"/>
        <v>0</v>
      </c>
      <c r="CU179" s="80">
        <f t="shared" si="217"/>
        <v>0</v>
      </c>
      <c r="CV179" s="80">
        <f t="shared" si="217"/>
        <v>0</v>
      </c>
      <c r="CW179" s="80">
        <f t="shared" si="217"/>
        <v>0</v>
      </c>
      <c r="CX179" s="80">
        <f t="shared" si="217"/>
        <v>0</v>
      </c>
      <c r="CY179" s="80">
        <f t="shared" si="217"/>
        <v>0</v>
      </c>
      <c r="CZ179" s="80">
        <f t="shared" si="217"/>
        <v>0</v>
      </c>
      <c r="DA179" s="80">
        <f t="shared" si="217"/>
        <v>0</v>
      </c>
      <c r="DB179" s="80">
        <f t="shared" si="217"/>
        <v>0</v>
      </c>
      <c r="DC179" s="80">
        <f t="shared" si="217"/>
        <v>0</v>
      </c>
      <c r="DD179" s="80">
        <f t="shared" si="217"/>
        <v>0</v>
      </c>
      <c r="DE179" s="80">
        <f t="shared" si="217"/>
        <v>0</v>
      </c>
      <c r="DF179" s="80">
        <f t="shared" si="217"/>
        <v>0</v>
      </c>
      <c r="DG179" s="80">
        <f t="shared" si="217"/>
        <v>0</v>
      </c>
      <c r="DH179" s="80">
        <f t="shared" si="217"/>
        <v>0</v>
      </c>
      <c r="DI179" s="80">
        <f t="shared" si="217"/>
        <v>0</v>
      </c>
      <c r="DJ179" s="80">
        <f t="shared" si="217"/>
        <v>0</v>
      </c>
      <c r="DK179" s="80">
        <f t="shared" si="217"/>
        <v>0</v>
      </c>
      <c r="DL179" s="80">
        <f t="shared" si="217"/>
        <v>0</v>
      </c>
      <c r="DM179" s="80">
        <f t="shared" si="217"/>
        <v>0</v>
      </c>
      <c r="DN179" s="80">
        <f t="shared" si="217"/>
        <v>0</v>
      </c>
      <c r="DO179" s="80">
        <f t="shared" si="217"/>
        <v>0</v>
      </c>
      <c r="DP179" s="80">
        <f t="shared" si="217"/>
        <v>0</v>
      </c>
      <c r="DQ179" s="80">
        <f t="shared" si="217"/>
        <v>0</v>
      </c>
      <c r="DR179" s="80">
        <f t="shared" si="217"/>
        <v>0</v>
      </c>
      <c r="DS179" s="80">
        <f t="shared" si="217"/>
        <v>0</v>
      </c>
      <c r="DT179" s="80">
        <f t="shared" si="217"/>
        <v>0</v>
      </c>
      <c r="DU179" s="80">
        <f t="shared" si="217"/>
        <v>0</v>
      </c>
      <c r="DV179" s="80">
        <f t="shared" si="217"/>
        <v>0</v>
      </c>
      <c r="DW179" s="80">
        <f t="shared" si="217"/>
        <v>0</v>
      </c>
      <c r="DX179" s="80">
        <f t="shared" si="217"/>
        <v>0</v>
      </c>
      <c r="DY179" s="80">
        <f t="shared" si="217"/>
        <v>0</v>
      </c>
      <c r="DZ179" s="80">
        <f t="shared" si="217"/>
        <v>0</v>
      </c>
      <c r="EA179" s="80">
        <f t="shared" si="217"/>
        <v>0</v>
      </c>
      <c r="EB179" s="80">
        <f t="shared" si="217"/>
        <v>0</v>
      </c>
      <c r="EC179" s="80">
        <f t="shared" si="217"/>
        <v>0</v>
      </c>
      <c r="ED179" s="80">
        <f t="shared" si="217"/>
        <v>0</v>
      </c>
      <c r="EE179" s="80">
        <f t="shared" si="217"/>
        <v>0</v>
      </c>
      <c r="EF179" s="80">
        <f t="shared" si="217"/>
        <v>0</v>
      </c>
      <c r="EG179" s="80">
        <f t="shared" si="217"/>
        <v>0</v>
      </c>
      <c r="EH179" s="80">
        <f t="shared" si="217"/>
        <v>0</v>
      </c>
      <c r="EI179" s="80">
        <f t="shared" si="217"/>
        <v>0</v>
      </c>
      <c r="EJ179" s="80">
        <f t="shared" si="217"/>
        <v>0</v>
      </c>
      <c r="EK179" s="80">
        <f t="shared" si="217"/>
        <v>0</v>
      </c>
      <c r="EL179" s="80">
        <f t="shared" si="217"/>
        <v>0</v>
      </c>
      <c r="EM179" s="80">
        <f t="shared" si="217"/>
        <v>0</v>
      </c>
      <c r="EN179" s="80">
        <f t="shared" si="217"/>
        <v>0</v>
      </c>
      <c r="EO179" s="80">
        <f t="shared" si="217"/>
        <v>0</v>
      </c>
      <c r="EP179" s="80">
        <f t="shared" si="217"/>
        <v>0</v>
      </c>
      <c r="EQ179" s="80">
        <f t="shared" si="217"/>
        <v>0</v>
      </c>
      <c r="ER179" s="80">
        <f t="shared" si="217"/>
        <v>0</v>
      </c>
      <c r="ES179" s="80">
        <f t="shared" si="217"/>
        <v>0</v>
      </c>
      <c r="ET179" s="80">
        <f t="shared" si="217"/>
        <v>0</v>
      </c>
      <c r="EU179" s="80">
        <f t="shared" si="217"/>
        <v>0</v>
      </c>
      <c r="EV179" s="80">
        <f t="shared" ref="EV179:GX179" si="218">IF(EV$148=0,"",EV145/EV$148)</f>
        <v>0</v>
      </c>
      <c r="EW179" s="80">
        <f t="shared" si="218"/>
        <v>0</v>
      </c>
      <c r="EX179" s="80">
        <f t="shared" si="218"/>
        <v>0</v>
      </c>
      <c r="EY179" s="80">
        <f t="shared" si="218"/>
        <v>0</v>
      </c>
      <c r="EZ179" s="80">
        <f t="shared" si="218"/>
        <v>0</v>
      </c>
      <c r="FA179" s="80">
        <f t="shared" si="218"/>
        <v>0</v>
      </c>
      <c r="FB179" s="80">
        <f t="shared" si="218"/>
        <v>0</v>
      </c>
      <c r="FC179" s="80">
        <f t="shared" si="218"/>
        <v>0</v>
      </c>
      <c r="FD179" s="80">
        <f t="shared" si="218"/>
        <v>0</v>
      </c>
      <c r="FE179" s="80">
        <f t="shared" si="218"/>
        <v>0</v>
      </c>
      <c r="FF179" s="80">
        <f t="shared" si="218"/>
        <v>0</v>
      </c>
      <c r="FG179" s="80">
        <f t="shared" si="218"/>
        <v>0</v>
      </c>
      <c r="FH179" s="80">
        <f t="shared" si="218"/>
        <v>0</v>
      </c>
      <c r="FI179" s="80">
        <f t="shared" si="218"/>
        <v>0</v>
      </c>
      <c r="FJ179" s="80">
        <f t="shared" si="218"/>
        <v>0</v>
      </c>
      <c r="FK179" s="80">
        <f t="shared" si="218"/>
        <v>0</v>
      </c>
      <c r="FL179" s="80">
        <f t="shared" si="218"/>
        <v>0</v>
      </c>
      <c r="FM179" s="80">
        <f t="shared" si="218"/>
        <v>0</v>
      </c>
      <c r="FN179" s="80">
        <f t="shared" si="218"/>
        <v>0</v>
      </c>
      <c r="FO179" s="80">
        <f t="shared" si="218"/>
        <v>0</v>
      </c>
      <c r="FP179" s="80">
        <f t="shared" si="218"/>
        <v>0</v>
      </c>
      <c r="FQ179" s="80">
        <f t="shared" si="218"/>
        <v>0</v>
      </c>
      <c r="FR179" s="80">
        <f t="shared" si="218"/>
        <v>0</v>
      </c>
      <c r="FS179" s="80">
        <f t="shared" si="218"/>
        <v>0</v>
      </c>
      <c r="FT179" s="80">
        <f t="shared" si="218"/>
        <v>0</v>
      </c>
      <c r="FU179" s="80">
        <f t="shared" si="218"/>
        <v>0</v>
      </c>
      <c r="FV179" s="80">
        <f t="shared" si="218"/>
        <v>0</v>
      </c>
      <c r="FW179" s="80">
        <f t="shared" si="218"/>
        <v>0</v>
      </c>
      <c r="FX179" s="80">
        <f t="shared" si="218"/>
        <v>0</v>
      </c>
      <c r="FY179" s="80">
        <f t="shared" si="218"/>
        <v>0</v>
      </c>
      <c r="FZ179" s="80">
        <f t="shared" si="218"/>
        <v>0</v>
      </c>
      <c r="GA179" s="80">
        <f t="shared" si="218"/>
        <v>0</v>
      </c>
      <c r="GB179" s="80">
        <f t="shared" si="218"/>
        <v>0</v>
      </c>
      <c r="GC179" s="80">
        <f t="shared" si="218"/>
        <v>0</v>
      </c>
      <c r="GD179" s="80">
        <f t="shared" si="218"/>
        <v>0</v>
      </c>
      <c r="GE179" s="80">
        <f t="shared" si="218"/>
        <v>0</v>
      </c>
      <c r="GF179" s="80">
        <f t="shared" si="218"/>
        <v>0</v>
      </c>
      <c r="GG179" s="80">
        <f t="shared" si="218"/>
        <v>0</v>
      </c>
      <c r="GH179" s="80">
        <f t="shared" si="218"/>
        <v>0</v>
      </c>
      <c r="GI179" s="80">
        <f t="shared" si="218"/>
        <v>0</v>
      </c>
      <c r="GJ179" s="80">
        <f t="shared" si="218"/>
        <v>0</v>
      </c>
      <c r="GK179" s="80">
        <f t="shared" si="218"/>
        <v>0</v>
      </c>
      <c r="GL179" s="80">
        <f t="shared" si="218"/>
        <v>0</v>
      </c>
      <c r="GM179" s="80">
        <f t="shared" si="218"/>
        <v>0</v>
      </c>
      <c r="GN179" s="80">
        <f t="shared" si="218"/>
        <v>0</v>
      </c>
      <c r="GO179" s="80">
        <f t="shared" si="218"/>
        <v>0</v>
      </c>
      <c r="GP179" s="80">
        <f t="shared" si="218"/>
        <v>0</v>
      </c>
      <c r="GQ179" s="80">
        <f t="shared" si="218"/>
        <v>0</v>
      </c>
      <c r="GR179" s="80">
        <f t="shared" si="218"/>
        <v>0</v>
      </c>
      <c r="GS179" s="80">
        <f t="shared" si="218"/>
        <v>0</v>
      </c>
      <c r="GT179" s="80">
        <f t="shared" si="218"/>
        <v>0</v>
      </c>
      <c r="GU179" s="80">
        <f t="shared" si="218"/>
        <v>0</v>
      </c>
      <c r="GV179" s="80">
        <f t="shared" si="218"/>
        <v>0</v>
      </c>
      <c r="GW179" s="80">
        <f t="shared" si="218"/>
        <v>0</v>
      </c>
      <c r="GX179" s="80">
        <f t="shared" si="218"/>
        <v>0</v>
      </c>
    </row>
    <row r="180" spans="1:206" x14ac:dyDescent="0.2">
      <c r="A180" s="84">
        <v>3</v>
      </c>
      <c r="B180" s="84" t="s">
        <v>257</v>
      </c>
      <c r="W180" s="80">
        <f>IF(W$148=0,"",W146/W$148)</f>
        <v>0</v>
      </c>
      <c r="X180" s="80">
        <f t="shared" ref="X180:CI180" si="219">IF(X$148=0,"",X146/X$148)</f>
        <v>0</v>
      </c>
      <c r="Y180" s="80">
        <f t="shared" si="219"/>
        <v>0</v>
      </c>
      <c r="Z180" s="80">
        <f t="shared" si="219"/>
        <v>0</v>
      </c>
      <c r="AA180" s="80">
        <f t="shared" si="219"/>
        <v>3.1516816393199198E-2</v>
      </c>
      <c r="AB180" s="80">
        <f t="shared" si="219"/>
        <v>0.1606466701314129</v>
      </c>
      <c r="AC180" s="80">
        <f t="shared" si="219"/>
        <v>0.1606466701314129</v>
      </c>
      <c r="AD180" s="80">
        <f t="shared" si="219"/>
        <v>0.1606466701314129</v>
      </c>
      <c r="AE180" s="80">
        <f t="shared" si="219"/>
        <v>0.12912985373821367</v>
      </c>
      <c r="AF180" s="80">
        <f t="shared" si="219"/>
        <v>0.25269136535748754</v>
      </c>
      <c r="AG180" s="80">
        <f t="shared" si="219"/>
        <v>0.16333803548890044</v>
      </c>
      <c r="AH180" s="80">
        <f t="shared" si="219"/>
        <v>0</v>
      </c>
      <c r="AI180" s="80">
        <f t="shared" si="219"/>
        <v>0</v>
      </c>
      <c r="AJ180" s="80">
        <f t="shared" si="219"/>
        <v>0</v>
      </c>
      <c r="AK180" s="80">
        <f t="shared" si="219"/>
        <v>0</v>
      </c>
      <c r="AL180" s="80">
        <f t="shared" si="219"/>
        <v>0</v>
      </c>
      <c r="AM180" s="80">
        <f t="shared" si="219"/>
        <v>0</v>
      </c>
      <c r="AN180" s="80">
        <f t="shared" si="219"/>
        <v>0</v>
      </c>
      <c r="AO180" s="80">
        <f t="shared" si="219"/>
        <v>0</v>
      </c>
      <c r="AP180" s="80">
        <f t="shared" si="219"/>
        <v>0</v>
      </c>
      <c r="AQ180" s="80">
        <f t="shared" si="219"/>
        <v>0</v>
      </c>
      <c r="AR180" s="80">
        <f t="shared" si="219"/>
        <v>0</v>
      </c>
      <c r="AS180" s="80">
        <f t="shared" si="219"/>
        <v>0</v>
      </c>
      <c r="AT180" s="80">
        <f t="shared" si="219"/>
        <v>0</v>
      </c>
      <c r="AU180" s="80">
        <f t="shared" si="219"/>
        <v>0</v>
      </c>
      <c r="AV180" s="80">
        <f t="shared" si="219"/>
        <v>0.13150567970896132</v>
      </c>
      <c r="AW180" s="80">
        <f t="shared" si="219"/>
        <v>0</v>
      </c>
      <c r="AX180" s="80">
        <f t="shared" si="219"/>
        <v>0</v>
      </c>
      <c r="AY180" s="80">
        <f t="shared" si="219"/>
        <v>0</v>
      </c>
      <c r="AZ180" s="80">
        <f t="shared" si="219"/>
        <v>0</v>
      </c>
      <c r="BA180" s="80">
        <f t="shared" si="219"/>
        <v>0</v>
      </c>
      <c r="BB180" s="80">
        <f t="shared" si="219"/>
        <v>0</v>
      </c>
      <c r="BC180" s="80">
        <f t="shared" si="219"/>
        <v>3.9776523869626552E-2</v>
      </c>
      <c r="BD180" s="80">
        <f t="shared" si="219"/>
        <v>3.9776523869626552E-2</v>
      </c>
      <c r="BE180" s="80">
        <f t="shared" si="219"/>
        <v>3.9776523869626552E-2</v>
      </c>
      <c r="BF180" s="80">
        <f t="shared" si="219"/>
        <v>3.9776523869626552E-2</v>
      </c>
      <c r="BG180" s="80">
        <f t="shared" si="219"/>
        <v>3.9776523869626552E-2</v>
      </c>
      <c r="BH180" s="80">
        <f t="shared" si="219"/>
        <v>0</v>
      </c>
      <c r="BI180" s="80">
        <f t="shared" si="219"/>
        <v>0</v>
      </c>
      <c r="BJ180" s="80">
        <f t="shared" si="219"/>
        <v>0</v>
      </c>
      <c r="BK180" s="80">
        <f t="shared" si="219"/>
        <v>0</v>
      </c>
      <c r="BL180" s="80">
        <f t="shared" si="219"/>
        <v>0</v>
      </c>
      <c r="BM180" s="80">
        <f t="shared" si="219"/>
        <v>0</v>
      </c>
      <c r="BN180" s="80">
        <f t="shared" si="219"/>
        <v>0</v>
      </c>
      <c r="BO180" s="80">
        <f t="shared" si="219"/>
        <v>0</v>
      </c>
      <c r="BP180" s="80">
        <f t="shared" si="219"/>
        <v>0</v>
      </c>
      <c r="BQ180" s="80">
        <f t="shared" si="219"/>
        <v>7.5933625361942231E-2</v>
      </c>
      <c r="BR180" s="80">
        <f t="shared" si="219"/>
        <v>7.5933625361942231E-2</v>
      </c>
      <c r="BS180" s="80">
        <f t="shared" si="219"/>
        <v>7.5933625361942231E-2</v>
      </c>
      <c r="BT180" s="80">
        <f t="shared" si="219"/>
        <v>7.5933625361942245E-2</v>
      </c>
      <c r="BU180" s="80">
        <f t="shared" si="219"/>
        <v>0.10745044175514144</v>
      </c>
      <c r="BV180" s="80">
        <f t="shared" si="219"/>
        <v>0.12207662038755664</v>
      </c>
      <c r="BW180" s="80">
        <f t="shared" si="219"/>
        <v>0.19448362907417036</v>
      </c>
      <c r="BX180" s="80">
        <f t="shared" si="219"/>
        <v>0.19448362907417033</v>
      </c>
      <c r="BY180" s="80">
        <f t="shared" si="219"/>
        <v>0.19448362907417036</v>
      </c>
      <c r="BZ180" s="80">
        <f t="shared" si="219"/>
        <v>0.16296681268097113</v>
      </c>
      <c r="CA180" s="80">
        <f t="shared" si="219"/>
        <v>7.2407008686613719E-2</v>
      </c>
      <c r="CB180" s="80">
        <f t="shared" si="219"/>
        <v>5.2602271883584524E-2</v>
      </c>
      <c r="CC180" s="80">
        <f t="shared" si="219"/>
        <v>0.20094290593214048</v>
      </c>
      <c r="CD180" s="80">
        <f t="shared" si="219"/>
        <v>0.24391194594995916</v>
      </c>
      <c r="CE180" s="80">
        <f t="shared" si="219"/>
        <v>0.24391194594995916</v>
      </c>
      <c r="CF180" s="80">
        <f t="shared" si="219"/>
        <v>0.24391194594995916</v>
      </c>
      <c r="CG180" s="80">
        <f t="shared" si="219"/>
        <v>0.19130967406637464</v>
      </c>
      <c r="CH180" s="80">
        <f t="shared" si="219"/>
        <v>6.1975647783799839E-2</v>
      </c>
      <c r="CI180" s="80">
        <f t="shared" si="219"/>
        <v>0.26560991907342785</v>
      </c>
      <c r="CJ180" s="80">
        <f t="shared" ref="CJ180:EU180" si="220">IF(CJ$148=0,"",CJ146/CJ$148)</f>
        <v>0.30538644294305445</v>
      </c>
      <c r="CK180" s="80">
        <f t="shared" si="220"/>
        <v>0.30538644294305445</v>
      </c>
      <c r="CL180" s="80">
        <f t="shared" si="220"/>
        <v>0.48567079961392823</v>
      </c>
      <c r="CM180" s="80">
        <f t="shared" si="220"/>
        <v>0.46666419184794711</v>
      </c>
      <c r="CN180" s="80">
        <f t="shared" si="220"/>
        <v>0.22006088054050041</v>
      </c>
      <c r="CO180" s="80">
        <f t="shared" si="220"/>
        <v>0.18028435667087386</v>
      </c>
      <c r="CP180" s="80">
        <f t="shared" si="220"/>
        <v>0.18028435667087386</v>
      </c>
      <c r="CQ180" s="80">
        <f t="shared" si="220"/>
        <v>0</v>
      </c>
      <c r="CR180" s="80">
        <f t="shared" si="220"/>
        <v>0</v>
      </c>
      <c r="CS180" s="80">
        <f t="shared" si="220"/>
        <v>0</v>
      </c>
      <c r="CT180" s="80">
        <f t="shared" si="220"/>
        <v>0</v>
      </c>
      <c r="CU180" s="80">
        <f t="shared" si="220"/>
        <v>0</v>
      </c>
      <c r="CV180" s="80">
        <f t="shared" si="220"/>
        <v>0</v>
      </c>
      <c r="CW180" s="80">
        <f t="shared" si="220"/>
        <v>0</v>
      </c>
      <c r="CX180" s="80">
        <f t="shared" si="220"/>
        <v>0</v>
      </c>
      <c r="CY180" s="80">
        <f t="shared" si="220"/>
        <v>0</v>
      </c>
      <c r="CZ180" s="80">
        <f t="shared" si="220"/>
        <v>0</v>
      </c>
      <c r="DA180" s="80">
        <f t="shared" si="220"/>
        <v>0</v>
      </c>
      <c r="DB180" s="80">
        <f t="shared" si="220"/>
        <v>0</v>
      </c>
      <c r="DC180" s="80">
        <f t="shared" si="220"/>
        <v>0</v>
      </c>
      <c r="DD180" s="80">
        <f t="shared" si="220"/>
        <v>0</v>
      </c>
      <c r="DE180" s="80">
        <f t="shared" si="220"/>
        <v>0</v>
      </c>
      <c r="DF180" s="80">
        <f t="shared" si="220"/>
        <v>0</v>
      </c>
      <c r="DG180" s="80">
        <f t="shared" si="220"/>
        <v>0</v>
      </c>
      <c r="DH180" s="80">
        <f t="shared" si="220"/>
        <v>0</v>
      </c>
      <c r="DI180" s="80">
        <f t="shared" si="220"/>
        <v>0</v>
      </c>
      <c r="DJ180" s="80">
        <f t="shared" si="220"/>
        <v>0</v>
      </c>
      <c r="DK180" s="80">
        <f t="shared" si="220"/>
        <v>0</v>
      </c>
      <c r="DL180" s="80">
        <f t="shared" si="220"/>
        <v>0</v>
      </c>
      <c r="DM180" s="80">
        <f t="shared" si="220"/>
        <v>0</v>
      </c>
      <c r="DN180" s="80">
        <f t="shared" si="220"/>
        <v>0</v>
      </c>
      <c r="DO180" s="80">
        <f t="shared" si="220"/>
        <v>0</v>
      </c>
      <c r="DP180" s="80">
        <f t="shared" si="220"/>
        <v>0</v>
      </c>
      <c r="DQ180" s="80">
        <f t="shared" si="220"/>
        <v>0</v>
      </c>
      <c r="DR180" s="80">
        <f t="shared" si="220"/>
        <v>0</v>
      </c>
      <c r="DS180" s="80">
        <f t="shared" si="220"/>
        <v>0</v>
      </c>
      <c r="DT180" s="80">
        <f t="shared" si="220"/>
        <v>0</v>
      </c>
      <c r="DU180" s="80">
        <f t="shared" si="220"/>
        <v>0</v>
      </c>
      <c r="DV180" s="80">
        <f t="shared" si="220"/>
        <v>0</v>
      </c>
      <c r="DW180" s="80">
        <f t="shared" si="220"/>
        <v>0</v>
      </c>
      <c r="DX180" s="80">
        <f t="shared" si="220"/>
        <v>0</v>
      </c>
      <c r="DY180" s="80">
        <f t="shared" si="220"/>
        <v>0</v>
      </c>
      <c r="DZ180" s="80">
        <f t="shared" si="220"/>
        <v>0</v>
      </c>
      <c r="EA180" s="80">
        <f t="shared" si="220"/>
        <v>0</v>
      </c>
      <c r="EB180" s="80">
        <f t="shared" si="220"/>
        <v>0</v>
      </c>
      <c r="EC180" s="80">
        <f t="shared" si="220"/>
        <v>0</v>
      </c>
      <c r="ED180" s="80">
        <f t="shared" si="220"/>
        <v>0</v>
      </c>
      <c r="EE180" s="80">
        <f t="shared" si="220"/>
        <v>0</v>
      </c>
      <c r="EF180" s="80">
        <f t="shared" si="220"/>
        <v>0</v>
      </c>
      <c r="EG180" s="80">
        <f t="shared" si="220"/>
        <v>0</v>
      </c>
      <c r="EH180" s="80">
        <f t="shared" si="220"/>
        <v>0</v>
      </c>
      <c r="EI180" s="80">
        <f t="shared" si="220"/>
        <v>0</v>
      </c>
      <c r="EJ180" s="80">
        <f t="shared" si="220"/>
        <v>0</v>
      </c>
      <c r="EK180" s="80">
        <f t="shared" si="220"/>
        <v>0</v>
      </c>
      <c r="EL180" s="80">
        <f t="shared" si="220"/>
        <v>0</v>
      </c>
      <c r="EM180" s="80">
        <f t="shared" si="220"/>
        <v>0</v>
      </c>
      <c r="EN180" s="80">
        <f t="shared" si="220"/>
        <v>0</v>
      </c>
      <c r="EO180" s="80">
        <f t="shared" si="220"/>
        <v>0</v>
      </c>
      <c r="EP180" s="80">
        <f t="shared" si="220"/>
        <v>0</v>
      </c>
      <c r="EQ180" s="80">
        <f t="shared" si="220"/>
        <v>0</v>
      </c>
      <c r="ER180" s="80">
        <f t="shared" si="220"/>
        <v>0</v>
      </c>
      <c r="ES180" s="80">
        <f t="shared" si="220"/>
        <v>0</v>
      </c>
      <c r="ET180" s="80">
        <f t="shared" si="220"/>
        <v>0</v>
      </c>
      <c r="EU180" s="80">
        <f t="shared" si="220"/>
        <v>0</v>
      </c>
      <c r="EV180" s="80">
        <f t="shared" ref="EV180:GX180" si="221">IF(EV$148=0,"",EV146/EV$148)</f>
        <v>0</v>
      </c>
      <c r="EW180" s="80">
        <f t="shared" si="221"/>
        <v>0</v>
      </c>
      <c r="EX180" s="80">
        <f t="shared" si="221"/>
        <v>0</v>
      </c>
      <c r="EY180" s="80">
        <f t="shared" si="221"/>
        <v>0</v>
      </c>
      <c r="EZ180" s="80">
        <f t="shared" si="221"/>
        <v>0</v>
      </c>
      <c r="FA180" s="80">
        <f t="shared" si="221"/>
        <v>0</v>
      </c>
      <c r="FB180" s="80">
        <f t="shared" si="221"/>
        <v>0</v>
      </c>
      <c r="FC180" s="80">
        <f t="shared" si="221"/>
        <v>0</v>
      </c>
      <c r="FD180" s="80">
        <f t="shared" si="221"/>
        <v>0</v>
      </c>
      <c r="FE180" s="80">
        <f t="shared" si="221"/>
        <v>0</v>
      </c>
      <c r="FF180" s="80">
        <f t="shared" si="221"/>
        <v>0</v>
      </c>
      <c r="FG180" s="80">
        <f t="shared" si="221"/>
        <v>0</v>
      </c>
      <c r="FH180" s="80">
        <f t="shared" si="221"/>
        <v>0</v>
      </c>
      <c r="FI180" s="80">
        <f t="shared" si="221"/>
        <v>0</v>
      </c>
      <c r="FJ180" s="80">
        <f t="shared" si="221"/>
        <v>0</v>
      </c>
      <c r="FK180" s="80">
        <f t="shared" si="221"/>
        <v>0</v>
      </c>
      <c r="FL180" s="80">
        <f t="shared" si="221"/>
        <v>0</v>
      </c>
      <c r="FM180" s="80">
        <f t="shared" si="221"/>
        <v>0</v>
      </c>
      <c r="FN180" s="80">
        <f t="shared" si="221"/>
        <v>0</v>
      </c>
      <c r="FO180" s="80">
        <f t="shared" si="221"/>
        <v>0</v>
      </c>
      <c r="FP180" s="80">
        <f t="shared" si="221"/>
        <v>0</v>
      </c>
      <c r="FQ180" s="80">
        <f t="shared" si="221"/>
        <v>0</v>
      </c>
      <c r="FR180" s="80">
        <f t="shared" si="221"/>
        <v>0</v>
      </c>
      <c r="FS180" s="80">
        <f t="shared" si="221"/>
        <v>0</v>
      </c>
      <c r="FT180" s="80">
        <f t="shared" si="221"/>
        <v>0</v>
      </c>
      <c r="FU180" s="80">
        <f t="shared" si="221"/>
        <v>0</v>
      </c>
      <c r="FV180" s="80">
        <f t="shared" si="221"/>
        <v>0</v>
      </c>
      <c r="FW180" s="80">
        <f t="shared" si="221"/>
        <v>0</v>
      </c>
      <c r="FX180" s="80">
        <f t="shared" si="221"/>
        <v>0</v>
      </c>
      <c r="FY180" s="80">
        <f t="shared" si="221"/>
        <v>0</v>
      </c>
      <c r="FZ180" s="80">
        <f t="shared" si="221"/>
        <v>0</v>
      </c>
      <c r="GA180" s="80">
        <f t="shared" si="221"/>
        <v>0</v>
      </c>
      <c r="GB180" s="80">
        <f t="shared" si="221"/>
        <v>0</v>
      </c>
      <c r="GC180" s="80">
        <f t="shared" si="221"/>
        <v>0</v>
      </c>
      <c r="GD180" s="80">
        <f t="shared" si="221"/>
        <v>0</v>
      </c>
      <c r="GE180" s="80">
        <f t="shared" si="221"/>
        <v>0</v>
      </c>
      <c r="GF180" s="80">
        <f t="shared" si="221"/>
        <v>0</v>
      </c>
      <c r="GG180" s="80">
        <f t="shared" si="221"/>
        <v>0</v>
      </c>
      <c r="GH180" s="80">
        <f t="shared" si="221"/>
        <v>0</v>
      </c>
      <c r="GI180" s="80">
        <f t="shared" si="221"/>
        <v>0</v>
      </c>
      <c r="GJ180" s="80">
        <f t="shared" si="221"/>
        <v>0</v>
      </c>
      <c r="GK180" s="80">
        <f t="shared" si="221"/>
        <v>0</v>
      </c>
      <c r="GL180" s="80">
        <f t="shared" si="221"/>
        <v>0</v>
      </c>
      <c r="GM180" s="80">
        <f t="shared" si="221"/>
        <v>0</v>
      </c>
      <c r="GN180" s="80">
        <f t="shared" si="221"/>
        <v>0</v>
      </c>
      <c r="GO180" s="80">
        <f t="shared" si="221"/>
        <v>0</v>
      </c>
      <c r="GP180" s="80">
        <f t="shared" si="221"/>
        <v>0</v>
      </c>
      <c r="GQ180" s="80">
        <f t="shared" si="221"/>
        <v>0</v>
      </c>
      <c r="GR180" s="80">
        <f t="shared" si="221"/>
        <v>0</v>
      </c>
      <c r="GS180" s="80">
        <f t="shared" si="221"/>
        <v>0</v>
      </c>
      <c r="GT180" s="80">
        <f t="shared" si="221"/>
        <v>0</v>
      </c>
      <c r="GU180" s="80">
        <f t="shared" si="221"/>
        <v>0</v>
      </c>
      <c r="GV180" s="80">
        <f t="shared" si="221"/>
        <v>0</v>
      </c>
      <c r="GW180" s="80">
        <f t="shared" si="221"/>
        <v>0</v>
      </c>
      <c r="GX180" s="80">
        <f t="shared" si="221"/>
        <v>0</v>
      </c>
    </row>
    <row r="181" spans="1:206" x14ac:dyDescent="0.2">
      <c r="A181" s="84">
        <v>3</v>
      </c>
      <c r="B181" s="84" t="s">
        <v>259</v>
      </c>
      <c r="W181" s="80">
        <f>IF(W$148=0,"",W147/W$148)</f>
        <v>2.7962529274004683E-2</v>
      </c>
      <c r="X181" s="80">
        <f t="shared" ref="X181:CI181" si="222">IF(X$148=0,"",X147/X$148)</f>
        <v>2.5517727768160546E-2</v>
      </c>
      <c r="Y181" s="80">
        <f t="shared" si="222"/>
        <v>2.2162001633380356E-2</v>
      </c>
      <c r="Z181" s="80">
        <f t="shared" si="222"/>
        <v>2.2162001633380356E-2</v>
      </c>
      <c r="AA181" s="80">
        <f t="shared" si="222"/>
        <v>2.2162001633380356E-2</v>
      </c>
      <c r="AB181" s="80">
        <f t="shared" si="222"/>
        <v>2.2162001633380356E-2</v>
      </c>
      <c r="AC181" s="80">
        <f t="shared" si="222"/>
        <v>0</v>
      </c>
      <c r="AD181" s="80">
        <f t="shared" si="222"/>
        <v>0</v>
      </c>
      <c r="AE181" s="80">
        <f t="shared" si="222"/>
        <v>0</v>
      </c>
      <c r="AF181" s="80">
        <f t="shared" si="222"/>
        <v>0</v>
      </c>
      <c r="AG181" s="80">
        <f t="shared" si="222"/>
        <v>0</v>
      </c>
      <c r="AH181" s="80">
        <f t="shared" si="222"/>
        <v>0</v>
      </c>
      <c r="AI181" s="80">
        <f t="shared" si="222"/>
        <v>0</v>
      </c>
      <c r="AJ181" s="80">
        <f t="shared" si="222"/>
        <v>0</v>
      </c>
      <c r="AK181" s="80">
        <f t="shared" si="222"/>
        <v>0</v>
      </c>
      <c r="AL181" s="80">
        <f t="shared" si="222"/>
        <v>0</v>
      </c>
      <c r="AM181" s="80">
        <f t="shared" si="222"/>
        <v>0</v>
      </c>
      <c r="AN181" s="80">
        <f t="shared" si="222"/>
        <v>0</v>
      </c>
      <c r="AO181" s="80">
        <f t="shared" si="222"/>
        <v>0</v>
      </c>
      <c r="AP181" s="80">
        <f t="shared" si="222"/>
        <v>0</v>
      </c>
      <c r="AQ181" s="80">
        <f t="shared" si="222"/>
        <v>0</v>
      </c>
      <c r="AR181" s="80">
        <f t="shared" si="222"/>
        <v>0</v>
      </c>
      <c r="AS181" s="80">
        <f t="shared" si="222"/>
        <v>0</v>
      </c>
      <c r="AT181" s="80">
        <f t="shared" si="222"/>
        <v>0</v>
      </c>
      <c r="AU181" s="80">
        <f t="shared" si="222"/>
        <v>0</v>
      </c>
      <c r="AV181" s="80">
        <f t="shared" si="222"/>
        <v>0</v>
      </c>
      <c r="AW181" s="80">
        <f t="shared" si="222"/>
        <v>0</v>
      </c>
      <c r="AX181" s="80">
        <f t="shared" si="222"/>
        <v>0</v>
      </c>
      <c r="AY181" s="80">
        <f t="shared" si="222"/>
        <v>0</v>
      </c>
      <c r="AZ181" s="80">
        <f t="shared" si="222"/>
        <v>0</v>
      </c>
      <c r="BA181" s="80">
        <f t="shared" si="222"/>
        <v>0</v>
      </c>
      <c r="BB181" s="80">
        <f t="shared" si="222"/>
        <v>0</v>
      </c>
      <c r="BC181" s="80">
        <f t="shared" si="222"/>
        <v>0</v>
      </c>
      <c r="BD181" s="80">
        <f t="shared" si="222"/>
        <v>0</v>
      </c>
      <c r="BE181" s="80">
        <f t="shared" si="222"/>
        <v>0</v>
      </c>
      <c r="BF181" s="80">
        <f t="shared" si="222"/>
        <v>0</v>
      </c>
      <c r="BG181" s="80">
        <f t="shared" si="222"/>
        <v>0</v>
      </c>
      <c r="BH181" s="80">
        <f t="shared" si="222"/>
        <v>3.9776523869626552E-2</v>
      </c>
      <c r="BI181" s="80">
        <f t="shared" si="222"/>
        <v>3.9776523869626552E-2</v>
      </c>
      <c r="BJ181" s="80">
        <f t="shared" si="222"/>
        <v>3.9776523869626559E-2</v>
      </c>
      <c r="BK181" s="80">
        <f t="shared" si="222"/>
        <v>3.9776523869626559E-2</v>
      </c>
      <c r="BL181" s="80">
        <f t="shared" si="222"/>
        <v>3.9776523869626559E-2</v>
      </c>
      <c r="BM181" s="80">
        <f t="shared" si="222"/>
        <v>0</v>
      </c>
      <c r="BN181" s="80">
        <f t="shared" si="222"/>
        <v>0</v>
      </c>
      <c r="BO181" s="80">
        <f t="shared" si="222"/>
        <v>0</v>
      </c>
      <c r="BP181" s="80">
        <f t="shared" si="222"/>
        <v>0</v>
      </c>
      <c r="BQ181" s="80">
        <f t="shared" si="222"/>
        <v>0</v>
      </c>
      <c r="BR181" s="80">
        <f t="shared" si="222"/>
        <v>0</v>
      </c>
      <c r="BS181" s="80">
        <f t="shared" si="222"/>
        <v>0</v>
      </c>
      <c r="BT181" s="80">
        <f t="shared" si="222"/>
        <v>0</v>
      </c>
      <c r="BU181" s="80">
        <f t="shared" si="222"/>
        <v>0</v>
      </c>
      <c r="BV181" s="80">
        <f t="shared" si="222"/>
        <v>7.5933625361942245E-2</v>
      </c>
      <c r="BW181" s="80">
        <f t="shared" si="222"/>
        <v>7.5933625361942245E-2</v>
      </c>
      <c r="BX181" s="80">
        <f t="shared" si="222"/>
        <v>7.5933625361942231E-2</v>
      </c>
      <c r="BY181" s="80">
        <f t="shared" si="222"/>
        <v>7.5933625361942245E-2</v>
      </c>
      <c r="BZ181" s="80">
        <f t="shared" si="222"/>
        <v>0.10745044175514144</v>
      </c>
      <c r="CA181" s="80">
        <f t="shared" si="222"/>
        <v>0.19801024574949888</v>
      </c>
      <c r="CB181" s="80">
        <f t="shared" si="222"/>
        <v>0.27041725443611253</v>
      </c>
      <c r="CC181" s="80">
        <f t="shared" si="222"/>
        <v>0.27041725443611253</v>
      </c>
      <c r="CD181" s="80">
        <f t="shared" si="222"/>
        <v>0.27041725443611253</v>
      </c>
      <c r="CE181" s="80">
        <f t="shared" si="222"/>
        <v>0.27041725443611253</v>
      </c>
      <c r="CF181" s="80">
        <f t="shared" si="222"/>
        <v>0.27041725443611253</v>
      </c>
      <c r="CG181" s="80">
        <f t="shared" si="222"/>
        <v>0.3230195263196971</v>
      </c>
      <c r="CH181" s="80">
        <f t="shared" si="222"/>
        <v>0.47136016036825296</v>
      </c>
      <c r="CI181" s="80">
        <f t="shared" si="222"/>
        <v>0.51432920038607166</v>
      </c>
      <c r="CJ181" s="80">
        <f t="shared" ref="CJ181:EU181" si="223">IF(CJ$148=0,"",CJ147/CJ$148)</f>
        <v>0.51432920038607166</v>
      </c>
      <c r="CK181" s="80">
        <f t="shared" si="223"/>
        <v>0.51432920038607166</v>
      </c>
      <c r="CL181" s="80">
        <f t="shared" si="223"/>
        <v>0.51432920038607166</v>
      </c>
      <c r="CM181" s="80">
        <f t="shared" si="223"/>
        <v>0.53333580815205284</v>
      </c>
      <c r="CN181" s="80">
        <f t="shared" si="223"/>
        <v>0.77993911945949956</v>
      </c>
      <c r="CO181" s="80">
        <f t="shared" si="223"/>
        <v>0.81971564332912616</v>
      </c>
      <c r="CP181" s="80">
        <f t="shared" si="223"/>
        <v>0.81971564332912616</v>
      </c>
      <c r="CQ181" s="80">
        <f t="shared" si="223"/>
        <v>1</v>
      </c>
      <c r="CR181" s="80">
        <f t="shared" si="223"/>
        <v>1</v>
      </c>
      <c r="CS181" s="80">
        <f t="shared" si="223"/>
        <v>1</v>
      </c>
      <c r="CT181" s="80">
        <f t="shared" si="223"/>
        <v>1</v>
      </c>
      <c r="CU181" s="80">
        <f t="shared" si="223"/>
        <v>1</v>
      </c>
      <c r="CV181" s="80">
        <f t="shared" si="223"/>
        <v>1</v>
      </c>
      <c r="CW181" s="80">
        <f t="shared" si="223"/>
        <v>1</v>
      </c>
      <c r="CX181" s="80">
        <f t="shared" si="223"/>
        <v>1</v>
      </c>
      <c r="CY181" s="80">
        <f t="shared" si="223"/>
        <v>1</v>
      </c>
      <c r="CZ181" s="80">
        <f t="shared" si="223"/>
        <v>1</v>
      </c>
      <c r="DA181" s="80">
        <f t="shared" si="223"/>
        <v>1</v>
      </c>
      <c r="DB181" s="80">
        <f t="shared" si="223"/>
        <v>1</v>
      </c>
      <c r="DC181" s="80">
        <f t="shared" si="223"/>
        <v>1</v>
      </c>
      <c r="DD181" s="80">
        <f t="shared" si="223"/>
        <v>1</v>
      </c>
      <c r="DE181" s="80">
        <f t="shared" si="223"/>
        <v>1</v>
      </c>
      <c r="DF181" s="80">
        <f t="shared" si="223"/>
        <v>1</v>
      </c>
      <c r="DG181" s="80">
        <f t="shared" si="223"/>
        <v>1</v>
      </c>
      <c r="DH181" s="80">
        <f t="shared" si="223"/>
        <v>1</v>
      </c>
      <c r="DI181" s="80">
        <f t="shared" si="223"/>
        <v>1</v>
      </c>
      <c r="DJ181" s="80">
        <f t="shared" si="223"/>
        <v>1</v>
      </c>
      <c r="DK181" s="80">
        <f t="shared" si="223"/>
        <v>1</v>
      </c>
      <c r="DL181" s="80">
        <f t="shared" si="223"/>
        <v>1</v>
      </c>
      <c r="DM181" s="80">
        <f t="shared" si="223"/>
        <v>1</v>
      </c>
      <c r="DN181" s="80">
        <f t="shared" si="223"/>
        <v>1</v>
      </c>
      <c r="DO181" s="80">
        <f t="shared" si="223"/>
        <v>1</v>
      </c>
      <c r="DP181" s="80">
        <f t="shared" si="223"/>
        <v>1</v>
      </c>
      <c r="DQ181" s="80">
        <f t="shared" si="223"/>
        <v>1</v>
      </c>
      <c r="DR181" s="80">
        <f t="shared" si="223"/>
        <v>1</v>
      </c>
      <c r="DS181" s="80">
        <f t="shared" si="223"/>
        <v>1</v>
      </c>
      <c r="DT181" s="80">
        <f t="shared" si="223"/>
        <v>1</v>
      </c>
      <c r="DU181" s="80">
        <f t="shared" si="223"/>
        <v>1</v>
      </c>
      <c r="DV181" s="80">
        <f t="shared" si="223"/>
        <v>1</v>
      </c>
      <c r="DW181" s="80">
        <f t="shared" si="223"/>
        <v>1</v>
      </c>
      <c r="DX181" s="80">
        <f t="shared" si="223"/>
        <v>1</v>
      </c>
      <c r="DY181" s="80">
        <f t="shared" si="223"/>
        <v>1</v>
      </c>
      <c r="DZ181" s="80">
        <f t="shared" si="223"/>
        <v>1</v>
      </c>
      <c r="EA181" s="80">
        <f t="shared" si="223"/>
        <v>1</v>
      </c>
      <c r="EB181" s="80">
        <f t="shared" si="223"/>
        <v>1</v>
      </c>
      <c r="EC181" s="80">
        <f t="shared" si="223"/>
        <v>1</v>
      </c>
      <c r="ED181" s="80">
        <f t="shared" si="223"/>
        <v>1</v>
      </c>
      <c r="EE181" s="80">
        <f t="shared" si="223"/>
        <v>1</v>
      </c>
      <c r="EF181" s="80">
        <f t="shared" si="223"/>
        <v>1</v>
      </c>
      <c r="EG181" s="80">
        <f t="shared" si="223"/>
        <v>1</v>
      </c>
      <c r="EH181" s="80">
        <f t="shared" si="223"/>
        <v>1</v>
      </c>
      <c r="EI181" s="80">
        <f t="shared" si="223"/>
        <v>1</v>
      </c>
      <c r="EJ181" s="80">
        <f t="shared" si="223"/>
        <v>1</v>
      </c>
      <c r="EK181" s="80">
        <f t="shared" si="223"/>
        <v>1</v>
      </c>
      <c r="EL181" s="80">
        <f t="shared" si="223"/>
        <v>1</v>
      </c>
      <c r="EM181" s="80">
        <f t="shared" si="223"/>
        <v>1</v>
      </c>
      <c r="EN181" s="80">
        <f t="shared" si="223"/>
        <v>1</v>
      </c>
      <c r="EO181" s="80">
        <f t="shared" si="223"/>
        <v>1</v>
      </c>
      <c r="EP181" s="80">
        <f t="shared" si="223"/>
        <v>1</v>
      </c>
      <c r="EQ181" s="80">
        <f t="shared" si="223"/>
        <v>1</v>
      </c>
      <c r="ER181" s="80">
        <f t="shared" si="223"/>
        <v>1</v>
      </c>
      <c r="ES181" s="80">
        <f t="shared" si="223"/>
        <v>1</v>
      </c>
      <c r="ET181" s="80">
        <f t="shared" si="223"/>
        <v>1</v>
      </c>
      <c r="EU181" s="80">
        <f t="shared" si="223"/>
        <v>1</v>
      </c>
      <c r="EV181" s="80">
        <f t="shared" ref="EV181:GX181" si="224">IF(EV$148=0,"",EV147/EV$148)</f>
        <v>1</v>
      </c>
      <c r="EW181" s="80">
        <f t="shared" si="224"/>
        <v>1</v>
      </c>
      <c r="EX181" s="80">
        <f t="shared" si="224"/>
        <v>1</v>
      </c>
      <c r="EY181" s="80">
        <f t="shared" si="224"/>
        <v>1</v>
      </c>
      <c r="EZ181" s="80">
        <f t="shared" si="224"/>
        <v>1</v>
      </c>
      <c r="FA181" s="80">
        <f t="shared" si="224"/>
        <v>1</v>
      </c>
      <c r="FB181" s="80">
        <f t="shared" si="224"/>
        <v>1</v>
      </c>
      <c r="FC181" s="80">
        <f t="shared" si="224"/>
        <v>1</v>
      </c>
      <c r="FD181" s="80">
        <f t="shared" si="224"/>
        <v>1</v>
      </c>
      <c r="FE181" s="80">
        <f t="shared" si="224"/>
        <v>1</v>
      </c>
      <c r="FF181" s="80">
        <f t="shared" si="224"/>
        <v>1</v>
      </c>
      <c r="FG181" s="80">
        <f t="shared" si="224"/>
        <v>1</v>
      </c>
      <c r="FH181" s="80">
        <f t="shared" si="224"/>
        <v>1</v>
      </c>
      <c r="FI181" s="80">
        <f t="shared" si="224"/>
        <v>1</v>
      </c>
      <c r="FJ181" s="80">
        <f t="shared" si="224"/>
        <v>1</v>
      </c>
      <c r="FK181" s="80">
        <f t="shared" si="224"/>
        <v>1</v>
      </c>
      <c r="FL181" s="80">
        <f t="shared" si="224"/>
        <v>1</v>
      </c>
      <c r="FM181" s="80">
        <f t="shared" si="224"/>
        <v>1</v>
      </c>
      <c r="FN181" s="80">
        <f t="shared" si="224"/>
        <v>1</v>
      </c>
      <c r="FO181" s="80">
        <f t="shared" si="224"/>
        <v>1</v>
      </c>
      <c r="FP181" s="80">
        <f t="shared" si="224"/>
        <v>1</v>
      </c>
      <c r="FQ181" s="80">
        <f t="shared" si="224"/>
        <v>1</v>
      </c>
      <c r="FR181" s="80">
        <f t="shared" si="224"/>
        <v>1</v>
      </c>
      <c r="FS181" s="80">
        <f t="shared" si="224"/>
        <v>1</v>
      </c>
      <c r="FT181" s="80">
        <f t="shared" si="224"/>
        <v>1</v>
      </c>
      <c r="FU181" s="80">
        <f t="shared" si="224"/>
        <v>1</v>
      </c>
      <c r="FV181" s="80">
        <f t="shared" si="224"/>
        <v>1</v>
      </c>
      <c r="FW181" s="80">
        <f t="shared" si="224"/>
        <v>1</v>
      </c>
      <c r="FX181" s="80">
        <f t="shared" si="224"/>
        <v>1</v>
      </c>
      <c r="FY181" s="80">
        <f t="shared" si="224"/>
        <v>1</v>
      </c>
      <c r="FZ181" s="80">
        <f t="shared" si="224"/>
        <v>1</v>
      </c>
      <c r="GA181" s="80">
        <f t="shared" si="224"/>
        <v>1</v>
      </c>
      <c r="GB181" s="80">
        <f t="shared" si="224"/>
        <v>1</v>
      </c>
      <c r="GC181" s="80">
        <f t="shared" si="224"/>
        <v>1</v>
      </c>
      <c r="GD181" s="80">
        <f t="shared" si="224"/>
        <v>1</v>
      </c>
      <c r="GE181" s="80">
        <f t="shared" si="224"/>
        <v>1</v>
      </c>
      <c r="GF181" s="80">
        <f t="shared" si="224"/>
        <v>1</v>
      </c>
      <c r="GG181" s="80">
        <f t="shared" si="224"/>
        <v>1</v>
      </c>
      <c r="GH181" s="80">
        <f t="shared" si="224"/>
        <v>1</v>
      </c>
      <c r="GI181" s="80">
        <f t="shared" si="224"/>
        <v>1</v>
      </c>
      <c r="GJ181" s="80">
        <f t="shared" si="224"/>
        <v>1</v>
      </c>
      <c r="GK181" s="80">
        <f t="shared" si="224"/>
        <v>1</v>
      </c>
      <c r="GL181" s="80">
        <f t="shared" si="224"/>
        <v>1</v>
      </c>
      <c r="GM181" s="80">
        <f t="shared" si="224"/>
        <v>1</v>
      </c>
      <c r="GN181" s="80">
        <f t="shared" si="224"/>
        <v>1</v>
      </c>
      <c r="GO181" s="80">
        <f t="shared" si="224"/>
        <v>1</v>
      </c>
      <c r="GP181" s="80">
        <f t="shared" si="224"/>
        <v>1</v>
      </c>
      <c r="GQ181" s="80">
        <f t="shared" si="224"/>
        <v>1</v>
      </c>
      <c r="GR181" s="80">
        <f t="shared" si="224"/>
        <v>1</v>
      </c>
      <c r="GS181" s="80">
        <f t="shared" si="224"/>
        <v>1</v>
      </c>
      <c r="GT181" s="80">
        <f t="shared" si="224"/>
        <v>1</v>
      </c>
      <c r="GU181" s="80">
        <f t="shared" si="224"/>
        <v>1</v>
      </c>
      <c r="GV181" s="80">
        <f t="shared" si="224"/>
        <v>1</v>
      </c>
      <c r="GW181" s="80">
        <f t="shared" si="224"/>
        <v>1</v>
      </c>
      <c r="GX181" s="80">
        <f t="shared" si="224"/>
        <v>1</v>
      </c>
    </row>
    <row r="182" spans="1:206" x14ac:dyDescent="0.2">
      <c r="A182" s="84"/>
      <c r="B182" s="84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  <c r="AQ182" s="80"/>
      <c r="AR182" s="80"/>
      <c r="AS182" s="80"/>
      <c r="AT182" s="80"/>
      <c r="AU182" s="80"/>
      <c r="AV182" s="80"/>
      <c r="AW182" s="80"/>
      <c r="AX182" s="80"/>
      <c r="AY182" s="80"/>
      <c r="AZ182" s="80"/>
      <c r="BA182" s="80"/>
      <c r="BB182" s="80"/>
      <c r="BC182" s="80"/>
      <c r="BD182" s="80"/>
      <c r="BE182" s="80"/>
      <c r="BF182" s="80"/>
      <c r="BG182" s="80"/>
      <c r="BH182" s="80"/>
      <c r="BI182" s="80"/>
      <c r="BJ182" s="80"/>
      <c r="BK182" s="80"/>
      <c r="BL182" s="80"/>
      <c r="BM182" s="80"/>
      <c r="BN182" s="80"/>
      <c r="BO182" s="80"/>
      <c r="BP182" s="80"/>
      <c r="BQ182" s="80"/>
      <c r="BR182" s="80"/>
      <c r="BS182" s="80"/>
      <c r="BT182" s="80"/>
      <c r="BU182" s="80"/>
      <c r="BV182" s="80"/>
      <c r="BW182" s="80"/>
      <c r="BX182" s="80"/>
      <c r="BY182" s="80"/>
      <c r="BZ182" s="80"/>
      <c r="CA182" s="80"/>
      <c r="CB182" s="80"/>
      <c r="CC182" s="80"/>
      <c r="CD182" s="80"/>
      <c r="CE182" s="80"/>
      <c r="CF182" s="80"/>
      <c r="CG182" s="80"/>
      <c r="CH182" s="80"/>
      <c r="CI182" s="80"/>
      <c r="CJ182" s="80"/>
      <c r="CK182" s="80"/>
      <c r="CL182" s="80"/>
      <c r="CM182" s="80"/>
      <c r="CN182" s="80"/>
      <c r="CO182" s="80"/>
      <c r="CP182" s="80"/>
      <c r="CQ182" s="80"/>
      <c r="CR182" s="80"/>
      <c r="CS182" s="80"/>
      <c r="CT182" s="80"/>
      <c r="CU182" s="80"/>
      <c r="CV182" s="80"/>
      <c r="CW182" s="80"/>
      <c r="CX182" s="80"/>
      <c r="CY182" s="80"/>
      <c r="CZ182" s="80"/>
      <c r="DA182" s="80"/>
      <c r="DB182" s="80"/>
      <c r="DC182" s="80"/>
      <c r="DD182" s="80"/>
      <c r="DE182" s="80"/>
      <c r="DF182" s="80"/>
      <c r="DG182" s="80"/>
      <c r="DH182" s="80"/>
      <c r="DI182" s="80"/>
      <c r="DJ182" s="80"/>
      <c r="DK182" s="80"/>
      <c r="DL182" s="80"/>
      <c r="DM182" s="80"/>
      <c r="DN182" s="80"/>
      <c r="DO182" s="80"/>
      <c r="DP182" s="80"/>
      <c r="DQ182" s="80"/>
      <c r="DR182" s="80"/>
      <c r="DS182" s="80"/>
      <c r="DT182" s="80"/>
      <c r="DU182" s="80"/>
      <c r="DV182" s="80"/>
      <c r="DW182" s="80"/>
      <c r="DX182" s="80"/>
      <c r="DY182" s="80"/>
      <c r="DZ182" s="80"/>
      <c r="EA182" s="80"/>
      <c r="EB182" s="80"/>
      <c r="EC182" s="80"/>
      <c r="ED182" s="80"/>
      <c r="EE182" s="80"/>
      <c r="EF182" s="80"/>
      <c r="EG182" s="80"/>
      <c r="EH182" s="80"/>
      <c r="EI182" s="80"/>
      <c r="EJ182" s="80"/>
      <c r="EK182" s="80"/>
      <c r="EL182" s="80"/>
      <c r="EM182" s="80"/>
      <c r="EN182" s="80"/>
      <c r="EO182" s="80"/>
      <c r="EP182" s="80"/>
      <c r="EQ182" s="80"/>
      <c r="ER182" s="80"/>
      <c r="ES182" s="80"/>
      <c r="ET182" s="80"/>
      <c r="EU182" s="80"/>
      <c r="EV182" s="80"/>
      <c r="EW182" s="80"/>
      <c r="EX182" s="80"/>
      <c r="EY182" s="80"/>
      <c r="EZ182" s="80"/>
      <c r="FA182" s="80"/>
      <c r="FB182" s="80"/>
      <c r="FC182" s="80"/>
      <c r="FD182" s="80"/>
      <c r="FE182" s="80"/>
      <c r="FF182" s="80"/>
      <c r="FG182" s="80"/>
      <c r="FH182" s="80"/>
      <c r="FI182" s="80"/>
      <c r="FJ182" s="80"/>
      <c r="FK182" s="80"/>
      <c r="FL182" s="80"/>
      <c r="FM182" s="80"/>
      <c r="FN182" s="80"/>
      <c r="FO182" s="80"/>
      <c r="FP182" s="80"/>
      <c r="FQ182" s="80"/>
      <c r="FR182" s="80"/>
      <c r="FS182" s="80"/>
      <c r="FT182" s="80"/>
      <c r="FU182" s="80"/>
      <c r="FV182" s="80"/>
      <c r="FW182" s="80"/>
      <c r="FX182" s="80"/>
      <c r="FY182" s="80"/>
      <c r="FZ182" s="80"/>
      <c r="GA182" s="80"/>
      <c r="GB182" s="80"/>
      <c r="GC182" s="80"/>
      <c r="GD182" s="80"/>
      <c r="GE182" s="80"/>
      <c r="GF182" s="80"/>
      <c r="GG182" s="80"/>
      <c r="GH182" s="80"/>
      <c r="GI182" s="80"/>
      <c r="GJ182" s="80"/>
      <c r="GK182" s="80"/>
      <c r="GL182" s="80"/>
      <c r="GM182" s="80"/>
      <c r="GN182" s="80"/>
      <c r="GO182" s="80"/>
      <c r="GP182" s="80"/>
      <c r="GQ182" s="80"/>
      <c r="GR182" s="80"/>
      <c r="GS182" s="80"/>
      <c r="GT182" s="80"/>
      <c r="GU182" s="80"/>
      <c r="GV182" s="80"/>
      <c r="GW182" s="80"/>
      <c r="GX182" s="80"/>
    </row>
    <row r="183" spans="1:206" x14ac:dyDescent="0.2">
      <c r="A183" s="84">
        <v>4</v>
      </c>
      <c r="B183" s="84" t="s">
        <v>11</v>
      </c>
      <c r="W183" s="80">
        <f>IF(W$154=0,"",W149/W$154)</f>
        <v>0.65247196129899998</v>
      </c>
      <c r="X183" s="80">
        <f t="shared" ref="X183:CI183" si="225">IF(X$154=0,"",X149/X$154)</f>
        <v>0.6670615375023381</v>
      </c>
      <c r="Y183" s="80">
        <f t="shared" si="225"/>
        <v>0.52212315813537835</v>
      </c>
      <c r="Z183" s="80">
        <f t="shared" si="225"/>
        <v>0.53109735635184008</v>
      </c>
      <c r="AA183" s="80">
        <f t="shared" si="225"/>
        <v>0.53109735635184008</v>
      </c>
      <c r="AB183" s="80">
        <f t="shared" si="225"/>
        <v>0.53109735635184008</v>
      </c>
      <c r="AC183" s="80">
        <f t="shared" si="225"/>
        <v>0.60928819120772593</v>
      </c>
      <c r="AD183" s="80">
        <f t="shared" si="225"/>
        <v>0.50962004549013762</v>
      </c>
      <c r="AE183" s="80">
        <f t="shared" si="225"/>
        <v>0.47005854058689733</v>
      </c>
      <c r="AF183" s="80">
        <f t="shared" si="225"/>
        <v>0.50833364405831694</v>
      </c>
      <c r="AG183" s="80">
        <f t="shared" si="225"/>
        <v>0.55093403930049578</v>
      </c>
      <c r="AH183" s="80">
        <f t="shared" si="225"/>
        <v>0.50070845296245203</v>
      </c>
      <c r="AI183" s="80">
        <f t="shared" si="225"/>
        <v>0.49507811626085996</v>
      </c>
      <c r="AJ183" s="80">
        <f t="shared" si="225"/>
        <v>0.46452142138036473</v>
      </c>
      <c r="AK183" s="80">
        <f t="shared" si="225"/>
        <v>0.5718334016928297</v>
      </c>
      <c r="AL183" s="80">
        <f t="shared" si="225"/>
        <v>0.59077519668891454</v>
      </c>
      <c r="AM183" s="80">
        <f t="shared" si="225"/>
        <v>0.64003132107833993</v>
      </c>
      <c r="AN183" s="80">
        <f t="shared" si="225"/>
        <v>0.68138260188672217</v>
      </c>
      <c r="AO183" s="80">
        <f t="shared" si="225"/>
        <v>0.68138260188672217</v>
      </c>
      <c r="AP183" s="80">
        <f t="shared" si="225"/>
        <v>0.57164696670271076</v>
      </c>
      <c r="AQ183" s="80">
        <f t="shared" si="225"/>
        <v>0.56113203326000216</v>
      </c>
      <c r="AR183" s="80">
        <f t="shared" si="225"/>
        <v>0.75179909765464792</v>
      </c>
      <c r="AS183" s="80">
        <f t="shared" si="225"/>
        <v>0.86172116782877795</v>
      </c>
      <c r="AT183" s="80">
        <f t="shared" si="225"/>
        <v>0.92512770796823152</v>
      </c>
      <c r="AU183" s="80">
        <f t="shared" si="225"/>
        <v>1</v>
      </c>
      <c r="AV183" s="80">
        <f t="shared" si="225"/>
        <v>1</v>
      </c>
      <c r="AW183" s="80">
        <f t="shared" si="225"/>
        <v>0.96280621947127032</v>
      </c>
      <c r="AX183" s="80">
        <f t="shared" si="225"/>
        <v>0.81783437115477831</v>
      </c>
      <c r="AY183" s="80">
        <f t="shared" si="225"/>
        <v>0.79889257615869358</v>
      </c>
      <c r="AZ183" s="80">
        <f t="shared" si="225"/>
        <v>0.64670569372459819</v>
      </c>
      <c r="BA183" s="80">
        <f t="shared" si="225"/>
        <v>0.60535441291621606</v>
      </c>
      <c r="BB183" s="80">
        <f t="shared" si="225"/>
        <v>0.66148998844103057</v>
      </c>
      <c r="BC183" s="80">
        <f t="shared" si="225"/>
        <v>0.66148998844103057</v>
      </c>
      <c r="BD183" s="80">
        <f t="shared" si="225"/>
        <v>0.86034154890189796</v>
      </c>
      <c r="BE183" s="80">
        <f t="shared" si="225"/>
        <v>0.68462657071479172</v>
      </c>
      <c r="BF183" s="80">
        <f t="shared" si="225"/>
        <v>0.62994518811290501</v>
      </c>
      <c r="BG183" s="80">
        <f t="shared" si="225"/>
        <v>0.58816510682724943</v>
      </c>
      <c r="BH183" s="80">
        <f t="shared" si="225"/>
        <v>0.54685111301689104</v>
      </c>
      <c r="BI183" s="80">
        <f t="shared" si="225"/>
        <v>0.61005257466721352</v>
      </c>
      <c r="BJ183" s="80">
        <f t="shared" si="225"/>
        <v>0.61005257466721352</v>
      </c>
      <c r="BK183" s="80">
        <f t="shared" si="225"/>
        <v>0.74072485924158238</v>
      </c>
      <c r="BL183" s="80">
        <f t="shared" si="225"/>
        <v>0.82299862038107308</v>
      </c>
      <c r="BM183" s="80">
        <f t="shared" si="225"/>
        <v>0.87178865729520116</v>
      </c>
      <c r="BN183" s="80">
        <f t="shared" si="225"/>
        <v>0.95038964912934865</v>
      </c>
      <c r="BO183" s="80">
        <f t="shared" si="225"/>
        <v>0.94386442447518559</v>
      </c>
      <c r="BP183" s="80">
        <f t="shared" si="225"/>
        <v>0.94386442447518559</v>
      </c>
      <c r="BQ183" s="80">
        <f t="shared" si="225"/>
        <v>0.74501286401431821</v>
      </c>
      <c r="BR183" s="80">
        <f t="shared" si="225"/>
        <v>0.7300607778067788</v>
      </c>
      <c r="BS183" s="80">
        <f t="shared" si="225"/>
        <v>0.63654498676311577</v>
      </c>
      <c r="BT183" s="80">
        <f t="shared" si="225"/>
        <v>0.48670718520451917</v>
      </c>
      <c r="BU183" s="80">
        <f t="shared" si="225"/>
        <v>0.45314888698310901</v>
      </c>
      <c r="BV183" s="80">
        <f t="shared" si="225"/>
        <v>0.38994742533278642</v>
      </c>
      <c r="BW183" s="80">
        <f t="shared" si="225"/>
        <v>0.38994742533278653</v>
      </c>
      <c r="BX183" s="80">
        <f t="shared" si="225"/>
        <v>0.25927514075841751</v>
      </c>
      <c r="BY183" s="80">
        <f t="shared" si="225"/>
        <v>0.17700137961892687</v>
      </c>
      <c r="BZ183" s="80">
        <f t="shared" si="225"/>
        <v>0.12821134270479884</v>
      </c>
      <c r="CA183" s="80">
        <f t="shared" si="225"/>
        <v>4.9610350870651396E-2</v>
      </c>
      <c r="CB183" s="80">
        <f t="shared" si="225"/>
        <v>0</v>
      </c>
      <c r="CC183" s="80">
        <f t="shared" si="225"/>
        <v>0</v>
      </c>
      <c r="CD183" s="80">
        <f t="shared" si="225"/>
        <v>0</v>
      </c>
      <c r="CE183" s="80">
        <f t="shared" si="225"/>
        <v>0</v>
      </c>
      <c r="CF183" s="80">
        <f t="shared" si="225"/>
        <v>0</v>
      </c>
      <c r="CG183" s="80">
        <f t="shared" si="225"/>
        <v>0</v>
      </c>
      <c r="CH183" s="80">
        <f t="shared" si="225"/>
        <v>0</v>
      </c>
      <c r="CI183" s="80">
        <f t="shared" si="225"/>
        <v>0</v>
      </c>
      <c r="CJ183" s="80">
        <f t="shared" ref="CJ183:EU183" si="226">IF(CJ$154=0,"",CJ149/CJ$154)</f>
        <v>0</v>
      </c>
      <c r="CK183" s="80">
        <f t="shared" si="226"/>
        <v>0</v>
      </c>
      <c r="CL183" s="80">
        <f t="shared" si="226"/>
        <v>0</v>
      </c>
      <c r="CM183" s="80">
        <f t="shared" si="226"/>
        <v>0</v>
      </c>
      <c r="CN183" s="80">
        <f t="shared" si="226"/>
        <v>0</v>
      </c>
      <c r="CO183" s="80">
        <f t="shared" si="226"/>
        <v>0</v>
      </c>
      <c r="CP183" s="80">
        <f t="shared" si="226"/>
        <v>0</v>
      </c>
      <c r="CQ183" s="80">
        <f t="shared" si="226"/>
        <v>0</v>
      </c>
      <c r="CR183" s="80">
        <f t="shared" si="226"/>
        <v>0</v>
      </c>
      <c r="CS183" s="80">
        <f t="shared" si="226"/>
        <v>0</v>
      </c>
      <c r="CT183" s="80">
        <f t="shared" si="226"/>
        <v>0</v>
      </c>
      <c r="CU183" s="80">
        <f t="shared" si="226"/>
        <v>0</v>
      </c>
      <c r="CV183" s="80">
        <f t="shared" si="226"/>
        <v>0</v>
      </c>
      <c r="CW183" s="80">
        <f t="shared" si="226"/>
        <v>0</v>
      </c>
      <c r="CX183" s="80">
        <f t="shared" si="226"/>
        <v>0</v>
      </c>
      <c r="CY183" s="80">
        <f t="shared" si="226"/>
        <v>0</v>
      </c>
      <c r="CZ183" s="80">
        <f t="shared" si="226"/>
        <v>0</v>
      </c>
      <c r="DA183" s="80">
        <f t="shared" si="226"/>
        <v>0</v>
      </c>
      <c r="DB183" s="80">
        <f t="shared" si="226"/>
        <v>0</v>
      </c>
      <c r="DC183" s="80">
        <f t="shared" si="226"/>
        <v>0</v>
      </c>
      <c r="DD183" s="80">
        <f t="shared" si="226"/>
        <v>0</v>
      </c>
      <c r="DE183" s="80">
        <f t="shared" si="226"/>
        <v>0</v>
      </c>
      <c r="DF183" s="80">
        <f t="shared" si="226"/>
        <v>0</v>
      </c>
      <c r="DG183" s="80">
        <f t="shared" si="226"/>
        <v>0</v>
      </c>
      <c r="DH183" s="80">
        <f t="shared" si="226"/>
        <v>0</v>
      </c>
      <c r="DI183" s="80">
        <f t="shared" si="226"/>
        <v>0</v>
      </c>
      <c r="DJ183" s="80">
        <f t="shared" si="226"/>
        <v>0</v>
      </c>
      <c r="DK183" s="80">
        <f t="shared" si="226"/>
        <v>0</v>
      </c>
      <c r="DL183" s="80">
        <f t="shared" si="226"/>
        <v>0</v>
      </c>
      <c r="DM183" s="80">
        <f t="shared" si="226"/>
        <v>0</v>
      </c>
      <c r="DN183" s="80">
        <f t="shared" si="226"/>
        <v>0</v>
      </c>
      <c r="DO183" s="80">
        <f t="shared" si="226"/>
        <v>0</v>
      </c>
      <c r="DP183" s="80">
        <f t="shared" si="226"/>
        <v>0</v>
      </c>
      <c r="DQ183" s="80">
        <f t="shared" si="226"/>
        <v>0</v>
      </c>
      <c r="DR183" s="80">
        <f t="shared" si="226"/>
        <v>0</v>
      </c>
      <c r="DS183" s="80">
        <f t="shared" si="226"/>
        <v>0</v>
      </c>
      <c r="DT183" s="80">
        <f t="shared" si="226"/>
        <v>0</v>
      </c>
      <c r="DU183" s="80">
        <f t="shared" si="226"/>
        <v>0</v>
      </c>
      <c r="DV183" s="80">
        <f t="shared" si="226"/>
        <v>0</v>
      </c>
      <c r="DW183" s="80">
        <f t="shared" si="226"/>
        <v>0</v>
      </c>
      <c r="DX183" s="80">
        <f t="shared" si="226"/>
        <v>0</v>
      </c>
      <c r="DY183" s="80">
        <f t="shared" si="226"/>
        <v>0</v>
      </c>
      <c r="DZ183" s="80">
        <f t="shared" si="226"/>
        <v>0</v>
      </c>
      <c r="EA183" s="80">
        <f t="shared" si="226"/>
        <v>0</v>
      </c>
      <c r="EB183" s="80">
        <f t="shared" si="226"/>
        <v>0</v>
      </c>
      <c r="EC183" s="80">
        <f t="shared" si="226"/>
        <v>0</v>
      </c>
      <c r="ED183" s="80">
        <f t="shared" si="226"/>
        <v>0</v>
      </c>
      <c r="EE183" s="80">
        <f t="shared" si="226"/>
        <v>0</v>
      </c>
      <c r="EF183" s="80">
        <f t="shared" si="226"/>
        <v>0</v>
      </c>
      <c r="EG183" s="80">
        <f t="shared" si="226"/>
        <v>0</v>
      </c>
      <c r="EH183" s="80">
        <f t="shared" si="226"/>
        <v>0</v>
      </c>
      <c r="EI183" s="80">
        <f t="shared" si="226"/>
        <v>0</v>
      </c>
      <c r="EJ183" s="80">
        <f t="shared" si="226"/>
        <v>0</v>
      </c>
      <c r="EK183" s="80">
        <f t="shared" si="226"/>
        <v>0</v>
      </c>
      <c r="EL183" s="80">
        <f t="shared" si="226"/>
        <v>0</v>
      </c>
      <c r="EM183" s="80">
        <f t="shared" si="226"/>
        <v>0</v>
      </c>
      <c r="EN183" s="80">
        <f t="shared" si="226"/>
        <v>0</v>
      </c>
      <c r="EO183" s="80">
        <f t="shared" si="226"/>
        <v>0</v>
      </c>
      <c r="EP183" s="80">
        <f t="shared" si="226"/>
        <v>0</v>
      </c>
      <c r="EQ183" s="80">
        <f t="shared" si="226"/>
        <v>0</v>
      </c>
      <c r="ER183" s="80">
        <f t="shared" si="226"/>
        <v>0</v>
      </c>
      <c r="ES183" s="80">
        <f t="shared" si="226"/>
        <v>0</v>
      </c>
      <c r="ET183" s="80">
        <f t="shared" si="226"/>
        <v>0</v>
      </c>
      <c r="EU183" s="80">
        <f t="shared" si="226"/>
        <v>0</v>
      </c>
      <c r="EV183" s="80">
        <f t="shared" ref="EV183:GX183" si="227">IF(EV$154=0,"",EV149/EV$154)</f>
        <v>0</v>
      </c>
      <c r="EW183" s="80">
        <f t="shared" si="227"/>
        <v>0</v>
      </c>
      <c r="EX183" s="80">
        <f t="shared" si="227"/>
        <v>0</v>
      </c>
      <c r="EY183" s="80">
        <f t="shared" si="227"/>
        <v>0</v>
      </c>
      <c r="EZ183" s="80">
        <f t="shared" si="227"/>
        <v>0</v>
      </c>
      <c r="FA183" s="80">
        <f t="shared" si="227"/>
        <v>0</v>
      </c>
      <c r="FB183" s="80">
        <f t="shared" si="227"/>
        <v>0</v>
      </c>
      <c r="FC183" s="80">
        <f t="shared" si="227"/>
        <v>0</v>
      </c>
      <c r="FD183" s="80">
        <f t="shared" si="227"/>
        <v>0</v>
      </c>
      <c r="FE183" s="80">
        <f t="shared" si="227"/>
        <v>0</v>
      </c>
      <c r="FF183" s="80">
        <f t="shared" si="227"/>
        <v>0</v>
      </c>
      <c r="FG183" s="80">
        <f t="shared" si="227"/>
        <v>0</v>
      </c>
      <c r="FH183" s="80">
        <f t="shared" si="227"/>
        <v>0</v>
      </c>
      <c r="FI183" s="80">
        <f t="shared" si="227"/>
        <v>0</v>
      </c>
      <c r="FJ183" s="80">
        <f t="shared" si="227"/>
        <v>0</v>
      </c>
      <c r="FK183" s="80">
        <f t="shared" si="227"/>
        <v>0</v>
      </c>
      <c r="FL183" s="80">
        <f t="shared" si="227"/>
        <v>0</v>
      </c>
      <c r="FM183" s="80">
        <f t="shared" si="227"/>
        <v>0</v>
      </c>
      <c r="FN183" s="80">
        <f t="shared" si="227"/>
        <v>0</v>
      </c>
      <c r="FO183" s="80">
        <f t="shared" si="227"/>
        <v>0</v>
      </c>
      <c r="FP183" s="80">
        <f t="shared" si="227"/>
        <v>0</v>
      </c>
      <c r="FQ183" s="80">
        <f t="shared" si="227"/>
        <v>0</v>
      </c>
      <c r="FR183" s="80">
        <f t="shared" si="227"/>
        <v>0</v>
      </c>
      <c r="FS183" s="80">
        <f t="shared" si="227"/>
        <v>0</v>
      </c>
      <c r="FT183" s="80">
        <f t="shared" si="227"/>
        <v>0</v>
      </c>
      <c r="FU183" s="80">
        <f t="shared" si="227"/>
        <v>0</v>
      </c>
      <c r="FV183" s="80">
        <f t="shared" si="227"/>
        <v>0</v>
      </c>
      <c r="FW183" s="80">
        <f t="shared" si="227"/>
        <v>0</v>
      </c>
      <c r="FX183" s="80">
        <f t="shared" si="227"/>
        <v>0</v>
      </c>
      <c r="FY183" s="80">
        <f t="shared" si="227"/>
        <v>0</v>
      </c>
      <c r="FZ183" s="80">
        <f t="shared" si="227"/>
        <v>0</v>
      </c>
      <c r="GA183" s="80">
        <f t="shared" si="227"/>
        <v>0</v>
      </c>
      <c r="GB183" s="80">
        <f t="shared" si="227"/>
        <v>0</v>
      </c>
      <c r="GC183" s="80">
        <f t="shared" si="227"/>
        <v>0</v>
      </c>
      <c r="GD183" s="80">
        <f t="shared" si="227"/>
        <v>0</v>
      </c>
      <c r="GE183" s="80">
        <f t="shared" si="227"/>
        <v>0</v>
      </c>
      <c r="GF183" s="80">
        <f t="shared" si="227"/>
        <v>0</v>
      </c>
      <c r="GG183" s="80">
        <f t="shared" si="227"/>
        <v>0</v>
      </c>
      <c r="GH183" s="80">
        <f t="shared" si="227"/>
        <v>0</v>
      </c>
      <c r="GI183" s="80">
        <f t="shared" si="227"/>
        <v>0</v>
      </c>
      <c r="GJ183" s="80">
        <f t="shared" si="227"/>
        <v>0</v>
      </c>
      <c r="GK183" s="80">
        <f t="shared" si="227"/>
        <v>0</v>
      </c>
      <c r="GL183" s="80">
        <f t="shared" si="227"/>
        <v>0</v>
      </c>
      <c r="GM183" s="80">
        <f t="shared" si="227"/>
        <v>0</v>
      </c>
      <c r="GN183" s="80">
        <f t="shared" si="227"/>
        <v>0</v>
      </c>
      <c r="GO183" s="80">
        <f t="shared" si="227"/>
        <v>0</v>
      </c>
      <c r="GP183" s="80">
        <f t="shared" si="227"/>
        <v>0</v>
      </c>
      <c r="GQ183" s="80">
        <f t="shared" si="227"/>
        <v>0</v>
      </c>
      <c r="GR183" s="80">
        <f t="shared" si="227"/>
        <v>0</v>
      </c>
      <c r="GS183" s="80">
        <f t="shared" si="227"/>
        <v>0</v>
      </c>
      <c r="GT183" s="80">
        <f t="shared" si="227"/>
        <v>0</v>
      </c>
      <c r="GU183" s="80">
        <f t="shared" si="227"/>
        <v>0</v>
      </c>
      <c r="GV183" s="80">
        <f t="shared" si="227"/>
        <v>0</v>
      </c>
      <c r="GW183" s="80">
        <f t="shared" si="227"/>
        <v>0</v>
      </c>
      <c r="GX183" s="80">
        <f t="shared" si="227"/>
        <v>0</v>
      </c>
    </row>
    <row r="184" spans="1:206" x14ac:dyDescent="0.2">
      <c r="A184" s="84">
        <v>4</v>
      </c>
      <c r="B184" s="84" t="s">
        <v>255</v>
      </c>
      <c r="W184" s="80">
        <f>IF(W$154=0,"",W150/W$154)</f>
        <v>4.327830444497472E-2</v>
      </c>
      <c r="X184" s="80">
        <f t="shared" ref="X184:CI184" si="228">IF(X$154=0,"",X150/X$154)</f>
        <v>4.146143774549535E-2</v>
      </c>
      <c r="Y184" s="80">
        <f t="shared" si="228"/>
        <v>0.18639981711245501</v>
      </c>
      <c r="Z184" s="80">
        <f t="shared" si="228"/>
        <v>0.20742757000633877</v>
      </c>
      <c r="AA184" s="80">
        <f t="shared" si="228"/>
        <v>0.17023378947760914</v>
      </c>
      <c r="AB184" s="80">
        <f t="shared" si="228"/>
        <v>0.17023378947760914</v>
      </c>
      <c r="AC184" s="80">
        <f t="shared" si="228"/>
        <v>0.17651664864461761</v>
      </c>
      <c r="AD184" s="80">
        <f t="shared" si="228"/>
        <v>0.15667996569596179</v>
      </c>
      <c r="AE184" s="80">
        <f t="shared" si="228"/>
        <v>0.18128938439166262</v>
      </c>
      <c r="AF184" s="80">
        <f t="shared" si="228"/>
        <v>0.18128938439166262</v>
      </c>
      <c r="AG184" s="80">
        <f t="shared" si="228"/>
        <v>0.26690033185428241</v>
      </c>
      <c r="AH184" s="80">
        <f t="shared" si="228"/>
        <v>0.28558111786420071</v>
      </c>
      <c r="AI184" s="80">
        <f t="shared" si="228"/>
        <v>0.18102837540549613</v>
      </c>
      <c r="AJ184" s="80">
        <f t="shared" si="228"/>
        <v>0.20921734591148067</v>
      </c>
      <c r="AK184" s="80">
        <f t="shared" si="228"/>
        <v>0.24687721391550768</v>
      </c>
      <c r="AL184" s="80">
        <f t="shared" si="228"/>
        <v>0.16126626645288789</v>
      </c>
      <c r="AM184" s="80">
        <f t="shared" si="228"/>
        <v>0.21397143815951375</v>
      </c>
      <c r="AN184" s="80">
        <f t="shared" si="228"/>
        <v>0.20834110145792165</v>
      </c>
      <c r="AO184" s="80">
        <f t="shared" si="228"/>
        <v>0.14059062604869682</v>
      </c>
      <c r="AP184" s="80">
        <f t="shared" si="228"/>
        <v>0.21266639322868117</v>
      </c>
      <c r="AQ184" s="80">
        <f t="shared" si="228"/>
        <v>0.22318132667138965</v>
      </c>
      <c r="AR184" s="80">
        <f t="shared" si="228"/>
        <v>7.9346731794623204E-2</v>
      </c>
      <c r="AS184" s="80">
        <f t="shared" si="228"/>
        <v>7.4051978075245148E-2</v>
      </c>
      <c r="AT184" s="80">
        <f t="shared" si="228"/>
        <v>7.4872292031768511E-2</v>
      </c>
      <c r="AU184" s="80">
        <f t="shared" si="228"/>
        <v>0</v>
      </c>
      <c r="AV184" s="80">
        <f t="shared" si="228"/>
        <v>0</v>
      </c>
      <c r="AW184" s="80">
        <f t="shared" si="228"/>
        <v>3.7193780528729625E-2</v>
      </c>
      <c r="AX184" s="80">
        <f t="shared" si="228"/>
        <v>0.18216562884522161</v>
      </c>
      <c r="AY184" s="80">
        <f t="shared" si="228"/>
        <v>0.20110742384130653</v>
      </c>
      <c r="AZ184" s="80">
        <f t="shared" si="228"/>
        <v>0.35329430627540176</v>
      </c>
      <c r="BA184" s="80">
        <f t="shared" si="228"/>
        <v>0.39464558708378389</v>
      </c>
      <c r="BB184" s="80">
        <f t="shared" si="228"/>
        <v>0.33851001155896937</v>
      </c>
      <c r="BC184" s="80">
        <f t="shared" si="228"/>
        <v>0.19353816324247736</v>
      </c>
      <c r="BD184" s="80">
        <f t="shared" si="228"/>
        <v>0.12470636489056267</v>
      </c>
      <c r="BE184" s="80">
        <f t="shared" si="228"/>
        <v>0.23201834520302775</v>
      </c>
      <c r="BF184" s="80">
        <f t="shared" si="228"/>
        <v>0.29930273313695516</v>
      </c>
      <c r="BG184" s="80">
        <f t="shared" si="228"/>
        <v>0.41183489317275063</v>
      </c>
      <c r="BH184" s="80">
        <f t="shared" si="228"/>
        <v>0.45314888698310901</v>
      </c>
      <c r="BI184" s="80">
        <f t="shared" si="228"/>
        <v>0.38994742533278653</v>
      </c>
      <c r="BJ184" s="80">
        <f t="shared" si="228"/>
        <v>0.34483015772400161</v>
      </c>
      <c r="BK184" s="80">
        <f t="shared" si="228"/>
        <v>0.17700137961892684</v>
      </c>
      <c r="BL184" s="80">
        <f t="shared" si="228"/>
        <v>4.9610350870651396E-2</v>
      </c>
      <c r="BM184" s="80">
        <f t="shared" si="228"/>
        <v>0</v>
      </c>
      <c r="BN184" s="80">
        <f t="shared" si="228"/>
        <v>0</v>
      </c>
      <c r="BO184" s="80">
        <f t="shared" si="228"/>
        <v>5.6135575524814497E-2</v>
      </c>
      <c r="BP184" s="80">
        <f t="shared" si="228"/>
        <v>5.6135575524814497E-2</v>
      </c>
      <c r="BQ184" s="80">
        <f t="shared" si="228"/>
        <v>0.25498713598568173</v>
      </c>
      <c r="BR184" s="80">
        <f t="shared" si="228"/>
        <v>0.2699392221932212</v>
      </c>
      <c r="BS184" s="80">
        <f t="shared" si="228"/>
        <v>0.36345501323688428</v>
      </c>
      <c r="BT184" s="80">
        <f t="shared" si="228"/>
        <v>0.45715723927066637</v>
      </c>
      <c r="BU184" s="80">
        <f t="shared" si="228"/>
        <v>0.49071553749207658</v>
      </c>
      <c r="BV184" s="80">
        <f t="shared" si="228"/>
        <v>0.35506543868153179</v>
      </c>
      <c r="BW184" s="80">
        <f t="shared" si="228"/>
        <v>0.34011335247399233</v>
      </c>
      <c r="BX184" s="80">
        <f t="shared" si="228"/>
        <v>0.37726984600469821</v>
      </c>
      <c r="BY184" s="80">
        <f t="shared" si="228"/>
        <v>0.3097058055855923</v>
      </c>
      <c r="BZ184" s="80">
        <f t="shared" si="228"/>
        <v>0.32493754427831018</v>
      </c>
      <c r="CA184" s="80">
        <f t="shared" si="228"/>
        <v>0.34033707446213501</v>
      </c>
      <c r="CB184" s="80">
        <f t="shared" si="228"/>
        <v>0.38994742533278653</v>
      </c>
      <c r="CC184" s="80">
        <f t="shared" si="228"/>
        <v>0.25927514075841751</v>
      </c>
      <c r="CD184" s="80">
        <f t="shared" si="228"/>
        <v>0.17700137961892687</v>
      </c>
      <c r="CE184" s="80">
        <f t="shared" si="228"/>
        <v>0.12821134270479884</v>
      </c>
      <c r="CF184" s="80">
        <f t="shared" si="228"/>
        <v>4.9610350870651396E-2</v>
      </c>
      <c r="CG184" s="80">
        <f t="shared" si="228"/>
        <v>0</v>
      </c>
      <c r="CH184" s="80">
        <f t="shared" si="228"/>
        <v>0</v>
      </c>
      <c r="CI184" s="80">
        <f t="shared" si="228"/>
        <v>0</v>
      </c>
      <c r="CJ184" s="80">
        <f t="shared" ref="CJ184:EU184" si="229">IF(CJ$154=0,"",CJ150/CJ$154)</f>
        <v>0</v>
      </c>
      <c r="CK184" s="80">
        <f t="shared" si="229"/>
        <v>0</v>
      </c>
      <c r="CL184" s="80">
        <f t="shared" si="229"/>
        <v>0</v>
      </c>
      <c r="CM184" s="80">
        <f t="shared" si="229"/>
        <v>0</v>
      </c>
      <c r="CN184" s="80">
        <f t="shared" si="229"/>
        <v>0</v>
      </c>
      <c r="CO184" s="80">
        <f t="shared" si="229"/>
        <v>0</v>
      </c>
      <c r="CP184" s="80">
        <f t="shared" si="229"/>
        <v>0</v>
      </c>
      <c r="CQ184" s="80">
        <f t="shared" si="229"/>
        <v>0</v>
      </c>
      <c r="CR184" s="80">
        <f t="shared" si="229"/>
        <v>0</v>
      </c>
      <c r="CS184" s="80">
        <f t="shared" si="229"/>
        <v>0</v>
      </c>
      <c r="CT184" s="80">
        <f t="shared" si="229"/>
        <v>0</v>
      </c>
      <c r="CU184" s="80">
        <f t="shared" si="229"/>
        <v>0</v>
      </c>
      <c r="CV184" s="80">
        <f t="shared" si="229"/>
        <v>0</v>
      </c>
      <c r="CW184" s="80">
        <f t="shared" si="229"/>
        <v>0</v>
      </c>
      <c r="CX184" s="80">
        <f t="shared" si="229"/>
        <v>0</v>
      </c>
      <c r="CY184" s="80">
        <f t="shared" si="229"/>
        <v>0</v>
      </c>
      <c r="CZ184" s="80">
        <f t="shared" si="229"/>
        <v>0</v>
      </c>
      <c r="DA184" s="80">
        <f t="shared" si="229"/>
        <v>0</v>
      </c>
      <c r="DB184" s="80">
        <f t="shared" si="229"/>
        <v>0</v>
      </c>
      <c r="DC184" s="80">
        <f t="shared" si="229"/>
        <v>0</v>
      </c>
      <c r="DD184" s="80">
        <f t="shared" si="229"/>
        <v>0</v>
      </c>
      <c r="DE184" s="80">
        <f t="shared" si="229"/>
        <v>0</v>
      </c>
      <c r="DF184" s="80">
        <f t="shared" si="229"/>
        <v>0</v>
      </c>
      <c r="DG184" s="80">
        <f t="shared" si="229"/>
        <v>0</v>
      </c>
      <c r="DH184" s="80">
        <f t="shared" si="229"/>
        <v>0</v>
      </c>
      <c r="DI184" s="80">
        <f t="shared" si="229"/>
        <v>0</v>
      </c>
      <c r="DJ184" s="80">
        <f t="shared" si="229"/>
        <v>0</v>
      </c>
      <c r="DK184" s="80">
        <f t="shared" si="229"/>
        <v>0</v>
      </c>
      <c r="DL184" s="80">
        <f t="shared" si="229"/>
        <v>0</v>
      </c>
      <c r="DM184" s="80">
        <f t="shared" si="229"/>
        <v>0</v>
      </c>
      <c r="DN184" s="80">
        <f t="shared" si="229"/>
        <v>0</v>
      </c>
      <c r="DO184" s="80">
        <f t="shared" si="229"/>
        <v>0</v>
      </c>
      <c r="DP184" s="80">
        <f t="shared" si="229"/>
        <v>0</v>
      </c>
      <c r="DQ184" s="80">
        <f t="shared" si="229"/>
        <v>0</v>
      </c>
      <c r="DR184" s="80">
        <f t="shared" si="229"/>
        <v>0</v>
      </c>
      <c r="DS184" s="80">
        <f t="shared" si="229"/>
        <v>0</v>
      </c>
      <c r="DT184" s="80">
        <f t="shared" si="229"/>
        <v>0</v>
      </c>
      <c r="DU184" s="80">
        <f t="shared" si="229"/>
        <v>0</v>
      </c>
      <c r="DV184" s="80">
        <f t="shared" si="229"/>
        <v>0</v>
      </c>
      <c r="DW184" s="80">
        <f t="shared" si="229"/>
        <v>0</v>
      </c>
      <c r="DX184" s="80">
        <f t="shared" si="229"/>
        <v>0</v>
      </c>
      <c r="DY184" s="80">
        <f t="shared" si="229"/>
        <v>0</v>
      </c>
      <c r="DZ184" s="80">
        <f t="shared" si="229"/>
        <v>0</v>
      </c>
      <c r="EA184" s="80">
        <f t="shared" si="229"/>
        <v>0</v>
      </c>
      <c r="EB184" s="80">
        <f t="shared" si="229"/>
        <v>0</v>
      </c>
      <c r="EC184" s="80">
        <f t="shared" si="229"/>
        <v>0</v>
      </c>
      <c r="ED184" s="80">
        <f t="shared" si="229"/>
        <v>0</v>
      </c>
      <c r="EE184" s="80">
        <f t="shared" si="229"/>
        <v>0</v>
      </c>
      <c r="EF184" s="80">
        <f t="shared" si="229"/>
        <v>0</v>
      </c>
      <c r="EG184" s="80">
        <f t="shared" si="229"/>
        <v>0</v>
      </c>
      <c r="EH184" s="80">
        <f t="shared" si="229"/>
        <v>0</v>
      </c>
      <c r="EI184" s="80">
        <f t="shared" si="229"/>
        <v>0</v>
      </c>
      <c r="EJ184" s="80">
        <f t="shared" si="229"/>
        <v>0</v>
      </c>
      <c r="EK184" s="80">
        <f t="shared" si="229"/>
        <v>0</v>
      </c>
      <c r="EL184" s="80">
        <f t="shared" si="229"/>
        <v>0</v>
      </c>
      <c r="EM184" s="80">
        <f t="shared" si="229"/>
        <v>0</v>
      </c>
      <c r="EN184" s="80">
        <f t="shared" si="229"/>
        <v>0</v>
      </c>
      <c r="EO184" s="80">
        <f t="shared" si="229"/>
        <v>0</v>
      </c>
      <c r="EP184" s="80">
        <f t="shared" si="229"/>
        <v>0</v>
      </c>
      <c r="EQ184" s="80">
        <f t="shared" si="229"/>
        <v>0</v>
      </c>
      <c r="ER184" s="80">
        <f t="shared" si="229"/>
        <v>0</v>
      </c>
      <c r="ES184" s="80">
        <f t="shared" si="229"/>
        <v>0</v>
      </c>
      <c r="ET184" s="80">
        <f t="shared" si="229"/>
        <v>0</v>
      </c>
      <c r="EU184" s="80">
        <f t="shared" si="229"/>
        <v>0</v>
      </c>
      <c r="EV184" s="80">
        <f t="shared" ref="EV184:GX184" si="230">IF(EV$154=0,"",EV150/EV$154)</f>
        <v>0</v>
      </c>
      <c r="EW184" s="80">
        <f t="shared" si="230"/>
        <v>0</v>
      </c>
      <c r="EX184" s="80">
        <f t="shared" si="230"/>
        <v>0</v>
      </c>
      <c r="EY184" s="80">
        <f t="shared" si="230"/>
        <v>0</v>
      </c>
      <c r="EZ184" s="80">
        <f t="shared" si="230"/>
        <v>0</v>
      </c>
      <c r="FA184" s="80">
        <f t="shared" si="230"/>
        <v>0</v>
      </c>
      <c r="FB184" s="80">
        <f t="shared" si="230"/>
        <v>0</v>
      </c>
      <c r="FC184" s="80">
        <f t="shared" si="230"/>
        <v>0</v>
      </c>
      <c r="FD184" s="80">
        <f t="shared" si="230"/>
        <v>0</v>
      </c>
      <c r="FE184" s="80">
        <f t="shared" si="230"/>
        <v>0</v>
      </c>
      <c r="FF184" s="80">
        <f t="shared" si="230"/>
        <v>0</v>
      </c>
      <c r="FG184" s="80">
        <f t="shared" si="230"/>
        <v>0</v>
      </c>
      <c r="FH184" s="80">
        <f t="shared" si="230"/>
        <v>0</v>
      </c>
      <c r="FI184" s="80">
        <f t="shared" si="230"/>
        <v>0</v>
      </c>
      <c r="FJ184" s="80">
        <f t="shared" si="230"/>
        <v>0</v>
      </c>
      <c r="FK184" s="80">
        <f t="shared" si="230"/>
        <v>0</v>
      </c>
      <c r="FL184" s="80">
        <f t="shared" si="230"/>
        <v>0</v>
      </c>
      <c r="FM184" s="80">
        <f t="shared" si="230"/>
        <v>0</v>
      </c>
      <c r="FN184" s="80">
        <f t="shared" si="230"/>
        <v>0</v>
      </c>
      <c r="FO184" s="80">
        <f t="shared" si="230"/>
        <v>0</v>
      </c>
      <c r="FP184" s="80">
        <f t="shared" si="230"/>
        <v>0</v>
      </c>
      <c r="FQ184" s="80">
        <f t="shared" si="230"/>
        <v>0</v>
      </c>
      <c r="FR184" s="80">
        <f t="shared" si="230"/>
        <v>0</v>
      </c>
      <c r="FS184" s="80">
        <f t="shared" si="230"/>
        <v>0</v>
      </c>
      <c r="FT184" s="80">
        <f t="shared" si="230"/>
        <v>0</v>
      </c>
      <c r="FU184" s="80">
        <f t="shared" si="230"/>
        <v>0</v>
      </c>
      <c r="FV184" s="80">
        <f t="shared" si="230"/>
        <v>0</v>
      </c>
      <c r="FW184" s="80">
        <f t="shared" si="230"/>
        <v>0</v>
      </c>
      <c r="FX184" s="80">
        <f t="shared" si="230"/>
        <v>0</v>
      </c>
      <c r="FY184" s="80">
        <f t="shared" si="230"/>
        <v>0</v>
      </c>
      <c r="FZ184" s="80">
        <f t="shared" si="230"/>
        <v>0</v>
      </c>
      <c r="GA184" s="80">
        <f t="shared" si="230"/>
        <v>0</v>
      </c>
      <c r="GB184" s="80">
        <f t="shared" si="230"/>
        <v>0</v>
      </c>
      <c r="GC184" s="80">
        <f t="shared" si="230"/>
        <v>0</v>
      </c>
      <c r="GD184" s="80">
        <f t="shared" si="230"/>
        <v>0</v>
      </c>
      <c r="GE184" s="80">
        <f t="shared" si="230"/>
        <v>0</v>
      </c>
      <c r="GF184" s="80">
        <f t="shared" si="230"/>
        <v>0</v>
      </c>
      <c r="GG184" s="80">
        <f t="shared" si="230"/>
        <v>0</v>
      </c>
      <c r="GH184" s="80">
        <f t="shared" si="230"/>
        <v>0</v>
      </c>
      <c r="GI184" s="80">
        <f t="shared" si="230"/>
        <v>0</v>
      </c>
      <c r="GJ184" s="80">
        <f t="shared" si="230"/>
        <v>0</v>
      </c>
      <c r="GK184" s="80">
        <f t="shared" si="230"/>
        <v>0</v>
      </c>
      <c r="GL184" s="80">
        <f t="shared" si="230"/>
        <v>0</v>
      </c>
      <c r="GM184" s="80">
        <f t="shared" si="230"/>
        <v>0</v>
      </c>
      <c r="GN184" s="80">
        <f t="shared" si="230"/>
        <v>0</v>
      </c>
      <c r="GO184" s="80">
        <f t="shared" si="230"/>
        <v>0</v>
      </c>
      <c r="GP184" s="80">
        <f t="shared" si="230"/>
        <v>0</v>
      </c>
      <c r="GQ184" s="80">
        <f t="shared" si="230"/>
        <v>0</v>
      </c>
      <c r="GR184" s="80">
        <f t="shared" si="230"/>
        <v>0</v>
      </c>
      <c r="GS184" s="80">
        <f t="shared" si="230"/>
        <v>0</v>
      </c>
      <c r="GT184" s="80">
        <f t="shared" si="230"/>
        <v>0</v>
      </c>
      <c r="GU184" s="80">
        <f t="shared" si="230"/>
        <v>0</v>
      </c>
      <c r="GV184" s="80">
        <f t="shared" si="230"/>
        <v>0</v>
      </c>
      <c r="GW184" s="80">
        <f t="shared" si="230"/>
        <v>0</v>
      </c>
      <c r="GX184" s="80">
        <f t="shared" si="230"/>
        <v>0</v>
      </c>
    </row>
    <row r="185" spans="1:206" x14ac:dyDescent="0.2">
      <c r="A185" s="84">
        <v>4</v>
      </c>
      <c r="B185" s="84" t="s">
        <v>256</v>
      </c>
      <c r="W185" s="80">
        <f>IF(W$154=0,"",W151/W$154)</f>
        <v>0.14918541336746424</v>
      </c>
      <c r="X185" s="80">
        <f t="shared" ref="X185:CI185" si="231">IF(X$154=0,"",X151/X$154)</f>
        <v>5.530269966955545E-2</v>
      </c>
      <c r="Y185" s="80">
        <f t="shared" si="231"/>
        <v>5.530269966955545E-2</v>
      </c>
      <c r="Z185" s="80">
        <f t="shared" si="231"/>
        <v>4.9610350870651403E-2</v>
      </c>
      <c r="AA185" s="80">
        <f t="shared" si="231"/>
        <v>3.7193780528729632E-2</v>
      </c>
      <c r="AB185" s="80">
        <f t="shared" si="231"/>
        <v>3.7193780528729632E-2</v>
      </c>
      <c r="AC185" s="80">
        <f t="shared" si="231"/>
        <v>3.7193780528729632E-2</v>
      </c>
      <c r="AD185" s="80">
        <f t="shared" si="231"/>
        <v>0.16721354263768223</v>
      </c>
      <c r="AE185" s="80">
        <f t="shared" si="231"/>
        <v>0.18216562884522167</v>
      </c>
      <c r="AF185" s="80">
        <f t="shared" si="231"/>
        <v>0.14497184831649201</v>
      </c>
      <c r="AG185" s="80">
        <f t="shared" si="231"/>
        <v>0.14497184831649199</v>
      </c>
      <c r="AH185" s="80">
        <f t="shared" si="231"/>
        <v>0.17651664864461758</v>
      </c>
      <c r="AI185" s="80">
        <f t="shared" si="231"/>
        <v>0.15667996569596185</v>
      </c>
      <c r="AJ185" s="80">
        <f t="shared" si="231"/>
        <v>0.18128938439166262</v>
      </c>
      <c r="AK185" s="80">
        <f t="shared" si="231"/>
        <v>0.18128938439166262</v>
      </c>
      <c r="AL185" s="80">
        <f t="shared" si="231"/>
        <v>0.24795853685819755</v>
      </c>
      <c r="AM185" s="80">
        <f t="shared" si="231"/>
        <v>0.14599724076214621</v>
      </c>
      <c r="AN185" s="80">
        <f t="shared" si="231"/>
        <v>0.11027629665535629</v>
      </c>
      <c r="AO185" s="80">
        <f t="shared" si="231"/>
        <v>0.13846526716134086</v>
      </c>
      <c r="AP185" s="80">
        <f t="shared" si="231"/>
        <v>0.17612513516536785</v>
      </c>
      <c r="AQ185" s="80">
        <f t="shared" si="231"/>
        <v>0.16126626645288786</v>
      </c>
      <c r="AR185" s="80">
        <f t="shared" si="231"/>
        <v>0.16885417055072893</v>
      </c>
      <c r="AS185" s="80">
        <f t="shared" si="231"/>
        <v>6.4226854095976726E-2</v>
      </c>
      <c r="AT185" s="80">
        <f t="shared" si="231"/>
        <v>0</v>
      </c>
      <c r="AU185" s="80">
        <f t="shared" si="231"/>
        <v>0</v>
      </c>
      <c r="AV185" s="80">
        <f t="shared" si="231"/>
        <v>0</v>
      </c>
      <c r="AW185" s="80">
        <f t="shared" si="231"/>
        <v>0</v>
      </c>
      <c r="AX185" s="80">
        <f t="shared" si="231"/>
        <v>0</v>
      </c>
      <c r="AY185" s="80">
        <f t="shared" si="231"/>
        <v>0</v>
      </c>
      <c r="AZ185" s="80">
        <f t="shared" si="231"/>
        <v>0</v>
      </c>
      <c r="BA185" s="80">
        <f t="shared" si="231"/>
        <v>0</v>
      </c>
      <c r="BB185" s="80">
        <f t="shared" si="231"/>
        <v>0</v>
      </c>
      <c r="BC185" s="80">
        <f t="shared" si="231"/>
        <v>0.14497184831649201</v>
      </c>
      <c r="BD185" s="80">
        <f t="shared" si="231"/>
        <v>1.495208620753943E-2</v>
      </c>
      <c r="BE185" s="80">
        <f t="shared" si="231"/>
        <v>8.335508408218055E-2</v>
      </c>
      <c r="BF185" s="80">
        <f t="shared" si="231"/>
        <v>7.0752078750139835E-2</v>
      </c>
      <c r="BG185" s="80">
        <f t="shared" si="231"/>
        <v>0</v>
      </c>
      <c r="BH185" s="80">
        <f t="shared" si="231"/>
        <v>0</v>
      </c>
      <c r="BI185" s="80">
        <f t="shared" si="231"/>
        <v>0</v>
      </c>
      <c r="BJ185" s="80">
        <f t="shared" si="231"/>
        <v>4.5117267608784824E-2</v>
      </c>
      <c r="BK185" s="80">
        <f t="shared" si="231"/>
        <v>8.2273761139490642E-2</v>
      </c>
      <c r="BL185" s="80">
        <f t="shared" si="231"/>
        <v>0.12739102874827546</v>
      </c>
      <c r="BM185" s="80">
        <f t="shared" si="231"/>
        <v>0.12821134270479881</v>
      </c>
      <c r="BN185" s="80">
        <f t="shared" si="231"/>
        <v>4.9610350870651403E-2</v>
      </c>
      <c r="BO185" s="80">
        <f t="shared" si="231"/>
        <v>0</v>
      </c>
      <c r="BP185" s="80">
        <f t="shared" si="231"/>
        <v>0</v>
      </c>
      <c r="BQ185" s="80">
        <f t="shared" si="231"/>
        <v>0</v>
      </c>
      <c r="BR185" s="80">
        <f t="shared" si="231"/>
        <v>0</v>
      </c>
      <c r="BS185" s="80">
        <f t="shared" si="231"/>
        <v>0</v>
      </c>
      <c r="BT185" s="80">
        <f t="shared" si="231"/>
        <v>5.6135575524814497E-2</v>
      </c>
      <c r="BU185" s="80">
        <f t="shared" si="231"/>
        <v>5.6135575524814497E-2</v>
      </c>
      <c r="BV185" s="80">
        <f t="shared" si="231"/>
        <v>0.25498713598568173</v>
      </c>
      <c r="BW185" s="80">
        <f t="shared" si="231"/>
        <v>0.2699392221932212</v>
      </c>
      <c r="BX185" s="80">
        <f t="shared" si="231"/>
        <v>0.36345501323688428</v>
      </c>
      <c r="BY185" s="80">
        <f t="shared" si="231"/>
        <v>0.45715723927066637</v>
      </c>
      <c r="BZ185" s="80">
        <f t="shared" si="231"/>
        <v>0.49071553749207658</v>
      </c>
      <c r="CA185" s="80">
        <f t="shared" si="231"/>
        <v>0.35506543868153179</v>
      </c>
      <c r="CB185" s="80">
        <f t="shared" si="231"/>
        <v>0.34011335247399233</v>
      </c>
      <c r="CC185" s="80">
        <f t="shared" si="231"/>
        <v>0.37726984600469821</v>
      </c>
      <c r="CD185" s="80">
        <f t="shared" si="231"/>
        <v>0.3097058055855923</v>
      </c>
      <c r="CE185" s="80">
        <f t="shared" si="231"/>
        <v>0.32493754427831018</v>
      </c>
      <c r="CF185" s="80">
        <f t="shared" si="231"/>
        <v>0.34033707446213501</v>
      </c>
      <c r="CG185" s="80">
        <f t="shared" si="231"/>
        <v>0.38994742533278653</v>
      </c>
      <c r="CH185" s="80">
        <f t="shared" si="231"/>
        <v>0.25927514075841751</v>
      </c>
      <c r="CI185" s="80">
        <f t="shared" si="231"/>
        <v>0.17700137961892687</v>
      </c>
      <c r="CJ185" s="80">
        <f t="shared" ref="CJ185:EU185" si="232">IF(CJ$154=0,"",CJ151/CJ$154)</f>
        <v>0.12821134270479884</v>
      </c>
      <c r="CK185" s="80">
        <f t="shared" si="232"/>
        <v>4.9610350870651403E-2</v>
      </c>
      <c r="CL185" s="80">
        <f t="shared" si="232"/>
        <v>0</v>
      </c>
      <c r="CM185" s="80">
        <f t="shared" si="232"/>
        <v>0</v>
      </c>
      <c r="CN185" s="80">
        <f t="shared" si="232"/>
        <v>0</v>
      </c>
      <c r="CO185" s="80">
        <f t="shared" si="232"/>
        <v>0</v>
      </c>
      <c r="CP185" s="80">
        <f t="shared" si="232"/>
        <v>0</v>
      </c>
      <c r="CQ185" s="80">
        <f t="shared" si="232"/>
        <v>0</v>
      </c>
      <c r="CR185" s="80">
        <f t="shared" si="232"/>
        <v>0</v>
      </c>
      <c r="CS185" s="80">
        <f t="shared" si="232"/>
        <v>0</v>
      </c>
      <c r="CT185" s="80">
        <f t="shared" si="232"/>
        <v>0</v>
      </c>
      <c r="CU185" s="80">
        <f t="shared" si="232"/>
        <v>0</v>
      </c>
      <c r="CV185" s="80">
        <f t="shared" si="232"/>
        <v>0</v>
      </c>
      <c r="CW185" s="80">
        <f t="shared" si="232"/>
        <v>0</v>
      </c>
      <c r="CX185" s="80">
        <f t="shared" si="232"/>
        <v>0</v>
      </c>
      <c r="CY185" s="80">
        <f t="shared" si="232"/>
        <v>0</v>
      </c>
      <c r="CZ185" s="80">
        <f t="shared" si="232"/>
        <v>0</v>
      </c>
      <c r="DA185" s="80">
        <f t="shared" si="232"/>
        <v>0</v>
      </c>
      <c r="DB185" s="80">
        <f t="shared" si="232"/>
        <v>0</v>
      </c>
      <c r="DC185" s="80">
        <f t="shared" si="232"/>
        <v>0</v>
      </c>
      <c r="DD185" s="80">
        <f t="shared" si="232"/>
        <v>0</v>
      </c>
      <c r="DE185" s="80">
        <f t="shared" si="232"/>
        <v>0</v>
      </c>
      <c r="DF185" s="80">
        <f t="shared" si="232"/>
        <v>0</v>
      </c>
      <c r="DG185" s="80">
        <f t="shared" si="232"/>
        <v>0</v>
      </c>
      <c r="DH185" s="80">
        <f t="shared" si="232"/>
        <v>0</v>
      </c>
      <c r="DI185" s="80">
        <f t="shared" si="232"/>
        <v>0</v>
      </c>
      <c r="DJ185" s="80">
        <f t="shared" si="232"/>
        <v>0</v>
      </c>
      <c r="DK185" s="80">
        <f t="shared" si="232"/>
        <v>0</v>
      </c>
      <c r="DL185" s="80">
        <f t="shared" si="232"/>
        <v>0</v>
      </c>
      <c r="DM185" s="80">
        <f t="shared" si="232"/>
        <v>0</v>
      </c>
      <c r="DN185" s="80">
        <f t="shared" si="232"/>
        <v>0</v>
      </c>
      <c r="DO185" s="80">
        <f t="shared" si="232"/>
        <v>0</v>
      </c>
      <c r="DP185" s="80">
        <f t="shared" si="232"/>
        <v>0</v>
      </c>
      <c r="DQ185" s="80">
        <f t="shared" si="232"/>
        <v>0</v>
      </c>
      <c r="DR185" s="80">
        <f t="shared" si="232"/>
        <v>0</v>
      </c>
      <c r="DS185" s="80">
        <f t="shared" si="232"/>
        <v>0</v>
      </c>
      <c r="DT185" s="80">
        <f t="shared" si="232"/>
        <v>0</v>
      </c>
      <c r="DU185" s="80">
        <f t="shared" si="232"/>
        <v>0</v>
      </c>
      <c r="DV185" s="80">
        <f t="shared" si="232"/>
        <v>0</v>
      </c>
      <c r="DW185" s="80">
        <f t="shared" si="232"/>
        <v>0</v>
      </c>
      <c r="DX185" s="80">
        <f t="shared" si="232"/>
        <v>0</v>
      </c>
      <c r="DY185" s="80">
        <f t="shared" si="232"/>
        <v>0</v>
      </c>
      <c r="DZ185" s="80">
        <f t="shared" si="232"/>
        <v>0</v>
      </c>
      <c r="EA185" s="80">
        <f t="shared" si="232"/>
        <v>0</v>
      </c>
      <c r="EB185" s="80">
        <f t="shared" si="232"/>
        <v>0</v>
      </c>
      <c r="EC185" s="80">
        <f t="shared" si="232"/>
        <v>0</v>
      </c>
      <c r="ED185" s="80">
        <f t="shared" si="232"/>
        <v>0</v>
      </c>
      <c r="EE185" s="80">
        <f t="shared" si="232"/>
        <v>0</v>
      </c>
      <c r="EF185" s="80">
        <f t="shared" si="232"/>
        <v>0</v>
      </c>
      <c r="EG185" s="80">
        <f t="shared" si="232"/>
        <v>0</v>
      </c>
      <c r="EH185" s="80">
        <f t="shared" si="232"/>
        <v>0</v>
      </c>
      <c r="EI185" s="80">
        <f t="shared" si="232"/>
        <v>0</v>
      </c>
      <c r="EJ185" s="80">
        <f t="shared" si="232"/>
        <v>0</v>
      </c>
      <c r="EK185" s="80">
        <f t="shared" si="232"/>
        <v>0</v>
      </c>
      <c r="EL185" s="80">
        <f t="shared" si="232"/>
        <v>0</v>
      </c>
      <c r="EM185" s="80">
        <f t="shared" si="232"/>
        <v>0</v>
      </c>
      <c r="EN185" s="80">
        <f t="shared" si="232"/>
        <v>0</v>
      </c>
      <c r="EO185" s="80">
        <f t="shared" si="232"/>
        <v>0</v>
      </c>
      <c r="EP185" s="80">
        <f t="shared" si="232"/>
        <v>0</v>
      </c>
      <c r="EQ185" s="80">
        <f t="shared" si="232"/>
        <v>0</v>
      </c>
      <c r="ER185" s="80">
        <f t="shared" si="232"/>
        <v>0</v>
      </c>
      <c r="ES185" s="80">
        <f t="shared" si="232"/>
        <v>0</v>
      </c>
      <c r="ET185" s="80">
        <f t="shared" si="232"/>
        <v>0</v>
      </c>
      <c r="EU185" s="80">
        <f t="shared" si="232"/>
        <v>0</v>
      </c>
      <c r="EV185" s="80">
        <f t="shared" ref="EV185:GX185" si="233">IF(EV$154=0,"",EV151/EV$154)</f>
        <v>0</v>
      </c>
      <c r="EW185" s="80">
        <f t="shared" si="233"/>
        <v>0</v>
      </c>
      <c r="EX185" s="80">
        <f t="shared" si="233"/>
        <v>0</v>
      </c>
      <c r="EY185" s="80">
        <f t="shared" si="233"/>
        <v>0</v>
      </c>
      <c r="EZ185" s="80">
        <f t="shared" si="233"/>
        <v>0</v>
      </c>
      <c r="FA185" s="80">
        <f t="shared" si="233"/>
        <v>0</v>
      </c>
      <c r="FB185" s="80">
        <f t="shared" si="233"/>
        <v>0</v>
      </c>
      <c r="FC185" s="80">
        <f t="shared" si="233"/>
        <v>0</v>
      </c>
      <c r="FD185" s="80">
        <f t="shared" si="233"/>
        <v>0</v>
      </c>
      <c r="FE185" s="80">
        <f t="shared" si="233"/>
        <v>0</v>
      </c>
      <c r="FF185" s="80">
        <f t="shared" si="233"/>
        <v>0</v>
      </c>
      <c r="FG185" s="80">
        <f t="shared" si="233"/>
        <v>0</v>
      </c>
      <c r="FH185" s="80">
        <f t="shared" si="233"/>
        <v>0</v>
      </c>
      <c r="FI185" s="80">
        <f t="shared" si="233"/>
        <v>0</v>
      </c>
      <c r="FJ185" s="80">
        <f t="shared" si="233"/>
        <v>0</v>
      </c>
      <c r="FK185" s="80">
        <f t="shared" si="233"/>
        <v>0</v>
      </c>
      <c r="FL185" s="80">
        <f t="shared" si="233"/>
        <v>0</v>
      </c>
      <c r="FM185" s="80">
        <f t="shared" si="233"/>
        <v>0</v>
      </c>
      <c r="FN185" s="80">
        <f t="shared" si="233"/>
        <v>0</v>
      </c>
      <c r="FO185" s="80">
        <f t="shared" si="233"/>
        <v>0</v>
      </c>
      <c r="FP185" s="80">
        <f t="shared" si="233"/>
        <v>0</v>
      </c>
      <c r="FQ185" s="80">
        <f t="shared" si="233"/>
        <v>0</v>
      </c>
      <c r="FR185" s="80">
        <f t="shared" si="233"/>
        <v>0</v>
      </c>
      <c r="FS185" s="80">
        <f t="shared" si="233"/>
        <v>0</v>
      </c>
      <c r="FT185" s="80">
        <f t="shared" si="233"/>
        <v>0</v>
      </c>
      <c r="FU185" s="80">
        <f t="shared" si="233"/>
        <v>0</v>
      </c>
      <c r="FV185" s="80">
        <f t="shared" si="233"/>
        <v>0</v>
      </c>
      <c r="FW185" s="80">
        <f t="shared" si="233"/>
        <v>0</v>
      </c>
      <c r="FX185" s="80">
        <f t="shared" si="233"/>
        <v>0</v>
      </c>
      <c r="FY185" s="80">
        <f t="shared" si="233"/>
        <v>0</v>
      </c>
      <c r="FZ185" s="80">
        <f t="shared" si="233"/>
        <v>0</v>
      </c>
      <c r="GA185" s="80">
        <f t="shared" si="233"/>
        <v>0</v>
      </c>
      <c r="GB185" s="80">
        <f t="shared" si="233"/>
        <v>0</v>
      </c>
      <c r="GC185" s="80">
        <f t="shared" si="233"/>
        <v>0</v>
      </c>
      <c r="GD185" s="80">
        <f t="shared" si="233"/>
        <v>0</v>
      </c>
      <c r="GE185" s="80">
        <f t="shared" si="233"/>
        <v>0</v>
      </c>
      <c r="GF185" s="80">
        <f t="shared" si="233"/>
        <v>0</v>
      </c>
      <c r="GG185" s="80">
        <f t="shared" si="233"/>
        <v>0</v>
      </c>
      <c r="GH185" s="80">
        <f t="shared" si="233"/>
        <v>0</v>
      </c>
      <c r="GI185" s="80">
        <f t="shared" si="233"/>
        <v>0</v>
      </c>
      <c r="GJ185" s="80">
        <f t="shared" si="233"/>
        <v>0</v>
      </c>
      <c r="GK185" s="80">
        <f t="shared" si="233"/>
        <v>0</v>
      </c>
      <c r="GL185" s="80">
        <f t="shared" si="233"/>
        <v>0</v>
      </c>
      <c r="GM185" s="80">
        <f t="shared" si="233"/>
        <v>0</v>
      </c>
      <c r="GN185" s="80">
        <f t="shared" si="233"/>
        <v>0</v>
      </c>
      <c r="GO185" s="80">
        <f t="shared" si="233"/>
        <v>0</v>
      </c>
      <c r="GP185" s="80">
        <f t="shared" si="233"/>
        <v>0</v>
      </c>
      <c r="GQ185" s="80">
        <f t="shared" si="233"/>
        <v>0</v>
      </c>
      <c r="GR185" s="80">
        <f t="shared" si="233"/>
        <v>0</v>
      </c>
      <c r="GS185" s="80">
        <f t="shared" si="233"/>
        <v>0</v>
      </c>
      <c r="GT185" s="80">
        <f t="shared" si="233"/>
        <v>0</v>
      </c>
      <c r="GU185" s="80">
        <f t="shared" si="233"/>
        <v>0</v>
      </c>
      <c r="GV185" s="80">
        <f t="shared" si="233"/>
        <v>0</v>
      </c>
      <c r="GW185" s="80">
        <f t="shared" si="233"/>
        <v>0</v>
      </c>
      <c r="GX185" s="80">
        <f t="shared" si="233"/>
        <v>0</v>
      </c>
    </row>
    <row r="186" spans="1:206" x14ac:dyDescent="0.2">
      <c r="A186" s="84">
        <v>4</v>
      </c>
      <c r="B186" s="84" t="s">
        <v>257</v>
      </c>
      <c r="W186" s="80">
        <f>IF(W$154=0,"",W152/W$154)</f>
        <v>5.6771590342104696E-2</v>
      </c>
      <c r="X186" s="80">
        <f t="shared" ref="X186:CI186" si="234">IF(X$154=0,"",X152/X$154)</f>
        <v>0.14200802211276678</v>
      </c>
      <c r="Y186" s="80">
        <f t="shared" si="234"/>
        <v>8.7619760167923999E-2</v>
      </c>
      <c r="Z186" s="80">
        <f t="shared" si="234"/>
        <v>7.8600991834147427E-2</v>
      </c>
      <c r="AA186" s="80">
        <f t="shared" si="234"/>
        <v>0.12821134270479884</v>
      </c>
      <c r="AB186" s="80">
        <f t="shared" si="234"/>
        <v>0.12821134270479884</v>
      </c>
      <c r="AC186" s="80">
        <f t="shared" si="234"/>
        <v>4.9610350870651403E-2</v>
      </c>
      <c r="AD186" s="80">
        <f t="shared" si="234"/>
        <v>4.9610350870651403E-2</v>
      </c>
      <c r="AE186" s="80">
        <f t="shared" si="234"/>
        <v>4.9610350870651403E-2</v>
      </c>
      <c r="AF186" s="80">
        <f t="shared" si="234"/>
        <v>3.7193780528729632E-2</v>
      </c>
      <c r="AG186" s="80">
        <f t="shared" si="234"/>
        <v>3.7193780528729625E-2</v>
      </c>
      <c r="AH186" s="80">
        <f t="shared" si="234"/>
        <v>3.7193780528729625E-2</v>
      </c>
      <c r="AI186" s="80">
        <f t="shared" si="234"/>
        <v>0.16721354263768226</v>
      </c>
      <c r="AJ186" s="80">
        <f t="shared" si="234"/>
        <v>0.14497184831649201</v>
      </c>
      <c r="AK186" s="80">
        <f t="shared" si="234"/>
        <v>0</v>
      </c>
      <c r="AL186" s="80">
        <f t="shared" si="234"/>
        <v>0</v>
      </c>
      <c r="AM186" s="80">
        <f t="shared" si="234"/>
        <v>0</v>
      </c>
      <c r="AN186" s="80">
        <f t="shared" si="234"/>
        <v>0</v>
      </c>
      <c r="AO186" s="80">
        <f t="shared" si="234"/>
        <v>3.9561504903240237E-2</v>
      </c>
      <c r="AP186" s="80">
        <f t="shared" si="234"/>
        <v>3.9561504903240237E-2</v>
      </c>
      <c r="AQ186" s="80">
        <f t="shared" si="234"/>
        <v>5.4420373615720184E-2</v>
      </c>
      <c r="AR186" s="80">
        <f t="shared" si="234"/>
        <v>0</v>
      </c>
      <c r="AS186" s="80">
        <f t="shared" si="234"/>
        <v>0</v>
      </c>
      <c r="AT186" s="80">
        <f t="shared" si="234"/>
        <v>0</v>
      </c>
      <c r="AU186" s="80">
        <f t="shared" si="234"/>
        <v>0</v>
      </c>
      <c r="AV186" s="80">
        <f t="shared" si="234"/>
        <v>0</v>
      </c>
      <c r="AW186" s="80">
        <f t="shared" si="234"/>
        <v>0</v>
      </c>
      <c r="AX186" s="80">
        <f t="shared" si="234"/>
        <v>0</v>
      </c>
      <c r="AY186" s="80">
        <f t="shared" si="234"/>
        <v>0</v>
      </c>
      <c r="AZ186" s="80">
        <f t="shared" si="234"/>
        <v>0</v>
      </c>
      <c r="BA186" s="80">
        <f t="shared" si="234"/>
        <v>0</v>
      </c>
      <c r="BB186" s="80">
        <f t="shared" si="234"/>
        <v>0</v>
      </c>
      <c r="BC186" s="80">
        <f t="shared" si="234"/>
        <v>0</v>
      </c>
      <c r="BD186" s="80">
        <f t="shared" si="234"/>
        <v>0</v>
      </c>
      <c r="BE186" s="80">
        <f t="shared" si="234"/>
        <v>0</v>
      </c>
      <c r="BF186" s="80">
        <f t="shared" si="234"/>
        <v>0</v>
      </c>
      <c r="BG186" s="80">
        <f t="shared" si="234"/>
        <v>0</v>
      </c>
      <c r="BH186" s="80">
        <f t="shared" si="234"/>
        <v>0</v>
      </c>
      <c r="BI186" s="80">
        <f t="shared" si="234"/>
        <v>0</v>
      </c>
      <c r="BJ186" s="80">
        <f t="shared" si="234"/>
        <v>0</v>
      </c>
      <c r="BK186" s="80">
        <f t="shared" si="234"/>
        <v>0</v>
      </c>
      <c r="BL186" s="80">
        <f t="shared" si="234"/>
        <v>0</v>
      </c>
      <c r="BM186" s="80">
        <f t="shared" si="234"/>
        <v>0</v>
      </c>
      <c r="BN186" s="80">
        <f t="shared" si="234"/>
        <v>0</v>
      </c>
      <c r="BO186" s="80">
        <f t="shared" si="234"/>
        <v>0</v>
      </c>
      <c r="BP186" s="80">
        <f t="shared" si="234"/>
        <v>0</v>
      </c>
      <c r="BQ186" s="80">
        <f t="shared" si="234"/>
        <v>0</v>
      </c>
      <c r="BR186" s="80">
        <f t="shared" si="234"/>
        <v>0</v>
      </c>
      <c r="BS186" s="80">
        <f t="shared" si="234"/>
        <v>0</v>
      </c>
      <c r="BT186" s="80">
        <f t="shared" si="234"/>
        <v>0</v>
      </c>
      <c r="BU186" s="80">
        <f t="shared" si="234"/>
        <v>0</v>
      </c>
      <c r="BV186" s="80">
        <f t="shared" si="234"/>
        <v>0</v>
      </c>
      <c r="BW186" s="80">
        <f t="shared" si="234"/>
        <v>0</v>
      </c>
      <c r="BX186" s="80">
        <f t="shared" si="234"/>
        <v>0</v>
      </c>
      <c r="BY186" s="80">
        <f t="shared" si="234"/>
        <v>5.6135575524814497E-2</v>
      </c>
      <c r="BZ186" s="80">
        <f t="shared" si="234"/>
        <v>5.6135575524814497E-2</v>
      </c>
      <c r="CA186" s="80">
        <f t="shared" si="234"/>
        <v>0.25498713598568173</v>
      </c>
      <c r="CB186" s="80">
        <f t="shared" si="234"/>
        <v>0.2699392221932212</v>
      </c>
      <c r="CC186" s="80">
        <f t="shared" si="234"/>
        <v>0.36345501323688428</v>
      </c>
      <c r="CD186" s="80">
        <f t="shared" si="234"/>
        <v>0.45715723927066637</v>
      </c>
      <c r="CE186" s="80">
        <f t="shared" si="234"/>
        <v>0.49071553749207658</v>
      </c>
      <c r="CF186" s="80">
        <f t="shared" si="234"/>
        <v>0.35506543868153179</v>
      </c>
      <c r="CG186" s="80">
        <f t="shared" si="234"/>
        <v>0.34011335247399233</v>
      </c>
      <c r="CH186" s="80">
        <f t="shared" si="234"/>
        <v>0.37726984600469821</v>
      </c>
      <c r="CI186" s="80">
        <f t="shared" si="234"/>
        <v>0.3097058055855923</v>
      </c>
      <c r="CJ186" s="80">
        <f t="shared" ref="CJ186:EU186" si="235">IF(CJ$154=0,"",CJ152/CJ$154)</f>
        <v>0.32493754427831018</v>
      </c>
      <c r="CK186" s="80">
        <f t="shared" si="235"/>
        <v>0.34033707446213507</v>
      </c>
      <c r="CL186" s="80">
        <f t="shared" si="235"/>
        <v>0.38994742533278653</v>
      </c>
      <c r="CM186" s="80">
        <f t="shared" si="235"/>
        <v>0.25927514075841746</v>
      </c>
      <c r="CN186" s="80">
        <f t="shared" si="235"/>
        <v>0.17700137961892684</v>
      </c>
      <c r="CO186" s="80">
        <f t="shared" si="235"/>
        <v>0.12821134270479881</v>
      </c>
      <c r="CP186" s="80">
        <f t="shared" si="235"/>
        <v>4.9610350870651403E-2</v>
      </c>
      <c r="CQ186" s="80">
        <f t="shared" si="235"/>
        <v>0</v>
      </c>
      <c r="CR186" s="80">
        <f t="shared" si="235"/>
        <v>0</v>
      </c>
      <c r="CS186" s="80">
        <f t="shared" si="235"/>
        <v>0</v>
      </c>
      <c r="CT186" s="80">
        <f t="shared" si="235"/>
        <v>0</v>
      </c>
      <c r="CU186" s="80">
        <f t="shared" si="235"/>
        <v>0</v>
      </c>
      <c r="CV186" s="80">
        <f t="shared" si="235"/>
        <v>0</v>
      </c>
      <c r="CW186" s="80">
        <f t="shared" si="235"/>
        <v>0</v>
      </c>
      <c r="CX186" s="80">
        <f t="shared" si="235"/>
        <v>0</v>
      </c>
      <c r="CY186" s="80">
        <f t="shared" si="235"/>
        <v>0</v>
      </c>
      <c r="CZ186" s="80">
        <f t="shared" si="235"/>
        <v>0</v>
      </c>
      <c r="DA186" s="80">
        <f t="shared" si="235"/>
        <v>0</v>
      </c>
      <c r="DB186" s="80">
        <f t="shared" si="235"/>
        <v>0</v>
      </c>
      <c r="DC186" s="80">
        <f t="shared" si="235"/>
        <v>0</v>
      </c>
      <c r="DD186" s="80">
        <f t="shared" si="235"/>
        <v>0</v>
      </c>
      <c r="DE186" s="80">
        <f t="shared" si="235"/>
        <v>0</v>
      </c>
      <c r="DF186" s="80">
        <f t="shared" si="235"/>
        <v>0</v>
      </c>
      <c r="DG186" s="80">
        <f t="shared" si="235"/>
        <v>0</v>
      </c>
      <c r="DH186" s="80">
        <f t="shared" si="235"/>
        <v>0</v>
      </c>
      <c r="DI186" s="80">
        <f t="shared" si="235"/>
        <v>0</v>
      </c>
      <c r="DJ186" s="80">
        <f t="shared" si="235"/>
        <v>0</v>
      </c>
      <c r="DK186" s="80">
        <f t="shared" si="235"/>
        <v>0</v>
      </c>
      <c r="DL186" s="80">
        <f t="shared" si="235"/>
        <v>0</v>
      </c>
      <c r="DM186" s="80">
        <f t="shared" si="235"/>
        <v>0</v>
      </c>
      <c r="DN186" s="80">
        <f t="shared" si="235"/>
        <v>0</v>
      </c>
      <c r="DO186" s="80">
        <f t="shared" si="235"/>
        <v>0</v>
      </c>
      <c r="DP186" s="80">
        <f t="shared" si="235"/>
        <v>0</v>
      </c>
      <c r="DQ186" s="80">
        <f t="shared" si="235"/>
        <v>0</v>
      </c>
      <c r="DR186" s="80">
        <f t="shared" si="235"/>
        <v>0</v>
      </c>
      <c r="DS186" s="80">
        <f t="shared" si="235"/>
        <v>0</v>
      </c>
      <c r="DT186" s="80">
        <f t="shared" si="235"/>
        <v>0</v>
      </c>
      <c r="DU186" s="80">
        <f t="shared" si="235"/>
        <v>0</v>
      </c>
      <c r="DV186" s="80">
        <f t="shared" si="235"/>
        <v>0</v>
      </c>
      <c r="DW186" s="80">
        <f t="shared" si="235"/>
        <v>0</v>
      </c>
      <c r="DX186" s="80">
        <f t="shared" si="235"/>
        <v>0</v>
      </c>
      <c r="DY186" s="80">
        <f t="shared" si="235"/>
        <v>0</v>
      </c>
      <c r="DZ186" s="80">
        <f t="shared" si="235"/>
        <v>0</v>
      </c>
      <c r="EA186" s="80">
        <f t="shared" si="235"/>
        <v>0</v>
      </c>
      <c r="EB186" s="80">
        <f t="shared" si="235"/>
        <v>0</v>
      </c>
      <c r="EC186" s="80">
        <f t="shared" si="235"/>
        <v>0</v>
      </c>
      <c r="ED186" s="80">
        <f t="shared" si="235"/>
        <v>0</v>
      </c>
      <c r="EE186" s="80">
        <f t="shared" si="235"/>
        <v>0</v>
      </c>
      <c r="EF186" s="80">
        <f t="shared" si="235"/>
        <v>0</v>
      </c>
      <c r="EG186" s="80">
        <f t="shared" si="235"/>
        <v>0</v>
      </c>
      <c r="EH186" s="80">
        <f t="shared" si="235"/>
        <v>0</v>
      </c>
      <c r="EI186" s="80">
        <f t="shared" si="235"/>
        <v>0</v>
      </c>
      <c r="EJ186" s="80">
        <f t="shared" si="235"/>
        <v>0</v>
      </c>
      <c r="EK186" s="80">
        <f t="shared" si="235"/>
        <v>0</v>
      </c>
      <c r="EL186" s="80">
        <f t="shared" si="235"/>
        <v>0</v>
      </c>
      <c r="EM186" s="80">
        <f t="shared" si="235"/>
        <v>0</v>
      </c>
      <c r="EN186" s="80">
        <f t="shared" si="235"/>
        <v>0</v>
      </c>
      <c r="EO186" s="80">
        <f t="shared" si="235"/>
        <v>0</v>
      </c>
      <c r="EP186" s="80">
        <f t="shared" si="235"/>
        <v>0</v>
      </c>
      <c r="EQ186" s="80">
        <f t="shared" si="235"/>
        <v>0</v>
      </c>
      <c r="ER186" s="80">
        <f t="shared" si="235"/>
        <v>0</v>
      </c>
      <c r="ES186" s="80">
        <f t="shared" si="235"/>
        <v>0</v>
      </c>
      <c r="ET186" s="80">
        <f t="shared" si="235"/>
        <v>0</v>
      </c>
      <c r="EU186" s="80">
        <f t="shared" si="235"/>
        <v>0</v>
      </c>
      <c r="EV186" s="80">
        <f t="shared" ref="EV186:GX186" si="236">IF(EV$154=0,"",EV152/EV$154)</f>
        <v>0</v>
      </c>
      <c r="EW186" s="80">
        <f t="shared" si="236"/>
        <v>0</v>
      </c>
      <c r="EX186" s="80">
        <f t="shared" si="236"/>
        <v>0</v>
      </c>
      <c r="EY186" s="80">
        <f t="shared" si="236"/>
        <v>0</v>
      </c>
      <c r="EZ186" s="80">
        <f t="shared" si="236"/>
        <v>0</v>
      </c>
      <c r="FA186" s="80">
        <f t="shared" si="236"/>
        <v>0</v>
      </c>
      <c r="FB186" s="80">
        <f t="shared" si="236"/>
        <v>0</v>
      </c>
      <c r="FC186" s="80">
        <f t="shared" si="236"/>
        <v>0</v>
      </c>
      <c r="FD186" s="80">
        <f t="shared" si="236"/>
        <v>0</v>
      </c>
      <c r="FE186" s="80">
        <f t="shared" si="236"/>
        <v>0</v>
      </c>
      <c r="FF186" s="80">
        <f t="shared" si="236"/>
        <v>0</v>
      </c>
      <c r="FG186" s="80">
        <f t="shared" si="236"/>
        <v>0</v>
      </c>
      <c r="FH186" s="80">
        <f t="shared" si="236"/>
        <v>0</v>
      </c>
      <c r="FI186" s="80">
        <f t="shared" si="236"/>
        <v>0</v>
      </c>
      <c r="FJ186" s="80">
        <f t="shared" si="236"/>
        <v>0</v>
      </c>
      <c r="FK186" s="80">
        <f t="shared" si="236"/>
        <v>0</v>
      </c>
      <c r="FL186" s="80">
        <f t="shared" si="236"/>
        <v>0</v>
      </c>
      <c r="FM186" s="80">
        <f t="shared" si="236"/>
        <v>0</v>
      </c>
      <c r="FN186" s="80">
        <f t="shared" si="236"/>
        <v>0</v>
      </c>
      <c r="FO186" s="80">
        <f t="shared" si="236"/>
        <v>0</v>
      </c>
      <c r="FP186" s="80">
        <f t="shared" si="236"/>
        <v>0</v>
      </c>
      <c r="FQ186" s="80">
        <f t="shared" si="236"/>
        <v>0</v>
      </c>
      <c r="FR186" s="80">
        <f t="shared" si="236"/>
        <v>0</v>
      </c>
      <c r="FS186" s="80">
        <f t="shared" si="236"/>
        <v>0</v>
      </c>
      <c r="FT186" s="80">
        <f t="shared" si="236"/>
        <v>0</v>
      </c>
      <c r="FU186" s="80">
        <f t="shared" si="236"/>
        <v>0</v>
      </c>
      <c r="FV186" s="80">
        <f t="shared" si="236"/>
        <v>0</v>
      </c>
      <c r="FW186" s="80">
        <f t="shared" si="236"/>
        <v>0</v>
      </c>
      <c r="FX186" s="80">
        <f t="shared" si="236"/>
        <v>0</v>
      </c>
      <c r="FY186" s="80">
        <f t="shared" si="236"/>
        <v>0</v>
      </c>
      <c r="FZ186" s="80">
        <f t="shared" si="236"/>
        <v>0</v>
      </c>
      <c r="GA186" s="80">
        <f t="shared" si="236"/>
        <v>0</v>
      </c>
      <c r="GB186" s="80">
        <f t="shared" si="236"/>
        <v>0</v>
      </c>
      <c r="GC186" s="80">
        <f t="shared" si="236"/>
        <v>0</v>
      </c>
      <c r="GD186" s="80">
        <f t="shared" si="236"/>
        <v>0</v>
      </c>
      <c r="GE186" s="80">
        <f t="shared" si="236"/>
        <v>0</v>
      </c>
      <c r="GF186" s="80">
        <f t="shared" si="236"/>
        <v>0</v>
      </c>
      <c r="GG186" s="80">
        <f t="shared" si="236"/>
        <v>0</v>
      </c>
      <c r="GH186" s="80">
        <f t="shared" si="236"/>
        <v>0</v>
      </c>
      <c r="GI186" s="80">
        <f t="shared" si="236"/>
        <v>0</v>
      </c>
      <c r="GJ186" s="80">
        <f t="shared" si="236"/>
        <v>0</v>
      </c>
      <c r="GK186" s="80">
        <f t="shared" si="236"/>
        <v>0</v>
      </c>
      <c r="GL186" s="80">
        <f t="shared" si="236"/>
        <v>0</v>
      </c>
      <c r="GM186" s="80">
        <f t="shared" si="236"/>
        <v>0</v>
      </c>
      <c r="GN186" s="80">
        <f t="shared" si="236"/>
        <v>0</v>
      </c>
      <c r="GO186" s="80">
        <f t="shared" si="236"/>
        <v>0</v>
      </c>
      <c r="GP186" s="80">
        <f t="shared" si="236"/>
        <v>0</v>
      </c>
      <c r="GQ186" s="80">
        <f t="shared" si="236"/>
        <v>0</v>
      </c>
      <c r="GR186" s="80">
        <f t="shared" si="236"/>
        <v>0</v>
      </c>
      <c r="GS186" s="80">
        <f t="shared" si="236"/>
        <v>0</v>
      </c>
      <c r="GT186" s="80">
        <f t="shared" si="236"/>
        <v>0</v>
      </c>
      <c r="GU186" s="80">
        <f t="shared" si="236"/>
        <v>0</v>
      </c>
      <c r="GV186" s="80">
        <f t="shared" si="236"/>
        <v>0</v>
      </c>
      <c r="GW186" s="80">
        <f t="shared" si="236"/>
        <v>0</v>
      </c>
      <c r="GX186" s="80">
        <f t="shared" si="236"/>
        <v>0</v>
      </c>
    </row>
    <row r="187" spans="1:206" x14ac:dyDescent="0.2">
      <c r="A187" s="84">
        <v>4</v>
      </c>
      <c r="B187" s="84" t="s">
        <v>259</v>
      </c>
      <c r="W187" s="80">
        <f>IF(W$154=0,"",W153/W$154)</f>
        <v>9.8292730546456389E-2</v>
      </c>
      <c r="X187" s="80">
        <f t="shared" ref="X187:CI187" si="237">IF(X$154=0,"",X153/X$154)</f>
        <v>9.4166302969844323E-2</v>
      </c>
      <c r="Y187" s="80">
        <f t="shared" si="237"/>
        <v>0.1485545649146871</v>
      </c>
      <c r="Z187" s="80">
        <f t="shared" si="237"/>
        <v>0.13326373093702226</v>
      </c>
      <c r="AA187" s="80">
        <f t="shared" si="237"/>
        <v>0.13326373093702226</v>
      </c>
      <c r="AB187" s="80">
        <f t="shared" si="237"/>
        <v>0.13326373093702226</v>
      </c>
      <c r="AC187" s="80">
        <f t="shared" si="237"/>
        <v>0.12739102874827549</v>
      </c>
      <c r="AD187" s="80">
        <f t="shared" si="237"/>
        <v>0.11687609530556695</v>
      </c>
      <c r="AE187" s="80">
        <f t="shared" si="237"/>
        <v>0.11687609530556695</v>
      </c>
      <c r="AF187" s="80">
        <f t="shared" si="237"/>
        <v>0.12821134270479884</v>
      </c>
      <c r="AG187" s="80">
        <f t="shared" si="237"/>
        <v>0</v>
      </c>
      <c r="AH187" s="80">
        <f t="shared" si="237"/>
        <v>0</v>
      </c>
      <c r="AI187" s="80">
        <f t="shared" si="237"/>
        <v>0</v>
      </c>
      <c r="AJ187" s="80">
        <f t="shared" si="237"/>
        <v>0</v>
      </c>
      <c r="AK187" s="80">
        <f t="shared" si="237"/>
        <v>0</v>
      </c>
      <c r="AL187" s="80">
        <f t="shared" si="237"/>
        <v>0</v>
      </c>
      <c r="AM187" s="80">
        <f t="shared" si="237"/>
        <v>0</v>
      </c>
      <c r="AN187" s="80">
        <f t="shared" si="237"/>
        <v>0</v>
      </c>
      <c r="AO187" s="80">
        <f t="shared" si="237"/>
        <v>0</v>
      </c>
      <c r="AP187" s="80">
        <f t="shared" si="237"/>
        <v>0</v>
      </c>
      <c r="AQ187" s="80">
        <f t="shared" si="237"/>
        <v>0</v>
      </c>
      <c r="AR187" s="80">
        <f t="shared" si="237"/>
        <v>0</v>
      </c>
      <c r="AS187" s="80">
        <f t="shared" si="237"/>
        <v>0</v>
      </c>
      <c r="AT187" s="80">
        <f t="shared" si="237"/>
        <v>0</v>
      </c>
      <c r="AU187" s="80">
        <f t="shared" si="237"/>
        <v>0</v>
      </c>
      <c r="AV187" s="80">
        <f t="shared" si="237"/>
        <v>0</v>
      </c>
      <c r="AW187" s="80">
        <f t="shared" si="237"/>
        <v>0</v>
      </c>
      <c r="AX187" s="80">
        <f t="shared" si="237"/>
        <v>0</v>
      </c>
      <c r="AY187" s="80">
        <f t="shared" si="237"/>
        <v>0</v>
      </c>
      <c r="AZ187" s="80">
        <f t="shared" si="237"/>
        <v>0</v>
      </c>
      <c r="BA187" s="80">
        <f t="shared" si="237"/>
        <v>0</v>
      </c>
      <c r="BB187" s="80">
        <f t="shared" si="237"/>
        <v>0</v>
      </c>
      <c r="BC187" s="80">
        <f t="shared" si="237"/>
        <v>0</v>
      </c>
      <c r="BD187" s="80">
        <f t="shared" si="237"/>
        <v>0</v>
      </c>
      <c r="BE187" s="80">
        <f t="shared" si="237"/>
        <v>0</v>
      </c>
      <c r="BF187" s="80">
        <f t="shared" si="237"/>
        <v>0</v>
      </c>
      <c r="BG187" s="80">
        <f t="shared" si="237"/>
        <v>0</v>
      </c>
      <c r="BH187" s="80">
        <f t="shared" si="237"/>
        <v>0</v>
      </c>
      <c r="BI187" s="80">
        <f t="shared" si="237"/>
        <v>0</v>
      </c>
      <c r="BJ187" s="80">
        <f t="shared" si="237"/>
        <v>0</v>
      </c>
      <c r="BK187" s="80">
        <f t="shared" si="237"/>
        <v>0</v>
      </c>
      <c r="BL187" s="80">
        <f t="shared" si="237"/>
        <v>0</v>
      </c>
      <c r="BM187" s="80">
        <f t="shared" si="237"/>
        <v>0</v>
      </c>
      <c r="BN187" s="80">
        <f t="shared" si="237"/>
        <v>0</v>
      </c>
      <c r="BO187" s="80">
        <f t="shared" si="237"/>
        <v>0</v>
      </c>
      <c r="BP187" s="80">
        <f t="shared" si="237"/>
        <v>0</v>
      </c>
      <c r="BQ187" s="80">
        <f t="shared" si="237"/>
        <v>0</v>
      </c>
      <c r="BR187" s="80">
        <f t="shared" si="237"/>
        <v>0</v>
      </c>
      <c r="BS187" s="80">
        <f t="shared" si="237"/>
        <v>0</v>
      </c>
      <c r="BT187" s="80">
        <f t="shared" si="237"/>
        <v>0</v>
      </c>
      <c r="BU187" s="80">
        <f t="shared" si="237"/>
        <v>0</v>
      </c>
      <c r="BV187" s="80">
        <f t="shared" si="237"/>
        <v>0</v>
      </c>
      <c r="BW187" s="80">
        <f t="shared" si="237"/>
        <v>0</v>
      </c>
      <c r="BX187" s="80">
        <f t="shared" si="237"/>
        <v>0</v>
      </c>
      <c r="BY187" s="80">
        <f t="shared" si="237"/>
        <v>0</v>
      </c>
      <c r="BZ187" s="80">
        <f t="shared" si="237"/>
        <v>0</v>
      </c>
      <c r="CA187" s="80">
        <f t="shared" si="237"/>
        <v>0</v>
      </c>
      <c r="CB187" s="80">
        <f t="shared" si="237"/>
        <v>0</v>
      </c>
      <c r="CC187" s="80">
        <f t="shared" si="237"/>
        <v>0</v>
      </c>
      <c r="CD187" s="80">
        <f t="shared" si="237"/>
        <v>5.6135575524814497E-2</v>
      </c>
      <c r="CE187" s="80">
        <f t="shared" si="237"/>
        <v>5.6135575524814497E-2</v>
      </c>
      <c r="CF187" s="80">
        <f t="shared" si="237"/>
        <v>0.25498713598568173</v>
      </c>
      <c r="CG187" s="80">
        <f t="shared" si="237"/>
        <v>0.2699392221932212</v>
      </c>
      <c r="CH187" s="80">
        <f t="shared" si="237"/>
        <v>0.36345501323688428</v>
      </c>
      <c r="CI187" s="80">
        <f t="shared" si="237"/>
        <v>0.51329281479548083</v>
      </c>
      <c r="CJ187" s="80">
        <f t="shared" ref="CJ187:EU187" si="238">IF(CJ$154=0,"",CJ153/CJ$154)</f>
        <v>0.54685111301689104</v>
      </c>
      <c r="CK187" s="80">
        <f t="shared" si="238"/>
        <v>0.61005257466721352</v>
      </c>
      <c r="CL187" s="80">
        <f t="shared" si="238"/>
        <v>0.61005257466721352</v>
      </c>
      <c r="CM187" s="80">
        <f t="shared" si="238"/>
        <v>0.74072485924158238</v>
      </c>
      <c r="CN187" s="80">
        <f t="shared" si="238"/>
        <v>0.82299862038107308</v>
      </c>
      <c r="CO187" s="80">
        <f t="shared" si="238"/>
        <v>0.87178865729520116</v>
      </c>
      <c r="CP187" s="80">
        <f t="shared" si="238"/>
        <v>0.95038964912934865</v>
      </c>
      <c r="CQ187" s="80">
        <f t="shared" si="238"/>
        <v>1</v>
      </c>
      <c r="CR187" s="80">
        <f t="shared" si="238"/>
        <v>1</v>
      </c>
      <c r="CS187" s="80">
        <f t="shared" si="238"/>
        <v>1</v>
      </c>
      <c r="CT187" s="80">
        <f t="shared" si="238"/>
        <v>1</v>
      </c>
      <c r="CU187" s="80">
        <f t="shared" si="238"/>
        <v>1</v>
      </c>
      <c r="CV187" s="80">
        <f t="shared" si="238"/>
        <v>1</v>
      </c>
      <c r="CW187" s="80">
        <f t="shared" si="238"/>
        <v>1</v>
      </c>
      <c r="CX187" s="80">
        <f t="shared" si="238"/>
        <v>1</v>
      </c>
      <c r="CY187" s="80">
        <f t="shared" si="238"/>
        <v>1</v>
      </c>
      <c r="CZ187" s="80">
        <f t="shared" si="238"/>
        <v>1</v>
      </c>
      <c r="DA187" s="80">
        <f t="shared" si="238"/>
        <v>1</v>
      </c>
      <c r="DB187" s="80">
        <f t="shared" si="238"/>
        <v>1</v>
      </c>
      <c r="DC187" s="80">
        <f t="shared" si="238"/>
        <v>1</v>
      </c>
      <c r="DD187" s="80">
        <f t="shared" si="238"/>
        <v>1</v>
      </c>
      <c r="DE187" s="80">
        <f t="shared" si="238"/>
        <v>1</v>
      </c>
      <c r="DF187" s="80">
        <f t="shared" si="238"/>
        <v>1</v>
      </c>
      <c r="DG187" s="80">
        <f t="shared" si="238"/>
        <v>1</v>
      </c>
      <c r="DH187" s="80">
        <f t="shared" si="238"/>
        <v>1</v>
      </c>
      <c r="DI187" s="80">
        <f t="shared" si="238"/>
        <v>1</v>
      </c>
      <c r="DJ187" s="80">
        <f t="shared" si="238"/>
        <v>1</v>
      </c>
      <c r="DK187" s="80">
        <f t="shared" si="238"/>
        <v>1</v>
      </c>
      <c r="DL187" s="80">
        <f t="shared" si="238"/>
        <v>1</v>
      </c>
      <c r="DM187" s="80">
        <f t="shared" si="238"/>
        <v>1</v>
      </c>
      <c r="DN187" s="80">
        <f t="shared" si="238"/>
        <v>1</v>
      </c>
      <c r="DO187" s="80">
        <f t="shared" si="238"/>
        <v>1</v>
      </c>
      <c r="DP187" s="80">
        <f t="shared" si="238"/>
        <v>1</v>
      </c>
      <c r="DQ187" s="80">
        <f t="shared" si="238"/>
        <v>1</v>
      </c>
      <c r="DR187" s="80">
        <f t="shared" si="238"/>
        <v>1</v>
      </c>
      <c r="DS187" s="80">
        <f t="shared" si="238"/>
        <v>1</v>
      </c>
      <c r="DT187" s="80">
        <f t="shared" si="238"/>
        <v>1</v>
      </c>
      <c r="DU187" s="80">
        <f t="shared" si="238"/>
        <v>1</v>
      </c>
      <c r="DV187" s="80">
        <f t="shared" si="238"/>
        <v>1</v>
      </c>
      <c r="DW187" s="80">
        <f t="shared" si="238"/>
        <v>1</v>
      </c>
      <c r="DX187" s="80">
        <f t="shared" si="238"/>
        <v>1</v>
      </c>
      <c r="DY187" s="80">
        <f t="shared" si="238"/>
        <v>1</v>
      </c>
      <c r="DZ187" s="80">
        <f t="shared" si="238"/>
        <v>1</v>
      </c>
      <c r="EA187" s="80">
        <f t="shared" si="238"/>
        <v>1</v>
      </c>
      <c r="EB187" s="80">
        <f t="shared" si="238"/>
        <v>1</v>
      </c>
      <c r="EC187" s="80">
        <f t="shared" si="238"/>
        <v>1</v>
      </c>
      <c r="ED187" s="80">
        <f t="shared" si="238"/>
        <v>1</v>
      </c>
      <c r="EE187" s="80">
        <f t="shared" si="238"/>
        <v>1</v>
      </c>
      <c r="EF187" s="80">
        <f t="shared" si="238"/>
        <v>1</v>
      </c>
      <c r="EG187" s="80">
        <f t="shared" si="238"/>
        <v>1</v>
      </c>
      <c r="EH187" s="80">
        <f t="shared" si="238"/>
        <v>1</v>
      </c>
      <c r="EI187" s="80">
        <f t="shared" si="238"/>
        <v>1</v>
      </c>
      <c r="EJ187" s="80">
        <f t="shared" si="238"/>
        <v>1</v>
      </c>
      <c r="EK187" s="80">
        <f t="shared" si="238"/>
        <v>1</v>
      </c>
      <c r="EL187" s="80">
        <f t="shared" si="238"/>
        <v>1</v>
      </c>
      <c r="EM187" s="80">
        <f t="shared" si="238"/>
        <v>1</v>
      </c>
      <c r="EN187" s="80">
        <f t="shared" si="238"/>
        <v>1</v>
      </c>
      <c r="EO187" s="80">
        <f t="shared" si="238"/>
        <v>1</v>
      </c>
      <c r="EP187" s="80">
        <f t="shared" si="238"/>
        <v>1</v>
      </c>
      <c r="EQ187" s="80">
        <f t="shared" si="238"/>
        <v>1</v>
      </c>
      <c r="ER187" s="80">
        <f t="shared" si="238"/>
        <v>1</v>
      </c>
      <c r="ES187" s="80">
        <f t="shared" si="238"/>
        <v>1</v>
      </c>
      <c r="ET187" s="80">
        <f t="shared" si="238"/>
        <v>1</v>
      </c>
      <c r="EU187" s="80">
        <f t="shared" si="238"/>
        <v>1</v>
      </c>
      <c r="EV187" s="80">
        <f t="shared" ref="EV187:GX187" si="239">IF(EV$154=0,"",EV153/EV$154)</f>
        <v>1</v>
      </c>
      <c r="EW187" s="80">
        <f t="shared" si="239"/>
        <v>1</v>
      </c>
      <c r="EX187" s="80">
        <f t="shared" si="239"/>
        <v>1</v>
      </c>
      <c r="EY187" s="80">
        <f t="shared" si="239"/>
        <v>1</v>
      </c>
      <c r="EZ187" s="80">
        <f t="shared" si="239"/>
        <v>1</v>
      </c>
      <c r="FA187" s="80">
        <f t="shared" si="239"/>
        <v>1</v>
      </c>
      <c r="FB187" s="80">
        <f t="shared" si="239"/>
        <v>1</v>
      </c>
      <c r="FC187" s="80">
        <f t="shared" si="239"/>
        <v>1</v>
      </c>
      <c r="FD187" s="80">
        <f t="shared" si="239"/>
        <v>1</v>
      </c>
      <c r="FE187" s="80">
        <f t="shared" si="239"/>
        <v>1</v>
      </c>
      <c r="FF187" s="80">
        <f t="shared" si="239"/>
        <v>1</v>
      </c>
      <c r="FG187" s="80">
        <f t="shared" si="239"/>
        <v>1</v>
      </c>
      <c r="FH187" s="80">
        <f t="shared" si="239"/>
        <v>1</v>
      </c>
      <c r="FI187" s="80">
        <f t="shared" si="239"/>
        <v>1</v>
      </c>
      <c r="FJ187" s="80">
        <f t="shared" si="239"/>
        <v>1</v>
      </c>
      <c r="FK187" s="80">
        <f t="shared" si="239"/>
        <v>1</v>
      </c>
      <c r="FL187" s="80">
        <f t="shared" si="239"/>
        <v>1</v>
      </c>
      <c r="FM187" s="80">
        <f t="shared" si="239"/>
        <v>1</v>
      </c>
      <c r="FN187" s="80">
        <f t="shared" si="239"/>
        <v>1</v>
      </c>
      <c r="FO187" s="80">
        <f t="shared" si="239"/>
        <v>1</v>
      </c>
      <c r="FP187" s="80">
        <f t="shared" si="239"/>
        <v>1</v>
      </c>
      <c r="FQ187" s="80">
        <f t="shared" si="239"/>
        <v>1</v>
      </c>
      <c r="FR187" s="80">
        <f t="shared" si="239"/>
        <v>1</v>
      </c>
      <c r="FS187" s="80">
        <f t="shared" si="239"/>
        <v>1</v>
      </c>
      <c r="FT187" s="80">
        <f t="shared" si="239"/>
        <v>1</v>
      </c>
      <c r="FU187" s="80">
        <f t="shared" si="239"/>
        <v>1</v>
      </c>
      <c r="FV187" s="80">
        <f t="shared" si="239"/>
        <v>1</v>
      </c>
      <c r="FW187" s="80">
        <f t="shared" si="239"/>
        <v>1</v>
      </c>
      <c r="FX187" s="80">
        <f t="shared" si="239"/>
        <v>1</v>
      </c>
      <c r="FY187" s="80">
        <f t="shared" si="239"/>
        <v>1</v>
      </c>
      <c r="FZ187" s="80">
        <f t="shared" si="239"/>
        <v>1</v>
      </c>
      <c r="GA187" s="80">
        <f t="shared" si="239"/>
        <v>1</v>
      </c>
      <c r="GB187" s="80">
        <f t="shared" si="239"/>
        <v>1</v>
      </c>
      <c r="GC187" s="80">
        <f t="shared" si="239"/>
        <v>1</v>
      </c>
      <c r="GD187" s="80">
        <f t="shared" si="239"/>
        <v>1</v>
      </c>
      <c r="GE187" s="80">
        <f t="shared" si="239"/>
        <v>1</v>
      </c>
      <c r="GF187" s="80">
        <f t="shared" si="239"/>
        <v>1</v>
      </c>
      <c r="GG187" s="80">
        <f t="shared" si="239"/>
        <v>1</v>
      </c>
      <c r="GH187" s="80">
        <f t="shared" si="239"/>
        <v>1</v>
      </c>
      <c r="GI187" s="80">
        <f t="shared" si="239"/>
        <v>1</v>
      </c>
      <c r="GJ187" s="80">
        <f t="shared" si="239"/>
        <v>1</v>
      </c>
      <c r="GK187" s="80">
        <f t="shared" si="239"/>
        <v>1</v>
      </c>
      <c r="GL187" s="80">
        <f t="shared" si="239"/>
        <v>1</v>
      </c>
      <c r="GM187" s="80">
        <f t="shared" si="239"/>
        <v>1</v>
      </c>
      <c r="GN187" s="80">
        <f t="shared" si="239"/>
        <v>1</v>
      </c>
      <c r="GO187" s="80">
        <f t="shared" si="239"/>
        <v>1</v>
      </c>
      <c r="GP187" s="80">
        <f t="shared" si="239"/>
        <v>1</v>
      </c>
      <c r="GQ187" s="80">
        <f t="shared" si="239"/>
        <v>1</v>
      </c>
      <c r="GR187" s="80">
        <f t="shared" si="239"/>
        <v>1</v>
      </c>
      <c r="GS187" s="80">
        <f t="shared" si="239"/>
        <v>1</v>
      </c>
      <c r="GT187" s="80">
        <f t="shared" si="239"/>
        <v>1</v>
      </c>
      <c r="GU187" s="80">
        <f t="shared" si="239"/>
        <v>1</v>
      </c>
      <c r="GV187" s="80">
        <f t="shared" si="239"/>
        <v>1</v>
      </c>
      <c r="GW187" s="80">
        <f t="shared" si="239"/>
        <v>1</v>
      </c>
      <c r="GX187" s="80">
        <f t="shared" si="239"/>
        <v>1</v>
      </c>
    </row>
    <row r="188" spans="1:206" s="99" customFormat="1" x14ac:dyDescent="0.2">
      <c r="A188" s="98"/>
      <c r="B188" s="98"/>
      <c r="W188" s="100"/>
      <c r="X188" s="100"/>
      <c r="Y188" s="100"/>
      <c r="Z188" s="100"/>
      <c r="AA188" s="100"/>
      <c r="AB188" s="100"/>
      <c r="AC188" s="100"/>
      <c r="AD188" s="100"/>
      <c r="AE188" s="100"/>
      <c r="AF188" s="100"/>
      <c r="AG188" s="100"/>
      <c r="AH188" s="100"/>
      <c r="AI188" s="100"/>
      <c r="AJ188" s="100"/>
      <c r="AK188" s="100"/>
      <c r="AL188" s="100"/>
      <c r="AM188" s="100"/>
      <c r="AN188" s="100"/>
      <c r="AO188" s="100"/>
      <c r="AP188" s="100"/>
      <c r="AQ188" s="100"/>
      <c r="AR188" s="100"/>
      <c r="AS188" s="100"/>
      <c r="AT188" s="100"/>
      <c r="AU188" s="100"/>
      <c r="AV188" s="100"/>
      <c r="AW188" s="100"/>
      <c r="AX188" s="100"/>
      <c r="AY188" s="100"/>
      <c r="AZ188" s="100"/>
      <c r="BA188" s="100"/>
      <c r="BB188" s="100"/>
      <c r="BC188" s="100"/>
      <c r="BD188" s="100"/>
      <c r="BE188" s="100"/>
      <c r="BF188" s="100"/>
      <c r="BG188" s="100"/>
      <c r="BH188" s="100"/>
      <c r="BI188" s="100"/>
      <c r="BJ188" s="100"/>
      <c r="BK188" s="100"/>
      <c r="BL188" s="100"/>
      <c r="BM188" s="100"/>
      <c r="BN188" s="100"/>
      <c r="BO188" s="100"/>
      <c r="BP188" s="100"/>
      <c r="BQ188" s="100"/>
      <c r="BR188" s="100"/>
      <c r="BS188" s="100"/>
      <c r="BT188" s="100"/>
      <c r="BU188" s="100"/>
      <c r="BV188" s="100"/>
      <c r="BW188" s="100"/>
      <c r="BX188" s="100"/>
      <c r="BY188" s="100"/>
      <c r="BZ188" s="100"/>
      <c r="CA188" s="100"/>
      <c r="CB188" s="100"/>
      <c r="CC188" s="100"/>
      <c r="CD188" s="100"/>
      <c r="CE188" s="100"/>
      <c r="CF188" s="100"/>
      <c r="CG188" s="100"/>
      <c r="CH188" s="100"/>
      <c r="CI188" s="100"/>
      <c r="CJ188" s="100"/>
      <c r="CK188" s="100"/>
      <c r="CL188" s="100"/>
      <c r="CM188" s="100"/>
      <c r="CN188" s="100"/>
      <c r="CO188" s="100"/>
      <c r="CP188" s="100"/>
      <c r="CQ188" s="100"/>
      <c r="CR188" s="100"/>
      <c r="CS188" s="100"/>
      <c r="CT188" s="100"/>
      <c r="CU188" s="100"/>
      <c r="CV188" s="100"/>
      <c r="CW188" s="100"/>
      <c r="CX188" s="100"/>
      <c r="CY188" s="100"/>
      <c r="CZ188" s="100"/>
      <c r="DA188" s="100"/>
      <c r="DB188" s="100"/>
      <c r="DC188" s="100"/>
      <c r="DD188" s="100"/>
      <c r="DE188" s="100"/>
      <c r="DF188" s="100"/>
      <c r="DG188" s="100"/>
      <c r="DH188" s="100"/>
      <c r="DI188" s="100"/>
      <c r="DJ188" s="100"/>
      <c r="DK188" s="100"/>
      <c r="DL188" s="100"/>
      <c r="DM188" s="100"/>
      <c r="DN188" s="100"/>
      <c r="DO188" s="100"/>
      <c r="DP188" s="100"/>
      <c r="DQ188" s="100"/>
      <c r="DR188" s="100"/>
      <c r="DS188" s="100"/>
      <c r="DT188" s="100"/>
      <c r="DU188" s="100"/>
      <c r="DV188" s="100"/>
      <c r="DW188" s="100"/>
      <c r="DX188" s="100"/>
      <c r="DY188" s="100"/>
      <c r="DZ188" s="100"/>
      <c r="EA188" s="100"/>
      <c r="EB188" s="100"/>
      <c r="EC188" s="100"/>
      <c r="ED188" s="100"/>
      <c r="EE188" s="100"/>
      <c r="EF188" s="100"/>
      <c r="EG188" s="100"/>
      <c r="EH188" s="100"/>
      <c r="EI188" s="100"/>
      <c r="EJ188" s="100"/>
      <c r="EK188" s="100"/>
      <c r="EL188" s="100"/>
      <c r="EM188" s="100"/>
      <c r="EN188" s="100"/>
      <c r="EO188" s="100"/>
      <c r="EP188" s="100"/>
      <c r="EQ188" s="100"/>
      <c r="ER188" s="100"/>
      <c r="ES188" s="100"/>
      <c r="ET188" s="100"/>
      <c r="EU188" s="100"/>
      <c r="EV188" s="100"/>
      <c r="EW188" s="100"/>
      <c r="EX188" s="100"/>
      <c r="EY188" s="100"/>
      <c r="EZ188" s="100"/>
      <c r="FA188" s="100"/>
      <c r="FB188" s="100"/>
      <c r="FC188" s="100"/>
      <c r="FD188" s="100"/>
      <c r="FE188" s="100"/>
      <c r="FF188" s="100"/>
      <c r="FG188" s="100"/>
      <c r="FH188" s="100"/>
      <c r="FI188" s="100"/>
      <c r="FJ188" s="100"/>
      <c r="FK188" s="100"/>
      <c r="FL188" s="100"/>
      <c r="FM188" s="100"/>
      <c r="FN188" s="100"/>
      <c r="FO188" s="100"/>
      <c r="FP188" s="100"/>
      <c r="FQ188" s="100"/>
      <c r="FR188" s="100"/>
      <c r="FS188" s="100"/>
      <c r="FT188" s="100"/>
      <c r="FU188" s="100"/>
      <c r="FV188" s="100"/>
      <c r="FW188" s="100"/>
      <c r="FX188" s="100"/>
      <c r="FY188" s="100"/>
      <c r="FZ188" s="100"/>
      <c r="GA188" s="100"/>
      <c r="GB188" s="100"/>
      <c r="GC188" s="100"/>
      <c r="GD188" s="100"/>
      <c r="GE188" s="100"/>
      <c r="GF188" s="100"/>
      <c r="GG188" s="100"/>
      <c r="GH188" s="100"/>
      <c r="GI188" s="100"/>
      <c r="GJ188" s="100"/>
      <c r="GK188" s="100"/>
      <c r="GL188" s="100"/>
      <c r="GM188" s="100"/>
      <c r="GN188" s="100"/>
      <c r="GO188" s="100"/>
      <c r="GP188" s="100"/>
      <c r="GQ188" s="100"/>
      <c r="GR188" s="100"/>
      <c r="GS188" s="100"/>
      <c r="GT188" s="100"/>
      <c r="GU188" s="100"/>
      <c r="GV188" s="100"/>
      <c r="GW188" s="100"/>
      <c r="GX188" s="100"/>
    </row>
    <row r="189" spans="1:206" x14ac:dyDescent="0.2">
      <c r="A189" s="84">
        <v>5</v>
      </c>
      <c r="B189" s="84" t="s">
        <v>11</v>
      </c>
      <c r="W189" s="80">
        <f>IF(W$160=0,"",W155/W$160)</f>
        <v>0</v>
      </c>
      <c r="X189" s="80">
        <f t="shared" ref="X189:CI189" si="240">IF(X$160=0,"",X155/X$160)</f>
        <v>0</v>
      </c>
      <c r="Y189" s="80">
        <f t="shared" si="240"/>
        <v>0.10160427807486631</v>
      </c>
      <c r="Z189" s="80">
        <f t="shared" si="240"/>
        <v>0.10160427807486631</v>
      </c>
      <c r="AA189" s="80">
        <f t="shared" si="240"/>
        <v>0.10160427807486631</v>
      </c>
      <c r="AB189" s="80">
        <f t="shared" si="240"/>
        <v>0.19251336898395721</v>
      </c>
      <c r="AC189" s="80">
        <f t="shared" si="240"/>
        <v>0.19251336898395721</v>
      </c>
      <c r="AD189" s="80">
        <f t="shared" si="240"/>
        <v>0.19251336898395721</v>
      </c>
      <c r="AE189" s="80">
        <f t="shared" si="240"/>
        <v>0.25133689839572193</v>
      </c>
      <c r="AF189" s="80">
        <f t="shared" si="240"/>
        <v>0.25133689839572193</v>
      </c>
      <c r="AG189" s="80">
        <f t="shared" si="240"/>
        <v>0.31016042780748665</v>
      </c>
      <c r="AH189" s="80">
        <f t="shared" si="240"/>
        <v>0.39572192513368987</v>
      </c>
      <c r="AI189" s="80">
        <f t="shared" si="240"/>
        <v>0.43315508021390375</v>
      </c>
      <c r="AJ189" s="80">
        <f t="shared" si="240"/>
        <v>0.49197860962566847</v>
      </c>
      <c r="AK189" s="80">
        <f t="shared" si="240"/>
        <v>0.55080213903743314</v>
      </c>
      <c r="AL189" s="80">
        <f t="shared" si="240"/>
        <v>0.44919786096256686</v>
      </c>
      <c r="AM189" s="80">
        <f t="shared" si="240"/>
        <v>0.44919786096256686</v>
      </c>
      <c r="AN189" s="80">
        <f t="shared" si="240"/>
        <v>0.44919786096256686</v>
      </c>
      <c r="AO189" s="80">
        <f t="shared" si="240"/>
        <v>0.35828877005347592</v>
      </c>
      <c r="AP189" s="80">
        <f t="shared" si="240"/>
        <v>0.35828877005347592</v>
      </c>
      <c r="AQ189" s="80">
        <f t="shared" si="240"/>
        <v>0.35828877005347592</v>
      </c>
      <c r="AR189" s="80">
        <f t="shared" si="240"/>
        <v>0.29946524064171121</v>
      </c>
      <c r="AS189" s="80">
        <f t="shared" si="240"/>
        <v>0.29946524064171121</v>
      </c>
      <c r="AT189" s="80">
        <f t="shared" si="240"/>
        <v>0.24064171122994651</v>
      </c>
      <c r="AU189" s="80">
        <f t="shared" si="240"/>
        <v>0.15508021390374332</v>
      </c>
      <c r="AV189" s="80">
        <f t="shared" si="240"/>
        <v>0.11764705882352941</v>
      </c>
      <c r="AW189" s="80">
        <f t="shared" si="240"/>
        <v>0.50802139037433158</v>
      </c>
      <c r="AX189" s="80">
        <f t="shared" si="240"/>
        <v>0.44919786096256686</v>
      </c>
      <c r="AY189" s="80">
        <f t="shared" si="240"/>
        <v>0.44919786096256686</v>
      </c>
      <c r="AZ189" s="80">
        <f t="shared" si="240"/>
        <v>0.74331550802139035</v>
      </c>
      <c r="BA189" s="80">
        <f t="shared" si="240"/>
        <v>1</v>
      </c>
      <c r="BB189" s="80">
        <f t="shared" si="240"/>
        <v>1</v>
      </c>
      <c r="BC189" s="80">
        <f t="shared" si="240"/>
        <v>1</v>
      </c>
      <c r="BD189" s="80">
        <f t="shared" si="240"/>
        <v>1</v>
      </c>
      <c r="BE189" s="80">
        <f t="shared" si="240"/>
        <v>1</v>
      </c>
      <c r="BF189" s="80">
        <f t="shared" si="240"/>
        <v>1</v>
      </c>
      <c r="BG189" s="80">
        <f t="shared" si="240"/>
        <v>1</v>
      </c>
      <c r="BH189" s="80">
        <f t="shared" si="240"/>
        <v>1</v>
      </c>
      <c r="BI189" s="80">
        <f t="shared" si="240"/>
        <v>1</v>
      </c>
      <c r="BJ189" s="80">
        <f t="shared" si="240"/>
        <v>0.55080213903743314</v>
      </c>
      <c r="BK189" s="80">
        <f t="shared" si="240"/>
        <v>0.55080213903743314</v>
      </c>
      <c r="BL189" s="80">
        <f t="shared" si="240"/>
        <v>0.58288770053475936</v>
      </c>
      <c r="BM189" s="80">
        <f t="shared" si="240"/>
        <v>0.52941176470588236</v>
      </c>
      <c r="BN189" s="80">
        <f t="shared" si="240"/>
        <v>0.27272727272727271</v>
      </c>
      <c r="BO189" s="80">
        <f t="shared" si="240"/>
        <v>0.44919786096256686</v>
      </c>
      <c r="BP189" s="80">
        <f t="shared" si="240"/>
        <v>0.44919786096256686</v>
      </c>
      <c r="BQ189" s="80">
        <f t="shared" si="240"/>
        <v>0.44919786096256686</v>
      </c>
      <c r="BR189" s="80">
        <f t="shared" si="240"/>
        <v>0.44919786096256686</v>
      </c>
      <c r="BS189" s="80">
        <f t="shared" si="240"/>
        <v>0.44919786096256686</v>
      </c>
      <c r="BT189" s="80">
        <f t="shared" si="240"/>
        <v>0.44919786096256686</v>
      </c>
      <c r="BU189" s="80">
        <f t="shared" si="240"/>
        <v>0.44919786096256686</v>
      </c>
      <c r="BV189" s="80">
        <f t="shared" si="240"/>
        <v>0.44919786096256686</v>
      </c>
      <c r="BW189" s="80">
        <f t="shared" si="240"/>
        <v>0.44919786096256686</v>
      </c>
      <c r="BX189" s="80">
        <f t="shared" si="240"/>
        <v>0.44919786096256686</v>
      </c>
      <c r="BY189" s="80">
        <f t="shared" si="240"/>
        <v>0.41711229946524064</v>
      </c>
      <c r="BZ189" s="80">
        <f t="shared" si="240"/>
        <v>0.17647058823529413</v>
      </c>
      <c r="CA189" s="80">
        <f t="shared" si="240"/>
        <v>0.17647058823529413</v>
      </c>
      <c r="CB189" s="80">
        <f t="shared" si="240"/>
        <v>0</v>
      </c>
      <c r="CC189" s="80">
        <f t="shared" si="240"/>
        <v>0</v>
      </c>
      <c r="CD189" s="80">
        <f t="shared" si="240"/>
        <v>0</v>
      </c>
      <c r="CE189" s="80">
        <f t="shared" si="240"/>
        <v>0</v>
      </c>
      <c r="CF189" s="80">
        <f t="shared" si="240"/>
        <v>0</v>
      </c>
      <c r="CG189" s="80">
        <f t="shared" si="240"/>
        <v>0</v>
      </c>
      <c r="CH189" s="80">
        <f t="shared" si="240"/>
        <v>0</v>
      </c>
      <c r="CI189" s="80">
        <f t="shared" si="240"/>
        <v>0</v>
      </c>
      <c r="CJ189" s="80">
        <f t="shared" ref="CJ189:EU189" si="241">IF(CJ$160=0,"",CJ155/CJ$160)</f>
        <v>0</v>
      </c>
      <c r="CK189" s="80">
        <f t="shared" si="241"/>
        <v>0</v>
      </c>
      <c r="CL189" s="80">
        <f t="shared" si="241"/>
        <v>0</v>
      </c>
      <c r="CM189" s="80">
        <f t="shared" si="241"/>
        <v>0</v>
      </c>
      <c r="CN189" s="80">
        <f t="shared" si="241"/>
        <v>0</v>
      </c>
      <c r="CO189" s="80">
        <f t="shared" si="241"/>
        <v>0</v>
      </c>
      <c r="CP189" s="80">
        <f t="shared" si="241"/>
        <v>0</v>
      </c>
      <c r="CQ189" s="80">
        <f t="shared" si="241"/>
        <v>0</v>
      </c>
      <c r="CR189" s="80">
        <f t="shared" si="241"/>
        <v>0</v>
      </c>
      <c r="CS189" s="80">
        <f t="shared" si="241"/>
        <v>0</v>
      </c>
      <c r="CT189" s="80">
        <f t="shared" si="241"/>
        <v>0</v>
      </c>
      <c r="CU189" s="80">
        <f t="shared" si="241"/>
        <v>0</v>
      </c>
      <c r="CV189" s="80">
        <f t="shared" si="241"/>
        <v>0</v>
      </c>
      <c r="CW189" s="80">
        <f t="shared" si="241"/>
        <v>0</v>
      </c>
      <c r="CX189" s="80">
        <f t="shared" si="241"/>
        <v>0</v>
      </c>
      <c r="CY189" s="80">
        <f t="shared" si="241"/>
        <v>0</v>
      </c>
      <c r="CZ189" s="80">
        <f t="shared" si="241"/>
        <v>0</v>
      </c>
      <c r="DA189" s="80">
        <f t="shared" si="241"/>
        <v>0</v>
      </c>
      <c r="DB189" s="80">
        <f t="shared" si="241"/>
        <v>0</v>
      </c>
      <c r="DC189" s="80">
        <f t="shared" si="241"/>
        <v>0</v>
      </c>
      <c r="DD189" s="80">
        <f t="shared" si="241"/>
        <v>0</v>
      </c>
      <c r="DE189" s="80">
        <f t="shared" si="241"/>
        <v>0</v>
      </c>
      <c r="DF189" s="80">
        <f t="shared" si="241"/>
        <v>0</v>
      </c>
      <c r="DG189" s="80">
        <f t="shared" si="241"/>
        <v>0</v>
      </c>
      <c r="DH189" s="80">
        <f t="shared" si="241"/>
        <v>0</v>
      </c>
      <c r="DI189" s="80">
        <f t="shared" si="241"/>
        <v>0</v>
      </c>
      <c r="DJ189" s="80">
        <f t="shared" si="241"/>
        <v>0</v>
      </c>
      <c r="DK189" s="80">
        <f t="shared" si="241"/>
        <v>0</v>
      </c>
      <c r="DL189" s="80">
        <f t="shared" si="241"/>
        <v>0</v>
      </c>
      <c r="DM189" s="80">
        <f t="shared" si="241"/>
        <v>0</v>
      </c>
      <c r="DN189" s="80">
        <f t="shared" si="241"/>
        <v>0</v>
      </c>
      <c r="DO189" s="80">
        <f t="shared" si="241"/>
        <v>0</v>
      </c>
      <c r="DP189" s="80">
        <f t="shared" si="241"/>
        <v>0</v>
      </c>
      <c r="DQ189" s="80">
        <f t="shared" si="241"/>
        <v>0</v>
      </c>
      <c r="DR189" s="80">
        <f t="shared" si="241"/>
        <v>0</v>
      </c>
      <c r="DS189" s="80">
        <f t="shared" si="241"/>
        <v>0</v>
      </c>
      <c r="DT189" s="80">
        <f t="shared" si="241"/>
        <v>0</v>
      </c>
      <c r="DU189" s="80">
        <f t="shared" si="241"/>
        <v>0</v>
      </c>
      <c r="DV189" s="80">
        <f t="shared" si="241"/>
        <v>0</v>
      </c>
      <c r="DW189" s="80">
        <f t="shared" si="241"/>
        <v>0</v>
      </c>
      <c r="DX189" s="80">
        <f t="shared" si="241"/>
        <v>0</v>
      </c>
      <c r="DY189" s="80">
        <f t="shared" si="241"/>
        <v>0</v>
      </c>
      <c r="DZ189" s="80">
        <f t="shared" si="241"/>
        <v>0</v>
      </c>
      <c r="EA189" s="80">
        <f t="shared" si="241"/>
        <v>0</v>
      </c>
      <c r="EB189" s="80">
        <f t="shared" si="241"/>
        <v>0</v>
      </c>
      <c r="EC189" s="80">
        <f t="shared" si="241"/>
        <v>0</v>
      </c>
      <c r="ED189" s="80">
        <f t="shared" si="241"/>
        <v>0</v>
      </c>
      <c r="EE189" s="80">
        <f t="shared" si="241"/>
        <v>0</v>
      </c>
      <c r="EF189" s="80">
        <f t="shared" si="241"/>
        <v>0</v>
      </c>
      <c r="EG189" s="80">
        <f t="shared" si="241"/>
        <v>0</v>
      </c>
      <c r="EH189" s="80">
        <f t="shared" si="241"/>
        <v>0</v>
      </c>
      <c r="EI189" s="80">
        <f t="shared" si="241"/>
        <v>0</v>
      </c>
      <c r="EJ189" s="80">
        <f t="shared" si="241"/>
        <v>0</v>
      </c>
      <c r="EK189" s="80">
        <f t="shared" si="241"/>
        <v>0</v>
      </c>
      <c r="EL189" s="80">
        <f t="shared" si="241"/>
        <v>0</v>
      </c>
      <c r="EM189" s="80">
        <f t="shared" si="241"/>
        <v>0</v>
      </c>
      <c r="EN189" s="80">
        <f t="shared" si="241"/>
        <v>0</v>
      </c>
      <c r="EO189" s="80">
        <f t="shared" si="241"/>
        <v>0</v>
      </c>
      <c r="EP189" s="80">
        <f t="shared" si="241"/>
        <v>0</v>
      </c>
      <c r="EQ189" s="80">
        <f t="shared" si="241"/>
        <v>0</v>
      </c>
      <c r="ER189" s="80">
        <f t="shared" si="241"/>
        <v>0</v>
      </c>
      <c r="ES189" s="80">
        <f t="shared" si="241"/>
        <v>0</v>
      </c>
      <c r="ET189" s="80">
        <f t="shared" si="241"/>
        <v>0</v>
      </c>
      <c r="EU189" s="80">
        <f t="shared" si="241"/>
        <v>0</v>
      </c>
      <c r="EV189" s="80">
        <f t="shared" ref="EV189:GX189" si="242">IF(EV$160=0,"",EV155/EV$160)</f>
        <v>0</v>
      </c>
      <c r="EW189" s="80">
        <f t="shared" si="242"/>
        <v>0</v>
      </c>
      <c r="EX189" s="80">
        <f t="shared" si="242"/>
        <v>0</v>
      </c>
      <c r="EY189" s="80">
        <f t="shared" si="242"/>
        <v>0</v>
      </c>
      <c r="EZ189" s="80">
        <f t="shared" si="242"/>
        <v>0</v>
      </c>
      <c r="FA189" s="80">
        <f t="shared" si="242"/>
        <v>0</v>
      </c>
      <c r="FB189" s="80">
        <f t="shared" si="242"/>
        <v>0</v>
      </c>
      <c r="FC189" s="80">
        <f t="shared" si="242"/>
        <v>0</v>
      </c>
      <c r="FD189" s="80">
        <f t="shared" si="242"/>
        <v>0</v>
      </c>
      <c r="FE189" s="80">
        <f t="shared" si="242"/>
        <v>0</v>
      </c>
      <c r="FF189" s="80">
        <f t="shared" si="242"/>
        <v>0</v>
      </c>
      <c r="FG189" s="80">
        <f t="shared" si="242"/>
        <v>0</v>
      </c>
      <c r="FH189" s="80">
        <f t="shared" si="242"/>
        <v>0</v>
      </c>
      <c r="FI189" s="80">
        <f t="shared" si="242"/>
        <v>0</v>
      </c>
      <c r="FJ189" s="80">
        <f t="shared" si="242"/>
        <v>0</v>
      </c>
      <c r="FK189" s="80">
        <f t="shared" si="242"/>
        <v>0</v>
      </c>
      <c r="FL189" s="80">
        <f t="shared" si="242"/>
        <v>0</v>
      </c>
      <c r="FM189" s="80">
        <f t="shared" si="242"/>
        <v>0</v>
      </c>
      <c r="FN189" s="80">
        <f t="shared" si="242"/>
        <v>0</v>
      </c>
      <c r="FO189" s="80">
        <f t="shared" si="242"/>
        <v>0</v>
      </c>
      <c r="FP189" s="80">
        <f t="shared" si="242"/>
        <v>0</v>
      </c>
      <c r="FQ189" s="80">
        <f t="shared" si="242"/>
        <v>0</v>
      </c>
      <c r="FR189" s="80">
        <f t="shared" si="242"/>
        <v>0</v>
      </c>
      <c r="FS189" s="80">
        <f t="shared" si="242"/>
        <v>0</v>
      </c>
      <c r="FT189" s="80">
        <f t="shared" si="242"/>
        <v>0</v>
      </c>
      <c r="FU189" s="80">
        <f t="shared" si="242"/>
        <v>0</v>
      </c>
      <c r="FV189" s="80">
        <f t="shared" si="242"/>
        <v>0</v>
      </c>
      <c r="FW189" s="80">
        <f t="shared" si="242"/>
        <v>0</v>
      </c>
      <c r="FX189" s="80">
        <f t="shared" si="242"/>
        <v>0</v>
      </c>
      <c r="FY189" s="80">
        <f t="shared" si="242"/>
        <v>0</v>
      </c>
      <c r="FZ189" s="80">
        <f t="shared" si="242"/>
        <v>0</v>
      </c>
      <c r="GA189" s="80">
        <f t="shared" si="242"/>
        <v>0</v>
      </c>
      <c r="GB189" s="80">
        <f t="shared" si="242"/>
        <v>0</v>
      </c>
      <c r="GC189" s="80">
        <f t="shared" si="242"/>
        <v>0</v>
      </c>
      <c r="GD189" s="80">
        <f t="shared" si="242"/>
        <v>0</v>
      </c>
      <c r="GE189" s="80">
        <f t="shared" si="242"/>
        <v>0</v>
      </c>
      <c r="GF189" s="80">
        <f t="shared" si="242"/>
        <v>0</v>
      </c>
      <c r="GG189" s="80">
        <f t="shared" si="242"/>
        <v>0</v>
      </c>
      <c r="GH189" s="80">
        <f t="shared" si="242"/>
        <v>0</v>
      </c>
      <c r="GI189" s="80">
        <f t="shared" si="242"/>
        <v>0</v>
      </c>
      <c r="GJ189" s="80">
        <f t="shared" si="242"/>
        <v>0</v>
      </c>
      <c r="GK189" s="80">
        <f t="shared" si="242"/>
        <v>0</v>
      </c>
      <c r="GL189" s="80">
        <f t="shared" si="242"/>
        <v>0</v>
      </c>
      <c r="GM189" s="80">
        <f t="shared" si="242"/>
        <v>0</v>
      </c>
      <c r="GN189" s="80">
        <f t="shared" si="242"/>
        <v>0</v>
      </c>
      <c r="GO189" s="80">
        <f t="shared" si="242"/>
        <v>0</v>
      </c>
      <c r="GP189" s="80">
        <f t="shared" si="242"/>
        <v>0</v>
      </c>
      <c r="GQ189" s="80">
        <f t="shared" si="242"/>
        <v>0</v>
      </c>
      <c r="GR189" s="80">
        <f t="shared" si="242"/>
        <v>0</v>
      </c>
      <c r="GS189" s="80">
        <f t="shared" si="242"/>
        <v>0</v>
      </c>
      <c r="GT189" s="80">
        <f t="shared" si="242"/>
        <v>0</v>
      </c>
      <c r="GU189" s="80">
        <f t="shared" si="242"/>
        <v>0</v>
      </c>
      <c r="GV189" s="80">
        <f t="shared" si="242"/>
        <v>0</v>
      </c>
      <c r="GW189" s="80">
        <f t="shared" si="242"/>
        <v>0</v>
      </c>
      <c r="GX189" s="80">
        <f t="shared" si="242"/>
        <v>0</v>
      </c>
    </row>
    <row r="190" spans="1:206" x14ac:dyDescent="0.2">
      <c r="A190" s="84">
        <v>5</v>
      </c>
      <c r="B190" s="84" t="s">
        <v>255</v>
      </c>
      <c r="W190" s="80">
        <f>IF(W$160=0,"",W156/W$160)</f>
        <v>6.5476190476190479E-2</v>
      </c>
      <c r="X190" s="80">
        <f t="shared" ref="X190:CI190" si="243">IF(X$160=0,"",X156/X$160)</f>
        <v>6.5476190476190479E-2</v>
      </c>
      <c r="Y190" s="80">
        <f t="shared" si="243"/>
        <v>5.8823529411764705E-2</v>
      </c>
      <c r="Z190" s="80">
        <f t="shared" si="243"/>
        <v>5.8823529411764705E-2</v>
      </c>
      <c r="AA190" s="80">
        <f t="shared" si="243"/>
        <v>0</v>
      </c>
      <c r="AB190" s="80">
        <f t="shared" si="243"/>
        <v>0</v>
      </c>
      <c r="AC190" s="80">
        <f t="shared" si="243"/>
        <v>0</v>
      </c>
      <c r="AD190" s="80">
        <f t="shared" si="243"/>
        <v>0</v>
      </c>
      <c r="AE190" s="80">
        <f t="shared" si="243"/>
        <v>0</v>
      </c>
      <c r="AF190" s="80">
        <f t="shared" si="243"/>
        <v>0</v>
      </c>
      <c r="AG190" s="80">
        <f t="shared" si="243"/>
        <v>0</v>
      </c>
      <c r="AH190" s="80">
        <f t="shared" si="243"/>
        <v>0</v>
      </c>
      <c r="AI190" s="80">
        <f t="shared" si="243"/>
        <v>0</v>
      </c>
      <c r="AJ190" s="80">
        <f t="shared" si="243"/>
        <v>0</v>
      </c>
      <c r="AK190" s="80">
        <f t="shared" si="243"/>
        <v>0</v>
      </c>
      <c r="AL190" s="80">
        <f t="shared" si="243"/>
        <v>0.10160427807486631</v>
      </c>
      <c r="AM190" s="80">
        <f t="shared" si="243"/>
        <v>0.10160427807486631</v>
      </c>
      <c r="AN190" s="80">
        <f t="shared" si="243"/>
        <v>0.10160427807486631</v>
      </c>
      <c r="AO190" s="80">
        <f t="shared" si="243"/>
        <v>0.19251336898395721</v>
      </c>
      <c r="AP190" s="80">
        <f t="shared" si="243"/>
        <v>0.19251336898395721</v>
      </c>
      <c r="AQ190" s="80">
        <f t="shared" si="243"/>
        <v>9.0909090909090912E-2</v>
      </c>
      <c r="AR190" s="80">
        <f t="shared" si="243"/>
        <v>0.1497326203208556</v>
      </c>
      <c r="AS190" s="80">
        <f t="shared" si="243"/>
        <v>0.1497326203208556</v>
      </c>
      <c r="AT190" s="80">
        <f t="shared" si="243"/>
        <v>0.11764705882352941</v>
      </c>
      <c r="AU190" s="80">
        <f t="shared" si="243"/>
        <v>0.20320855614973263</v>
      </c>
      <c r="AV190" s="80">
        <f t="shared" si="243"/>
        <v>0.24064171122994651</v>
      </c>
      <c r="AW190" s="80">
        <f t="shared" si="243"/>
        <v>0.24064171122994651</v>
      </c>
      <c r="AX190" s="80">
        <f t="shared" si="243"/>
        <v>0.29946524064171121</v>
      </c>
      <c r="AY190" s="80">
        <f t="shared" si="243"/>
        <v>0.24064171122994651</v>
      </c>
      <c r="AZ190" s="80">
        <f t="shared" si="243"/>
        <v>0.15508021390374332</v>
      </c>
      <c r="BA190" s="80">
        <f t="shared" si="243"/>
        <v>0</v>
      </c>
      <c r="BB190" s="80">
        <f t="shared" si="243"/>
        <v>0</v>
      </c>
      <c r="BC190" s="80">
        <f t="shared" si="243"/>
        <v>0</v>
      </c>
      <c r="BD190" s="80">
        <f t="shared" si="243"/>
        <v>0</v>
      </c>
      <c r="BE190" s="80">
        <f t="shared" si="243"/>
        <v>0</v>
      </c>
      <c r="BF190" s="80">
        <f t="shared" si="243"/>
        <v>0</v>
      </c>
      <c r="BG190" s="80">
        <f t="shared" si="243"/>
        <v>0</v>
      </c>
      <c r="BH190" s="80">
        <f t="shared" si="243"/>
        <v>0</v>
      </c>
      <c r="BI190" s="80">
        <f t="shared" si="243"/>
        <v>0</v>
      </c>
      <c r="BJ190" s="80">
        <f t="shared" si="243"/>
        <v>0.44919786096256686</v>
      </c>
      <c r="BK190" s="80">
        <f t="shared" si="243"/>
        <v>0.44919786096256686</v>
      </c>
      <c r="BL190" s="80">
        <f t="shared" si="243"/>
        <v>0.41711229946524064</v>
      </c>
      <c r="BM190" s="80">
        <f t="shared" si="243"/>
        <v>0.47058823529411764</v>
      </c>
      <c r="BN190" s="80">
        <f t="shared" si="243"/>
        <v>0.72727272727272729</v>
      </c>
      <c r="BO190" s="80">
        <f t="shared" si="243"/>
        <v>0.55080213903743314</v>
      </c>
      <c r="BP190" s="80">
        <f t="shared" si="243"/>
        <v>0.55080213903743314</v>
      </c>
      <c r="BQ190" s="80">
        <f t="shared" si="243"/>
        <v>0.55080213903743314</v>
      </c>
      <c r="BR190" s="80">
        <f t="shared" si="243"/>
        <v>0.25668449197860965</v>
      </c>
      <c r="BS190" s="80">
        <f t="shared" si="243"/>
        <v>0</v>
      </c>
      <c r="BT190" s="80">
        <f t="shared" si="243"/>
        <v>0</v>
      </c>
      <c r="BU190" s="80">
        <f t="shared" si="243"/>
        <v>0</v>
      </c>
      <c r="BV190" s="80">
        <f t="shared" si="243"/>
        <v>0</v>
      </c>
      <c r="BW190" s="80">
        <f t="shared" si="243"/>
        <v>0</v>
      </c>
      <c r="BX190" s="80">
        <f t="shared" si="243"/>
        <v>0</v>
      </c>
      <c r="BY190" s="80">
        <f t="shared" si="243"/>
        <v>3.2085561497326207E-2</v>
      </c>
      <c r="BZ190" s="80">
        <f t="shared" si="243"/>
        <v>0.27272727272727271</v>
      </c>
      <c r="CA190" s="80">
        <f t="shared" si="243"/>
        <v>0.27272727272727271</v>
      </c>
      <c r="CB190" s="80">
        <f t="shared" si="243"/>
        <v>0.44919786096256686</v>
      </c>
      <c r="CC190" s="80">
        <f t="shared" si="243"/>
        <v>0.44919786096256686</v>
      </c>
      <c r="CD190" s="80">
        <f t="shared" si="243"/>
        <v>0.41711229946524064</v>
      </c>
      <c r="CE190" s="80">
        <f t="shared" si="243"/>
        <v>0.17647058823529413</v>
      </c>
      <c r="CF190" s="80">
        <f t="shared" si="243"/>
        <v>0.17647058823529413</v>
      </c>
      <c r="CG190" s="80">
        <f t="shared" si="243"/>
        <v>0</v>
      </c>
      <c r="CH190" s="80">
        <f t="shared" si="243"/>
        <v>0</v>
      </c>
      <c r="CI190" s="80">
        <f t="shared" si="243"/>
        <v>0</v>
      </c>
      <c r="CJ190" s="80">
        <f t="shared" ref="CJ190:EU190" si="244">IF(CJ$160=0,"",CJ156/CJ$160)</f>
        <v>0</v>
      </c>
      <c r="CK190" s="80">
        <f t="shared" si="244"/>
        <v>0</v>
      </c>
      <c r="CL190" s="80">
        <f t="shared" si="244"/>
        <v>0</v>
      </c>
      <c r="CM190" s="80">
        <f t="shared" si="244"/>
        <v>0</v>
      </c>
      <c r="CN190" s="80">
        <f t="shared" si="244"/>
        <v>0</v>
      </c>
      <c r="CO190" s="80">
        <f t="shared" si="244"/>
        <v>0</v>
      </c>
      <c r="CP190" s="80">
        <f t="shared" si="244"/>
        <v>0</v>
      </c>
      <c r="CQ190" s="80">
        <f t="shared" si="244"/>
        <v>0</v>
      </c>
      <c r="CR190" s="80">
        <f t="shared" si="244"/>
        <v>0</v>
      </c>
      <c r="CS190" s="80">
        <f t="shared" si="244"/>
        <v>0</v>
      </c>
      <c r="CT190" s="80">
        <f t="shared" si="244"/>
        <v>0</v>
      </c>
      <c r="CU190" s="80">
        <f t="shared" si="244"/>
        <v>0</v>
      </c>
      <c r="CV190" s="80">
        <f t="shared" si="244"/>
        <v>0</v>
      </c>
      <c r="CW190" s="80">
        <f t="shared" si="244"/>
        <v>0</v>
      </c>
      <c r="CX190" s="80">
        <f t="shared" si="244"/>
        <v>0</v>
      </c>
      <c r="CY190" s="80">
        <f t="shared" si="244"/>
        <v>0</v>
      </c>
      <c r="CZ190" s="80">
        <f t="shared" si="244"/>
        <v>0</v>
      </c>
      <c r="DA190" s="80">
        <f t="shared" si="244"/>
        <v>0</v>
      </c>
      <c r="DB190" s="80">
        <f t="shared" si="244"/>
        <v>0</v>
      </c>
      <c r="DC190" s="80">
        <f t="shared" si="244"/>
        <v>0</v>
      </c>
      <c r="DD190" s="80">
        <f t="shared" si="244"/>
        <v>0</v>
      </c>
      <c r="DE190" s="80">
        <f t="shared" si="244"/>
        <v>0</v>
      </c>
      <c r="DF190" s="80">
        <f t="shared" si="244"/>
        <v>0</v>
      </c>
      <c r="DG190" s="80">
        <f t="shared" si="244"/>
        <v>0</v>
      </c>
      <c r="DH190" s="80">
        <f t="shared" si="244"/>
        <v>0</v>
      </c>
      <c r="DI190" s="80">
        <f t="shared" si="244"/>
        <v>0</v>
      </c>
      <c r="DJ190" s="80">
        <f t="shared" si="244"/>
        <v>0</v>
      </c>
      <c r="DK190" s="80">
        <f t="shared" si="244"/>
        <v>0</v>
      </c>
      <c r="DL190" s="80">
        <f t="shared" si="244"/>
        <v>0</v>
      </c>
      <c r="DM190" s="80">
        <f t="shared" si="244"/>
        <v>0</v>
      </c>
      <c r="DN190" s="80">
        <f t="shared" si="244"/>
        <v>0</v>
      </c>
      <c r="DO190" s="80">
        <f t="shared" si="244"/>
        <v>0</v>
      </c>
      <c r="DP190" s="80">
        <f t="shared" si="244"/>
        <v>0</v>
      </c>
      <c r="DQ190" s="80">
        <f t="shared" si="244"/>
        <v>0</v>
      </c>
      <c r="DR190" s="80">
        <f t="shared" si="244"/>
        <v>0</v>
      </c>
      <c r="DS190" s="80">
        <f t="shared" si="244"/>
        <v>0</v>
      </c>
      <c r="DT190" s="80">
        <f t="shared" si="244"/>
        <v>0</v>
      </c>
      <c r="DU190" s="80">
        <f t="shared" si="244"/>
        <v>0</v>
      </c>
      <c r="DV190" s="80">
        <f t="shared" si="244"/>
        <v>0</v>
      </c>
      <c r="DW190" s="80">
        <f t="shared" si="244"/>
        <v>0</v>
      </c>
      <c r="DX190" s="80">
        <f t="shared" si="244"/>
        <v>0</v>
      </c>
      <c r="DY190" s="80">
        <f t="shared" si="244"/>
        <v>0</v>
      </c>
      <c r="DZ190" s="80">
        <f t="shared" si="244"/>
        <v>0</v>
      </c>
      <c r="EA190" s="80">
        <f t="shared" si="244"/>
        <v>0</v>
      </c>
      <c r="EB190" s="80">
        <f t="shared" si="244"/>
        <v>0</v>
      </c>
      <c r="EC190" s="80">
        <f t="shared" si="244"/>
        <v>0</v>
      </c>
      <c r="ED190" s="80">
        <f t="shared" si="244"/>
        <v>0</v>
      </c>
      <c r="EE190" s="80">
        <f t="shared" si="244"/>
        <v>0</v>
      </c>
      <c r="EF190" s="80">
        <f t="shared" si="244"/>
        <v>0</v>
      </c>
      <c r="EG190" s="80">
        <f t="shared" si="244"/>
        <v>0</v>
      </c>
      <c r="EH190" s="80">
        <f t="shared" si="244"/>
        <v>0</v>
      </c>
      <c r="EI190" s="80">
        <f t="shared" si="244"/>
        <v>0</v>
      </c>
      <c r="EJ190" s="80">
        <f t="shared" si="244"/>
        <v>0</v>
      </c>
      <c r="EK190" s="80">
        <f t="shared" si="244"/>
        <v>0</v>
      </c>
      <c r="EL190" s="80">
        <f t="shared" si="244"/>
        <v>0</v>
      </c>
      <c r="EM190" s="80">
        <f t="shared" si="244"/>
        <v>0</v>
      </c>
      <c r="EN190" s="80">
        <f t="shared" si="244"/>
        <v>0</v>
      </c>
      <c r="EO190" s="80">
        <f t="shared" si="244"/>
        <v>0</v>
      </c>
      <c r="EP190" s="80">
        <f t="shared" si="244"/>
        <v>0</v>
      </c>
      <c r="EQ190" s="80">
        <f t="shared" si="244"/>
        <v>0</v>
      </c>
      <c r="ER190" s="80">
        <f t="shared" si="244"/>
        <v>0</v>
      </c>
      <c r="ES190" s="80">
        <f t="shared" si="244"/>
        <v>0</v>
      </c>
      <c r="ET190" s="80">
        <f t="shared" si="244"/>
        <v>0</v>
      </c>
      <c r="EU190" s="80">
        <f t="shared" si="244"/>
        <v>0</v>
      </c>
      <c r="EV190" s="80">
        <f t="shared" ref="EV190:GX190" si="245">IF(EV$160=0,"",EV156/EV$160)</f>
        <v>0</v>
      </c>
      <c r="EW190" s="80">
        <f t="shared" si="245"/>
        <v>0</v>
      </c>
      <c r="EX190" s="80">
        <f t="shared" si="245"/>
        <v>0</v>
      </c>
      <c r="EY190" s="80">
        <f t="shared" si="245"/>
        <v>0</v>
      </c>
      <c r="EZ190" s="80">
        <f t="shared" si="245"/>
        <v>0</v>
      </c>
      <c r="FA190" s="80">
        <f t="shared" si="245"/>
        <v>0</v>
      </c>
      <c r="FB190" s="80">
        <f t="shared" si="245"/>
        <v>0</v>
      </c>
      <c r="FC190" s="80">
        <f t="shared" si="245"/>
        <v>0</v>
      </c>
      <c r="FD190" s="80">
        <f t="shared" si="245"/>
        <v>0</v>
      </c>
      <c r="FE190" s="80">
        <f t="shared" si="245"/>
        <v>0</v>
      </c>
      <c r="FF190" s="80">
        <f t="shared" si="245"/>
        <v>0</v>
      </c>
      <c r="FG190" s="80">
        <f t="shared" si="245"/>
        <v>0</v>
      </c>
      <c r="FH190" s="80">
        <f t="shared" si="245"/>
        <v>0</v>
      </c>
      <c r="FI190" s="80">
        <f t="shared" si="245"/>
        <v>0</v>
      </c>
      <c r="FJ190" s="80">
        <f t="shared" si="245"/>
        <v>0</v>
      </c>
      <c r="FK190" s="80">
        <f t="shared" si="245"/>
        <v>0</v>
      </c>
      <c r="FL190" s="80">
        <f t="shared" si="245"/>
        <v>0</v>
      </c>
      <c r="FM190" s="80">
        <f t="shared" si="245"/>
        <v>0</v>
      </c>
      <c r="FN190" s="80">
        <f t="shared" si="245"/>
        <v>0</v>
      </c>
      <c r="FO190" s="80">
        <f t="shared" si="245"/>
        <v>0</v>
      </c>
      <c r="FP190" s="80">
        <f t="shared" si="245"/>
        <v>0</v>
      </c>
      <c r="FQ190" s="80">
        <f t="shared" si="245"/>
        <v>0</v>
      </c>
      <c r="FR190" s="80">
        <f t="shared" si="245"/>
        <v>0</v>
      </c>
      <c r="FS190" s="80">
        <f t="shared" si="245"/>
        <v>0</v>
      </c>
      <c r="FT190" s="80">
        <f t="shared" si="245"/>
        <v>0</v>
      </c>
      <c r="FU190" s="80">
        <f t="shared" si="245"/>
        <v>0</v>
      </c>
      <c r="FV190" s="80">
        <f t="shared" si="245"/>
        <v>0</v>
      </c>
      <c r="FW190" s="80">
        <f t="shared" si="245"/>
        <v>0</v>
      </c>
      <c r="FX190" s="80">
        <f t="shared" si="245"/>
        <v>0</v>
      </c>
      <c r="FY190" s="80">
        <f t="shared" si="245"/>
        <v>0</v>
      </c>
      <c r="FZ190" s="80">
        <f t="shared" si="245"/>
        <v>0</v>
      </c>
      <c r="GA190" s="80">
        <f t="shared" si="245"/>
        <v>0</v>
      </c>
      <c r="GB190" s="80">
        <f t="shared" si="245"/>
        <v>0</v>
      </c>
      <c r="GC190" s="80">
        <f t="shared" si="245"/>
        <v>0</v>
      </c>
      <c r="GD190" s="80">
        <f t="shared" si="245"/>
        <v>0</v>
      </c>
      <c r="GE190" s="80">
        <f t="shared" si="245"/>
        <v>0</v>
      </c>
      <c r="GF190" s="80">
        <f t="shared" si="245"/>
        <v>0</v>
      </c>
      <c r="GG190" s="80">
        <f t="shared" si="245"/>
        <v>0</v>
      </c>
      <c r="GH190" s="80">
        <f t="shared" si="245"/>
        <v>0</v>
      </c>
      <c r="GI190" s="80">
        <f t="shared" si="245"/>
        <v>0</v>
      </c>
      <c r="GJ190" s="80">
        <f t="shared" si="245"/>
        <v>0</v>
      </c>
      <c r="GK190" s="80">
        <f t="shared" si="245"/>
        <v>0</v>
      </c>
      <c r="GL190" s="80">
        <f t="shared" si="245"/>
        <v>0</v>
      </c>
      <c r="GM190" s="80">
        <f t="shared" si="245"/>
        <v>0</v>
      </c>
      <c r="GN190" s="80">
        <f t="shared" si="245"/>
        <v>0</v>
      </c>
      <c r="GO190" s="80">
        <f t="shared" si="245"/>
        <v>0</v>
      </c>
      <c r="GP190" s="80">
        <f t="shared" si="245"/>
        <v>0</v>
      </c>
      <c r="GQ190" s="80">
        <f t="shared" si="245"/>
        <v>0</v>
      </c>
      <c r="GR190" s="80">
        <f t="shared" si="245"/>
        <v>0</v>
      </c>
      <c r="GS190" s="80">
        <f t="shared" si="245"/>
        <v>0</v>
      </c>
      <c r="GT190" s="80">
        <f t="shared" si="245"/>
        <v>0</v>
      </c>
      <c r="GU190" s="80">
        <f t="shared" si="245"/>
        <v>0</v>
      </c>
      <c r="GV190" s="80">
        <f t="shared" si="245"/>
        <v>0</v>
      </c>
      <c r="GW190" s="80">
        <f t="shared" si="245"/>
        <v>0</v>
      </c>
      <c r="GX190" s="80">
        <f t="shared" si="245"/>
        <v>0</v>
      </c>
    </row>
    <row r="191" spans="1:206" x14ac:dyDescent="0.2">
      <c r="A191" s="84">
        <v>5</v>
      </c>
      <c r="B191" s="84" t="s">
        <v>256</v>
      </c>
      <c r="W191" s="80">
        <f>IF(W$160=0,"",W157/W$160)</f>
        <v>0.5714285714285714</v>
      </c>
      <c r="X191" s="80">
        <f t="shared" ref="X191:CI191" si="246">IF(X$160=0,"",X157/X$160)</f>
        <v>0.5714285714285714</v>
      </c>
      <c r="Y191" s="80">
        <f t="shared" si="246"/>
        <v>0.1497326203208556</v>
      </c>
      <c r="Z191" s="80">
        <f t="shared" si="246"/>
        <v>9.6256684491978606E-2</v>
      </c>
      <c r="AA191" s="80">
        <f t="shared" si="246"/>
        <v>0.15508021390374332</v>
      </c>
      <c r="AB191" s="80">
        <f t="shared" si="246"/>
        <v>5.8823529411764705E-2</v>
      </c>
      <c r="AC191" s="80">
        <f t="shared" si="246"/>
        <v>5.8823529411764705E-2</v>
      </c>
      <c r="AD191" s="80">
        <f t="shared" si="246"/>
        <v>5.8823529411764705E-2</v>
      </c>
      <c r="AE191" s="80">
        <f t="shared" si="246"/>
        <v>5.8823529411764705E-2</v>
      </c>
      <c r="AF191" s="80">
        <f t="shared" si="246"/>
        <v>0</v>
      </c>
      <c r="AG191" s="80">
        <f t="shared" si="246"/>
        <v>0</v>
      </c>
      <c r="AH191" s="80">
        <f t="shared" si="246"/>
        <v>0</v>
      </c>
      <c r="AI191" s="80">
        <f t="shared" si="246"/>
        <v>0</v>
      </c>
      <c r="AJ191" s="80">
        <f t="shared" si="246"/>
        <v>0</v>
      </c>
      <c r="AK191" s="80">
        <f t="shared" si="246"/>
        <v>0</v>
      </c>
      <c r="AL191" s="80">
        <f t="shared" si="246"/>
        <v>0</v>
      </c>
      <c r="AM191" s="80">
        <f t="shared" si="246"/>
        <v>0</v>
      </c>
      <c r="AN191" s="80">
        <f t="shared" si="246"/>
        <v>0</v>
      </c>
      <c r="AO191" s="80">
        <f t="shared" si="246"/>
        <v>0</v>
      </c>
      <c r="AP191" s="80">
        <f t="shared" si="246"/>
        <v>0</v>
      </c>
      <c r="AQ191" s="80">
        <f t="shared" si="246"/>
        <v>0.10160427807486631</v>
      </c>
      <c r="AR191" s="80">
        <f t="shared" si="246"/>
        <v>0.10160427807486631</v>
      </c>
      <c r="AS191" s="80">
        <f t="shared" si="246"/>
        <v>0.10160427807486631</v>
      </c>
      <c r="AT191" s="80">
        <f t="shared" si="246"/>
        <v>0.19251336898395721</v>
      </c>
      <c r="AU191" s="80">
        <f t="shared" si="246"/>
        <v>0.19251336898395721</v>
      </c>
      <c r="AV191" s="80">
        <f t="shared" si="246"/>
        <v>9.0909090909090912E-2</v>
      </c>
      <c r="AW191" s="80">
        <f t="shared" si="246"/>
        <v>0.1497326203208556</v>
      </c>
      <c r="AX191" s="80">
        <f t="shared" si="246"/>
        <v>0.1497326203208556</v>
      </c>
      <c r="AY191" s="80">
        <f t="shared" si="246"/>
        <v>0.11764705882352941</v>
      </c>
      <c r="AZ191" s="80">
        <f t="shared" si="246"/>
        <v>0</v>
      </c>
      <c r="BA191" s="80">
        <f t="shared" si="246"/>
        <v>0</v>
      </c>
      <c r="BB191" s="80">
        <f t="shared" si="246"/>
        <v>0</v>
      </c>
      <c r="BC191" s="80">
        <f t="shared" si="246"/>
        <v>0</v>
      </c>
      <c r="BD191" s="80">
        <f t="shared" si="246"/>
        <v>0</v>
      </c>
      <c r="BE191" s="80">
        <f t="shared" si="246"/>
        <v>0</v>
      </c>
      <c r="BF191" s="80">
        <f t="shared" si="246"/>
        <v>0</v>
      </c>
      <c r="BG191" s="80">
        <f t="shared" si="246"/>
        <v>0</v>
      </c>
      <c r="BH191" s="80">
        <f t="shared" si="246"/>
        <v>0</v>
      </c>
      <c r="BI191" s="80">
        <f t="shared" si="246"/>
        <v>0</v>
      </c>
      <c r="BJ191" s="80">
        <f t="shared" si="246"/>
        <v>0</v>
      </c>
      <c r="BK191" s="80">
        <f t="shared" si="246"/>
        <v>0</v>
      </c>
      <c r="BL191" s="80">
        <f t="shared" si="246"/>
        <v>0</v>
      </c>
      <c r="BM191" s="80">
        <f t="shared" si="246"/>
        <v>0</v>
      </c>
      <c r="BN191" s="80">
        <f t="shared" si="246"/>
        <v>0</v>
      </c>
      <c r="BO191" s="80">
        <f t="shared" si="246"/>
        <v>0</v>
      </c>
      <c r="BP191" s="80">
        <f t="shared" si="246"/>
        <v>0</v>
      </c>
      <c r="BQ191" s="80">
        <f t="shared" si="246"/>
        <v>0</v>
      </c>
      <c r="BR191" s="80">
        <f t="shared" si="246"/>
        <v>0.29411764705882354</v>
      </c>
      <c r="BS191" s="80">
        <f t="shared" si="246"/>
        <v>0.55080213903743314</v>
      </c>
      <c r="BT191" s="80">
        <f t="shared" si="246"/>
        <v>0.55080213903743314</v>
      </c>
      <c r="BU191" s="80">
        <f t="shared" si="246"/>
        <v>0.55080213903743314</v>
      </c>
      <c r="BV191" s="80">
        <f t="shared" si="246"/>
        <v>0.55080213903743314</v>
      </c>
      <c r="BW191" s="80">
        <f t="shared" si="246"/>
        <v>0.25668449197860965</v>
      </c>
      <c r="BX191" s="80">
        <f t="shared" si="246"/>
        <v>0</v>
      </c>
      <c r="BY191" s="80">
        <f t="shared" si="246"/>
        <v>0</v>
      </c>
      <c r="BZ191" s="80">
        <f t="shared" si="246"/>
        <v>0</v>
      </c>
      <c r="CA191" s="80">
        <f t="shared" si="246"/>
        <v>0</v>
      </c>
      <c r="CB191" s="80">
        <f t="shared" si="246"/>
        <v>0</v>
      </c>
      <c r="CC191" s="80">
        <f t="shared" si="246"/>
        <v>0</v>
      </c>
      <c r="CD191" s="80">
        <f t="shared" si="246"/>
        <v>3.2085561497326207E-2</v>
      </c>
      <c r="CE191" s="80">
        <f t="shared" si="246"/>
        <v>0.27272727272727271</v>
      </c>
      <c r="CF191" s="80">
        <f t="shared" si="246"/>
        <v>0.27272727272727271</v>
      </c>
      <c r="CG191" s="80">
        <f t="shared" si="246"/>
        <v>0.44919786096256686</v>
      </c>
      <c r="CH191" s="80">
        <f t="shared" si="246"/>
        <v>0.44919786096256686</v>
      </c>
      <c r="CI191" s="80">
        <f t="shared" si="246"/>
        <v>0.41711229946524064</v>
      </c>
      <c r="CJ191" s="80">
        <f t="shared" ref="CJ191:EU191" si="247">IF(CJ$160=0,"",CJ157/CJ$160)</f>
        <v>0.17647058823529413</v>
      </c>
      <c r="CK191" s="80">
        <f t="shared" si="247"/>
        <v>0.17647058823529413</v>
      </c>
      <c r="CL191" s="80">
        <f t="shared" si="247"/>
        <v>0</v>
      </c>
      <c r="CM191" s="80">
        <f t="shared" si="247"/>
        <v>0</v>
      </c>
      <c r="CN191" s="80">
        <f t="shared" si="247"/>
        <v>0</v>
      </c>
      <c r="CO191" s="80">
        <f t="shared" si="247"/>
        <v>0</v>
      </c>
      <c r="CP191" s="80">
        <f t="shared" si="247"/>
        <v>0</v>
      </c>
      <c r="CQ191" s="80">
        <f t="shared" si="247"/>
        <v>0</v>
      </c>
      <c r="CR191" s="80">
        <f t="shared" si="247"/>
        <v>0</v>
      </c>
      <c r="CS191" s="80">
        <f t="shared" si="247"/>
        <v>0</v>
      </c>
      <c r="CT191" s="80">
        <f t="shared" si="247"/>
        <v>0</v>
      </c>
      <c r="CU191" s="80">
        <f t="shared" si="247"/>
        <v>0</v>
      </c>
      <c r="CV191" s="80">
        <f t="shared" si="247"/>
        <v>0</v>
      </c>
      <c r="CW191" s="80">
        <f t="shared" si="247"/>
        <v>0</v>
      </c>
      <c r="CX191" s="80">
        <f t="shared" si="247"/>
        <v>0</v>
      </c>
      <c r="CY191" s="80">
        <f t="shared" si="247"/>
        <v>0</v>
      </c>
      <c r="CZ191" s="80">
        <f t="shared" si="247"/>
        <v>0</v>
      </c>
      <c r="DA191" s="80">
        <f t="shared" si="247"/>
        <v>0</v>
      </c>
      <c r="DB191" s="80">
        <f t="shared" si="247"/>
        <v>0</v>
      </c>
      <c r="DC191" s="80">
        <f t="shared" si="247"/>
        <v>0</v>
      </c>
      <c r="DD191" s="80">
        <f t="shared" si="247"/>
        <v>0</v>
      </c>
      <c r="DE191" s="80">
        <f t="shared" si="247"/>
        <v>0</v>
      </c>
      <c r="DF191" s="80">
        <f t="shared" si="247"/>
        <v>0</v>
      </c>
      <c r="DG191" s="80">
        <f t="shared" si="247"/>
        <v>0</v>
      </c>
      <c r="DH191" s="80">
        <f t="shared" si="247"/>
        <v>0</v>
      </c>
      <c r="DI191" s="80">
        <f t="shared" si="247"/>
        <v>0</v>
      </c>
      <c r="DJ191" s="80">
        <f t="shared" si="247"/>
        <v>0</v>
      </c>
      <c r="DK191" s="80">
        <f t="shared" si="247"/>
        <v>0</v>
      </c>
      <c r="DL191" s="80">
        <f t="shared" si="247"/>
        <v>0</v>
      </c>
      <c r="DM191" s="80">
        <f t="shared" si="247"/>
        <v>0</v>
      </c>
      <c r="DN191" s="80">
        <f t="shared" si="247"/>
        <v>0</v>
      </c>
      <c r="DO191" s="80">
        <f t="shared" si="247"/>
        <v>0</v>
      </c>
      <c r="DP191" s="80">
        <f t="shared" si="247"/>
        <v>0</v>
      </c>
      <c r="DQ191" s="80">
        <f t="shared" si="247"/>
        <v>0</v>
      </c>
      <c r="DR191" s="80">
        <f t="shared" si="247"/>
        <v>0</v>
      </c>
      <c r="DS191" s="80">
        <f t="shared" si="247"/>
        <v>0</v>
      </c>
      <c r="DT191" s="80">
        <f t="shared" si="247"/>
        <v>0</v>
      </c>
      <c r="DU191" s="80">
        <f t="shared" si="247"/>
        <v>0</v>
      </c>
      <c r="DV191" s="80">
        <f t="shared" si="247"/>
        <v>0</v>
      </c>
      <c r="DW191" s="80">
        <f t="shared" si="247"/>
        <v>0</v>
      </c>
      <c r="DX191" s="80">
        <f t="shared" si="247"/>
        <v>0</v>
      </c>
      <c r="DY191" s="80">
        <f t="shared" si="247"/>
        <v>0</v>
      </c>
      <c r="DZ191" s="80">
        <f t="shared" si="247"/>
        <v>0</v>
      </c>
      <c r="EA191" s="80">
        <f t="shared" si="247"/>
        <v>0</v>
      </c>
      <c r="EB191" s="80">
        <f t="shared" si="247"/>
        <v>0</v>
      </c>
      <c r="EC191" s="80">
        <f t="shared" si="247"/>
        <v>0</v>
      </c>
      <c r="ED191" s="80">
        <f t="shared" si="247"/>
        <v>0</v>
      </c>
      <c r="EE191" s="80">
        <f t="shared" si="247"/>
        <v>0</v>
      </c>
      <c r="EF191" s="80">
        <f t="shared" si="247"/>
        <v>0</v>
      </c>
      <c r="EG191" s="80">
        <f t="shared" si="247"/>
        <v>0</v>
      </c>
      <c r="EH191" s="80">
        <f t="shared" si="247"/>
        <v>0</v>
      </c>
      <c r="EI191" s="80">
        <f t="shared" si="247"/>
        <v>0</v>
      </c>
      <c r="EJ191" s="80">
        <f t="shared" si="247"/>
        <v>0</v>
      </c>
      <c r="EK191" s="80">
        <f t="shared" si="247"/>
        <v>0</v>
      </c>
      <c r="EL191" s="80">
        <f t="shared" si="247"/>
        <v>0</v>
      </c>
      <c r="EM191" s="80">
        <f t="shared" si="247"/>
        <v>0</v>
      </c>
      <c r="EN191" s="80">
        <f t="shared" si="247"/>
        <v>0</v>
      </c>
      <c r="EO191" s="80">
        <f t="shared" si="247"/>
        <v>0</v>
      </c>
      <c r="EP191" s="80">
        <f t="shared" si="247"/>
        <v>0</v>
      </c>
      <c r="EQ191" s="80">
        <f t="shared" si="247"/>
        <v>0</v>
      </c>
      <c r="ER191" s="80">
        <f t="shared" si="247"/>
        <v>0</v>
      </c>
      <c r="ES191" s="80">
        <f t="shared" si="247"/>
        <v>0</v>
      </c>
      <c r="ET191" s="80">
        <f t="shared" si="247"/>
        <v>0</v>
      </c>
      <c r="EU191" s="80">
        <f t="shared" si="247"/>
        <v>0</v>
      </c>
      <c r="EV191" s="80">
        <f t="shared" ref="EV191:GX191" si="248">IF(EV$160=0,"",EV157/EV$160)</f>
        <v>0</v>
      </c>
      <c r="EW191" s="80">
        <f t="shared" si="248"/>
        <v>0</v>
      </c>
      <c r="EX191" s="80">
        <f t="shared" si="248"/>
        <v>0</v>
      </c>
      <c r="EY191" s="80">
        <f t="shared" si="248"/>
        <v>0</v>
      </c>
      <c r="EZ191" s="80">
        <f t="shared" si="248"/>
        <v>0</v>
      </c>
      <c r="FA191" s="80">
        <f t="shared" si="248"/>
        <v>0</v>
      </c>
      <c r="FB191" s="80">
        <f t="shared" si="248"/>
        <v>0</v>
      </c>
      <c r="FC191" s="80">
        <f t="shared" si="248"/>
        <v>0</v>
      </c>
      <c r="FD191" s="80">
        <f t="shared" si="248"/>
        <v>0</v>
      </c>
      <c r="FE191" s="80">
        <f t="shared" si="248"/>
        <v>0</v>
      </c>
      <c r="FF191" s="80">
        <f t="shared" si="248"/>
        <v>0</v>
      </c>
      <c r="FG191" s="80">
        <f t="shared" si="248"/>
        <v>0</v>
      </c>
      <c r="FH191" s="80">
        <f t="shared" si="248"/>
        <v>0</v>
      </c>
      <c r="FI191" s="80">
        <f t="shared" si="248"/>
        <v>0</v>
      </c>
      <c r="FJ191" s="80">
        <f t="shared" si="248"/>
        <v>0</v>
      </c>
      <c r="FK191" s="80">
        <f t="shared" si="248"/>
        <v>0</v>
      </c>
      <c r="FL191" s="80">
        <f t="shared" si="248"/>
        <v>0</v>
      </c>
      <c r="FM191" s="80">
        <f t="shared" si="248"/>
        <v>0</v>
      </c>
      <c r="FN191" s="80">
        <f t="shared" si="248"/>
        <v>0</v>
      </c>
      <c r="FO191" s="80">
        <f t="shared" si="248"/>
        <v>0</v>
      </c>
      <c r="FP191" s="80">
        <f t="shared" si="248"/>
        <v>0</v>
      </c>
      <c r="FQ191" s="80">
        <f t="shared" si="248"/>
        <v>0</v>
      </c>
      <c r="FR191" s="80">
        <f t="shared" si="248"/>
        <v>0</v>
      </c>
      <c r="FS191" s="80">
        <f t="shared" si="248"/>
        <v>0</v>
      </c>
      <c r="FT191" s="80">
        <f t="shared" si="248"/>
        <v>0</v>
      </c>
      <c r="FU191" s="80">
        <f t="shared" si="248"/>
        <v>0</v>
      </c>
      <c r="FV191" s="80">
        <f t="shared" si="248"/>
        <v>0</v>
      </c>
      <c r="FW191" s="80">
        <f t="shared" si="248"/>
        <v>0</v>
      </c>
      <c r="FX191" s="80">
        <f t="shared" si="248"/>
        <v>0</v>
      </c>
      <c r="FY191" s="80">
        <f t="shared" si="248"/>
        <v>0</v>
      </c>
      <c r="FZ191" s="80">
        <f t="shared" si="248"/>
        <v>0</v>
      </c>
      <c r="GA191" s="80">
        <f t="shared" si="248"/>
        <v>0</v>
      </c>
      <c r="GB191" s="80">
        <f t="shared" si="248"/>
        <v>0</v>
      </c>
      <c r="GC191" s="80">
        <f t="shared" si="248"/>
        <v>0</v>
      </c>
      <c r="GD191" s="80">
        <f t="shared" si="248"/>
        <v>0</v>
      </c>
      <c r="GE191" s="80">
        <f t="shared" si="248"/>
        <v>0</v>
      </c>
      <c r="GF191" s="80">
        <f t="shared" si="248"/>
        <v>0</v>
      </c>
      <c r="GG191" s="80">
        <f t="shared" si="248"/>
        <v>0</v>
      </c>
      <c r="GH191" s="80">
        <f t="shared" si="248"/>
        <v>0</v>
      </c>
      <c r="GI191" s="80">
        <f t="shared" si="248"/>
        <v>0</v>
      </c>
      <c r="GJ191" s="80">
        <f t="shared" si="248"/>
        <v>0</v>
      </c>
      <c r="GK191" s="80">
        <f t="shared" si="248"/>
        <v>0</v>
      </c>
      <c r="GL191" s="80">
        <f t="shared" si="248"/>
        <v>0</v>
      </c>
      <c r="GM191" s="80">
        <f t="shared" si="248"/>
        <v>0</v>
      </c>
      <c r="GN191" s="80">
        <f t="shared" si="248"/>
        <v>0</v>
      </c>
      <c r="GO191" s="80">
        <f t="shared" si="248"/>
        <v>0</v>
      </c>
      <c r="GP191" s="80">
        <f t="shared" si="248"/>
        <v>0</v>
      </c>
      <c r="GQ191" s="80">
        <f t="shared" si="248"/>
        <v>0</v>
      </c>
      <c r="GR191" s="80">
        <f t="shared" si="248"/>
        <v>0</v>
      </c>
      <c r="GS191" s="80">
        <f t="shared" si="248"/>
        <v>0</v>
      </c>
      <c r="GT191" s="80">
        <f t="shared" si="248"/>
        <v>0</v>
      </c>
      <c r="GU191" s="80">
        <f t="shared" si="248"/>
        <v>0</v>
      </c>
      <c r="GV191" s="80">
        <f t="shared" si="248"/>
        <v>0</v>
      </c>
      <c r="GW191" s="80">
        <f t="shared" si="248"/>
        <v>0</v>
      </c>
      <c r="GX191" s="80">
        <f t="shared" si="248"/>
        <v>0</v>
      </c>
    </row>
    <row r="192" spans="1:206" x14ac:dyDescent="0.2">
      <c r="A192" s="84">
        <v>5</v>
      </c>
      <c r="B192" s="84" t="s">
        <v>257</v>
      </c>
      <c r="W192" s="80">
        <f>IF(W$160=0,"",W158/W$160)</f>
        <v>0</v>
      </c>
      <c r="X192" s="80">
        <f t="shared" ref="X192:CI192" si="249">IF(X$160=0,"",X158/X$160)</f>
        <v>0</v>
      </c>
      <c r="Y192" s="80">
        <f t="shared" si="249"/>
        <v>0.36363636363636365</v>
      </c>
      <c r="Z192" s="80">
        <f t="shared" si="249"/>
        <v>0.41711229946524064</v>
      </c>
      <c r="AA192" s="80">
        <f t="shared" si="249"/>
        <v>0.41711229946524064</v>
      </c>
      <c r="AB192" s="80">
        <f t="shared" si="249"/>
        <v>0.5133689839572193</v>
      </c>
      <c r="AC192" s="80">
        <f t="shared" si="249"/>
        <v>0.5133689839572193</v>
      </c>
      <c r="AD192" s="80">
        <f t="shared" si="249"/>
        <v>0.1497326203208556</v>
      </c>
      <c r="AE192" s="80">
        <f t="shared" si="249"/>
        <v>9.6256684491978606E-2</v>
      </c>
      <c r="AF192" s="80">
        <f t="shared" si="249"/>
        <v>0.15508021390374332</v>
      </c>
      <c r="AG192" s="80">
        <f t="shared" si="249"/>
        <v>5.8823529411764705E-2</v>
      </c>
      <c r="AH192" s="80">
        <f t="shared" si="249"/>
        <v>5.8823529411764705E-2</v>
      </c>
      <c r="AI192" s="80">
        <f t="shared" si="249"/>
        <v>5.8823529411764705E-2</v>
      </c>
      <c r="AJ192" s="80">
        <f t="shared" si="249"/>
        <v>5.8823529411764705E-2</v>
      </c>
      <c r="AK192" s="80">
        <f t="shared" si="249"/>
        <v>0</v>
      </c>
      <c r="AL192" s="80">
        <f t="shared" si="249"/>
        <v>0</v>
      </c>
      <c r="AM192" s="80">
        <f t="shared" si="249"/>
        <v>0</v>
      </c>
      <c r="AN192" s="80">
        <f t="shared" si="249"/>
        <v>0</v>
      </c>
      <c r="AO192" s="80">
        <f t="shared" si="249"/>
        <v>0</v>
      </c>
      <c r="AP192" s="80">
        <f t="shared" si="249"/>
        <v>0</v>
      </c>
      <c r="AQ192" s="80">
        <f t="shared" si="249"/>
        <v>0</v>
      </c>
      <c r="AR192" s="80">
        <f t="shared" si="249"/>
        <v>0</v>
      </c>
      <c r="AS192" s="80">
        <f t="shared" si="249"/>
        <v>0</v>
      </c>
      <c r="AT192" s="80">
        <f t="shared" si="249"/>
        <v>0</v>
      </c>
      <c r="AU192" s="80">
        <f t="shared" si="249"/>
        <v>0</v>
      </c>
      <c r="AV192" s="80">
        <f t="shared" si="249"/>
        <v>0.10160427807486631</v>
      </c>
      <c r="AW192" s="80">
        <f t="shared" si="249"/>
        <v>0.10160427807486631</v>
      </c>
      <c r="AX192" s="80">
        <f t="shared" si="249"/>
        <v>0.10160427807486631</v>
      </c>
      <c r="AY192" s="80">
        <f t="shared" si="249"/>
        <v>0.19251336898395721</v>
      </c>
      <c r="AZ192" s="80">
        <f t="shared" si="249"/>
        <v>0.10160427807486631</v>
      </c>
      <c r="BA192" s="80">
        <f t="shared" si="249"/>
        <v>0</v>
      </c>
      <c r="BB192" s="80">
        <f t="shared" si="249"/>
        <v>0</v>
      </c>
      <c r="BC192" s="80">
        <f t="shared" si="249"/>
        <v>0</v>
      </c>
      <c r="BD192" s="80">
        <f t="shared" si="249"/>
        <v>0</v>
      </c>
      <c r="BE192" s="80">
        <f t="shared" si="249"/>
        <v>0</v>
      </c>
      <c r="BF192" s="80">
        <f t="shared" si="249"/>
        <v>0</v>
      </c>
      <c r="BG192" s="80">
        <f t="shared" si="249"/>
        <v>0</v>
      </c>
      <c r="BH192" s="80">
        <f t="shared" si="249"/>
        <v>0</v>
      </c>
      <c r="BI192" s="80">
        <f t="shared" si="249"/>
        <v>0</v>
      </c>
      <c r="BJ192" s="80">
        <f t="shared" si="249"/>
        <v>0</v>
      </c>
      <c r="BK192" s="80">
        <f t="shared" si="249"/>
        <v>0</v>
      </c>
      <c r="BL192" s="80">
        <f t="shared" si="249"/>
        <v>0</v>
      </c>
      <c r="BM192" s="80">
        <f t="shared" si="249"/>
        <v>0</v>
      </c>
      <c r="BN192" s="80">
        <f t="shared" si="249"/>
        <v>0</v>
      </c>
      <c r="BO192" s="80">
        <f t="shared" si="249"/>
        <v>0</v>
      </c>
      <c r="BP192" s="80">
        <f t="shared" si="249"/>
        <v>0</v>
      </c>
      <c r="BQ192" s="80">
        <f t="shared" si="249"/>
        <v>0</v>
      </c>
      <c r="BR192" s="80">
        <f t="shared" si="249"/>
        <v>0</v>
      </c>
      <c r="BS192" s="80">
        <f t="shared" si="249"/>
        <v>0</v>
      </c>
      <c r="BT192" s="80">
        <f t="shared" si="249"/>
        <v>0</v>
      </c>
      <c r="BU192" s="80">
        <f t="shared" si="249"/>
        <v>0</v>
      </c>
      <c r="BV192" s="80">
        <f t="shared" si="249"/>
        <v>0</v>
      </c>
      <c r="BW192" s="80">
        <f t="shared" si="249"/>
        <v>0.29411764705882354</v>
      </c>
      <c r="BX192" s="80">
        <f t="shared" si="249"/>
        <v>0.55080213903743314</v>
      </c>
      <c r="BY192" s="80">
        <f t="shared" si="249"/>
        <v>0.55080213903743314</v>
      </c>
      <c r="BZ192" s="80">
        <f t="shared" si="249"/>
        <v>0.55080213903743314</v>
      </c>
      <c r="CA192" s="80">
        <f t="shared" si="249"/>
        <v>0.55080213903743314</v>
      </c>
      <c r="CB192" s="80">
        <f t="shared" si="249"/>
        <v>0.25668449197860965</v>
      </c>
      <c r="CC192" s="80">
        <f t="shared" si="249"/>
        <v>0</v>
      </c>
      <c r="CD192" s="80">
        <f t="shared" si="249"/>
        <v>0</v>
      </c>
      <c r="CE192" s="80">
        <f t="shared" si="249"/>
        <v>0</v>
      </c>
      <c r="CF192" s="80">
        <f t="shared" si="249"/>
        <v>0</v>
      </c>
      <c r="CG192" s="80">
        <f t="shared" si="249"/>
        <v>0</v>
      </c>
      <c r="CH192" s="80">
        <f t="shared" si="249"/>
        <v>0</v>
      </c>
      <c r="CI192" s="80">
        <f t="shared" si="249"/>
        <v>3.2085561497326207E-2</v>
      </c>
      <c r="CJ192" s="80">
        <f t="shared" ref="CJ192:EU192" si="250">IF(CJ$160=0,"",CJ158/CJ$160)</f>
        <v>0.27272727272727271</v>
      </c>
      <c r="CK192" s="80">
        <f t="shared" si="250"/>
        <v>0.27272727272727271</v>
      </c>
      <c r="CL192" s="80">
        <f t="shared" si="250"/>
        <v>0.44919786096256686</v>
      </c>
      <c r="CM192" s="80">
        <f t="shared" si="250"/>
        <v>0.44919786096256686</v>
      </c>
      <c r="CN192" s="80">
        <f t="shared" si="250"/>
        <v>0.41711229946524064</v>
      </c>
      <c r="CO192" s="80">
        <f t="shared" si="250"/>
        <v>0.17647058823529413</v>
      </c>
      <c r="CP192" s="80">
        <f t="shared" si="250"/>
        <v>0.17647058823529413</v>
      </c>
      <c r="CQ192" s="80">
        <f t="shared" si="250"/>
        <v>0</v>
      </c>
      <c r="CR192" s="80">
        <f t="shared" si="250"/>
        <v>0</v>
      </c>
      <c r="CS192" s="80">
        <f t="shared" si="250"/>
        <v>0</v>
      </c>
      <c r="CT192" s="80">
        <f t="shared" si="250"/>
        <v>0</v>
      </c>
      <c r="CU192" s="80">
        <f t="shared" si="250"/>
        <v>0</v>
      </c>
      <c r="CV192" s="80">
        <f t="shared" si="250"/>
        <v>0</v>
      </c>
      <c r="CW192" s="80">
        <f t="shared" si="250"/>
        <v>0</v>
      </c>
      <c r="CX192" s="80">
        <f t="shared" si="250"/>
        <v>0</v>
      </c>
      <c r="CY192" s="80">
        <f t="shared" si="250"/>
        <v>0</v>
      </c>
      <c r="CZ192" s="80">
        <f t="shared" si="250"/>
        <v>0</v>
      </c>
      <c r="DA192" s="80">
        <f t="shared" si="250"/>
        <v>0</v>
      </c>
      <c r="DB192" s="80">
        <f t="shared" si="250"/>
        <v>0</v>
      </c>
      <c r="DC192" s="80">
        <f t="shared" si="250"/>
        <v>0</v>
      </c>
      <c r="DD192" s="80">
        <f t="shared" si="250"/>
        <v>0</v>
      </c>
      <c r="DE192" s="80">
        <f t="shared" si="250"/>
        <v>0</v>
      </c>
      <c r="DF192" s="80">
        <f t="shared" si="250"/>
        <v>0</v>
      </c>
      <c r="DG192" s="80">
        <f t="shared" si="250"/>
        <v>0</v>
      </c>
      <c r="DH192" s="80">
        <f t="shared" si="250"/>
        <v>0</v>
      </c>
      <c r="DI192" s="80">
        <f t="shared" si="250"/>
        <v>0</v>
      </c>
      <c r="DJ192" s="80">
        <f t="shared" si="250"/>
        <v>0</v>
      </c>
      <c r="DK192" s="80">
        <f t="shared" si="250"/>
        <v>0</v>
      </c>
      <c r="DL192" s="80">
        <f t="shared" si="250"/>
        <v>0</v>
      </c>
      <c r="DM192" s="80">
        <f t="shared" si="250"/>
        <v>0</v>
      </c>
      <c r="DN192" s="80">
        <f t="shared" si="250"/>
        <v>0</v>
      </c>
      <c r="DO192" s="80">
        <f t="shared" si="250"/>
        <v>0</v>
      </c>
      <c r="DP192" s="80">
        <f t="shared" si="250"/>
        <v>0</v>
      </c>
      <c r="DQ192" s="80">
        <f t="shared" si="250"/>
        <v>0</v>
      </c>
      <c r="DR192" s="80">
        <f t="shared" si="250"/>
        <v>0</v>
      </c>
      <c r="DS192" s="80">
        <f t="shared" si="250"/>
        <v>0</v>
      </c>
      <c r="DT192" s="80">
        <f t="shared" si="250"/>
        <v>0</v>
      </c>
      <c r="DU192" s="80">
        <f t="shared" si="250"/>
        <v>0</v>
      </c>
      <c r="DV192" s="80">
        <f t="shared" si="250"/>
        <v>0</v>
      </c>
      <c r="DW192" s="80">
        <f t="shared" si="250"/>
        <v>0</v>
      </c>
      <c r="DX192" s="80">
        <f t="shared" si="250"/>
        <v>0</v>
      </c>
      <c r="DY192" s="80">
        <f t="shared" si="250"/>
        <v>0</v>
      </c>
      <c r="DZ192" s="80">
        <f t="shared" si="250"/>
        <v>0</v>
      </c>
      <c r="EA192" s="80">
        <f t="shared" si="250"/>
        <v>0</v>
      </c>
      <c r="EB192" s="80">
        <f t="shared" si="250"/>
        <v>0</v>
      </c>
      <c r="EC192" s="80">
        <f t="shared" si="250"/>
        <v>0</v>
      </c>
      <c r="ED192" s="80">
        <f t="shared" si="250"/>
        <v>0</v>
      </c>
      <c r="EE192" s="80">
        <f t="shared" si="250"/>
        <v>0</v>
      </c>
      <c r="EF192" s="80">
        <f t="shared" si="250"/>
        <v>0</v>
      </c>
      <c r="EG192" s="80">
        <f t="shared" si="250"/>
        <v>0</v>
      </c>
      <c r="EH192" s="80">
        <f t="shared" si="250"/>
        <v>0</v>
      </c>
      <c r="EI192" s="80">
        <f t="shared" si="250"/>
        <v>0</v>
      </c>
      <c r="EJ192" s="80">
        <f t="shared" si="250"/>
        <v>0</v>
      </c>
      <c r="EK192" s="80">
        <f t="shared" si="250"/>
        <v>0</v>
      </c>
      <c r="EL192" s="80">
        <f t="shared" si="250"/>
        <v>0</v>
      </c>
      <c r="EM192" s="80">
        <f t="shared" si="250"/>
        <v>0</v>
      </c>
      <c r="EN192" s="80">
        <f t="shared" si="250"/>
        <v>0</v>
      </c>
      <c r="EO192" s="80">
        <f t="shared" si="250"/>
        <v>0</v>
      </c>
      <c r="EP192" s="80">
        <f t="shared" si="250"/>
        <v>0</v>
      </c>
      <c r="EQ192" s="80">
        <f t="shared" si="250"/>
        <v>0</v>
      </c>
      <c r="ER192" s="80">
        <f t="shared" si="250"/>
        <v>0</v>
      </c>
      <c r="ES192" s="80">
        <f t="shared" si="250"/>
        <v>0</v>
      </c>
      <c r="ET192" s="80">
        <f t="shared" si="250"/>
        <v>0</v>
      </c>
      <c r="EU192" s="80">
        <f t="shared" si="250"/>
        <v>0</v>
      </c>
      <c r="EV192" s="80">
        <f t="shared" ref="EV192:GX192" si="251">IF(EV$160=0,"",EV158/EV$160)</f>
        <v>0</v>
      </c>
      <c r="EW192" s="80">
        <f t="shared" si="251"/>
        <v>0</v>
      </c>
      <c r="EX192" s="80">
        <f t="shared" si="251"/>
        <v>0</v>
      </c>
      <c r="EY192" s="80">
        <f t="shared" si="251"/>
        <v>0</v>
      </c>
      <c r="EZ192" s="80">
        <f t="shared" si="251"/>
        <v>0</v>
      </c>
      <c r="FA192" s="80">
        <f t="shared" si="251"/>
        <v>0</v>
      </c>
      <c r="FB192" s="80">
        <f t="shared" si="251"/>
        <v>0</v>
      </c>
      <c r="FC192" s="80">
        <f t="shared" si="251"/>
        <v>0</v>
      </c>
      <c r="FD192" s="80">
        <f t="shared" si="251"/>
        <v>0</v>
      </c>
      <c r="FE192" s="80">
        <f t="shared" si="251"/>
        <v>0</v>
      </c>
      <c r="FF192" s="80">
        <f t="shared" si="251"/>
        <v>0</v>
      </c>
      <c r="FG192" s="80">
        <f t="shared" si="251"/>
        <v>0</v>
      </c>
      <c r="FH192" s="80">
        <f t="shared" si="251"/>
        <v>0</v>
      </c>
      <c r="FI192" s="80">
        <f t="shared" si="251"/>
        <v>0</v>
      </c>
      <c r="FJ192" s="80">
        <f t="shared" si="251"/>
        <v>0</v>
      </c>
      <c r="FK192" s="80">
        <f t="shared" si="251"/>
        <v>0</v>
      </c>
      <c r="FL192" s="80">
        <f t="shared" si="251"/>
        <v>0</v>
      </c>
      <c r="FM192" s="80">
        <f t="shared" si="251"/>
        <v>0</v>
      </c>
      <c r="FN192" s="80">
        <f t="shared" si="251"/>
        <v>0</v>
      </c>
      <c r="FO192" s="80">
        <f t="shared" si="251"/>
        <v>0</v>
      </c>
      <c r="FP192" s="80">
        <f t="shared" si="251"/>
        <v>0</v>
      </c>
      <c r="FQ192" s="80">
        <f t="shared" si="251"/>
        <v>0</v>
      </c>
      <c r="FR192" s="80">
        <f t="shared" si="251"/>
        <v>0</v>
      </c>
      <c r="FS192" s="80">
        <f t="shared" si="251"/>
        <v>0</v>
      </c>
      <c r="FT192" s="80">
        <f t="shared" si="251"/>
        <v>0</v>
      </c>
      <c r="FU192" s="80">
        <f t="shared" si="251"/>
        <v>0</v>
      </c>
      <c r="FV192" s="80">
        <f t="shared" si="251"/>
        <v>0</v>
      </c>
      <c r="FW192" s="80">
        <f t="shared" si="251"/>
        <v>0</v>
      </c>
      <c r="FX192" s="80">
        <f t="shared" si="251"/>
        <v>0</v>
      </c>
      <c r="FY192" s="80">
        <f t="shared" si="251"/>
        <v>0</v>
      </c>
      <c r="FZ192" s="80">
        <f t="shared" si="251"/>
        <v>0</v>
      </c>
      <c r="GA192" s="80">
        <f t="shared" si="251"/>
        <v>0</v>
      </c>
      <c r="GB192" s="80">
        <f t="shared" si="251"/>
        <v>0</v>
      </c>
      <c r="GC192" s="80">
        <f t="shared" si="251"/>
        <v>0</v>
      </c>
      <c r="GD192" s="80">
        <f t="shared" si="251"/>
        <v>0</v>
      </c>
      <c r="GE192" s="80">
        <f t="shared" si="251"/>
        <v>0</v>
      </c>
      <c r="GF192" s="80">
        <f t="shared" si="251"/>
        <v>0</v>
      </c>
      <c r="GG192" s="80">
        <f t="shared" si="251"/>
        <v>0</v>
      </c>
      <c r="GH192" s="80">
        <f t="shared" si="251"/>
        <v>0</v>
      </c>
      <c r="GI192" s="80">
        <f t="shared" si="251"/>
        <v>0</v>
      </c>
      <c r="GJ192" s="80">
        <f t="shared" si="251"/>
        <v>0</v>
      </c>
      <c r="GK192" s="80">
        <f t="shared" si="251"/>
        <v>0</v>
      </c>
      <c r="GL192" s="80">
        <f t="shared" si="251"/>
        <v>0</v>
      </c>
      <c r="GM192" s="80">
        <f t="shared" si="251"/>
        <v>0</v>
      </c>
      <c r="GN192" s="80">
        <f t="shared" si="251"/>
        <v>0</v>
      </c>
      <c r="GO192" s="80">
        <f t="shared" si="251"/>
        <v>0</v>
      </c>
      <c r="GP192" s="80">
        <f t="shared" si="251"/>
        <v>0</v>
      </c>
      <c r="GQ192" s="80">
        <f t="shared" si="251"/>
        <v>0</v>
      </c>
      <c r="GR192" s="80">
        <f t="shared" si="251"/>
        <v>0</v>
      </c>
      <c r="GS192" s="80">
        <f t="shared" si="251"/>
        <v>0</v>
      </c>
      <c r="GT192" s="80">
        <f t="shared" si="251"/>
        <v>0</v>
      </c>
      <c r="GU192" s="80">
        <f t="shared" si="251"/>
        <v>0</v>
      </c>
      <c r="GV192" s="80">
        <f t="shared" si="251"/>
        <v>0</v>
      </c>
      <c r="GW192" s="80">
        <f t="shared" si="251"/>
        <v>0</v>
      </c>
      <c r="GX192" s="80">
        <f t="shared" si="251"/>
        <v>0</v>
      </c>
    </row>
    <row r="193" spans="1:206" x14ac:dyDescent="0.2">
      <c r="A193" s="86">
        <v>5</v>
      </c>
      <c r="B193" s="86" t="s">
        <v>259</v>
      </c>
      <c r="W193" s="80">
        <f>IF(W$160=0,"",W159/W$160)</f>
        <v>0.36309523809523808</v>
      </c>
      <c r="X193" s="80">
        <f t="shared" ref="X193:CI193" si="252">IF(X$160=0,"",X159/X$160)</f>
        <v>0.36309523809523808</v>
      </c>
      <c r="Y193" s="80">
        <f t="shared" si="252"/>
        <v>0.32620320855614976</v>
      </c>
      <c r="Z193" s="80">
        <f t="shared" si="252"/>
        <v>0.32620320855614976</v>
      </c>
      <c r="AA193" s="80">
        <f t="shared" si="252"/>
        <v>0.32620320855614976</v>
      </c>
      <c r="AB193" s="80">
        <f t="shared" si="252"/>
        <v>0.23529411764705882</v>
      </c>
      <c r="AC193" s="80">
        <f t="shared" si="252"/>
        <v>0.23529411764705882</v>
      </c>
      <c r="AD193" s="80">
        <f t="shared" si="252"/>
        <v>0.59893048128342241</v>
      </c>
      <c r="AE193" s="80">
        <f t="shared" si="252"/>
        <v>0.5935828877005348</v>
      </c>
      <c r="AF193" s="80">
        <f t="shared" si="252"/>
        <v>0.5935828877005348</v>
      </c>
      <c r="AG193" s="80">
        <f t="shared" si="252"/>
        <v>0.63101604278074863</v>
      </c>
      <c r="AH193" s="80">
        <f t="shared" si="252"/>
        <v>0.54545454545454541</v>
      </c>
      <c r="AI193" s="80">
        <f t="shared" si="252"/>
        <v>0.50802139037433158</v>
      </c>
      <c r="AJ193" s="80">
        <f t="shared" si="252"/>
        <v>0.44919786096256686</v>
      </c>
      <c r="AK193" s="80">
        <f t="shared" si="252"/>
        <v>0.44919786096256686</v>
      </c>
      <c r="AL193" s="80">
        <f t="shared" si="252"/>
        <v>0.44919786096256686</v>
      </c>
      <c r="AM193" s="80">
        <f t="shared" si="252"/>
        <v>0.44919786096256686</v>
      </c>
      <c r="AN193" s="80">
        <f t="shared" si="252"/>
        <v>0.44919786096256686</v>
      </c>
      <c r="AO193" s="80">
        <f t="shared" si="252"/>
        <v>0.44919786096256686</v>
      </c>
      <c r="AP193" s="80">
        <f t="shared" si="252"/>
        <v>0.44919786096256686</v>
      </c>
      <c r="AQ193" s="80">
        <f t="shared" si="252"/>
        <v>0.44919786096256686</v>
      </c>
      <c r="AR193" s="80">
        <f t="shared" si="252"/>
        <v>0.44919786096256686</v>
      </c>
      <c r="AS193" s="80">
        <f t="shared" si="252"/>
        <v>0.44919786096256686</v>
      </c>
      <c r="AT193" s="80">
        <f t="shared" si="252"/>
        <v>0.44919786096256686</v>
      </c>
      <c r="AU193" s="80">
        <f t="shared" si="252"/>
        <v>0.44919786096256686</v>
      </c>
      <c r="AV193" s="80">
        <f t="shared" si="252"/>
        <v>0.44919786096256686</v>
      </c>
      <c r="AW193" s="80">
        <f t="shared" si="252"/>
        <v>0</v>
      </c>
      <c r="AX193" s="80">
        <f t="shared" si="252"/>
        <v>0</v>
      </c>
      <c r="AY193" s="80">
        <f t="shared" si="252"/>
        <v>0</v>
      </c>
      <c r="AZ193" s="80">
        <f t="shared" si="252"/>
        <v>0</v>
      </c>
      <c r="BA193" s="80">
        <f t="shared" si="252"/>
        <v>0</v>
      </c>
      <c r="BB193" s="80">
        <f t="shared" si="252"/>
        <v>0</v>
      </c>
      <c r="BC193" s="80">
        <f t="shared" si="252"/>
        <v>0</v>
      </c>
      <c r="BD193" s="80">
        <f t="shared" si="252"/>
        <v>0</v>
      </c>
      <c r="BE193" s="80">
        <f t="shared" si="252"/>
        <v>0</v>
      </c>
      <c r="BF193" s="80">
        <f t="shared" si="252"/>
        <v>0</v>
      </c>
      <c r="BG193" s="80">
        <f t="shared" si="252"/>
        <v>0</v>
      </c>
      <c r="BH193" s="80">
        <f t="shared" si="252"/>
        <v>0</v>
      </c>
      <c r="BI193" s="80">
        <f t="shared" si="252"/>
        <v>0</v>
      </c>
      <c r="BJ193" s="80">
        <f t="shared" si="252"/>
        <v>0</v>
      </c>
      <c r="BK193" s="80">
        <f t="shared" si="252"/>
        <v>0</v>
      </c>
      <c r="BL193" s="80">
        <f t="shared" si="252"/>
        <v>0</v>
      </c>
      <c r="BM193" s="80">
        <f t="shared" si="252"/>
        <v>0</v>
      </c>
      <c r="BN193" s="80">
        <f t="shared" si="252"/>
        <v>0</v>
      </c>
      <c r="BO193" s="80">
        <f t="shared" si="252"/>
        <v>0</v>
      </c>
      <c r="BP193" s="80">
        <f t="shared" si="252"/>
        <v>0</v>
      </c>
      <c r="BQ193" s="80">
        <f t="shared" si="252"/>
        <v>0</v>
      </c>
      <c r="BR193" s="80">
        <f t="shared" si="252"/>
        <v>0</v>
      </c>
      <c r="BS193" s="80">
        <f t="shared" si="252"/>
        <v>0</v>
      </c>
      <c r="BT193" s="80">
        <f t="shared" si="252"/>
        <v>0</v>
      </c>
      <c r="BU193" s="80">
        <f t="shared" si="252"/>
        <v>0</v>
      </c>
      <c r="BV193" s="80">
        <f t="shared" si="252"/>
        <v>0</v>
      </c>
      <c r="BW193" s="80">
        <f t="shared" si="252"/>
        <v>0</v>
      </c>
      <c r="BX193" s="80">
        <f t="shared" si="252"/>
        <v>0</v>
      </c>
      <c r="BY193" s="80">
        <f t="shared" si="252"/>
        <v>0</v>
      </c>
      <c r="BZ193" s="80">
        <f t="shared" si="252"/>
        <v>0</v>
      </c>
      <c r="CA193" s="80">
        <f t="shared" si="252"/>
        <v>0</v>
      </c>
      <c r="CB193" s="80">
        <f t="shared" si="252"/>
        <v>0.29411764705882354</v>
      </c>
      <c r="CC193" s="80">
        <f t="shared" si="252"/>
        <v>0.55080213903743314</v>
      </c>
      <c r="CD193" s="80">
        <f t="shared" si="252"/>
        <v>0.55080213903743314</v>
      </c>
      <c r="CE193" s="80">
        <f t="shared" si="252"/>
        <v>0.55080213903743314</v>
      </c>
      <c r="CF193" s="80">
        <f t="shared" si="252"/>
        <v>0.55080213903743314</v>
      </c>
      <c r="CG193" s="80">
        <f t="shared" si="252"/>
        <v>0.55080213903743314</v>
      </c>
      <c r="CH193" s="80">
        <f t="shared" si="252"/>
        <v>0.55080213903743314</v>
      </c>
      <c r="CI193" s="80">
        <f t="shared" si="252"/>
        <v>0.55080213903743314</v>
      </c>
      <c r="CJ193" s="80">
        <f t="shared" ref="CJ193:EU193" si="253">IF(CJ$160=0,"",CJ159/CJ$160)</f>
        <v>0.55080213903743314</v>
      </c>
      <c r="CK193" s="80">
        <f t="shared" si="253"/>
        <v>0.55080213903743314</v>
      </c>
      <c r="CL193" s="80">
        <f t="shared" si="253"/>
        <v>0.55080213903743314</v>
      </c>
      <c r="CM193" s="80">
        <f t="shared" si="253"/>
        <v>0.55080213903743314</v>
      </c>
      <c r="CN193" s="80">
        <f t="shared" si="253"/>
        <v>0.58288770053475936</v>
      </c>
      <c r="CO193" s="80">
        <f t="shared" si="253"/>
        <v>0.82352941176470584</v>
      </c>
      <c r="CP193" s="80">
        <f t="shared" si="253"/>
        <v>0.82352941176470584</v>
      </c>
      <c r="CQ193" s="80">
        <f t="shared" si="253"/>
        <v>1</v>
      </c>
      <c r="CR193" s="80">
        <f t="shared" si="253"/>
        <v>1</v>
      </c>
      <c r="CS193" s="80">
        <f t="shared" si="253"/>
        <v>1</v>
      </c>
      <c r="CT193" s="80">
        <f t="shared" si="253"/>
        <v>1</v>
      </c>
      <c r="CU193" s="80">
        <f t="shared" si="253"/>
        <v>1</v>
      </c>
      <c r="CV193" s="80">
        <f t="shared" si="253"/>
        <v>1</v>
      </c>
      <c r="CW193" s="80">
        <f t="shared" si="253"/>
        <v>1</v>
      </c>
      <c r="CX193" s="80">
        <f t="shared" si="253"/>
        <v>1</v>
      </c>
      <c r="CY193" s="80">
        <f t="shared" si="253"/>
        <v>1</v>
      </c>
      <c r="CZ193" s="80">
        <f t="shared" si="253"/>
        <v>1</v>
      </c>
      <c r="DA193" s="80">
        <f t="shared" si="253"/>
        <v>1</v>
      </c>
      <c r="DB193" s="80">
        <f t="shared" si="253"/>
        <v>1</v>
      </c>
      <c r="DC193" s="80">
        <f t="shared" si="253"/>
        <v>1</v>
      </c>
      <c r="DD193" s="80">
        <f t="shared" si="253"/>
        <v>1</v>
      </c>
      <c r="DE193" s="80">
        <f t="shared" si="253"/>
        <v>1</v>
      </c>
      <c r="DF193" s="80">
        <f t="shared" si="253"/>
        <v>1</v>
      </c>
      <c r="DG193" s="80">
        <f t="shared" si="253"/>
        <v>1</v>
      </c>
      <c r="DH193" s="80">
        <f t="shared" si="253"/>
        <v>1</v>
      </c>
      <c r="DI193" s="80">
        <f t="shared" si="253"/>
        <v>1</v>
      </c>
      <c r="DJ193" s="80">
        <f t="shared" si="253"/>
        <v>1</v>
      </c>
      <c r="DK193" s="80">
        <f t="shared" si="253"/>
        <v>1</v>
      </c>
      <c r="DL193" s="80">
        <f t="shared" si="253"/>
        <v>1</v>
      </c>
      <c r="DM193" s="80">
        <f t="shared" si="253"/>
        <v>1</v>
      </c>
      <c r="DN193" s="80">
        <f t="shared" si="253"/>
        <v>1</v>
      </c>
      <c r="DO193" s="80">
        <f t="shared" si="253"/>
        <v>1</v>
      </c>
      <c r="DP193" s="80">
        <f t="shared" si="253"/>
        <v>1</v>
      </c>
      <c r="DQ193" s="80">
        <f t="shared" si="253"/>
        <v>1</v>
      </c>
      <c r="DR193" s="80">
        <f t="shared" si="253"/>
        <v>1</v>
      </c>
      <c r="DS193" s="80">
        <f t="shared" si="253"/>
        <v>1</v>
      </c>
      <c r="DT193" s="80">
        <f t="shared" si="253"/>
        <v>1</v>
      </c>
      <c r="DU193" s="80">
        <f t="shared" si="253"/>
        <v>1</v>
      </c>
      <c r="DV193" s="80">
        <f t="shared" si="253"/>
        <v>1</v>
      </c>
      <c r="DW193" s="80">
        <f t="shared" si="253"/>
        <v>1</v>
      </c>
      <c r="DX193" s="80">
        <f t="shared" si="253"/>
        <v>1</v>
      </c>
      <c r="DY193" s="80">
        <f t="shared" si="253"/>
        <v>1</v>
      </c>
      <c r="DZ193" s="80">
        <f t="shared" si="253"/>
        <v>1</v>
      </c>
      <c r="EA193" s="80">
        <f t="shared" si="253"/>
        <v>1</v>
      </c>
      <c r="EB193" s="80">
        <f t="shared" si="253"/>
        <v>1</v>
      </c>
      <c r="EC193" s="80">
        <f t="shared" si="253"/>
        <v>1</v>
      </c>
      <c r="ED193" s="80">
        <f t="shared" si="253"/>
        <v>1</v>
      </c>
      <c r="EE193" s="80">
        <f t="shared" si="253"/>
        <v>1</v>
      </c>
      <c r="EF193" s="80">
        <f t="shared" si="253"/>
        <v>1</v>
      </c>
      <c r="EG193" s="80">
        <f t="shared" si="253"/>
        <v>1</v>
      </c>
      <c r="EH193" s="80">
        <f t="shared" si="253"/>
        <v>1</v>
      </c>
      <c r="EI193" s="80">
        <f t="shared" si="253"/>
        <v>1</v>
      </c>
      <c r="EJ193" s="80">
        <f t="shared" si="253"/>
        <v>1</v>
      </c>
      <c r="EK193" s="80">
        <f t="shared" si="253"/>
        <v>1</v>
      </c>
      <c r="EL193" s="80">
        <f t="shared" si="253"/>
        <v>1</v>
      </c>
      <c r="EM193" s="80">
        <f t="shared" si="253"/>
        <v>1</v>
      </c>
      <c r="EN193" s="80">
        <f t="shared" si="253"/>
        <v>1</v>
      </c>
      <c r="EO193" s="80">
        <f t="shared" si="253"/>
        <v>1</v>
      </c>
      <c r="EP193" s="80">
        <f t="shared" si="253"/>
        <v>1</v>
      </c>
      <c r="EQ193" s="80">
        <f t="shared" si="253"/>
        <v>1</v>
      </c>
      <c r="ER193" s="80">
        <f t="shared" si="253"/>
        <v>1</v>
      </c>
      <c r="ES193" s="80">
        <f t="shared" si="253"/>
        <v>1</v>
      </c>
      <c r="ET193" s="80">
        <f t="shared" si="253"/>
        <v>1</v>
      </c>
      <c r="EU193" s="80">
        <f t="shared" si="253"/>
        <v>1</v>
      </c>
      <c r="EV193" s="80">
        <f t="shared" ref="EV193:GX193" si="254">IF(EV$160=0,"",EV159/EV$160)</f>
        <v>1</v>
      </c>
      <c r="EW193" s="80">
        <f t="shared" si="254"/>
        <v>1</v>
      </c>
      <c r="EX193" s="80">
        <f t="shared" si="254"/>
        <v>1</v>
      </c>
      <c r="EY193" s="80">
        <f t="shared" si="254"/>
        <v>1</v>
      </c>
      <c r="EZ193" s="80">
        <f t="shared" si="254"/>
        <v>1</v>
      </c>
      <c r="FA193" s="80">
        <f t="shared" si="254"/>
        <v>1</v>
      </c>
      <c r="FB193" s="80">
        <f t="shared" si="254"/>
        <v>1</v>
      </c>
      <c r="FC193" s="80">
        <f t="shared" si="254"/>
        <v>1</v>
      </c>
      <c r="FD193" s="80">
        <f t="shared" si="254"/>
        <v>1</v>
      </c>
      <c r="FE193" s="80">
        <f t="shared" si="254"/>
        <v>1</v>
      </c>
      <c r="FF193" s="80">
        <f t="shared" si="254"/>
        <v>1</v>
      </c>
      <c r="FG193" s="80">
        <f t="shared" si="254"/>
        <v>1</v>
      </c>
      <c r="FH193" s="80">
        <f t="shared" si="254"/>
        <v>1</v>
      </c>
      <c r="FI193" s="80">
        <f t="shared" si="254"/>
        <v>1</v>
      </c>
      <c r="FJ193" s="80">
        <f t="shared" si="254"/>
        <v>1</v>
      </c>
      <c r="FK193" s="80">
        <f t="shared" si="254"/>
        <v>1</v>
      </c>
      <c r="FL193" s="80">
        <f t="shared" si="254"/>
        <v>1</v>
      </c>
      <c r="FM193" s="80">
        <f t="shared" si="254"/>
        <v>1</v>
      </c>
      <c r="FN193" s="80">
        <f t="shared" si="254"/>
        <v>1</v>
      </c>
      <c r="FO193" s="80">
        <f t="shared" si="254"/>
        <v>1</v>
      </c>
      <c r="FP193" s="80">
        <f t="shared" si="254"/>
        <v>1</v>
      </c>
      <c r="FQ193" s="80">
        <f t="shared" si="254"/>
        <v>1</v>
      </c>
      <c r="FR193" s="80">
        <f t="shared" si="254"/>
        <v>1</v>
      </c>
      <c r="FS193" s="80">
        <f t="shared" si="254"/>
        <v>1</v>
      </c>
      <c r="FT193" s="80">
        <f t="shared" si="254"/>
        <v>1</v>
      </c>
      <c r="FU193" s="80">
        <f t="shared" si="254"/>
        <v>1</v>
      </c>
      <c r="FV193" s="80">
        <f t="shared" si="254"/>
        <v>1</v>
      </c>
      <c r="FW193" s="80">
        <f t="shared" si="254"/>
        <v>1</v>
      </c>
      <c r="FX193" s="80">
        <f t="shared" si="254"/>
        <v>1</v>
      </c>
      <c r="FY193" s="80">
        <f t="shared" si="254"/>
        <v>1</v>
      </c>
      <c r="FZ193" s="80">
        <f t="shared" si="254"/>
        <v>1</v>
      </c>
      <c r="GA193" s="80">
        <f t="shared" si="254"/>
        <v>1</v>
      </c>
      <c r="GB193" s="80">
        <f t="shared" si="254"/>
        <v>1</v>
      </c>
      <c r="GC193" s="80">
        <f t="shared" si="254"/>
        <v>1</v>
      </c>
      <c r="GD193" s="80">
        <f t="shared" si="254"/>
        <v>1</v>
      </c>
      <c r="GE193" s="80">
        <f t="shared" si="254"/>
        <v>1</v>
      </c>
      <c r="GF193" s="80">
        <f t="shared" si="254"/>
        <v>1</v>
      </c>
      <c r="GG193" s="80">
        <f t="shared" si="254"/>
        <v>1</v>
      </c>
      <c r="GH193" s="80">
        <f t="shared" si="254"/>
        <v>1</v>
      </c>
      <c r="GI193" s="80">
        <f t="shared" si="254"/>
        <v>1</v>
      </c>
      <c r="GJ193" s="80">
        <f t="shared" si="254"/>
        <v>1</v>
      </c>
      <c r="GK193" s="80">
        <f t="shared" si="254"/>
        <v>1</v>
      </c>
      <c r="GL193" s="80">
        <f t="shared" si="254"/>
        <v>1</v>
      </c>
      <c r="GM193" s="80">
        <f t="shared" si="254"/>
        <v>1</v>
      </c>
      <c r="GN193" s="80">
        <f t="shared" si="254"/>
        <v>1</v>
      </c>
      <c r="GO193" s="80">
        <f t="shared" si="254"/>
        <v>1</v>
      </c>
      <c r="GP193" s="80">
        <f t="shared" si="254"/>
        <v>1</v>
      </c>
      <c r="GQ193" s="80">
        <f t="shared" si="254"/>
        <v>1</v>
      </c>
      <c r="GR193" s="80">
        <f t="shared" si="254"/>
        <v>1</v>
      </c>
      <c r="GS193" s="80">
        <f t="shared" si="254"/>
        <v>1</v>
      </c>
      <c r="GT193" s="80">
        <f t="shared" si="254"/>
        <v>1</v>
      </c>
      <c r="GU193" s="80">
        <f t="shared" si="254"/>
        <v>1</v>
      </c>
      <c r="GV193" s="80">
        <f t="shared" si="254"/>
        <v>1</v>
      </c>
      <c r="GW193" s="80">
        <f t="shared" si="254"/>
        <v>1</v>
      </c>
      <c r="GX193" s="80">
        <f t="shared" si="254"/>
        <v>1</v>
      </c>
    </row>
    <row r="195" spans="1:206" x14ac:dyDescent="0.2">
      <c r="A195" s="81" t="s">
        <v>5</v>
      </c>
      <c r="B195" s="81"/>
    </row>
    <row r="196" spans="1:206" x14ac:dyDescent="0.2">
      <c r="A196" s="82" t="s">
        <v>268</v>
      </c>
      <c r="B196" s="82" t="s">
        <v>31</v>
      </c>
      <c r="AO196" s="79">
        <f t="shared" ref="AO196:AT196" si="255">+AO197-AN197</f>
        <v>-56.379999999999882</v>
      </c>
      <c r="AP196" s="79">
        <f t="shared" si="255"/>
        <v>-57.690000000000055</v>
      </c>
      <c r="AQ196" s="79">
        <f t="shared" si="255"/>
        <v>63.210000000000036</v>
      </c>
      <c r="AR196" s="79">
        <f t="shared" si="255"/>
        <v>116.7800000000002</v>
      </c>
      <c r="AS196" s="79">
        <f t="shared" si="255"/>
        <v>171.23000000000002</v>
      </c>
      <c r="AT196" s="79">
        <f t="shared" si="255"/>
        <v>15.7800000000002</v>
      </c>
    </row>
    <row r="197" spans="1:206" x14ac:dyDescent="0.2">
      <c r="A197" s="90" t="s">
        <v>7</v>
      </c>
      <c r="B197" s="83" t="s">
        <v>269</v>
      </c>
      <c r="W197" s="79" cm="1">
        <f t="array" ref="W197">SUMPRODUCT((W$2:W$126&gt;=0)*(W$2:W$126&lt;=12)*(W$2:W$126&lt;&gt;"")*($J$2:$J$126))</f>
        <v>936.16</v>
      </c>
      <c r="X197" s="79" cm="1">
        <f t="array" ref="X197">SUMPRODUCT((X$2:X$126&gt;=0)*(X$2:X$126&lt;=12)*(X$2:X$126&lt;&gt;"")*($J$2:$J$126))</f>
        <v>948.93000000000006</v>
      </c>
      <c r="Y197" s="79" cm="1">
        <f t="array" ref="Y197">SUMPRODUCT((Y$2:Y$126&gt;=0)*(Y$2:Y$126&lt;=12)*(Y$2:Y$126&lt;&gt;"")*($J$2:$J$126))</f>
        <v>908.18000000000006</v>
      </c>
      <c r="Z197" s="79" cm="1">
        <f t="array" ref="Z197">SUMPRODUCT((Z$2:Z$126&gt;=0)*(Z$2:Z$126&lt;=12)*(Z$2:Z$126&lt;&gt;"")*($J$2:$J$126))</f>
        <v>876.00000000000011</v>
      </c>
      <c r="AA197" s="79" cm="1">
        <f t="array" ref="AA197">SUMPRODUCT((AA$2:AA$126&gt;=0)*(AA$2:AA$126&lt;=12)*(AA$2:AA$126&lt;&gt;"")*($J$2:$J$126))</f>
        <v>876.00000000000011</v>
      </c>
      <c r="AB197" s="79" cm="1">
        <f t="array" ref="AB197">SUMPRODUCT((AB$2:AB$126&gt;=0)*(AB$2:AB$126&lt;=12)*(AB$2:AB$126&lt;&gt;"")*($J$2:$J$126))</f>
        <v>867.6400000000001</v>
      </c>
      <c r="AC197" s="79" cm="1">
        <f t="array" ref="AC197">SUMPRODUCT((AC$2:AC$126&gt;=0)*(AC$2:AC$126&lt;=12)*(AC$2:AC$126&lt;&gt;"")*($J$2:$J$126))</f>
        <v>884.67000000000007</v>
      </c>
      <c r="AD197" s="79" cm="1">
        <f t="array" ref="AD197">SUMPRODUCT((AD$2:AD$126&gt;=0)*(AD$2:AD$126&lt;=12)*(AD$2:AD$126&lt;&gt;"")*($J$2:$J$126))</f>
        <v>745.20000000000016</v>
      </c>
      <c r="AE197" s="79" cm="1">
        <f t="array" ref="AE197">SUMPRODUCT((AE$2:AE$126&gt;=0)*(AE$2:AE$126&lt;=12)*(AE$2:AE$126&lt;&gt;"")*($J$2:$J$126))</f>
        <v>781.80000000000007</v>
      </c>
      <c r="AF197" s="79" cm="1">
        <f t="array" ref="AF197">SUMPRODUCT((AF$2:AF$126&gt;=0)*(AF$2:AF$126&lt;=12)*(AF$2:AF$126&lt;&gt;"")*($J$2:$J$126))</f>
        <v>812.63</v>
      </c>
      <c r="AG197" s="79" cm="1">
        <f t="array" ref="AG197">SUMPRODUCT((AG$2:AG$126&gt;=0)*(AG$2:AG$126&lt;=12)*(AG$2:AG$126&lt;&gt;"")*($J$2:$J$126))</f>
        <v>894.62</v>
      </c>
      <c r="AH197" s="79" cm="1">
        <f t="array" ref="AH197">SUMPRODUCT((AH$2:AH$126&gt;=0)*(AH$2:AH$126&lt;=12)*(AH$2:AH$126&lt;&gt;"")*($J$2:$J$126))</f>
        <v>982.32999999999981</v>
      </c>
      <c r="AI197" s="79" cm="1">
        <f t="array" ref="AI197">SUMPRODUCT((AI$2:AI$126&gt;=0)*(AI$2:AI$126&lt;=12)*(AI$2:AI$126&lt;&gt;"")*($J$2:$J$126))</f>
        <v>993.29999999999984</v>
      </c>
      <c r="AJ197" s="79" cm="1">
        <f t="array" ref="AJ197">SUMPRODUCT((AJ$2:AJ$126&gt;=0)*(AJ$2:AJ$126&lt;=12)*(AJ$2:AJ$126&lt;&gt;"")*($J$2:$J$126))</f>
        <v>1067.5</v>
      </c>
      <c r="AK197" s="79" cm="1">
        <f t="array" ref="AK197">SUMPRODUCT((AK$2:AK$126&gt;=0)*(AK$2:AK$126&lt;=12)*(AK$2:AK$126&lt;&gt;"")*($J$2:$J$126))</f>
        <v>1142.6399999999999</v>
      </c>
      <c r="AL197" s="79" cm="1">
        <f t="array" ref="AL197">SUMPRODUCT((AL$2:AL$126&gt;=0)*(AL$2:AL$126&lt;=12)*(AL$2:AL$126&lt;&gt;"")*($J$2:$J$126))</f>
        <v>1102.6199999999999</v>
      </c>
      <c r="AM197" s="79" cm="1">
        <f t="array" ref="AM197">SUMPRODUCT((AM$2:AM$126&gt;=0)*(AM$2:AM$126&lt;=12)*(AM$2:AM$126&lt;&gt;"")*($J$2:$J$126))</f>
        <v>1193.8599999999999</v>
      </c>
      <c r="AN197" s="79" cm="1">
        <f t="array" ref="AN197">SUMPRODUCT((AN$2:AN$126&gt;=0)*(AN$2:AN$126&lt;=12)*(AN$2:AN$126&lt;&gt;"")*($J$2:$J$126))</f>
        <v>1266.6299999999999</v>
      </c>
      <c r="AO197" s="79" cm="1">
        <f t="array" ref="AO197">SUMPRODUCT((AO$2:AO$126&gt;=0)*(AO$2:AO$126&lt;=12)*(AO$2:AO$126&lt;&gt;"")*($J$2:$J$126))</f>
        <v>1210.25</v>
      </c>
      <c r="AP197" s="79" cm="1">
        <f t="array" ref="AP197">SUMPRODUCT((AP$2:AP$126&gt;=0)*(AP$2:AP$126&lt;=12)*(AP$2:AP$126&lt;&gt;"")*($J$2:$J$126))</f>
        <v>1152.56</v>
      </c>
      <c r="AQ197" s="79" cm="1">
        <f t="array" ref="AQ197">SUMPRODUCT((AQ$2:AQ$126&gt;=0)*(AQ$2:AQ$126&lt;=12)*(AQ$2:AQ$126&lt;&gt;"")*($J$2:$J$126))</f>
        <v>1215.77</v>
      </c>
      <c r="AR197" s="79" cm="1">
        <f t="array" ref="AR197">SUMPRODUCT((AR$2:AR$126&gt;=0)*(AR$2:AR$126&lt;=12)*(AR$2:AR$126&lt;&gt;"")*($J$2:$J$126))</f>
        <v>1332.5500000000002</v>
      </c>
      <c r="AS197" s="79" cm="1">
        <f t="array" ref="AS197">SUMPRODUCT((AS$2:AS$126&gt;=0)*(AS$2:AS$126&lt;=12)*(AS$2:AS$126&lt;&gt;"")*($J$2:$J$126))</f>
        <v>1503.7800000000002</v>
      </c>
      <c r="AT197" s="79" cm="1">
        <f t="array" ref="AT197">SUMPRODUCT((AT$2:AT$126&gt;=0)*(AT$2:AT$126&lt;=12)*(AT$2:AT$126&lt;&gt;"")*($J$2:$J$126))</f>
        <v>1519.5600000000004</v>
      </c>
      <c r="AU197" s="79" cm="1">
        <f t="array" ref="AU197">SUMPRODUCT((AU$2:AU$126&gt;=0)*(AU$2:AU$126&lt;=12)*(AU$2:AU$126&lt;&gt;"")*($J$2:$J$126))</f>
        <v>1439.4100000000003</v>
      </c>
      <c r="AV197" s="79" cm="1">
        <f t="array" ref="AV197">SUMPRODUCT((AV$2:AV$126&gt;=0)*(AV$2:AV$126&lt;=12)*(AV$2:AV$126&lt;&gt;"")*($J$2:$J$126))</f>
        <v>1362.6000000000004</v>
      </c>
      <c r="AW197" s="79" cm="1">
        <f t="array" ref="AW197">SUMPRODUCT((AW$2:AW$126&gt;=0)*(AW$2:AW$126&lt;=12)*(AW$2:AW$126&lt;&gt;"")*($J$2:$J$126))</f>
        <v>1472.0600000000002</v>
      </c>
      <c r="AX197" s="79" cm="1">
        <f t="array" ref="AX197">SUMPRODUCT((AX$2:AX$126&gt;=0)*(AX$2:AX$126&lt;=12)*(AX$2:AX$126&lt;&gt;"")*($J$2:$J$126))</f>
        <v>1368.8000000000004</v>
      </c>
      <c r="AY197" s="79" cm="1">
        <f t="array" ref="AY197">SUMPRODUCT((AY$2:AY$126&gt;=0)*(AY$2:AY$126&lt;=12)*(AY$2:AY$126&lt;&gt;"")*($J$2:$J$126))</f>
        <v>1485.3300000000002</v>
      </c>
      <c r="AZ197" s="79" cm="1">
        <f t="array" ref="AZ197">SUMPRODUCT((AZ$2:AZ$126&gt;=0)*(AZ$2:AZ$126&lt;=12)*(AZ$2:AZ$126&lt;&gt;"")*($J$2:$J$126))</f>
        <v>1440.7699999999998</v>
      </c>
      <c r="BA197" s="79" cm="1">
        <f t="array" ref="BA197">SUMPRODUCT((BA$2:BA$126&gt;=0)*(BA$2:BA$126&lt;=12)*(BA$2:BA$126&lt;&gt;"")*($J$2:$J$126))</f>
        <v>1666.68</v>
      </c>
      <c r="BB197" s="79" cm="1">
        <f t="array" ref="BB197">SUMPRODUCT((BB$2:BB$126&gt;=0)*(BB$2:BB$126&lt;=12)*(BB$2:BB$126&lt;&gt;"")*($J$2:$J$126))</f>
        <v>1736.46</v>
      </c>
      <c r="BC197" s="79" cm="1">
        <f t="array" ref="BC197">SUMPRODUCT((BC$2:BC$126&gt;=0)*(BC$2:BC$126&lt;=12)*(BC$2:BC$126&lt;&gt;"")*($J$2:$J$126))</f>
        <v>1723.3500000000001</v>
      </c>
      <c r="BD197" s="79" cm="1">
        <f t="array" ref="BD197">SUMPRODUCT((BD$2:BD$126&gt;=0)*(BD$2:BD$126&lt;=12)*(BD$2:BD$126&lt;&gt;"")*($J$2:$J$126))</f>
        <v>1782.6800000000003</v>
      </c>
      <c r="BE197" s="79" cm="1">
        <f t="array" ref="BE197">SUMPRODUCT((BE$2:BE$126&gt;=0)*(BE$2:BE$126&lt;=12)*(BE$2:BE$126&lt;&gt;"")*($J$2:$J$126))</f>
        <v>1668.2</v>
      </c>
      <c r="BF197" s="79" cm="1">
        <f t="array" ref="BF197">SUMPRODUCT((BF$2:BF$126&gt;=0)*(BF$2:BF$126&lt;=12)*(BF$2:BF$126&lt;&gt;"")*($J$2:$J$126))</f>
        <v>1701.4800000000005</v>
      </c>
      <c r="BG197" s="79" cm="1">
        <f t="array" ref="BG197">SUMPRODUCT((BG$2:BG$126&gt;=0)*(BG$2:BG$126&lt;=12)*(BG$2:BG$126&lt;&gt;"")*($J$2:$J$126))</f>
        <v>1757.88</v>
      </c>
      <c r="BH197" s="79" cm="1">
        <f t="array" ref="BH197">SUMPRODUCT((BH$2:BH$126&gt;=0)*(BH$2:BH$126&lt;=12)*(BH$2:BH$126&lt;&gt;"")*($J$2:$J$126))</f>
        <v>1720.5900000000001</v>
      </c>
      <c r="BI197" s="79" cm="1">
        <f t="array" ref="BI197">SUMPRODUCT((BI$2:BI$126&gt;=0)*(BI$2:BI$126&lt;=12)*(BI$2:BI$126&lt;&gt;"")*($J$2:$J$126))</f>
        <v>1772.3600000000001</v>
      </c>
      <c r="BJ197" s="79" cm="1">
        <f t="array" ref="BJ197">SUMPRODUCT((BJ$2:BJ$126&gt;=0)*(BJ$2:BJ$126&lt;=12)*(BJ$2:BJ$126&lt;&gt;"")*($J$2:$J$126))</f>
        <v>1552.3600000000004</v>
      </c>
      <c r="BK197" s="79" cm="1">
        <f t="array" ref="BK197">SUMPRODUCT((BK$2:BK$126&gt;=0)*(BK$2:BK$126&lt;=12)*(BK$2:BK$126&lt;&gt;"")*($J$2:$J$126))</f>
        <v>1616.0600000000004</v>
      </c>
      <c r="BL197" s="79" cm="1">
        <f t="array" ref="BL197">SUMPRODUCT((BL$2:BL$126&gt;=0)*(BL$2:BL$126&lt;=12)*(BL$2:BL$126&lt;&gt;"")*($J$2:$J$126))</f>
        <v>1616.9900000000002</v>
      </c>
      <c r="BM197" s="79" cm="1">
        <f t="array" ref="BM197">SUMPRODUCT((BM$2:BM$126&gt;=0)*(BM$2:BM$126&lt;=12)*(BM$2:BM$126&lt;&gt;"")*($J$2:$J$126))</f>
        <v>1703.3000000000004</v>
      </c>
      <c r="BN197" s="79" cm="1">
        <f t="array" ref="BN197">SUMPRODUCT((BN$2:BN$126&gt;=0)*(BN$2:BN$126&lt;=12)*(BN$2:BN$126&lt;&gt;"")*($J$2:$J$126))</f>
        <v>1530.7600000000002</v>
      </c>
      <c r="BO197" s="79" cm="1">
        <f t="array" ref="BO197">SUMPRODUCT((BO$2:BO$126&gt;=0)*(BO$2:BO$126&lt;=12)*(BO$2:BO$126&lt;&gt;"")*($J$2:$J$126))</f>
        <v>1680.2900000000002</v>
      </c>
      <c r="BP197" s="79" cm="1">
        <f t="array" ref="BP197">SUMPRODUCT((BP$2:BP$126&gt;=0)*(BP$2:BP$126&lt;=12)*(BP$2:BP$126&lt;&gt;"")*($J$2:$J$126))</f>
        <v>1680.2900000000002</v>
      </c>
      <c r="BQ197" s="79" cm="1">
        <f t="array" ref="BQ197">SUMPRODUCT((BQ$2:BQ$126&gt;=0)*(BQ$2:BQ$126&lt;=12)*(BQ$2:BQ$126&lt;&gt;"")*($J$2:$J$126))</f>
        <v>1552.1100000000001</v>
      </c>
      <c r="BR197" s="79" cm="1">
        <f t="array" ref="BR197">SUMPRODUCT((BR$2:BR$126&gt;=0)*(BR$2:BR$126&lt;=12)*(BR$2:BR$126&lt;&gt;"")*($J$2:$J$126))</f>
        <v>1432.85</v>
      </c>
      <c r="BS197" s="79" cm="1">
        <f t="array" ref="BS197">SUMPRODUCT((BS$2:BS$126&gt;=0)*(BS$2:BS$126&lt;=12)*(BS$2:BS$126&lt;&gt;"")*($J$2:$J$126))</f>
        <v>1186.3800000000001</v>
      </c>
      <c r="BT197" s="79" cm="1">
        <f t="array" ref="BT197">SUMPRODUCT((BT$2:BT$126&gt;=0)*(BT$2:BT$126&lt;=12)*(BT$2:BT$126&lt;&gt;"")*($J$2:$J$126))</f>
        <v>986.28999999999985</v>
      </c>
      <c r="BU197" s="79" cm="1">
        <f t="array" ref="BU197">SUMPRODUCT((BU$2:BU$126&gt;=0)*(BU$2:BU$126&lt;=12)*(BU$2:BU$126&lt;&gt;"")*($J$2:$J$126))</f>
        <v>924.94999999999982</v>
      </c>
      <c r="BV197" s="79" cm="1">
        <f t="array" ref="BV197">SUMPRODUCT((BV$2:BV$126&gt;=0)*(BV$2:BV$126&lt;=12)*(BV$2:BV$126&lt;&gt;"")*($J$2:$J$126))</f>
        <v>873.17999999999984</v>
      </c>
      <c r="BW197" s="79" cm="1">
        <f t="array" ref="BW197">SUMPRODUCT((BW$2:BW$126&gt;=0)*(BW$2:BW$126&lt;=12)*(BW$2:BW$126&lt;&gt;"")*($J$2:$J$126))</f>
        <v>873.17999999999984</v>
      </c>
      <c r="BX197" s="79" cm="1">
        <f t="array" ref="BX197">SUMPRODUCT((BX$2:BX$126&gt;=0)*(BX$2:BX$126&lt;=12)*(BX$2:BX$126&lt;&gt;"")*($J$2:$J$126))</f>
        <v>730.9899999999999</v>
      </c>
      <c r="BY197" s="79" cm="1">
        <f t="array" ref="BY197">SUMPRODUCT((BY$2:BY$126&gt;=0)*(BY$2:BY$126&lt;=12)*(BY$2:BY$126&lt;&gt;"")*($J$2:$J$126))</f>
        <v>501.69000000000005</v>
      </c>
      <c r="BZ197" s="79" cm="1">
        <f t="array" ref="BZ197">SUMPRODUCT((BZ$2:BZ$126&gt;=0)*(BZ$2:BZ$126&lt;=12)*(BZ$2:BZ$126&lt;&gt;"")*($J$2:$J$126))</f>
        <v>283.44</v>
      </c>
      <c r="CA197" s="79" cm="1">
        <f t="array" ref="CA197">SUMPRODUCT((CA$2:CA$126&gt;=0)*(CA$2:CA$126&lt;=12)*(CA$2:CA$126&lt;&gt;"")*($J$2:$J$126))</f>
        <v>219.31</v>
      </c>
      <c r="CB197" s="79" cm="1">
        <f t="array" ref="CB197">SUMPRODUCT((CB$2:CB$126&gt;=0)*(CB$2:CB$126&lt;=12)*(CB$2:CB$126&lt;&gt;"")*($J$2:$J$126))</f>
        <v>0</v>
      </c>
      <c r="CC197" s="79" cm="1">
        <f t="array" ref="CC197">SUMPRODUCT((CC$2:CC$126&gt;=0)*(CC$2:CC$126&lt;=12)*(CC$2:CC$126&lt;&gt;"")*($J$2:$J$126))</f>
        <v>0</v>
      </c>
      <c r="CD197" s="79" cm="1">
        <f t="array" ref="CD197">SUMPRODUCT((CD$2:CD$126&gt;=0)*(CD$2:CD$126&lt;=12)*(CD$2:CD$126&lt;&gt;"")*($J$2:$J$126))</f>
        <v>0</v>
      </c>
      <c r="CE197" s="79" cm="1">
        <f t="array" ref="CE197">SUMPRODUCT((CE$2:CE$126&gt;=0)*(CE$2:CE$126&lt;=12)*(CE$2:CE$126&lt;&gt;"")*($J$2:$J$126))</f>
        <v>0</v>
      </c>
      <c r="CF197" s="79" cm="1">
        <f t="array" ref="CF197">SUMPRODUCT((CF$2:CF$126&gt;=0)*(CF$2:CF$126&lt;=12)*(CF$2:CF$126&lt;&gt;"")*($J$2:$J$126))</f>
        <v>0</v>
      </c>
      <c r="CG197" s="79" cm="1">
        <f t="array" ref="CG197">SUMPRODUCT((CG$2:CG$126&gt;=0)*(CG$2:CG$126&lt;=12)*(CG$2:CG$126&lt;&gt;"")*($J$2:$J$126))</f>
        <v>0</v>
      </c>
      <c r="CH197" s="79" cm="1">
        <f t="array" ref="CH197">SUMPRODUCT((CH$2:CH$126&gt;=0)*(CH$2:CH$126&lt;=12)*(CH$2:CH$126&lt;&gt;"")*($J$2:$J$126))</f>
        <v>0</v>
      </c>
      <c r="CI197" s="79" cm="1">
        <f t="array" ref="CI197">SUMPRODUCT((CI$2:CI$126&gt;=0)*(CI$2:CI$126&lt;=12)*(CI$2:CI$126&lt;&gt;"")*($J$2:$J$126))</f>
        <v>0</v>
      </c>
      <c r="CJ197" s="79" cm="1">
        <f t="array" ref="CJ197">SUMPRODUCT((CJ$2:CJ$126&gt;=0)*(CJ$2:CJ$126&lt;=12)*(CJ$2:CJ$126&lt;&gt;"")*($J$2:$J$126))</f>
        <v>0</v>
      </c>
      <c r="CK197" s="79" cm="1">
        <f t="array" ref="CK197">SUMPRODUCT((CK$2:CK$126&gt;=0)*(CK$2:CK$126&lt;=12)*(CK$2:CK$126&lt;&gt;"")*($J$2:$J$126))</f>
        <v>0</v>
      </c>
      <c r="CL197" s="79" cm="1">
        <f t="array" ref="CL197">SUMPRODUCT((CL$2:CL$126&gt;=0)*(CL$2:CL$126&lt;=12)*(CL$2:CL$126&lt;&gt;"")*($J$2:$J$126))</f>
        <v>0</v>
      </c>
      <c r="CM197" s="79" cm="1">
        <f t="array" ref="CM197">SUMPRODUCT((CM$2:CM$126&gt;=0)*(CM$2:CM$126&lt;=12)*(CM$2:CM$126&lt;&gt;"")*($J$2:$J$126))</f>
        <v>0</v>
      </c>
      <c r="CN197" s="79" cm="1">
        <f t="array" ref="CN197">SUMPRODUCT((CN$2:CN$126&gt;=0)*(CN$2:CN$126&lt;=12)*(CN$2:CN$126&lt;&gt;"")*($J$2:$J$126))</f>
        <v>0</v>
      </c>
      <c r="CO197" s="79" cm="1">
        <f t="array" ref="CO197">SUMPRODUCT((CO$2:CO$126&gt;=0)*(CO$2:CO$126&lt;=12)*(CO$2:CO$126&lt;&gt;"")*($J$2:$J$126))</f>
        <v>0</v>
      </c>
      <c r="CP197" s="79" cm="1">
        <f t="array" ref="CP197">SUMPRODUCT((CP$2:CP$126&gt;=0)*(CP$2:CP$126&lt;=12)*(CP$2:CP$126&lt;&gt;"")*($J$2:$J$126))</f>
        <v>0</v>
      </c>
      <c r="CQ197" s="79" cm="1">
        <f t="array" ref="CQ197">SUMPRODUCT((CQ$2:CQ$126&gt;=0)*(CQ$2:CQ$126&lt;=12)*(CQ$2:CQ$126&lt;&gt;"")*($J$2:$J$126))</f>
        <v>0</v>
      </c>
      <c r="CR197" s="79" cm="1">
        <f t="array" ref="CR197">SUMPRODUCT((CR$2:CR$126&gt;=0)*(CR$2:CR$126&lt;=12)*(CR$2:CR$126&lt;&gt;"")*($J$2:$J$126))</f>
        <v>0</v>
      </c>
      <c r="CS197" s="79" cm="1">
        <f t="array" ref="CS197">SUMPRODUCT((CS$2:CS$126&gt;=0)*(CS$2:CS$126&lt;=12)*(CS$2:CS$126&lt;&gt;"")*($J$2:$J$126))</f>
        <v>0</v>
      </c>
      <c r="CT197" s="79" cm="1">
        <f t="array" ref="CT197">SUMPRODUCT((CT$2:CT$126&gt;=0)*(CT$2:CT$126&lt;=12)*(CT$2:CT$126&lt;&gt;"")*($J$2:$J$126))</f>
        <v>0</v>
      </c>
      <c r="CU197" s="79" cm="1">
        <f t="array" ref="CU197">SUMPRODUCT((CU$2:CU$126&gt;=0)*(CU$2:CU$126&lt;=12)*(CU$2:CU$126&lt;&gt;"")*($J$2:$J$126))</f>
        <v>0</v>
      </c>
      <c r="CV197" s="79" cm="1">
        <f t="array" ref="CV197">SUMPRODUCT((CV$2:CV$126&gt;=0)*(CV$2:CV$126&lt;=12)*(CV$2:CV$126&lt;&gt;"")*($J$2:$J$126))</f>
        <v>0</v>
      </c>
      <c r="CW197" s="79" cm="1">
        <f t="array" ref="CW197">SUMPRODUCT((CW$2:CW$126&gt;=0)*(CW$2:CW$126&lt;=12)*(CW$2:CW$126&lt;&gt;"")*($J$2:$J$126))</f>
        <v>0</v>
      </c>
      <c r="CX197" s="79" cm="1">
        <f t="array" ref="CX197">SUMPRODUCT((CX$2:CX$126&gt;=0)*(CX$2:CX$126&lt;=12)*(CX$2:CX$126&lt;&gt;"")*($J$2:$J$126))</f>
        <v>0</v>
      </c>
      <c r="CY197" s="79" cm="1">
        <f t="array" ref="CY197">SUMPRODUCT((CY$2:CY$126&gt;=0)*(CY$2:CY$126&lt;=12)*(CY$2:CY$126&lt;&gt;"")*($J$2:$J$126))</f>
        <v>0</v>
      </c>
      <c r="CZ197" s="79" cm="1">
        <f t="array" ref="CZ197">SUMPRODUCT((CZ$2:CZ$126&gt;=0)*(CZ$2:CZ$126&lt;=12)*(CZ$2:CZ$126&lt;&gt;"")*($J$2:$J$126))</f>
        <v>0</v>
      </c>
      <c r="DA197" s="79" cm="1">
        <f t="array" ref="DA197">SUMPRODUCT((DA$2:DA$126&gt;=0)*(DA$2:DA$126&lt;=12)*(DA$2:DA$126&lt;&gt;"")*($J$2:$J$126))</f>
        <v>0</v>
      </c>
      <c r="DB197" s="79" cm="1">
        <f t="array" ref="DB197">SUMPRODUCT((DB$2:DB$126&gt;=0)*(DB$2:DB$126&lt;=12)*(DB$2:DB$126&lt;&gt;"")*($J$2:$J$126))</f>
        <v>0</v>
      </c>
      <c r="DC197" s="79" cm="1">
        <f t="array" ref="DC197">SUMPRODUCT((DC$2:DC$126&gt;=0)*(DC$2:DC$126&lt;=12)*(DC$2:DC$126&lt;&gt;"")*($J$2:$J$126))</f>
        <v>0</v>
      </c>
      <c r="DD197" s="79" cm="1">
        <f t="array" ref="DD197">SUMPRODUCT((DD$2:DD$126&gt;=0)*(DD$2:DD$126&lt;=12)*(DD$2:DD$126&lt;&gt;"")*($J$2:$J$126))</f>
        <v>0</v>
      </c>
      <c r="DE197" s="79" cm="1">
        <f t="array" ref="DE197">SUMPRODUCT((DE$2:DE$126&gt;=0)*(DE$2:DE$126&lt;=12)*(DE$2:DE$126&lt;&gt;"")*($J$2:$J$126))</f>
        <v>0</v>
      </c>
      <c r="DF197" s="79" cm="1">
        <f t="array" ref="DF197">SUMPRODUCT((DF$2:DF$126&gt;=0)*(DF$2:DF$126&lt;=12)*(DF$2:DF$126&lt;&gt;"")*($J$2:$J$126))</f>
        <v>0</v>
      </c>
      <c r="DG197" s="79" cm="1">
        <f t="array" ref="DG197">SUMPRODUCT((DG$2:DG$126&gt;=0)*(DG$2:DG$126&lt;=12)*(DG$2:DG$126&lt;&gt;"")*($J$2:$J$126))</f>
        <v>0</v>
      </c>
      <c r="DH197" s="79" cm="1">
        <f t="array" ref="DH197">SUMPRODUCT((DH$2:DH$126&gt;=0)*(DH$2:DH$126&lt;=12)*(DH$2:DH$126&lt;&gt;"")*($J$2:$J$126))</f>
        <v>0</v>
      </c>
      <c r="DI197" s="79" cm="1">
        <f t="array" ref="DI197">SUMPRODUCT((DI$2:DI$126&gt;=0)*(DI$2:DI$126&lt;=12)*(DI$2:DI$126&lt;&gt;"")*($J$2:$J$126))</f>
        <v>0</v>
      </c>
      <c r="DJ197" s="79" cm="1">
        <f t="array" ref="DJ197">SUMPRODUCT((DJ$2:DJ$126&gt;=0)*(DJ$2:DJ$126&lt;=12)*(DJ$2:DJ$126&lt;&gt;"")*($J$2:$J$126))</f>
        <v>0</v>
      </c>
      <c r="DK197" s="79" cm="1">
        <f t="array" ref="DK197">SUMPRODUCT((DK$2:DK$126&gt;=0)*(DK$2:DK$126&lt;=12)*(DK$2:DK$126&lt;&gt;"")*($J$2:$J$126))</f>
        <v>0</v>
      </c>
      <c r="DL197" s="79" cm="1">
        <f t="array" ref="DL197">SUMPRODUCT((DL$2:DL$126&gt;=0)*(DL$2:DL$126&lt;=12)*(DL$2:DL$126&lt;&gt;"")*($J$2:$J$126))</f>
        <v>0</v>
      </c>
      <c r="DM197" s="79" cm="1">
        <f t="array" ref="DM197">SUMPRODUCT((DM$2:DM$126&gt;=0)*(DM$2:DM$126&lt;=12)*(DM$2:DM$126&lt;&gt;"")*($J$2:$J$126))</f>
        <v>0</v>
      </c>
      <c r="DN197" s="79" cm="1">
        <f t="array" ref="DN197">SUMPRODUCT((DN$2:DN$126&gt;=0)*(DN$2:DN$126&lt;=12)*(DN$2:DN$126&lt;&gt;"")*($J$2:$J$126))</f>
        <v>0</v>
      </c>
      <c r="DO197" s="79" cm="1">
        <f t="array" ref="DO197">SUMPRODUCT((DO$2:DO$126&gt;=0)*(DO$2:DO$126&lt;=12)*(DO$2:DO$126&lt;&gt;"")*($J$2:$J$126))</f>
        <v>0</v>
      </c>
      <c r="DP197" s="79" cm="1">
        <f t="array" ref="DP197">SUMPRODUCT((DP$2:DP$126&gt;=0)*(DP$2:DP$126&lt;=12)*(DP$2:DP$126&lt;&gt;"")*($J$2:$J$126))</f>
        <v>0</v>
      </c>
      <c r="DQ197" s="79" cm="1">
        <f t="array" ref="DQ197">SUMPRODUCT((DQ$2:DQ$126&gt;=0)*(DQ$2:DQ$126&lt;=12)*(DQ$2:DQ$126&lt;&gt;"")*($J$2:$J$126))</f>
        <v>0</v>
      </c>
      <c r="DR197" s="79" cm="1">
        <f t="array" ref="DR197">SUMPRODUCT((DR$2:DR$126&gt;=0)*(DR$2:DR$126&lt;=12)*(DR$2:DR$126&lt;&gt;"")*($J$2:$J$126))</f>
        <v>0</v>
      </c>
      <c r="DS197" s="79" cm="1">
        <f t="array" ref="DS197">SUMPRODUCT((DS$2:DS$126&gt;=0)*(DS$2:DS$126&lt;=12)*(DS$2:DS$126&lt;&gt;"")*($J$2:$J$126))</f>
        <v>0</v>
      </c>
      <c r="DT197" s="79" cm="1">
        <f t="array" ref="DT197">SUMPRODUCT((DT$2:DT$126&gt;=0)*(DT$2:DT$126&lt;=12)*(DT$2:DT$126&lt;&gt;"")*($J$2:$J$126))</f>
        <v>0</v>
      </c>
      <c r="DU197" s="79" cm="1">
        <f t="array" ref="DU197">SUMPRODUCT((DU$2:DU$126&gt;=0)*(DU$2:DU$126&lt;=12)*(DU$2:DU$126&lt;&gt;"")*($J$2:$J$126))</f>
        <v>0</v>
      </c>
      <c r="DV197" s="79" cm="1">
        <f t="array" ref="DV197">SUMPRODUCT((DV$2:DV$126&gt;=0)*(DV$2:DV$126&lt;=12)*(DV$2:DV$126&lt;&gt;"")*($J$2:$J$126))</f>
        <v>0</v>
      </c>
      <c r="DW197" s="79" cm="1">
        <f t="array" ref="DW197">SUMPRODUCT((DW$2:DW$126&gt;=0)*(DW$2:DW$126&lt;=12)*(DW$2:DW$126&lt;&gt;"")*($J$2:$J$126))</f>
        <v>0</v>
      </c>
      <c r="DX197" s="79" cm="1">
        <f t="array" ref="DX197">SUMPRODUCT((DX$2:DX$126&gt;=0)*(DX$2:DX$126&lt;=12)*(DX$2:DX$126&lt;&gt;"")*($J$2:$J$126))</f>
        <v>0</v>
      </c>
      <c r="DY197" s="79" cm="1">
        <f t="array" ref="DY197">SUMPRODUCT((DY$2:DY$126&gt;=0)*(DY$2:DY$126&lt;=12)*(DY$2:DY$126&lt;&gt;"")*($J$2:$J$126))</f>
        <v>0</v>
      </c>
      <c r="DZ197" s="79" cm="1">
        <f t="array" ref="DZ197">SUMPRODUCT((DZ$2:DZ$126&gt;=0)*(DZ$2:DZ$126&lt;=12)*(DZ$2:DZ$126&lt;&gt;"")*($J$2:$J$126))</f>
        <v>0</v>
      </c>
      <c r="EA197" s="79" cm="1">
        <f t="array" ref="EA197">SUMPRODUCT((EA$2:EA$126&gt;=0)*(EA$2:EA$126&lt;=12)*(EA$2:EA$126&lt;&gt;"")*($J$2:$J$126))</f>
        <v>0</v>
      </c>
      <c r="EB197" s="79" cm="1">
        <f t="array" ref="EB197">SUMPRODUCT((EB$2:EB$126&gt;=0)*(EB$2:EB$126&lt;=12)*(EB$2:EB$126&lt;&gt;"")*($J$2:$J$126))</f>
        <v>0</v>
      </c>
      <c r="EC197" s="79" cm="1">
        <f t="array" ref="EC197">SUMPRODUCT((EC$2:EC$126&gt;=0)*(EC$2:EC$126&lt;=12)*(EC$2:EC$126&lt;&gt;"")*($J$2:$J$126))</f>
        <v>0</v>
      </c>
      <c r="ED197" s="79" cm="1">
        <f t="array" ref="ED197">SUMPRODUCT((ED$2:ED$126&gt;=0)*(ED$2:ED$126&lt;=12)*(ED$2:ED$126&lt;&gt;"")*($J$2:$J$126))</f>
        <v>0</v>
      </c>
      <c r="EE197" s="79" cm="1">
        <f t="array" ref="EE197">SUMPRODUCT((EE$2:EE$126&gt;=0)*(EE$2:EE$126&lt;=12)*(EE$2:EE$126&lt;&gt;"")*($J$2:$J$126))</f>
        <v>0</v>
      </c>
      <c r="EF197" s="79" cm="1">
        <f t="array" ref="EF197">SUMPRODUCT((EF$2:EF$126&gt;=0)*(EF$2:EF$126&lt;=12)*(EF$2:EF$126&lt;&gt;"")*($J$2:$J$126))</f>
        <v>0</v>
      </c>
      <c r="EG197" s="79" cm="1">
        <f t="array" ref="EG197">SUMPRODUCT((EG$2:EG$126&gt;=0)*(EG$2:EG$126&lt;=12)*(EG$2:EG$126&lt;&gt;"")*($J$2:$J$126))</f>
        <v>0</v>
      </c>
      <c r="EH197" s="79" cm="1">
        <f t="array" ref="EH197">SUMPRODUCT((EH$2:EH$126&gt;=0)*(EH$2:EH$126&lt;=12)*(EH$2:EH$126&lt;&gt;"")*($J$2:$J$126))</f>
        <v>0</v>
      </c>
      <c r="EI197" s="79" cm="1">
        <f t="array" ref="EI197">SUMPRODUCT((EI$2:EI$126&gt;=0)*(EI$2:EI$126&lt;=12)*(EI$2:EI$126&lt;&gt;"")*($J$2:$J$126))</f>
        <v>0</v>
      </c>
      <c r="EJ197" s="79" cm="1">
        <f t="array" ref="EJ197">SUMPRODUCT((EJ$2:EJ$126&gt;=0)*(EJ$2:EJ$126&lt;=12)*(EJ$2:EJ$126&lt;&gt;"")*($J$2:$J$126))</f>
        <v>0</v>
      </c>
      <c r="EK197" s="79" cm="1">
        <f t="array" ref="EK197">SUMPRODUCT((EK$2:EK$126&gt;=0)*(EK$2:EK$126&lt;=12)*(EK$2:EK$126&lt;&gt;"")*($J$2:$J$126))</f>
        <v>0</v>
      </c>
      <c r="EL197" s="79" cm="1">
        <f t="array" ref="EL197">SUMPRODUCT((EL$2:EL$126&gt;=0)*(EL$2:EL$126&lt;=12)*(EL$2:EL$126&lt;&gt;"")*($J$2:$J$126))</f>
        <v>0</v>
      </c>
      <c r="EM197" s="79" cm="1">
        <f t="array" ref="EM197">SUMPRODUCT((EM$2:EM$126&gt;=0)*(EM$2:EM$126&lt;=12)*(EM$2:EM$126&lt;&gt;"")*($J$2:$J$126))</f>
        <v>0</v>
      </c>
      <c r="EN197" s="79" cm="1">
        <f t="array" ref="EN197">SUMPRODUCT((EN$2:EN$126&gt;=0)*(EN$2:EN$126&lt;=12)*(EN$2:EN$126&lt;&gt;"")*($J$2:$J$126))</f>
        <v>0</v>
      </c>
      <c r="EO197" s="79" cm="1">
        <f t="array" ref="EO197">SUMPRODUCT((EO$2:EO$126&gt;=0)*(EO$2:EO$126&lt;=12)*(EO$2:EO$126&lt;&gt;"")*($J$2:$J$126))</f>
        <v>0</v>
      </c>
      <c r="EP197" s="79" cm="1">
        <f t="array" ref="EP197">SUMPRODUCT((EP$2:EP$126&gt;=0)*(EP$2:EP$126&lt;=12)*(EP$2:EP$126&lt;&gt;"")*($J$2:$J$126))</f>
        <v>0</v>
      </c>
      <c r="EQ197" s="79" cm="1">
        <f t="array" ref="EQ197">SUMPRODUCT((EQ$2:EQ$126&gt;=0)*(EQ$2:EQ$126&lt;=12)*(EQ$2:EQ$126&lt;&gt;"")*($J$2:$J$126))</f>
        <v>0</v>
      </c>
      <c r="ER197" s="79" cm="1">
        <f t="array" ref="ER197">SUMPRODUCT((ER$2:ER$126&gt;=0)*(ER$2:ER$126&lt;=12)*(ER$2:ER$126&lt;&gt;"")*($J$2:$J$126))</f>
        <v>0</v>
      </c>
      <c r="ES197" s="79" cm="1">
        <f t="array" ref="ES197">SUMPRODUCT((ES$2:ES$126&gt;=0)*(ES$2:ES$126&lt;=12)*(ES$2:ES$126&lt;&gt;"")*($J$2:$J$126))</f>
        <v>0</v>
      </c>
      <c r="ET197" s="79" cm="1">
        <f t="array" ref="ET197">SUMPRODUCT((ET$2:ET$126&gt;=0)*(ET$2:ET$126&lt;=12)*(ET$2:ET$126&lt;&gt;"")*($J$2:$J$126))</f>
        <v>0</v>
      </c>
      <c r="EU197" s="79" cm="1">
        <f t="array" ref="EU197">SUMPRODUCT((EU$2:EU$126&gt;=0)*(EU$2:EU$126&lt;=12)*(EU$2:EU$126&lt;&gt;"")*($J$2:$J$126))</f>
        <v>0</v>
      </c>
      <c r="EV197" s="79" cm="1">
        <f t="array" ref="EV197">SUMPRODUCT((EV$2:EV$126&gt;=0)*(EV$2:EV$126&lt;=12)*(EV$2:EV$126&lt;&gt;"")*($J$2:$J$126))</f>
        <v>0</v>
      </c>
      <c r="EW197" s="79" cm="1">
        <f t="array" ref="EW197">SUMPRODUCT((EW$2:EW$126&gt;=0)*(EW$2:EW$126&lt;=12)*(EW$2:EW$126&lt;&gt;"")*($J$2:$J$126))</f>
        <v>0</v>
      </c>
      <c r="EX197" s="79" cm="1">
        <f t="array" ref="EX197">SUMPRODUCT((EX$2:EX$126&gt;=0)*(EX$2:EX$126&lt;=12)*(EX$2:EX$126&lt;&gt;"")*($J$2:$J$126))</f>
        <v>0</v>
      </c>
      <c r="EY197" s="79" cm="1">
        <f t="array" ref="EY197">SUMPRODUCT((EY$2:EY$126&gt;=0)*(EY$2:EY$126&lt;=12)*(EY$2:EY$126&lt;&gt;"")*($J$2:$J$126))</f>
        <v>0</v>
      </c>
      <c r="EZ197" s="79" cm="1">
        <f t="array" ref="EZ197">SUMPRODUCT((EZ$2:EZ$126&gt;=0)*(EZ$2:EZ$126&lt;=12)*(EZ$2:EZ$126&lt;&gt;"")*($J$2:$J$126))</f>
        <v>0</v>
      </c>
      <c r="FA197" s="79" cm="1">
        <f t="array" ref="FA197">SUMPRODUCT((FA$2:FA$126&gt;=0)*(FA$2:FA$126&lt;=12)*(FA$2:FA$126&lt;&gt;"")*($J$2:$J$126))</f>
        <v>0</v>
      </c>
      <c r="FB197" s="79" cm="1">
        <f t="array" ref="FB197">SUMPRODUCT((FB$2:FB$126&gt;=0)*(FB$2:FB$126&lt;=12)*(FB$2:FB$126&lt;&gt;"")*($J$2:$J$126))</f>
        <v>0</v>
      </c>
      <c r="FC197" s="79" cm="1">
        <f t="array" ref="FC197">SUMPRODUCT((FC$2:FC$126&gt;=0)*(FC$2:FC$126&lt;=12)*(FC$2:FC$126&lt;&gt;"")*($J$2:$J$126))</f>
        <v>0</v>
      </c>
      <c r="FD197" s="79" cm="1">
        <f t="array" ref="FD197">SUMPRODUCT((FD$2:FD$126&gt;=0)*(FD$2:FD$126&lt;=12)*(FD$2:FD$126&lt;&gt;"")*($J$2:$J$126))</f>
        <v>0</v>
      </c>
      <c r="FE197" s="79" cm="1">
        <f t="array" ref="FE197">SUMPRODUCT((FE$2:FE$126&gt;=0)*(FE$2:FE$126&lt;=12)*(FE$2:FE$126&lt;&gt;"")*($J$2:$J$126))</f>
        <v>0</v>
      </c>
      <c r="FF197" s="79" cm="1">
        <f t="array" ref="FF197">SUMPRODUCT((FF$2:FF$126&gt;=0)*(FF$2:FF$126&lt;=12)*(FF$2:FF$126&lt;&gt;"")*($J$2:$J$126))</f>
        <v>0</v>
      </c>
      <c r="FG197" s="79" cm="1">
        <f t="array" ref="FG197">SUMPRODUCT((FG$2:FG$126&gt;=0)*(FG$2:FG$126&lt;=12)*(FG$2:FG$126&lt;&gt;"")*($J$2:$J$126))</f>
        <v>0</v>
      </c>
      <c r="FH197" s="79" cm="1">
        <f t="array" ref="FH197">SUMPRODUCT((FH$2:FH$126&gt;=0)*(FH$2:FH$126&lt;=12)*(FH$2:FH$126&lt;&gt;"")*($J$2:$J$126))</f>
        <v>0</v>
      </c>
      <c r="FI197" s="79" cm="1">
        <f t="array" ref="FI197">SUMPRODUCT((FI$2:FI$126&gt;=0)*(FI$2:FI$126&lt;=12)*(FI$2:FI$126&lt;&gt;"")*($J$2:$J$126))</f>
        <v>0</v>
      </c>
      <c r="FJ197" s="79" cm="1">
        <f t="array" ref="FJ197">SUMPRODUCT((FJ$2:FJ$126&gt;=0)*(FJ$2:FJ$126&lt;=12)*(FJ$2:FJ$126&lt;&gt;"")*($J$2:$J$126))</f>
        <v>0</v>
      </c>
      <c r="FK197" s="79" cm="1">
        <f t="array" ref="FK197">SUMPRODUCT((FK$2:FK$126&gt;=0)*(FK$2:FK$126&lt;=12)*(FK$2:FK$126&lt;&gt;"")*($J$2:$J$126))</f>
        <v>0</v>
      </c>
      <c r="FL197" s="79" cm="1">
        <f t="array" ref="FL197">SUMPRODUCT((FL$2:FL$126&gt;=0)*(FL$2:FL$126&lt;=12)*(FL$2:FL$126&lt;&gt;"")*($J$2:$J$126))</f>
        <v>0</v>
      </c>
      <c r="FM197" s="79" cm="1">
        <f t="array" ref="FM197">SUMPRODUCT((FM$2:FM$126&gt;=0)*(FM$2:FM$126&lt;=12)*(FM$2:FM$126&lt;&gt;"")*($J$2:$J$126))</f>
        <v>0</v>
      </c>
      <c r="FN197" s="79" cm="1">
        <f t="array" ref="FN197">SUMPRODUCT((FN$2:FN$126&gt;=0)*(FN$2:FN$126&lt;=12)*(FN$2:FN$126&lt;&gt;"")*($J$2:$J$126))</f>
        <v>0</v>
      </c>
      <c r="FO197" s="79" cm="1">
        <f t="array" ref="FO197">SUMPRODUCT((FO$2:FO$126&gt;=0)*(FO$2:FO$126&lt;=12)*(FO$2:FO$126&lt;&gt;"")*($J$2:$J$126))</f>
        <v>0</v>
      </c>
      <c r="FP197" s="79" cm="1">
        <f t="array" ref="FP197">SUMPRODUCT((FP$2:FP$126&gt;=0)*(FP$2:FP$126&lt;=12)*(FP$2:FP$126&lt;&gt;"")*($J$2:$J$126))</f>
        <v>0</v>
      </c>
      <c r="FQ197" s="79" cm="1">
        <f t="array" ref="FQ197">SUMPRODUCT((FQ$2:FQ$126&gt;=0)*(FQ$2:FQ$126&lt;=12)*(FQ$2:FQ$126&lt;&gt;"")*($J$2:$J$126))</f>
        <v>0</v>
      </c>
      <c r="FR197" s="79" cm="1">
        <f t="array" ref="FR197">SUMPRODUCT((FR$2:FR$126&gt;=0)*(FR$2:FR$126&lt;=12)*(FR$2:FR$126&lt;&gt;"")*($J$2:$J$126))</f>
        <v>0</v>
      </c>
      <c r="FS197" s="79" cm="1">
        <f t="array" ref="FS197">SUMPRODUCT((FS$2:FS$126&gt;=0)*(FS$2:FS$126&lt;=12)*(FS$2:FS$126&lt;&gt;"")*($J$2:$J$126))</f>
        <v>0</v>
      </c>
      <c r="FT197" s="79" cm="1">
        <f t="array" ref="FT197">SUMPRODUCT((FT$2:FT$126&gt;=0)*(FT$2:FT$126&lt;=12)*(FT$2:FT$126&lt;&gt;"")*($J$2:$J$126))</f>
        <v>0</v>
      </c>
      <c r="FU197" s="79" cm="1">
        <f t="array" ref="FU197">SUMPRODUCT((FU$2:FU$126&gt;=0)*(FU$2:FU$126&lt;=12)*(FU$2:FU$126&lt;&gt;"")*($J$2:$J$126))</f>
        <v>0</v>
      </c>
      <c r="FV197" s="79" cm="1">
        <f t="array" ref="FV197">SUMPRODUCT((FV$2:FV$126&gt;=0)*(FV$2:FV$126&lt;=12)*(FV$2:FV$126&lt;&gt;"")*($J$2:$J$126))</f>
        <v>0</v>
      </c>
      <c r="FW197" s="79" cm="1">
        <f t="array" ref="FW197">SUMPRODUCT((FW$2:FW$126&gt;=0)*(FW$2:FW$126&lt;=12)*(FW$2:FW$126&lt;&gt;"")*($J$2:$J$126))</f>
        <v>0</v>
      </c>
      <c r="FX197" s="79" cm="1">
        <f t="array" ref="FX197">SUMPRODUCT((FX$2:FX$126&gt;=0)*(FX$2:FX$126&lt;=12)*(FX$2:FX$126&lt;&gt;"")*($J$2:$J$126))</f>
        <v>0</v>
      </c>
      <c r="FY197" s="79" cm="1">
        <f t="array" ref="FY197">SUMPRODUCT((FY$2:FY$126&gt;=0)*(FY$2:FY$126&lt;=12)*(FY$2:FY$126&lt;&gt;"")*($J$2:$J$126))</f>
        <v>0</v>
      </c>
      <c r="FZ197" s="79" cm="1">
        <f t="array" ref="FZ197">SUMPRODUCT((FZ$2:FZ$126&gt;=0)*(FZ$2:FZ$126&lt;=12)*(FZ$2:FZ$126&lt;&gt;"")*($J$2:$J$126))</f>
        <v>0</v>
      </c>
      <c r="GA197" s="79" cm="1">
        <f t="array" ref="GA197">SUMPRODUCT((GA$2:GA$126&gt;=0)*(GA$2:GA$126&lt;=12)*(GA$2:GA$126&lt;&gt;"")*($J$2:$J$126))</f>
        <v>0</v>
      </c>
      <c r="GB197" s="79" cm="1">
        <f t="array" ref="GB197">SUMPRODUCT((GB$2:GB$126&gt;=0)*(GB$2:GB$126&lt;=12)*(GB$2:GB$126&lt;&gt;"")*($J$2:$J$126))</f>
        <v>0</v>
      </c>
      <c r="GC197" s="79" cm="1">
        <f t="array" ref="GC197">SUMPRODUCT((GC$2:GC$126&gt;=0)*(GC$2:GC$126&lt;=12)*(GC$2:GC$126&lt;&gt;"")*($J$2:$J$126))</f>
        <v>0</v>
      </c>
      <c r="GD197" s="79" cm="1">
        <f t="array" ref="GD197">SUMPRODUCT((GD$2:GD$126&gt;=0)*(GD$2:GD$126&lt;=12)*(GD$2:GD$126&lt;&gt;"")*($J$2:$J$126))</f>
        <v>0</v>
      </c>
      <c r="GE197" s="79" cm="1">
        <f t="array" ref="GE197">SUMPRODUCT((GE$2:GE$126&gt;=0)*(GE$2:GE$126&lt;=12)*(GE$2:GE$126&lt;&gt;"")*($J$2:$J$126))</f>
        <v>0</v>
      </c>
      <c r="GF197" s="79" cm="1">
        <f t="array" ref="GF197">SUMPRODUCT((GF$2:GF$126&gt;=0)*(GF$2:GF$126&lt;=12)*(GF$2:GF$126&lt;&gt;"")*($J$2:$J$126))</f>
        <v>0</v>
      </c>
      <c r="GG197" s="79" cm="1">
        <f t="array" ref="GG197">SUMPRODUCT((GG$2:GG$126&gt;=0)*(GG$2:GG$126&lt;=12)*(GG$2:GG$126&lt;&gt;"")*($J$2:$J$126))</f>
        <v>0</v>
      </c>
      <c r="GH197" s="79" cm="1">
        <f t="array" ref="GH197">SUMPRODUCT((GH$2:GH$126&gt;=0)*(GH$2:GH$126&lt;=12)*(GH$2:GH$126&lt;&gt;"")*($J$2:$J$126))</f>
        <v>0</v>
      </c>
      <c r="GI197" s="79" cm="1">
        <f t="array" ref="GI197">SUMPRODUCT((GI$2:GI$126&gt;=0)*(GI$2:GI$126&lt;=12)*(GI$2:GI$126&lt;&gt;"")*($J$2:$J$126))</f>
        <v>0</v>
      </c>
      <c r="GJ197" s="79" cm="1">
        <f t="array" ref="GJ197">SUMPRODUCT((GJ$2:GJ$126&gt;=0)*(GJ$2:GJ$126&lt;=12)*(GJ$2:GJ$126&lt;&gt;"")*($J$2:$J$126))</f>
        <v>0</v>
      </c>
      <c r="GK197" s="79" cm="1">
        <f t="array" ref="GK197">SUMPRODUCT((GK$2:GK$126&gt;=0)*(GK$2:GK$126&lt;=12)*(GK$2:GK$126&lt;&gt;"")*($J$2:$J$126))</f>
        <v>0</v>
      </c>
      <c r="GL197" s="79" cm="1">
        <f t="array" ref="GL197">SUMPRODUCT((GL$2:GL$126&gt;=0)*(GL$2:GL$126&lt;=12)*(GL$2:GL$126&lt;&gt;"")*($J$2:$J$126))</f>
        <v>0</v>
      </c>
      <c r="GM197" s="79" cm="1">
        <f t="array" ref="GM197">SUMPRODUCT((GM$2:GM$126&gt;=0)*(GM$2:GM$126&lt;=12)*(GM$2:GM$126&lt;&gt;"")*($J$2:$J$126))</f>
        <v>0</v>
      </c>
      <c r="GN197" s="79" cm="1">
        <f t="array" ref="GN197">SUMPRODUCT((GN$2:GN$126&gt;=0)*(GN$2:GN$126&lt;=12)*(GN$2:GN$126&lt;&gt;"")*($J$2:$J$126))</f>
        <v>0</v>
      </c>
      <c r="GO197" s="79" cm="1">
        <f t="array" ref="GO197">SUMPRODUCT((GO$2:GO$126&gt;=0)*(GO$2:GO$126&lt;=12)*(GO$2:GO$126&lt;&gt;"")*($J$2:$J$126))</f>
        <v>0</v>
      </c>
      <c r="GP197" s="79" cm="1">
        <f t="array" ref="GP197">SUMPRODUCT((GP$2:GP$126&gt;=0)*(GP$2:GP$126&lt;=12)*(GP$2:GP$126&lt;&gt;"")*($J$2:$J$126))</f>
        <v>0</v>
      </c>
      <c r="GQ197" s="79" cm="1">
        <f t="array" ref="GQ197">SUMPRODUCT((GQ$2:GQ$126&gt;=0)*(GQ$2:GQ$126&lt;=12)*(GQ$2:GQ$126&lt;&gt;"")*($J$2:$J$126))</f>
        <v>0</v>
      </c>
      <c r="GR197" s="79" cm="1">
        <f t="array" ref="GR197">SUMPRODUCT((GR$2:GR$126&gt;=0)*(GR$2:GR$126&lt;=12)*(GR$2:GR$126&lt;&gt;"")*($J$2:$J$126))</f>
        <v>0</v>
      </c>
      <c r="GS197" s="79" cm="1">
        <f t="array" ref="GS197">SUMPRODUCT((GS$2:GS$126&gt;=0)*(GS$2:GS$126&lt;=12)*(GS$2:GS$126&lt;&gt;"")*($J$2:$J$126))</f>
        <v>0</v>
      </c>
      <c r="GT197" s="79" cm="1">
        <f t="array" ref="GT197">SUMPRODUCT((GT$2:GT$126&gt;=0)*(GT$2:GT$126&lt;=12)*(GT$2:GT$126&lt;&gt;"")*($J$2:$J$126))</f>
        <v>0</v>
      </c>
      <c r="GU197" s="79" cm="1">
        <f t="array" ref="GU197">SUMPRODUCT((GU$2:GU$126&gt;=0)*(GU$2:GU$126&lt;=12)*(GU$2:GU$126&lt;&gt;"")*($J$2:$J$126))</f>
        <v>0</v>
      </c>
      <c r="GV197" s="79" cm="1">
        <f t="array" ref="GV197">SUMPRODUCT((GV$2:GV$126&gt;=0)*(GV$2:GV$126&lt;=12)*(GV$2:GV$126&lt;&gt;"")*($J$2:$J$126))</f>
        <v>0</v>
      </c>
      <c r="GW197" s="79" cm="1">
        <f t="array" ref="GW197">SUMPRODUCT((GW$2:GW$126&gt;=0)*(GW$2:GW$126&lt;=12)*(GW$2:GW$126&lt;&gt;"")*($J$2:$J$126))</f>
        <v>0</v>
      </c>
      <c r="GX197" s="79" cm="1">
        <f t="array" ref="GX197">SUMPRODUCT((GX$2:GX$126&gt;=0)*(GX$2:GX$126&lt;=12)*(GX$2:GX$126&lt;&gt;"")*($J$2:$J$126))</f>
        <v>0</v>
      </c>
    </row>
    <row r="198" spans="1:206" x14ac:dyDescent="0.2">
      <c r="A198" s="84"/>
      <c r="B198" s="84" t="s">
        <v>270</v>
      </c>
      <c r="W198" s="79" cm="1">
        <f t="array" ref="W198">SUMPRODUCT((W$2:W$126&gt;=13)*(W$2:W$126&lt;=17)*(W$2:W$126&lt;&gt;"")*($J$2:$J$126))</f>
        <v>270.52</v>
      </c>
      <c r="X198" s="79" cm="1">
        <f t="array" ref="X198">SUMPRODUCT((X$2:X$126&gt;=13)*(X$2:X$126&lt;=17)*(X$2:X$126&lt;&gt;"")*($J$2:$J$126))</f>
        <v>354.12</v>
      </c>
      <c r="Y198" s="79" cm="1">
        <f t="array" ref="Y198">SUMPRODUCT((Y$2:Y$126&gt;=13)*(Y$2:Y$126&lt;=17)*(Y$2:Y$126&lt;&gt;"")*($J$2:$J$126))</f>
        <v>484.72</v>
      </c>
      <c r="Z198" s="79" cm="1">
        <f t="array" ref="Z198">SUMPRODUCT((Z$2:Z$126&gt;=13)*(Z$2:Z$126&lt;=17)*(Z$2:Z$126&lt;&gt;"")*($J$2:$J$126))</f>
        <v>612.4</v>
      </c>
      <c r="AA198" s="79" cm="1">
        <f t="array" ref="AA198">SUMPRODUCT((AA$2:AA$126&gt;=13)*(AA$2:AA$126&lt;=17)*(AA$2:AA$126&lt;&gt;"")*($J$2:$J$126))</f>
        <v>387.06</v>
      </c>
      <c r="AB198" s="79" cm="1">
        <f t="array" ref="AB198">SUMPRODUCT((AB$2:AB$126&gt;=13)*(AB$2:AB$126&lt;=17)*(AB$2:AB$126&lt;&gt;"")*($J$2:$J$126))</f>
        <v>406.62</v>
      </c>
      <c r="AC198" s="79" cm="1">
        <f t="array" ref="AC198">SUMPRODUCT((AC$2:AC$126&gt;=13)*(AC$2:AC$126&lt;=17)*(AC$2:AC$126&lt;&gt;"")*($J$2:$J$126))</f>
        <v>363.24</v>
      </c>
      <c r="AD198" s="79" cm="1">
        <f t="array" ref="AD198">SUMPRODUCT((AD$2:AD$126&gt;=13)*(AD$2:AD$126&lt;=17)*(AD$2:AD$126&lt;&gt;"")*($J$2:$J$126))</f>
        <v>377.75</v>
      </c>
      <c r="AE198" s="79" cm="1">
        <f t="array" ref="AE198">SUMPRODUCT((AE$2:AE$126&gt;=13)*(AE$2:AE$126&lt;=17)*(AE$2:AE$126&lt;&gt;"")*($J$2:$J$126))</f>
        <v>343.98000000000008</v>
      </c>
      <c r="AF198" s="79" cm="1">
        <f t="array" ref="AF198">SUMPRODUCT((AF$2:AF$126&gt;=13)*(AF$2:AF$126&lt;=17)*(AF$2:AF$126&lt;&gt;"")*($J$2:$J$126))</f>
        <v>355.11000000000007</v>
      </c>
      <c r="AG198" s="79" cm="1">
        <f t="array" ref="AG198">SUMPRODUCT((AG$2:AG$126&gt;=13)*(AG$2:AG$126&lt;=17)*(AG$2:AG$126&lt;&gt;"")*($J$2:$J$126))</f>
        <v>336.29000000000008</v>
      </c>
      <c r="AH198" s="79" cm="1">
        <f t="array" ref="AH198">SUMPRODUCT((AH$2:AH$126&gt;=13)*(AH$2:AH$126&lt;=17)*(AH$2:AH$126&lt;&gt;"")*($J$2:$J$126))</f>
        <v>373.59000000000009</v>
      </c>
      <c r="AI198" s="79" cm="1">
        <f t="array" ref="AI198">SUMPRODUCT((AI$2:AI$126&gt;=13)*(AI$2:AI$126&lt;=17)*(AI$2:AI$126&lt;&gt;"")*($J$2:$J$126))</f>
        <v>294.32</v>
      </c>
      <c r="AJ198" s="79" cm="1">
        <f t="array" ref="AJ198">SUMPRODUCT((AJ$2:AJ$126&gt;=13)*(AJ$2:AJ$126&lt;=17)*(AJ$2:AJ$126&lt;&gt;"")*($J$2:$J$126))</f>
        <v>250.30000000000007</v>
      </c>
      <c r="AK198" s="79" cm="1">
        <f t="array" ref="AK198">SUMPRODUCT((AK$2:AK$126&gt;=13)*(AK$2:AK$126&lt;=17)*(AK$2:AK$126&lt;&gt;"")*($J$2:$J$126))</f>
        <v>295.87000000000006</v>
      </c>
      <c r="AL198" s="79" cm="1">
        <f t="array" ref="AL198">SUMPRODUCT((AL$2:AL$126&gt;=13)*(AL$2:AL$126&lt;=17)*(AL$2:AL$126&lt;&gt;"")*($J$2:$J$126))</f>
        <v>339.79999999999995</v>
      </c>
      <c r="AM198" s="79" cm="1">
        <f t="array" ref="AM198">SUMPRODUCT((AM$2:AM$126&gt;=13)*(AM$2:AM$126&lt;=17)*(AM$2:AM$126&lt;&gt;"")*($J$2:$J$126))</f>
        <v>344.22999999999996</v>
      </c>
      <c r="AN198" s="79" cm="1">
        <f t="array" ref="AN198">SUMPRODUCT((AN$2:AN$126&gt;=13)*(AN$2:AN$126&lt;=17)*(AN$2:AN$126&lt;&gt;"")*($J$2:$J$126))</f>
        <v>318.05999999999995</v>
      </c>
      <c r="AO198" s="79" cm="1">
        <f t="array" ref="AO198">SUMPRODUCT((AO$2:AO$126&gt;=13)*(AO$2:AO$126&lt;=17)*(AO$2:AO$126&lt;&gt;"")*($J$2:$J$126))</f>
        <v>338.09999999999997</v>
      </c>
      <c r="AP198" s="79" cm="1">
        <f t="array" ref="AP198">SUMPRODUCT((AP$2:AP$126&gt;=13)*(AP$2:AP$126&lt;=17)*(AP$2:AP$126&lt;&gt;"")*($J$2:$J$126))</f>
        <v>312.52999999999997</v>
      </c>
      <c r="AQ198" s="79" cm="1">
        <f t="array" ref="AQ198">SUMPRODUCT((AQ$2:AQ$126&gt;=13)*(AQ$2:AQ$126&lt;=17)*(AQ$2:AQ$126&lt;&gt;"")*($J$2:$J$126))</f>
        <v>228.32</v>
      </c>
      <c r="AR198" s="79" cm="1">
        <f t="array" ref="AR198">SUMPRODUCT((AR$2:AR$126&gt;=13)*(AR$2:AR$126&lt;=17)*(AR$2:AR$126&lt;&gt;"")*($J$2:$J$126))</f>
        <v>227.83999999999997</v>
      </c>
      <c r="AS198" s="79" cm="1">
        <f t="array" ref="AS198">SUMPRODUCT((AS$2:AS$126&gt;=13)*(AS$2:AS$126&lt;=17)*(AS$2:AS$126&lt;&gt;"")*($J$2:$J$126))</f>
        <v>246.42999999999998</v>
      </c>
      <c r="AT198" s="79" cm="1">
        <f t="array" ref="AT198">SUMPRODUCT((AT$2:AT$126&gt;=13)*(AT$2:AT$126&lt;=17)*(AT$2:AT$126&lt;&gt;"")*($J$2:$J$126))</f>
        <v>249.63</v>
      </c>
      <c r="AU198" s="79" cm="1">
        <f t="array" ref="AU198">SUMPRODUCT((AU$2:AU$126&gt;=13)*(AU$2:AU$126&lt;=17)*(AU$2:AU$126&lt;&gt;"")*($J$2:$J$126))</f>
        <v>376.31000000000006</v>
      </c>
      <c r="AV198" s="79" cm="1">
        <f t="array" ref="AV198">SUMPRODUCT((AV$2:AV$126&gt;=13)*(AV$2:AV$126&lt;=17)*(AV$2:AV$126&lt;&gt;"")*($J$2:$J$126))</f>
        <v>453.12</v>
      </c>
      <c r="AW198" s="79" cm="1">
        <f t="array" ref="AW198">SUMPRODUCT((AW$2:AW$126&gt;=13)*(AW$2:AW$126&lt;=17)*(AW$2:AW$126&lt;&gt;"")*($J$2:$J$126))</f>
        <v>446.70000000000005</v>
      </c>
      <c r="AX198" s="79" cm="1">
        <f t="array" ref="AX198">SUMPRODUCT((AX$2:AX$126&gt;=13)*(AX$2:AX$126&lt;=17)*(AX$2:AX$126&lt;&gt;"")*($J$2:$J$126))</f>
        <v>596.78</v>
      </c>
      <c r="AY198" s="79" cm="1">
        <f t="array" ref="AY198">SUMPRODUCT((AY$2:AY$126&gt;=13)*(AY$2:AY$126&lt;=17)*(AY$2:AY$126&lt;&gt;"")*($J$2:$J$126))</f>
        <v>550.62</v>
      </c>
      <c r="AZ198" s="79" cm="1">
        <f t="array" ref="AZ198">SUMPRODUCT((AZ$2:AZ$126&gt;=13)*(AZ$2:AZ$126&lt;=17)*(AZ$2:AZ$126&lt;&gt;"")*($J$2:$J$126))</f>
        <v>585.18999999999994</v>
      </c>
      <c r="BA198" s="79" cm="1">
        <f t="array" ref="BA198">SUMPRODUCT((BA$2:BA$126&gt;=13)*(BA$2:BA$126&lt;=17)*(BA$2:BA$126&lt;&gt;"")*($J$2:$J$126))</f>
        <v>464.30000000000007</v>
      </c>
      <c r="BB198" s="79" cm="1">
        <f t="array" ref="BB198">SUMPRODUCT((BB$2:BB$126&gt;=13)*(BB$2:BB$126&lt;=17)*(BB$2:BB$126&lt;&gt;"")*($J$2:$J$126))</f>
        <v>376.94000000000005</v>
      </c>
      <c r="BC198" s="79" cm="1">
        <f t="array" ref="BC198">SUMPRODUCT((BC$2:BC$126&gt;=13)*(BC$2:BC$126&lt;=17)*(BC$2:BC$126&lt;&gt;"")*($J$2:$J$126))</f>
        <v>272.61999999999995</v>
      </c>
      <c r="BD198" s="79" cm="1">
        <f t="array" ref="BD198">SUMPRODUCT((BD$2:BD$126&gt;=13)*(BD$2:BD$126&lt;=17)*(BD$2:BD$126&lt;&gt;"")*($J$2:$J$126))</f>
        <v>283.03000000000003</v>
      </c>
      <c r="BE198" s="79" cm="1">
        <f t="array" ref="BE198">SUMPRODUCT((BE$2:BE$126&gt;=13)*(BE$2:BE$126&lt;=17)*(BE$2:BE$126&lt;&gt;"")*($J$2:$J$126))</f>
        <v>361.03000000000003</v>
      </c>
      <c r="BF198" s="79" cm="1">
        <f t="array" ref="BF198">SUMPRODUCT((BF$2:BF$126&gt;=13)*(BF$2:BF$126&lt;=17)*(BF$2:BF$126&lt;&gt;"")*($J$2:$J$126))</f>
        <v>402.40999999999997</v>
      </c>
      <c r="BG198" s="79" cm="1">
        <f t="array" ref="BG198">SUMPRODUCT((BG$2:BG$126&gt;=13)*(BG$2:BG$126&lt;=17)*(BG$2:BG$126&lt;&gt;"")*($J$2:$J$126))</f>
        <v>420.07999999999993</v>
      </c>
      <c r="BH198" s="79" cm="1">
        <f t="array" ref="BH198">SUMPRODUCT((BH$2:BH$126&gt;=13)*(BH$2:BH$126&lt;=17)*(BH$2:BH$126&lt;&gt;"")*($J$2:$J$126))</f>
        <v>500.71</v>
      </c>
      <c r="BI198" s="79" cm="1">
        <f t="array" ref="BI198">SUMPRODUCT((BI$2:BI$126&gt;=13)*(BI$2:BI$126&lt;=17)*(BI$2:BI$126&lt;&gt;"")*($J$2:$J$126))</f>
        <v>404.95</v>
      </c>
      <c r="BJ198" s="79" cm="1">
        <f t="array" ref="BJ198">SUMPRODUCT((BJ$2:BJ$126&gt;=13)*(BJ$2:BJ$126&lt;=17)*(BJ$2:BJ$126&lt;&gt;"")*($J$2:$J$126))</f>
        <v>554.44000000000005</v>
      </c>
      <c r="BK198" s="79" cm="1">
        <f t="array" ref="BK198">SUMPRODUCT((BK$2:BK$126&gt;=13)*(BK$2:BK$126&lt;=17)*(BK$2:BK$126&lt;&gt;"")*($J$2:$J$126))</f>
        <v>482.56999999999994</v>
      </c>
      <c r="BL198" s="79" cm="1">
        <f t="array" ref="BL198">SUMPRODUCT((BL$2:BL$126&gt;=13)*(BL$2:BL$126&lt;=17)*(BL$2:BL$126&lt;&gt;"")*($J$2:$J$126))</f>
        <v>462.84000000000003</v>
      </c>
      <c r="BM198" s="79" cm="1">
        <f t="array" ref="BM198">SUMPRODUCT((BM$2:BM$126&gt;=13)*(BM$2:BM$126&lt;=17)*(BM$2:BM$126&lt;&gt;"")*($J$2:$J$126))</f>
        <v>464.7</v>
      </c>
      <c r="BN198" s="79" cm="1">
        <f t="array" ref="BN198">SUMPRODUCT((BN$2:BN$126&gt;=13)*(BN$2:BN$126&lt;=17)*(BN$2:BN$126&lt;&gt;"")*($J$2:$J$126))</f>
        <v>701.37</v>
      </c>
      <c r="BO198" s="79" cm="1">
        <f t="array" ref="BO198">SUMPRODUCT((BO$2:BO$126&gt;=13)*(BO$2:BO$126&lt;=17)*(BO$2:BO$126&lt;&gt;"")*($J$2:$J$126))</f>
        <v>549.80000000000007</v>
      </c>
      <c r="BP198" s="79" cm="1">
        <f t="array" ref="BP198">SUMPRODUCT((BP$2:BP$126&gt;=13)*(BP$2:BP$126&lt;=17)*(BP$2:BP$126&lt;&gt;"")*($J$2:$J$126))</f>
        <v>493.44000000000005</v>
      </c>
      <c r="BQ198" s="79" cm="1">
        <f t="array" ref="BQ198">SUMPRODUCT((BQ$2:BQ$126&gt;=13)*(BQ$2:BQ$126&lt;=17)*(BQ$2:BQ$126&lt;&gt;"")*($J$2:$J$126))</f>
        <v>517.58000000000004</v>
      </c>
      <c r="BR198" s="79" cm="1">
        <f t="array" ref="BR198">SUMPRODUCT((BR$2:BR$126&gt;=13)*(BR$2:BR$126&lt;=17)*(BR$2:BR$126&lt;&gt;"")*($J$2:$J$126))</f>
        <v>504.9</v>
      </c>
      <c r="BS198" s="79" cm="1">
        <f t="array" ref="BS198">SUMPRODUCT((BS$2:BS$126&gt;=13)*(BS$2:BS$126&lt;=17)*(BS$2:BS$126&lt;&gt;"")*($J$2:$J$126))</f>
        <v>563.68999999999983</v>
      </c>
      <c r="BT198" s="79" cm="1">
        <f t="array" ref="BT198">SUMPRODUCT((BT$2:BT$126&gt;=13)*(BT$2:BT$126&lt;=17)*(BT$2:BT$126&lt;&gt;"")*($J$2:$J$126))</f>
        <v>694</v>
      </c>
      <c r="BU198" s="79" cm="1">
        <f t="array" ref="BU198">SUMPRODUCT((BU$2:BU$126&gt;=13)*(BU$2:BU$126&lt;=17)*(BU$2:BU$126&lt;&gt;"")*($J$2:$J$126))</f>
        <v>755.34</v>
      </c>
      <c r="BV198" s="79" cm="1">
        <f t="array" ref="BV198">SUMPRODUCT((BV$2:BV$126&gt;=13)*(BV$2:BV$126&lt;=17)*(BV$2:BV$126&lt;&gt;"")*($J$2:$J$126))</f>
        <v>678.93000000000006</v>
      </c>
      <c r="BW198" s="79" cm="1">
        <f t="array" ref="BW198">SUMPRODUCT((BW$2:BW$126&gt;=13)*(BW$2:BW$126&lt;=17)*(BW$2:BW$126&lt;&gt;"")*($J$2:$J$126))</f>
        <v>559.67000000000007</v>
      </c>
      <c r="BX198" s="79" cm="1">
        <f t="array" ref="BX198">SUMPRODUCT((BX$2:BX$126&gt;=13)*(BX$2:BX$126&lt;=17)*(BX$2:BX$126&lt;&gt;"")*($J$2:$J$126))</f>
        <v>455.39</v>
      </c>
      <c r="BY198" s="79" cm="1">
        <f t="array" ref="BY198">SUMPRODUCT((BY$2:BY$126&gt;=13)*(BY$2:BY$126&lt;=17)*(BY$2:BY$126&lt;&gt;"")*($J$2:$J$126))</f>
        <v>484.59999999999997</v>
      </c>
      <c r="BZ198" s="79" cm="1">
        <f t="array" ref="BZ198">SUMPRODUCT((BZ$2:BZ$126&gt;=13)*(BZ$2:BZ$126&lt;=17)*(BZ$2:BZ$126&lt;&gt;"")*($J$2:$J$126))</f>
        <v>641.50999999999988</v>
      </c>
      <c r="CA198" s="79" cm="1">
        <f t="array" ref="CA198">SUMPRODUCT((CA$2:CA$126&gt;=13)*(CA$2:CA$126&lt;=17)*(CA$2:CA$126&lt;&gt;"")*($J$2:$J$126))</f>
        <v>653.86999999999989</v>
      </c>
      <c r="CB198" s="79" cm="1">
        <f t="array" ref="CB198">SUMPRODUCT((CB$2:CB$126&gt;=13)*(CB$2:CB$126&lt;=17)*(CB$2:CB$126&lt;&gt;"")*($J$2:$J$126))</f>
        <v>873.17999999999984</v>
      </c>
      <c r="CC198" s="79" cm="1">
        <f t="array" ref="CC198">SUMPRODUCT((CC$2:CC$126&gt;=13)*(CC$2:CC$126&lt;=17)*(CC$2:CC$126&lt;&gt;"")*($J$2:$J$126))</f>
        <v>730.9899999999999</v>
      </c>
      <c r="CD198" s="79" cm="1">
        <f t="array" ref="CD198">SUMPRODUCT((CD$2:CD$126&gt;=13)*(CD$2:CD$126&lt;=17)*(CD$2:CD$126&lt;&gt;"")*($J$2:$J$126))</f>
        <v>501.69000000000005</v>
      </c>
      <c r="CE198" s="79" cm="1">
        <f t="array" ref="CE198">SUMPRODUCT((CE$2:CE$126&gt;=13)*(CE$2:CE$126&lt;=17)*(CE$2:CE$126&lt;&gt;"")*($J$2:$J$126))</f>
        <v>283.44</v>
      </c>
      <c r="CF198" s="79" cm="1">
        <f t="array" ref="CF198">SUMPRODUCT((CF$2:CF$126&gt;=13)*(CF$2:CF$126&lt;=17)*(CF$2:CF$126&lt;&gt;"")*($J$2:$J$126))</f>
        <v>219.31</v>
      </c>
      <c r="CG198" s="79" cm="1">
        <f t="array" ref="CG198">SUMPRODUCT((CG$2:CG$126&gt;=13)*(CG$2:CG$126&lt;=17)*(CG$2:CG$126&lt;&gt;"")*($J$2:$J$126))</f>
        <v>0</v>
      </c>
      <c r="CH198" s="79" cm="1">
        <f t="array" ref="CH198">SUMPRODUCT((CH$2:CH$126&gt;=13)*(CH$2:CH$126&lt;=17)*(CH$2:CH$126&lt;&gt;"")*($J$2:$J$126))</f>
        <v>0</v>
      </c>
      <c r="CI198" s="79" cm="1">
        <f t="array" ref="CI198">SUMPRODUCT((CI$2:CI$126&gt;=13)*(CI$2:CI$126&lt;=17)*(CI$2:CI$126&lt;&gt;"")*($J$2:$J$126))</f>
        <v>0</v>
      </c>
      <c r="CJ198" s="79" cm="1">
        <f t="array" ref="CJ198">SUMPRODUCT((CJ$2:CJ$126&gt;=13)*(CJ$2:CJ$126&lt;=17)*(CJ$2:CJ$126&lt;&gt;"")*($J$2:$J$126))</f>
        <v>0</v>
      </c>
      <c r="CK198" s="79" cm="1">
        <f t="array" ref="CK198">SUMPRODUCT((CK$2:CK$126&gt;=13)*(CK$2:CK$126&lt;=17)*(CK$2:CK$126&lt;&gt;"")*($J$2:$J$126))</f>
        <v>0</v>
      </c>
      <c r="CL198" s="79" cm="1">
        <f t="array" ref="CL198">SUMPRODUCT((CL$2:CL$126&gt;=13)*(CL$2:CL$126&lt;=17)*(CL$2:CL$126&lt;&gt;"")*($J$2:$J$126))</f>
        <v>0</v>
      </c>
      <c r="CM198" s="79" cm="1">
        <f t="array" ref="CM198">SUMPRODUCT((CM$2:CM$126&gt;=13)*(CM$2:CM$126&lt;=17)*(CM$2:CM$126&lt;&gt;"")*($J$2:$J$126))</f>
        <v>0</v>
      </c>
      <c r="CN198" s="79" cm="1">
        <f t="array" ref="CN198">SUMPRODUCT((CN$2:CN$126&gt;=13)*(CN$2:CN$126&lt;=17)*(CN$2:CN$126&lt;&gt;"")*($J$2:$J$126))</f>
        <v>0</v>
      </c>
      <c r="CO198" s="79" cm="1">
        <f t="array" ref="CO198">SUMPRODUCT((CO$2:CO$126&gt;=13)*(CO$2:CO$126&lt;=17)*(CO$2:CO$126&lt;&gt;"")*($J$2:$J$126))</f>
        <v>0</v>
      </c>
      <c r="CP198" s="79" cm="1">
        <f t="array" ref="CP198">SUMPRODUCT((CP$2:CP$126&gt;=13)*(CP$2:CP$126&lt;=17)*(CP$2:CP$126&lt;&gt;"")*($J$2:$J$126))</f>
        <v>0</v>
      </c>
      <c r="CQ198" s="79" cm="1">
        <f t="array" ref="CQ198">SUMPRODUCT((CQ$2:CQ$126&gt;=13)*(CQ$2:CQ$126&lt;=17)*(CQ$2:CQ$126&lt;&gt;"")*($J$2:$J$126))</f>
        <v>0</v>
      </c>
      <c r="CR198" s="79" cm="1">
        <f t="array" ref="CR198">SUMPRODUCT((CR$2:CR$126&gt;=13)*(CR$2:CR$126&lt;=17)*(CR$2:CR$126&lt;&gt;"")*($J$2:$J$126))</f>
        <v>0</v>
      </c>
      <c r="CS198" s="79" cm="1">
        <f t="array" ref="CS198">SUMPRODUCT((CS$2:CS$126&gt;=13)*(CS$2:CS$126&lt;=17)*(CS$2:CS$126&lt;&gt;"")*($J$2:$J$126))</f>
        <v>0</v>
      </c>
      <c r="CT198" s="79" cm="1">
        <f t="array" ref="CT198">SUMPRODUCT((CT$2:CT$126&gt;=13)*(CT$2:CT$126&lt;=17)*(CT$2:CT$126&lt;&gt;"")*($J$2:$J$126))</f>
        <v>0</v>
      </c>
      <c r="CU198" s="79" cm="1">
        <f t="array" ref="CU198">SUMPRODUCT((CU$2:CU$126&gt;=13)*(CU$2:CU$126&lt;=17)*(CU$2:CU$126&lt;&gt;"")*($J$2:$J$126))</f>
        <v>0</v>
      </c>
      <c r="CV198" s="79" cm="1">
        <f t="array" ref="CV198">SUMPRODUCT((CV$2:CV$126&gt;=13)*(CV$2:CV$126&lt;=17)*(CV$2:CV$126&lt;&gt;"")*($J$2:$J$126))</f>
        <v>0</v>
      </c>
      <c r="CW198" s="79" cm="1">
        <f t="array" ref="CW198">SUMPRODUCT((CW$2:CW$126&gt;=13)*(CW$2:CW$126&lt;=17)*(CW$2:CW$126&lt;&gt;"")*($J$2:$J$126))</f>
        <v>0</v>
      </c>
      <c r="CX198" s="79" cm="1">
        <f t="array" ref="CX198">SUMPRODUCT((CX$2:CX$126&gt;=13)*(CX$2:CX$126&lt;=17)*(CX$2:CX$126&lt;&gt;"")*($J$2:$J$126))</f>
        <v>0</v>
      </c>
      <c r="CY198" s="79" cm="1">
        <f t="array" ref="CY198">SUMPRODUCT((CY$2:CY$126&gt;=13)*(CY$2:CY$126&lt;=17)*(CY$2:CY$126&lt;&gt;"")*($J$2:$J$126))</f>
        <v>0</v>
      </c>
      <c r="CZ198" s="79" cm="1">
        <f t="array" ref="CZ198">SUMPRODUCT((CZ$2:CZ$126&gt;=13)*(CZ$2:CZ$126&lt;=17)*(CZ$2:CZ$126&lt;&gt;"")*($J$2:$J$126))</f>
        <v>0</v>
      </c>
      <c r="DA198" s="79" cm="1">
        <f t="array" ref="DA198">SUMPRODUCT((DA$2:DA$126&gt;=13)*(DA$2:DA$126&lt;=17)*(DA$2:DA$126&lt;&gt;"")*($J$2:$J$126))</f>
        <v>0</v>
      </c>
      <c r="DB198" s="79" cm="1">
        <f t="array" ref="DB198">SUMPRODUCT((DB$2:DB$126&gt;=13)*(DB$2:DB$126&lt;=17)*(DB$2:DB$126&lt;&gt;"")*($J$2:$J$126))</f>
        <v>0</v>
      </c>
      <c r="DC198" s="79" cm="1">
        <f t="array" ref="DC198">SUMPRODUCT((DC$2:DC$126&gt;=13)*(DC$2:DC$126&lt;=17)*(DC$2:DC$126&lt;&gt;"")*($J$2:$J$126))</f>
        <v>0</v>
      </c>
      <c r="DD198" s="79" cm="1">
        <f t="array" ref="DD198">SUMPRODUCT((DD$2:DD$126&gt;=13)*(DD$2:DD$126&lt;=17)*(DD$2:DD$126&lt;&gt;"")*($J$2:$J$126))</f>
        <v>0</v>
      </c>
      <c r="DE198" s="79" cm="1">
        <f t="array" ref="DE198">SUMPRODUCT((DE$2:DE$126&gt;=13)*(DE$2:DE$126&lt;=17)*(DE$2:DE$126&lt;&gt;"")*($J$2:$J$126))</f>
        <v>0</v>
      </c>
      <c r="DF198" s="79" cm="1">
        <f t="array" ref="DF198">SUMPRODUCT((DF$2:DF$126&gt;=13)*(DF$2:DF$126&lt;=17)*(DF$2:DF$126&lt;&gt;"")*($J$2:$J$126))</f>
        <v>0</v>
      </c>
      <c r="DG198" s="79" cm="1">
        <f t="array" ref="DG198">SUMPRODUCT((DG$2:DG$126&gt;=13)*(DG$2:DG$126&lt;=17)*(DG$2:DG$126&lt;&gt;"")*($J$2:$J$126))</f>
        <v>0</v>
      </c>
      <c r="DH198" s="79" cm="1">
        <f t="array" ref="DH198">SUMPRODUCT((DH$2:DH$126&gt;=13)*(DH$2:DH$126&lt;=17)*(DH$2:DH$126&lt;&gt;"")*($J$2:$J$126))</f>
        <v>0</v>
      </c>
      <c r="DI198" s="79" cm="1">
        <f t="array" ref="DI198">SUMPRODUCT((DI$2:DI$126&gt;=13)*(DI$2:DI$126&lt;=17)*(DI$2:DI$126&lt;&gt;"")*($J$2:$J$126))</f>
        <v>0</v>
      </c>
      <c r="DJ198" s="79" cm="1">
        <f t="array" ref="DJ198">SUMPRODUCT((DJ$2:DJ$126&gt;=13)*(DJ$2:DJ$126&lt;=17)*(DJ$2:DJ$126&lt;&gt;"")*($J$2:$J$126))</f>
        <v>0</v>
      </c>
      <c r="DK198" s="79" cm="1">
        <f t="array" ref="DK198">SUMPRODUCT((DK$2:DK$126&gt;=13)*(DK$2:DK$126&lt;=17)*(DK$2:DK$126&lt;&gt;"")*($J$2:$J$126))</f>
        <v>0</v>
      </c>
      <c r="DL198" s="79" cm="1">
        <f t="array" ref="DL198">SUMPRODUCT((DL$2:DL$126&gt;=13)*(DL$2:DL$126&lt;=17)*(DL$2:DL$126&lt;&gt;"")*($J$2:$J$126))</f>
        <v>0</v>
      </c>
      <c r="DM198" s="79" cm="1">
        <f t="array" ref="DM198">SUMPRODUCT((DM$2:DM$126&gt;=13)*(DM$2:DM$126&lt;=17)*(DM$2:DM$126&lt;&gt;"")*($J$2:$J$126))</f>
        <v>0</v>
      </c>
      <c r="DN198" s="79" cm="1">
        <f t="array" ref="DN198">SUMPRODUCT((DN$2:DN$126&gt;=13)*(DN$2:DN$126&lt;=17)*(DN$2:DN$126&lt;&gt;"")*($J$2:$J$126))</f>
        <v>0</v>
      </c>
      <c r="DO198" s="79" cm="1">
        <f t="array" ref="DO198">SUMPRODUCT((DO$2:DO$126&gt;=13)*(DO$2:DO$126&lt;=17)*(DO$2:DO$126&lt;&gt;"")*($J$2:$J$126))</f>
        <v>0</v>
      </c>
      <c r="DP198" s="79" cm="1">
        <f t="array" ref="DP198">SUMPRODUCT((DP$2:DP$126&gt;=13)*(DP$2:DP$126&lt;=17)*(DP$2:DP$126&lt;&gt;"")*($J$2:$J$126))</f>
        <v>0</v>
      </c>
      <c r="DQ198" s="79" cm="1">
        <f t="array" ref="DQ198">SUMPRODUCT((DQ$2:DQ$126&gt;=13)*(DQ$2:DQ$126&lt;=17)*(DQ$2:DQ$126&lt;&gt;"")*($J$2:$J$126))</f>
        <v>0</v>
      </c>
      <c r="DR198" s="79" cm="1">
        <f t="array" ref="DR198">SUMPRODUCT((DR$2:DR$126&gt;=13)*(DR$2:DR$126&lt;=17)*(DR$2:DR$126&lt;&gt;"")*($J$2:$J$126))</f>
        <v>0</v>
      </c>
      <c r="DS198" s="79" cm="1">
        <f t="array" ref="DS198">SUMPRODUCT((DS$2:DS$126&gt;=13)*(DS$2:DS$126&lt;=17)*(DS$2:DS$126&lt;&gt;"")*($J$2:$J$126))</f>
        <v>0</v>
      </c>
      <c r="DT198" s="79" cm="1">
        <f t="array" ref="DT198">SUMPRODUCT((DT$2:DT$126&gt;=13)*(DT$2:DT$126&lt;=17)*(DT$2:DT$126&lt;&gt;"")*($J$2:$J$126))</f>
        <v>0</v>
      </c>
      <c r="DU198" s="79" cm="1">
        <f t="array" ref="DU198">SUMPRODUCT((DU$2:DU$126&gt;=13)*(DU$2:DU$126&lt;=17)*(DU$2:DU$126&lt;&gt;"")*($J$2:$J$126))</f>
        <v>0</v>
      </c>
      <c r="DV198" s="79" cm="1">
        <f t="array" ref="DV198">SUMPRODUCT((DV$2:DV$126&gt;=13)*(DV$2:DV$126&lt;=17)*(DV$2:DV$126&lt;&gt;"")*($J$2:$J$126))</f>
        <v>0</v>
      </c>
      <c r="DW198" s="79" cm="1">
        <f t="array" ref="DW198">SUMPRODUCT((DW$2:DW$126&gt;=13)*(DW$2:DW$126&lt;=17)*(DW$2:DW$126&lt;&gt;"")*($J$2:$J$126))</f>
        <v>0</v>
      </c>
      <c r="DX198" s="79" cm="1">
        <f t="array" ref="DX198">SUMPRODUCT((DX$2:DX$126&gt;=13)*(DX$2:DX$126&lt;=17)*(DX$2:DX$126&lt;&gt;"")*($J$2:$J$126))</f>
        <v>0</v>
      </c>
      <c r="DY198" s="79" cm="1">
        <f t="array" ref="DY198">SUMPRODUCT((DY$2:DY$126&gt;=13)*(DY$2:DY$126&lt;=17)*(DY$2:DY$126&lt;&gt;"")*($J$2:$J$126))</f>
        <v>0</v>
      </c>
      <c r="DZ198" s="79" cm="1">
        <f t="array" ref="DZ198">SUMPRODUCT((DZ$2:DZ$126&gt;=13)*(DZ$2:DZ$126&lt;=17)*(DZ$2:DZ$126&lt;&gt;"")*($J$2:$J$126))</f>
        <v>0</v>
      </c>
      <c r="EA198" s="79" cm="1">
        <f t="array" ref="EA198">SUMPRODUCT((EA$2:EA$126&gt;=13)*(EA$2:EA$126&lt;=17)*(EA$2:EA$126&lt;&gt;"")*($J$2:$J$126))</f>
        <v>0</v>
      </c>
      <c r="EB198" s="79" cm="1">
        <f t="array" ref="EB198">SUMPRODUCT((EB$2:EB$126&gt;=13)*(EB$2:EB$126&lt;=17)*(EB$2:EB$126&lt;&gt;"")*($J$2:$J$126))</f>
        <v>0</v>
      </c>
      <c r="EC198" s="79" cm="1">
        <f t="array" ref="EC198">SUMPRODUCT((EC$2:EC$126&gt;=13)*(EC$2:EC$126&lt;=17)*(EC$2:EC$126&lt;&gt;"")*($J$2:$J$126))</f>
        <v>0</v>
      </c>
      <c r="ED198" s="79" cm="1">
        <f t="array" ref="ED198">SUMPRODUCT((ED$2:ED$126&gt;=13)*(ED$2:ED$126&lt;=17)*(ED$2:ED$126&lt;&gt;"")*($J$2:$J$126))</f>
        <v>0</v>
      </c>
      <c r="EE198" s="79" cm="1">
        <f t="array" ref="EE198">SUMPRODUCT((EE$2:EE$126&gt;=13)*(EE$2:EE$126&lt;=17)*(EE$2:EE$126&lt;&gt;"")*($J$2:$J$126))</f>
        <v>0</v>
      </c>
      <c r="EF198" s="79" cm="1">
        <f t="array" ref="EF198">SUMPRODUCT((EF$2:EF$126&gt;=13)*(EF$2:EF$126&lt;=17)*(EF$2:EF$126&lt;&gt;"")*($J$2:$J$126))</f>
        <v>0</v>
      </c>
      <c r="EG198" s="79" cm="1">
        <f t="array" ref="EG198">SUMPRODUCT((EG$2:EG$126&gt;=13)*(EG$2:EG$126&lt;=17)*(EG$2:EG$126&lt;&gt;"")*($J$2:$J$126))</f>
        <v>0</v>
      </c>
      <c r="EH198" s="79" cm="1">
        <f t="array" ref="EH198">SUMPRODUCT((EH$2:EH$126&gt;=13)*(EH$2:EH$126&lt;=17)*(EH$2:EH$126&lt;&gt;"")*($J$2:$J$126))</f>
        <v>0</v>
      </c>
      <c r="EI198" s="79" cm="1">
        <f t="array" ref="EI198">SUMPRODUCT((EI$2:EI$126&gt;=13)*(EI$2:EI$126&lt;=17)*(EI$2:EI$126&lt;&gt;"")*($J$2:$J$126))</f>
        <v>0</v>
      </c>
      <c r="EJ198" s="79" cm="1">
        <f t="array" ref="EJ198">SUMPRODUCT((EJ$2:EJ$126&gt;=13)*(EJ$2:EJ$126&lt;=17)*(EJ$2:EJ$126&lt;&gt;"")*($J$2:$J$126))</f>
        <v>0</v>
      </c>
      <c r="EK198" s="79" cm="1">
        <f t="array" ref="EK198">SUMPRODUCT((EK$2:EK$126&gt;=13)*(EK$2:EK$126&lt;=17)*(EK$2:EK$126&lt;&gt;"")*($J$2:$J$126))</f>
        <v>0</v>
      </c>
      <c r="EL198" s="79" cm="1">
        <f t="array" ref="EL198">SUMPRODUCT((EL$2:EL$126&gt;=13)*(EL$2:EL$126&lt;=17)*(EL$2:EL$126&lt;&gt;"")*($J$2:$J$126))</f>
        <v>0</v>
      </c>
      <c r="EM198" s="79" cm="1">
        <f t="array" ref="EM198">SUMPRODUCT((EM$2:EM$126&gt;=13)*(EM$2:EM$126&lt;=17)*(EM$2:EM$126&lt;&gt;"")*($J$2:$J$126))</f>
        <v>0</v>
      </c>
      <c r="EN198" s="79" cm="1">
        <f t="array" ref="EN198">SUMPRODUCT((EN$2:EN$126&gt;=13)*(EN$2:EN$126&lt;=17)*(EN$2:EN$126&lt;&gt;"")*($J$2:$J$126))</f>
        <v>0</v>
      </c>
      <c r="EO198" s="79" cm="1">
        <f t="array" ref="EO198">SUMPRODUCT((EO$2:EO$126&gt;=13)*(EO$2:EO$126&lt;=17)*(EO$2:EO$126&lt;&gt;"")*($J$2:$J$126))</f>
        <v>0</v>
      </c>
      <c r="EP198" s="79" cm="1">
        <f t="array" ref="EP198">SUMPRODUCT((EP$2:EP$126&gt;=13)*(EP$2:EP$126&lt;=17)*(EP$2:EP$126&lt;&gt;"")*($J$2:$J$126))</f>
        <v>0</v>
      </c>
      <c r="EQ198" s="79" cm="1">
        <f t="array" ref="EQ198">SUMPRODUCT((EQ$2:EQ$126&gt;=13)*(EQ$2:EQ$126&lt;=17)*(EQ$2:EQ$126&lt;&gt;"")*($J$2:$J$126))</f>
        <v>0</v>
      </c>
      <c r="ER198" s="79" cm="1">
        <f t="array" ref="ER198">SUMPRODUCT((ER$2:ER$126&gt;=13)*(ER$2:ER$126&lt;=17)*(ER$2:ER$126&lt;&gt;"")*($J$2:$J$126))</f>
        <v>0</v>
      </c>
      <c r="ES198" s="79" cm="1">
        <f t="array" ref="ES198">SUMPRODUCT((ES$2:ES$126&gt;=13)*(ES$2:ES$126&lt;=17)*(ES$2:ES$126&lt;&gt;"")*($J$2:$J$126))</f>
        <v>0</v>
      </c>
      <c r="ET198" s="79" cm="1">
        <f t="array" ref="ET198">SUMPRODUCT((ET$2:ET$126&gt;=13)*(ET$2:ET$126&lt;=17)*(ET$2:ET$126&lt;&gt;"")*($J$2:$J$126))</f>
        <v>0</v>
      </c>
      <c r="EU198" s="79" cm="1">
        <f t="array" ref="EU198">SUMPRODUCT((EU$2:EU$126&gt;=13)*(EU$2:EU$126&lt;=17)*(EU$2:EU$126&lt;&gt;"")*($J$2:$J$126))</f>
        <v>0</v>
      </c>
      <c r="EV198" s="79" cm="1">
        <f t="array" ref="EV198">SUMPRODUCT((EV$2:EV$126&gt;=13)*(EV$2:EV$126&lt;=17)*(EV$2:EV$126&lt;&gt;"")*($J$2:$J$126))</f>
        <v>0</v>
      </c>
      <c r="EW198" s="79" cm="1">
        <f t="array" ref="EW198">SUMPRODUCT((EW$2:EW$126&gt;=13)*(EW$2:EW$126&lt;=17)*(EW$2:EW$126&lt;&gt;"")*($J$2:$J$126))</f>
        <v>0</v>
      </c>
      <c r="EX198" s="79" cm="1">
        <f t="array" ref="EX198">SUMPRODUCT((EX$2:EX$126&gt;=13)*(EX$2:EX$126&lt;=17)*(EX$2:EX$126&lt;&gt;"")*($J$2:$J$126))</f>
        <v>0</v>
      </c>
      <c r="EY198" s="79" cm="1">
        <f t="array" ref="EY198">SUMPRODUCT((EY$2:EY$126&gt;=13)*(EY$2:EY$126&lt;=17)*(EY$2:EY$126&lt;&gt;"")*($J$2:$J$126))</f>
        <v>0</v>
      </c>
      <c r="EZ198" s="79" cm="1">
        <f t="array" ref="EZ198">SUMPRODUCT((EZ$2:EZ$126&gt;=13)*(EZ$2:EZ$126&lt;=17)*(EZ$2:EZ$126&lt;&gt;"")*($J$2:$J$126))</f>
        <v>0</v>
      </c>
      <c r="FA198" s="79" cm="1">
        <f t="array" ref="FA198">SUMPRODUCT((FA$2:FA$126&gt;=13)*(FA$2:FA$126&lt;=17)*(FA$2:FA$126&lt;&gt;"")*($J$2:$J$126))</f>
        <v>0</v>
      </c>
      <c r="FB198" s="79" cm="1">
        <f t="array" ref="FB198">SUMPRODUCT((FB$2:FB$126&gt;=13)*(FB$2:FB$126&lt;=17)*(FB$2:FB$126&lt;&gt;"")*($J$2:$J$126))</f>
        <v>0</v>
      </c>
      <c r="FC198" s="79" cm="1">
        <f t="array" ref="FC198">SUMPRODUCT((FC$2:FC$126&gt;=13)*(FC$2:FC$126&lt;=17)*(FC$2:FC$126&lt;&gt;"")*($J$2:$J$126))</f>
        <v>0</v>
      </c>
      <c r="FD198" s="79" cm="1">
        <f t="array" ref="FD198">SUMPRODUCT((FD$2:FD$126&gt;=13)*(FD$2:FD$126&lt;=17)*(FD$2:FD$126&lt;&gt;"")*($J$2:$J$126))</f>
        <v>0</v>
      </c>
      <c r="FE198" s="79" cm="1">
        <f t="array" ref="FE198">SUMPRODUCT((FE$2:FE$126&gt;=13)*(FE$2:FE$126&lt;=17)*(FE$2:FE$126&lt;&gt;"")*($J$2:$J$126))</f>
        <v>0</v>
      </c>
      <c r="FF198" s="79" cm="1">
        <f t="array" ref="FF198">SUMPRODUCT((FF$2:FF$126&gt;=13)*(FF$2:FF$126&lt;=17)*(FF$2:FF$126&lt;&gt;"")*($J$2:$J$126))</f>
        <v>0</v>
      </c>
      <c r="FG198" s="79" cm="1">
        <f t="array" ref="FG198">SUMPRODUCT((FG$2:FG$126&gt;=13)*(FG$2:FG$126&lt;=17)*(FG$2:FG$126&lt;&gt;"")*($J$2:$J$126))</f>
        <v>0</v>
      </c>
      <c r="FH198" s="79" cm="1">
        <f t="array" ref="FH198">SUMPRODUCT((FH$2:FH$126&gt;=13)*(FH$2:FH$126&lt;=17)*(FH$2:FH$126&lt;&gt;"")*($J$2:$J$126))</f>
        <v>0</v>
      </c>
      <c r="FI198" s="79" cm="1">
        <f t="array" ref="FI198">SUMPRODUCT((FI$2:FI$126&gt;=13)*(FI$2:FI$126&lt;=17)*(FI$2:FI$126&lt;&gt;"")*($J$2:$J$126))</f>
        <v>0</v>
      </c>
      <c r="FJ198" s="79" cm="1">
        <f t="array" ref="FJ198">SUMPRODUCT((FJ$2:FJ$126&gt;=13)*(FJ$2:FJ$126&lt;=17)*(FJ$2:FJ$126&lt;&gt;"")*($J$2:$J$126))</f>
        <v>0</v>
      </c>
      <c r="FK198" s="79" cm="1">
        <f t="array" ref="FK198">SUMPRODUCT((FK$2:FK$126&gt;=13)*(FK$2:FK$126&lt;=17)*(FK$2:FK$126&lt;&gt;"")*($J$2:$J$126))</f>
        <v>0</v>
      </c>
      <c r="FL198" s="79" cm="1">
        <f t="array" ref="FL198">SUMPRODUCT((FL$2:FL$126&gt;=13)*(FL$2:FL$126&lt;=17)*(FL$2:FL$126&lt;&gt;"")*($J$2:$J$126))</f>
        <v>0</v>
      </c>
      <c r="FM198" s="79" cm="1">
        <f t="array" ref="FM198">SUMPRODUCT((FM$2:FM$126&gt;=13)*(FM$2:FM$126&lt;=17)*(FM$2:FM$126&lt;&gt;"")*($J$2:$J$126))</f>
        <v>0</v>
      </c>
      <c r="FN198" s="79" cm="1">
        <f t="array" ref="FN198">SUMPRODUCT((FN$2:FN$126&gt;=13)*(FN$2:FN$126&lt;=17)*(FN$2:FN$126&lt;&gt;"")*($J$2:$J$126))</f>
        <v>0</v>
      </c>
      <c r="FO198" s="79" cm="1">
        <f t="array" ref="FO198">SUMPRODUCT((FO$2:FO$126&gt;=13)*(FO$2:FO$126&lt;=17)*(FO$2:FO$126&lt;&gt;"")*($J$2:$J$126))</f>
        <v>0</v>
      </c>
      <c r="FP198" s="79" cm="1">
        <f t="array" ref="FP198">SUMPRODUCT((FP$2:FP$126&gt;=13)*(FP$2:FP$126&lt;=17)*(FP$2:FP$126&lt;&gt;"")*($J$2:$J$126))</f>
        <v>0</v>
      </c>
      <c r="FQ198" s="79" cm="1">
        <f t="array" ref="FQ198">SUMPRODUCT((FQ$2:FQ$126&gt;=13)*(FQ$2:FQ$126&lt;=17)*(FQ$2:FQ$126&lt;&gt;"")*($J$2:$J$126))</f>
        <v>0</v>
      </c>
      <c r="FR198" s="79" cm="1">
        <f t="array" ref="FR198">SUMPRODUCT((FR$2:FR$126&gt;=13)*(FR$2:FR$126&lt;=17)*(FR$2:FR$126&lt;&gt;"")*($J$2:$J$126))</f>
        <v>0</v>
      </c>
      <c r="FS198" s="79" cm="1">
        <f t="array" ref="FS198">SUMPRODUCT((FS$2:FS$126&gt;=13)*(FS$2:FS$126&lt;=17)*(FS$2:FS$126&lt;&gt;"")*($J$2:$J$126))</f>
        <v>0</v>
      </c>
      <c r="FT198" s="79" cm="1">
        <f t="array" ref="FT198">SUMPRODUCT((FT$2:FT$126&gt;=13)*(FT$2:FT$126&lt;=17)*(FT$2:FT$126&lt;&gt;"")*($J$2:$J$126))</f>
        <v>0</v>
      </c>
      <c r="FU198" s="79" cm="1">
        <f t="array" ref="FU198">SUMPRODUCT((FU$2:FU$126&gt;=13)*(FU$2:FU$126&lt;=17)*(FU$2:FU$126&lt;&gt;"")*($J$2:$J$126))</f>
        <v>0</v>
      </c>
      <c r="FV198" s="79" cm="1">
        <f t="array" ref="FV198">SUMPRODUCT((FV$2:FV$126&gt;=13)*(FV$2:FV$126&lt;=17)*(FV$2:FV$126&lt;&gt;"")*($J$2:$J$126))</f>
        <v>0</v>
      </c>
      <c r="FW198" s="79" cm="1">
        <f t="array" ref="FW198">SUMPRODUCT((FW$2:FW$126&gt;=13)*(FW$2:FW$126&lt;=17)*(FW$2:FW$126&lt;&gt;"")*($J$2:$J$126))</f>
        <v>0</v>
      </c>
      <c r="FX198" s="79" cm="1">
        <f t="array" ref="FX198">SUMPRODUCT((FX$2:FX$126&gt;=13)*(FX$2:FX$126&lt;=17)*(FX$2:FX$126&lt;&gt;"")*($J$2:$J$126))</f>
        <v>0</v>
      </c>
      <c r="FY198" s="79" cm="1">
        <f t="array" ref="FY198">SUMPRODUCT((FY$2:FY$126&gt;=13)*(FY$2:FY$126&lt;=17)*(FY$2:FY$126&lt;&gt;"")*($J$2:$J$126))</f>
        <v>0</v>
      </c>
      <c r="FZ198" s="79" cm="1">
        <f t="array" ref="FZ198">SUMPRODUCT((FZ$2:FZ$126&gt;=13)*(FZ$2:FZ$126&lt;=17)*(FZ$2:FZ$126&lt;&gt;"")*($J$2:$J$126))</f>
        <v>0</v>
      </c>
      <c r="GA198" s="79" cm="1">
        <f t="array" ref="GA198">SUMPRODUCT((GA$2:GA$126&gt;=13)*(GA$2:GA$126&lt;=17)*(GA$2:GA$126&lt;&gt;"")*($J$2:$J$126))</f>
        <v>0</v>
      </c>
      <c r="GB198" s="79" cm="1">
        <f t="array" ref="GB198">SUMPRODUCT((GB$2:GB$126&gt;=13)*(GB$2:GB$126&lt;=17)*(GB$2:GB$126&lt;&gt;"")*($J$2:$J$126))</f>
        <v>0</v>
      </c>
      <c r="GC198" s="79" cm="1">
        <f t="array" ref="GC198">SUMPRODUCT((GC$2:GC$126&gt;=13)*(GC$2:GC$126&lt;=17)*(GC$2:GC$126&lt;&gt;"")*($J$2:$J$126))</f>
        <v>0</v>
      </c>
      <c r="GD198" s="79" cm="1">
        <f t="array" ref="GD198">SUMPRODUCT((GD$2:GD$126&gt;=13)*(GD$2:GD$126&lt;=17)*(GD$2:GD$126&lt;&gt;"")*($J$2:$J$126))</f>
        <v>0</v>
      </c>
      <c r="GE198" s="79" cm="1">
        <f t="array" ref="GE198">SUMPRODUCT((GE$2:GE$126&gt;=13)*(GE$2:GE$126&lt;=17)*(GE$2:GE$126&lt;&gt;"")*($J$2:$J$126))</f>
        <v>0</v>
      </c>
      <c r="GF198" s="79" cm="1">
        <f t="array" ref="GF198">SUMPRODUCT((GF$2:GF$126&gt;=13)*(GF$2:GF$126&lt;=17)*(GF$2:GF$126&lt;&gt;"")*($J$2:$J$126))</f>
        <v>0</v>
      </c>
      <c r="GG198" s="79" cm="1">
        <f t="array" ref="GG198">SUMPRODUCT((GG$2:GG$126&gt;=13)*(GG$2:GG$126&lt;=17)*(GG$2:GG$126&lt;&gt;"")*($J$2:$J$126))</f>
        <v>0</v>
      </c>
      <c r="GH198" s="79" cm="1">
        <f t="array" ref="GH198">SUMPRODUCT((GH$2:GH$126&gt;=13)*(GH$2:GH$126&lt;=17)*(GH$2:GH$126&lt;&gt;"")*($J$2:$J$126))</f>
        <v>0</v>
      </c>
      <c r="GI198" s="79" cm="1">
        <f t="array" ref="GI198">SUMPRODUCT((GI$2:GI$126&gt;=13)*(GI$2:GI$126&lt;=17)*(GI$2:GI$126&lt;&gt;"")*($J$2:$J$126))</f>
        <v>0</v>
      </c>
      <c r="GJ198" s="79" cm="1">
        <f t="array" ref="GJ198">SUMPRODUCT((GJ$2:GJ$126&gt;=13)*(GJ$2:GJ$126&lt;=17)*(GJ$2:GJ$126&lt;&gt;"")*($J$2:$J$126))</f>
        <v>0</v>
      </c>
      <c r="GK198" s="79" cm="1">
        <f t="array" ref="GK198">SUMPRODUCT((GK$2:GK$126&gt;=13)*(GK$2:GK$126&lt;=17)*(GK$2:GK$126&lt;&gt;"")*($J$2:$J$126))</f>
        <v>0</v>
      </c>
      <c r="GL198" s="79" cm="1">
        <f t="array" ref="GL198">SUMPRODUCT((GL$2:GL$126&gt;=13)*(GL$2:GL$126&lt;=17)*(GL$2:GL$126&lt;&gt;"")*($J$2:$J$126))</f>
        <v>0</v>
      </c>
      <c r="GM198" s="79" cm="1">
        <f t="array" ref="GM198">SUMPRODUCT((GM$2:GM$126&gt;=13)*(GM$2:GM$126&lt;=17)*(GM$2:GM$126&lt;&gt;"")*($J$2:$J$126))</f>
        <v>0</v>
      </c>
      <c r="GN198" s="79" cm="1">
        <f t="array" ref="GN198">SUMPRODUCT((GN$2:GN$126&gt;=13)*(GN$2:GN$126&lt;=17)*(GN$2:GN$126&lt;&gt;"")*($J$2:$J$126))</f>
        <v>0</v>
      </c>
      <c r="GO198" s="79" cm="1">
        <f t="array" ref="GO198">SUMPRODUCT((GO$2:GO$126&gt;=13)*(GO$2:GO$126&lt;=17)*(GO$2:GO$126&lt;&gt;"")*($J$2:$J$126))</f>
        <v>0</v>
      </c>
      <c r="GP198" s="79" cm="1">
        <f t="array" ref="GP198">SUMPRODUCT((GP$2:GP$126&gt;=13)*(GP$2:GP$126&lt;=17)*(GP$2:GP$126&lt;&gt;"")*($J$2:$J$126))</f>
        <v>0</v>
      </c>
      <c r="GQ198" s="79" cm="1">
        <f t="array" ref="GQ198">SUMPRODUCT((GQ$2:GQ$126&gt;=13)*(GQ$2:GQ$126&lt;=17)*(GQ$2:GQ$126&lt;&gt;"")*($J$2:$J$126))</f>
        <v>0</v>
      </c>
      <c r="GR198" s="79" cm="1">
        <f t="array" ref="GR198">SUMPRODUCT((GR$2:GR$126&gt;=13)*(GR$2:GR$126&lt;=17)*(GR$2:GR$126&lt;&gt;"")*($J$2:$J$126))</f>
        <v>0</v>
      </c>
      <c r="GS198" s="79" cm="1">
        <f t="array" ref="GS198">SUMPRODUCT((GS$2:GS$126&gt;=13)*(GS$2:GS$126&lt;=17)*(GS$2:GS$126&lt;&gt;"")*($J$2:$J$126))</f>
        <v>0</v>
      </c>
      <c r="GT198" s="79" cm="1">
        <f t="array" ref="GT198">SUMPRODUCT((GT$2:GT$126&gt;=13)*(GT$2:GT$126&lt;=17)*(GT$2:GT$126&lt;&gt;"")*($J$2:$J$126))</f>
        <v>0</v>
      </c>
      <c r="GU198" s="79" cm="1">
        <f t="array" ref="GU198">SUMPRODUCT((GU$2:GU$126&gt;=13)*(GU$2:GU$126&lt;=17)*(GU$2:GU$126&lt;&gt;"")*($J$2:$J$126))</f>
        <v>0</v>
      </c>
      <c r="GV198" s="79" cm="1">
        <f t="array" ref="GV198">SUMPRODUCT((GV$2:GV$126&gt;=13)*(GV$2:GV$126&lt;=17)*(GV$2:GV$126&lt;&gt;"")*($J$2:$J$126))</f>
        <v>0</v>
      </c>
      <c r="GW198" s="79" cm="1">
        <f t="array" ref="GW198">SUMPRODUCT((GW$2:GW$126&gt;=13)*(GW$2:GW$126&lt;=17)*(GW$2:GW$126&lt;&gt;"")*($J$2:$J$126))</f>
        <v>0</v>
      </c>
      <c r="GX198" s="79" cm="1">
        <f t="array" ref="GX198">SUMPRODUCT((GX$2:GX$126&gt;=13)*(GX$2:GX$126&lt;=17)*(GX$2:GX$126&lt;&gt;"")*($J$2:$J$126))</f>
        <v>0</v>
      </c>
    </row>
    <row r="199" spans="1:206" x14ac:dyDescent="0.2">
      <c r="A199" s="84"/>
      <c r="B199" s="84" t="s">
        <v>271</v>
      </c>
      <c r="W199" s="79" cm="1">
        <f t="array" ref="W199">SUMPRODUCT((W$2:W$126&gt;=18)*(W$2:W$126&lt;=22)*(W$2:W$126&lt;&gt;"")*($J$2:$J$126))</f>
        <v>537.04000000000008</v>
      </c>
      <c r="X199" s="79" cm="1">
        <f t="array" ref="X199">SUMPRODUCT((X$2:X$126&gt;=18)*(X$2:X$126&lt;=22)*(X$2:X$126&lt;&gt;"")*($J$2:$J$126))</f>
        <v>446.07000000000005</v>
      </c>
      <c r="Y199" s="79" cm="1">
        <f t="array" ref="Y199">SUMPRODUCT((Y$2:Y$126&gt;=18)*(Y$2:Y$126&lt;=22)*(Y$2:Y$126&lt;&gt;"")*($J$2:$J$126))</f>
        <v>334.99000000000007</v>
      </c>
      <c r="Z199" s="79" cm="1">
        <f t="array" ref="Z199">SUMPRODUCT((Z$2:Z$126&gt;=18)*(Z$2:Z$126&lt;=22)*(Z$2:Z$126&lt;&gt;"")*($J$2:$J$126))</f>
        <v>285.32</v>
      </c>
      <c r="AA199" s="79" cm="1">
        <f t="array" ref="AA199">SUMPRODUCT((AA$2:AA$126&gt;=18)*(AA$2:AA$126&lt;=22)*(AA$2:AA$126&lt;&gt;"")*($J$2:$J$126))</f>
        <v>467.07</v>
      </c>
      <c r="AB199" s="79" cm="1">
        <f t="array" ref="AB199">SUMPRODUCT((AB$2:AB$126&gt;=18)*(AB$2:AB$126&lt;=22)*(AB$2:AB$126&lt;&gt;"")*($J$2:$J$126))</f>
        <v>270.52</v>
      </c>
      <c r="AC199" s="79" cm="1">
        <f t="array" ref="AC199">SUMPRODUCT((AC$2:AC$126&gt;=18)*(AC$2:AC$126&lt;=22)*(AC$2:AC$126&lt;&gt;"")*($J$2:$J$126))</f>
        <v>354.12</v>
      </c>
      <c r="AD199" s="79" cm="1">
        <f t="array" ref="AD199">SUMPRODUCT((AD$2:AD$126&gt;=18)*(AD$2:AD$126&lt;=22)*(AD$2:AD$126&lt;&gt;"")*($J$2:$J$126))</f>
        <v>484.72</v>
      </c>
      <c r="AE199" s="79" cm="1">
        <f t="array" ref="AE199">SUMPRODUCT((AE$2:AE$126&gt;=18)*(AE$2:AE$126&lt;=22)*(AE$2:AE$126&lt;&gt;"")*($J$2:$J$126))</f>
        <v>598.85</v>
      </c>
      <c r="AF199" s="79" cm="1">
        <f t="array" ref="AF199">SUMPRODUCT((AF$2:AF$126&gt;=18)*(AF$2:AF$126&lt;=22)*(AF$2:AF$126&lt;&gt;"")*($J$2:$J$126))</f>
        <v>373.51</v>
      </c>
      <c r="AG199" s="79" cm="1">
        <f t="array" ref="AG199">SUMPRODUCT((AG$2:AG$126&gt;=18)*(AG$2:AG$126&lt;=22)*(AG$2:AG$126&lt;&gt;"")*($J$2:$J$126))</f>
        <v>393.07</v>
      </c>
      <c r="AH199" s="79" cm="1">
        <f t="array" ref="AH199">SUMPRODUCT((AH$2:AH$126&gt;=18)*(AH$2:AH$126&lt;=22)*(AH$2:AH$126&lt;&gt;"")*($J$2:$J$126))</f>
        <v>326.39000000000004</v>
      </c>
      <c r="AI199" s="79" cm="1">
        <f t="array" ref="AI199">SUMPRODUCT((AI$2:AI$126&gt;=18)*(AI$2:AI$126&lt;=22)*(AI$2:AI$126&lt;&gt;"")*($J$2:$J$126))</f>
        <v>330.65999999999997</v>
      </c>
      <c r="AJ199" s="79" cm="1">
        <f t="array" ref="AJ199">SUMPRODUCT((AJ$2:AJ$126&gt;=18)*(AJ$2:AJ$126&lt;=22)*(AJ$2:AJ$126&lt;&gt;"")*($J$2:$J$126))</f>
        <v>289.54999999999995</v>
      </c>
      <c r="AK199" s="79" cm="1">
        <f t="array" ref="AK199">SUMPRODUCT((AK$2:AK$126&gt;=18)*(AK$2:AK$126&lt;=22)*(AK$2:AK$126&lt;&gt;"")*($J$2:$J$126))</f>
        <v>300.67999999999995</v>
      </c>
      <c r="AL199" s="79" cm="1">
        <f t="array" ref="AL199">SUMPRODUCT((AL$2:AL$126&gt;=18)*(AL$2:AL$126&lt;=22)*(AL$2:AL$126&lt;&gt;"")*($J$2:$J$126))</f>
        <v>271.69999999999993</v>
      </c>
      <c r="AM199" s="79" cm="1">
        <f t="array" ref="AM199">SUMPRODUCT((AM$2:AM$126&gt;=18)*(AM$2:AM$126&lt;=22)*(AM$2:AM$126&lt;&gt;"")*($J$2:$J$126))</f>
        <v>240.89</v>
      </c>
      <c r="AN199" s="79" cm="1">
        <f t="array" ref="AN199">SUMPRODUCT((AN$2:AN$126&gt;=18)*(AN$2:AN$126&lt;=22)*(AN$2:AN$126&lt;&gt;"")*($J$2:$J$126))</f>
        <v>153.30000000000001</v>
      </c>
      <c r="AO199" s="79" cm="1">
        <f t="array" ref="AO199">SUMPRODUCT((AO$2:AO$126&gt;=18)*(AO$2:AO$126&lt;=22)*(AO$2:AO$126&lt;&gt;"")*($J$2:$J$126))</f>
        <v>149.52999999999997</v>
      </c>
      <c r="AP199" s="79" cm="1">
        <f t="array" ref="AP199">SUMPRODUCT((AP$2:AP$126&gt;=18)*(AP$2:AP$126&lt;=22)*(AP$2:AP$126&lt;&gt;"")*($J$2:$J$126))</f>
        <v>234.76999999999998</v>
      </c>
      <c r="AQ199" s="79" cm="1">
        <f t="array" ref="AQ199">SUMPRODUCT((AQ$2:AQ$126&gt;=18)*(AQ$2:AQ$126&lt;=22)*(AQ$2:AQ$126&lt;&gt;"")*($J$2:$J$126))</f>
        <v>316.64999999999998</v>
      </c>
      <c r="AR199" s="79" cm="1">
        <f t="array" ref="AR199">SUMPRODUCT((AR$2:AR$126&gt;=18)*(AR$2:AR$126&lt;=22)*(AR$2:AR$126&lt;&gt;"")*($J$2:$J$126))</f>
        <v>296.87999999999994</v>
      </c>
      <c r="AS199" s="79" cm="1">
        <f t="array" ref="AS199">SUMPRODUCT((AS$2:AS$126&gt;=18)*(AS$2:AS$126&lt;=22)*(AS$2:AS$126&lt;&gt;"")*($J$2:$J$126))</f>
        <v>240.76</v>
      </c>
      <c r="AT199" s="79" cm="1">
        <f t="array" ref="AT199">SUMPRODUCT((AT$2:AT$126&gt;=18)*(AT$2:AT$126&lt;=22)*(AT$2:AT$126&lt;&gt;"")*($J$2:$J$126))</f>
        <v>221.77999999999997</v>
      </c>
      <c r="AU199" s="79" cm="1">
        <f t="array" ref="AU199">SUMPRODUCT((AU$2:AU$126&gt;=18)*(AU$2:AU$126&lt;=22)*(AU$2:AU$126&lt;&gt;"")*($J$2:$J$126))</f>
        <v>198.45999999999998</v>
      </c>
      <c r="AV199" s="79" cm="1">
        <f t="array" ref="AV199">SUMPRODUCT((AV$2:AV$126&gt;=18)*(AV$2:AV$126&lt;=22)*(AV$2:AV$126&lt;&gt;"")*($J$2:$J$126))</f>
        <v>108.61</v>
      </c>
      <c r="AW199" s="79" cm="1">
        <f t="array" ref="AW199">SUMPRODUCT((AW$2:AW$126&gt;=18)*(AW$2:AW$126&lt;=22)*(AW$2:AW$126&lt;&gt;"")*($J$2:$J$126))</f>
        <v>185.27999999999997</v>
      </c>
      <c r="AX199" s="79" cm="1">
        <f t="array" ref="AX199">SUMPRODUCT((AX$2:AX$126&gt;=18)*(AX$2:AX$126&lt;=22)*(AX$2:AX$126&lt;&gt;"")*($J$2:$J$126))</f>
        <v>150.35</v>
      </c>
      <c r="AY199" s="79" cm="1">
        <f t="array" ref="AY199">SUMPRODUCT((AY$2:AY$126&gt;=18)*(AY$2:AY$126&lt;=22)*(AY$2:AY$126&lt;&gt;"")*($J$2:$J$126))</f>
        <v>77.16</v>
      </c>
      <c r="AZ199" s="79" cm="1">
        <f t="array" ref="AZ199">SUMPRODUCT((AZ$2:AZ$126&gt;=18)*(AZ$2:AZ$126&lt;=22)*(AZ$2:AZ$126&lt;&gt;"")*($J$2:$J$126))</f>
        <v>104.15</v>
      </c>
      <c r="BA199" s="79" cm="1">
        <f t="array" ref="BA199">SUMPRODUCT((BA$2:BA$126&gt;=18)*(BA$2:BA$126&lt;=22)*(BA$2:BA$126&lt;&gt;"")*($J$2:$J$126))</f>
        <v>32.19</v>
      </c>
      <c r="BB199" s="79" cm="1">
        <f t="array" ref="BB199">SUMPRODUCT((BB$2:BB$126&gt;=18)*(BB$2:BB$126&lt;=22)*(BB$2:BB$126&lt;&gt;"")*($J$2:$J$126))</f>
        <v>49.769999999999996</v>
      </c>
      <c r="BC199" s="79" cm="1">
        <f t="array" ref="BC199">SUMPRODUCT((BC$2:BC$126&gt;=18)*(BC$2:BC$126&lt;=22)*(BC$2:BC$126&lt;&gt;"")*($J$2:$J$126))</f>
        <v>145.77000000000001</v>
      </c>
      <c r="BD199" s="79" cm="1">
        <f t="array" ref="BD199">SUMPRODUCT((BD$2:BD$126&gt;=18)*(BD$2:BD$126&lt;=22)*(BD$2:BD$126&lt;&gt;"")*($J$2:$J$126))</f>
        <v>76.03</v>
      </c>
      <c r="BE199" s="79" cm="1">
        <f t="array" ref="BE199">SUMPRODUCT((BE$2:BE$126&gt;=18)*(BE$2:BE$126&lt;=22)*(BE$2:BE$126&lt;&gt;"")*($J$2:$J$126))</f>
        <v>167.97</v>
      </c>
      <c r="BF199" s="79" cm="1">
        <f t="array" ref="BF199">SUMPRODUCT((BF$2:BF$126&gt;=18)*(BF$2:BF$126&lt;=22)*(BF$2:BF$126&lt;&gt;"")*($J$2:$J$126))</f>
        <v>104.44000000000001</v>
      </c>
      <c r="BG199" s="79" cm="1">
        <f t="array" ref="BG199">SUMPRODUCT((BG$2:BG$126&gt;=18)*(BG$2:BG$126&lt;=22)*(BG$2:BG$126&lt;&gt;"")*($J$2:$J$126))</f>
        <v>43.34</v>
      </c>
      <c r="BH199" s="79" cm="1">
        <f t="array" ref="BH199">SUMPRODUCT((BH$2:BH$126&gt;=18)*(BH$2:BH$126&lt;=22)*(BH$2:BH$126&lt;&gt;"")*($J$2:$J$126))</f>
        <v>0</v>
      </c>
      <c r="BI199" s="79" cm="1">
        <f t="array" ref="BI199">SUMPRODUCT((BI$2:BI$126&gt;=18)*(BI$2:BI$126&lt;=22)*(BI$2:BI$126&lt;&gt;"")*($J$2:$J$126))</f>
        <v>61.86</v>
      </c>
      <c r="BJ199" s="79" cm="1">
        <f t="array" ref="BJ199">SUMPRODUCT((BJ$2:BJ$126&gt;=18)*(BJ$2:BJ$126&lt;=22)*(BJ$2:BJ$126&lt;&gt;"")*($J$2:$J$126))</f>
        <v>132.37</v>
      </c>
      <c r="BK199" s="79" cm="1">
        <f t="array" ref="BK199">SUMPRODUCT((BK$2:BK$126&gt;=18)*(BK$2:BK$126&lt;=22)*(BK$2:BK$126&lt;&gt;"")*($J$2:$J$126))</f>
        <v>140.54</v>
      </c>
      <c r="BL199" s="79" cm="1">
        <f t="array" ref="BL199">SUMPRODUCT((BL$2:BL$126&gt;=18)*(BL$2:BL$126&lt;=22)*(BL$2:BL$126&lt;&gt;"")*($J$2:$J$126))</f>
        <v>159.33999999999997</v>
      </c>
      <c r="BM199" s="79" cm="1">
        <f t="array" ref="BM199">SUMPRODUCT((BM$2:BM$126&gt;=18)*(BM$2:BM$126&lt;=22)*(BM$2:BM$126&lt;&gt;"")*($J$2:$J$126))</f>
        <v>168.14999999999998</v>
      </c>
      <c r="BN199" s="79" cm="1">
        <f t="array" ref="BN199">SUMPRODUCT((BN$2:BN$126&gt;=18)*(BN$2:BN$126&lt;=22)*(BN$2:BN$126&lt;&gt;"")*($J$2:$J$126))</f>
        <v>104.02</v>
      </c>
      <c r="BO199" s="79" cm="1">
        <f t="array" ref="BO199">SUMPRODUCT((BO$2:BO$126&gt;=18)*(BO$2:BO$126&lt;=22)*(BO$2:BO$126&lt;&gt;"")*($J$2:$J$126))</f>
        <v>106.06</v>
      </c>
      <c r="BP199" s="79" cm="1">
        <f t="array" ref="BP199">SUMPRODUCT((BP$2:BP$126&gt;=18)*(BP$2:BP$126&lt;=22)*(BP$2:BP$126&lt;&gt;"")*($J$2:$J$126))</f>
        <v>162.42000000000002</v>
      </c>
      <c r="BQ199" s="79" cm="1">
        <f t="array" ref="BQ199">SUMPRODUCT((BQ$2:BQ$126&gt;=18)*(BQ$2:BQ$126&lt;=22)*(BQ$2:BQ$126&lt;&gt;"")*($J$2:$J$126))</f>
        <v>225.54999999999998</v>
      </c>
      <c r="BR199" s="79" cm="1">
        <f t="array" ref="BR199">SUMPRODUCT((BR$2:BR$126&gt;=18)*(BR$2:BR$126&lt;=22)*(BR$2:BR$126&lt;&gt;"")*($J$2:$J$126))</f>
        <v>357.48999999999995</v>
      </c>
      <c r="BS199" s="79" cm="1">
        <f t="array" ref="BS199">SUMPRODUCT((BS$2:BS$126&gt;=18)*(BS$2:BS$126&lt;=22)*(BS$2:BS$126&lt;&gt;"")*($J$2:$J$126))</f>
        <v>545.17000000000007</v>
      </c>
      <c r="BT199" s="79" cm="1">
        <f t="array" ref="BT199">SUMPRODUCT((BT$2:BT$126&gt;=18)*(BT$2:BT$126&lt;=22)*(BT$2:BT$126&lt;&gt;"")*($J$2:$J$126))</f>
        <v>549.80000000000007</v>
      </c>
      <c r="BU199" s="79" cm="1">
        <f t="array" ref="BU199">SUMPRODUCT((BU$2:BU$126&gt;=18)*(BU$2:BU$126&lt;=22)*(BU$2:BU$126&lt;&gt;"")*($J$2:$J$126))</f>
        <v>493.44000000000005</v>
      </c>
      <c r="BV199" s="79" cm="1">
        <f t="array" ref="BV199">SUMPRODUCT((BV$2:BV$126&gt;=18)*(BV$2:BV$126&lt;=22)*(BV$2:BV$126&lt;&gt;"")*($J$2:$J$126))</f>
        <v>517.58000000000004</v>
      </c>
      <c r="BW199" s="79" cm="1">
        <f t="array" ref="BW199">SUMPRODUCT((BW$2:BW$126&gt;=18)*(BW$2:BW$126&lt;=22)*(BW$2:BW$126&lt;&gt;"")*($J$2:$J$126))</f>
        <v>504.9</v>
      </c>
      <c r="BX199" s="79" cm="1">
        <f t="array" ref="BX199">SUMPRODUCT((BX$2:BX$126&gt;=18)*(BX$2:BX$126&lt;=22)*(BX$2:BX$126&lt;&gt;"")*($J$2:$J$126))</f>
        <v>563.68999999999983</v>
      </c>
      <c r="BY199" s="79" cm="1">
        <f t="array" ref="BY199">SUMPRODUCT((BY$2:BY$126&gt;=18)*(BY$2:BY$126&lt;=22)*(BY$2:BY$126&lt;&gt;"")*($J$2:$J$126))</f>
        <v>694</v>
      </c>
      <c r="BZ199" s="79" cm="1">
        <f t="array" ref="BZ199">SUMPRODUCT((BZ$2:BZ$126&gt;=18)*(BZ$2:BZ$126&lt;=22)*(BZ$2:BZ$126&lt;&gt;"")*($J$2:$J$126))</f>
        <v>755.34</v>
      </c>
      <c r="CA199" s="79" cm="1">
        <f t="array" ref="CA199">SUMPRODUCT((CA$2:CA$126&gt;=18)*(CA$2:CA$126&lt;=22)*(CA$2:CA$126&lt;&gt;"")*($J$2:$J$126))</f>
        <v>678.93000000000006</v>
      </c>
      <c r="CB199" s="79" cm="1">
        <f t="array" ref="CB199">SUMPRODUCT((CB$2:CB$126&gt;=18)*(CB$2:CB$126&lt;=22)*(CB$2:CB$126&lt;&gt;"")*($J$2:$J$126))</f>
        <v>559.67000000000007</v>
      </c>
      <c r="CC199" s="79" cm="1">
        <f t="array" ref="CC199">SUMPRODUCT((CC$2:CC$126&gt;=18)*(CC$2:CC$126&lt;=22)*(CC$2:CC$126&lt;&gt;"")*($J$2:$J$126))</f>
        <v>455.39</v>
      </c>
      <c r="CD199" s="79" cm="1">
        <f t="array" ref="CD199">SUMPRODUCT((CD$2:CD$126&gt;=18)*(CD$2:CD$126&lt;=22)*(CD$2:CD$126&lt;&gt;"")*($J$2:$J$126))</f>
        <v>484.59999999999997</v>
      </c>
      <c r="CE199" s="79" cm="1">
        <f t="array" ref="CE199">SUMPRODUCT((CE$2:CE$126&gt;=18)*(CE$2:CE$126&lt;=22)*(CE$2:CE$126&lt;&gt;"")*($J$2:$J$126))</f>
        <v>641.50999999999988</v>
      </c>
      <c r="CF199" s="79" cm="1">
        <f t="array" ref="CF199">SUMPRODUCT((CF$2:CF$126&gt;=18)*(CF$2:CF$126&lt;=22)*(CF$2:CF$126&lt;&gt;"")*($J$2:$J$126))</f>
        <v>653.86999999999989</v>
      </c>
      <c r="CG199" s="79" cm="1">
        <f t="array" ref="CG199">SUMPRODUCT((CG$2:CG$126&gt;=18)*(CG$2:CG$126&lt;=22)*(CG$2:CG$126&lt;&gt;"")*($J$2:$J$126))</f>
        <v>873.17999999999984</v>
      </c>
      <c r="CH199" s="79" cm="1">
        <f t="array" ref="CH199">SUMPRODUCT((CH$2:CH$126&gt;=18)*(CH$2:CH$126&lt;=22)*(CH$2:CH$126&lt;&gt;"")*($J$2:$J$126))</f>
        <v>730.9899999999999</v>
      </c>
      <c r="CI199" s="79" cm="1">
        <f t="array" ref="CI199">SUMPRODUCT((CI$2:CI$126&gt;=18)*(CI$2:CI$126&lt;=22)*(CI$2:CI$126&lt;&gt;"")*($J$2:$J$126))</f>
        <v>501.69000000000005</v>
      </c>
      <c r="CJ199" s="79" cm="1">
        <f t="array" ref="CJ199">SUMPRODUCT((CJ$2:CJ$126&gt;=18)*(CJ$2:CJ$126&lt;=22)*(CJ$2:CJ$126&lt;&gt;"")*($J$2:$J$126))</f>
        <v>283.44</v>
      </c>
      <c r="CK199" s="79" cm="1">
        <f t="array" ref="CK199">SUMPRODUCT((CK$2:CK$126&gt;=18)*(CK$2:CK$126&lt;=22)*(CK$2:CK$126&lt;&gt;"")*($J$2:$J$126))</f>
        <v>219.31</v>
      </c>
      <c r="CL199" s="79" cm="1">
        <f t="array" ref="CL199">SUMPRODUCT((CL$2:CL$126&gt;=18)*(CL$2:CL$126&lt;=22)*(CL$2:CL$126&lt;&gt;"")*($J$2:$J$126))</f>
        <v>0</v>
      </c>
      <c r="CM199" s="79" cm="1">
        <f t="array" ref="CM199">SUMPRODUCT((CM$2:CM$126&gt;=18)*(CM$2:CM$126&lt;=22)*(CM$2:CM$126&lt;&gt;"")*($J$2:$J$126))</f>
        <v>0</v>
      </c>
      <c r="CN199" s="79" cm="1">
        <f t="array" ref="CN199">SUMPRODUCT((CN$2:CN$126&gt;=18)*(CN$2:CN$126&lt;=22)*(CN$2:CN$126&lt;&gt;"")*($J$2:$J$126))</f>
        <v>0</v>
      </c>
      <c r="CO199" s="79" cm="1">
        <f t="array" ref="CO199">SUMPRODUCT((CO$2:CO$126&gt;=18)*(CO$2:CO$126&lt;=22)*(CO$2:CO$126&lt;&gt;"")*($J$2:$J$126))</f>
        <v>0</v>
      </c>
      <c r="CP199" s="79" cm="1">
        <f t="array" ref="CP199">SUMPRODUCT((CP$2:CP$126&gt;=18)*(CP$2:CP$126&lt;=22)*(CP$2:CP$126&lt;&gt;"")*($J$2:$J$126))</f>
        <v>0</v>
      </c>
      <c r="CQ199" s="79" cm="1">
        <f t="array" ref="CQ199">SUMPRODUCT((CQ$2:CQ$126&gt;=18)*(CQ$2:CQ$126&lt;=22)*(CQ$2:CQ$126&lt;&gt;"")*($J$2:$J$126))</f>
        <v>0</v>
      </c>
      <c r="CR199" s="79" cm="1">
        <f t="array" ref="CR199">SUMPRODUCT((CR$2:CR$126&gt;=18)*(CR$2:CR$126&lt;=22)*(CR$2:CR$126&lt;&gt;"")*($J$2:$J$126))</f>
        <v>0</v>
      </c>
      <c r="CS199" s="79" cm="1">
        <f t="array" ref="CS199">SUMPRODUCT((CS$2:CS$126&gt;=18)*(CS$2:CS$126&lt;=22)*(CS$2:CS$126&lt;&gt;"")*($J$2:$J$126))</f>
        <v>0</v>
      </c>
      <c r="CT199" s="79" cm="1">
        <f t="array" ref="CT199">SUMPRODUCT((CT$2:CT$126&gt;=18)*(CT$2:CT$126&lt;=22)*(CT$2:CT$126&lt;&gt;"")*($J$2:$J$126))</f>
        <v>0</v>
      </c>
      <c r="CU199" s="79" cm="1">
        <f t="array" ref="CU199">SUMPRODUCT((CU$2:CU$126&gt;=18)*(CU$2:CU$126&lt;=22)*(CU$2:CU$126&lt;&gt;"")*($J$2:$J$126))</f>
        <v>0</v>
      </c>
      <c r="CV199" s="79" cm="1">
        <f t="array" ref="CV199">SUMPRODUCT((CV$2:CV$126&gt;=18)*(CV$2:CV$126&lt;=22)*(CV$2:CV$126&lt;&gt;"")*($J$2:$J$126))</f>
        <v>0</v>
      </c>
      <c r="CW199" s="79" cm="1">
        <f t="array" ref="CW199">SUMPRODUCT((CW$2:CW$126&gt;=18)*(CW$2:CW$126&lt;=22)*(CW$2:CW$126&lt;&gt;"")*($J$2:$J$126))</f>
        <v>0</v>
      </c>
      <c r="CX199" s="79" cm="1">
        <f t="array" ref="CX199">SUMPRODUCT((CX$2:CX$126&gt;=18)*(CX$2:CX$126&lt;=22)*(CX$2:CX$126&lt;&gt;"")*($J$2:$J$126))</f>
        <v>0</v>
      </c>
      <c r="CY199" s="79" cm="1">
        <f t="array" ref="CY199">SUMPRODUCT((CY$2:CY$126&gt;=18)*(CY$2:CY$126&lt;=22)*(CY$2:CY$126&lt;&gt;"")*($J$2:$J$126))</f>
        <v>0</v>
      </c>
      <c r="CZ199" s="79" cm="1">
        <f t="array" ref="CZ199">SUMPRODUCT((CZ$2:CZ$126&gt;=18)*(CZ$2:CZ$126&lt;=22)*(CZ$2:CZ$126&lt;&gt;"")*($J$2:$J$126))</f>
        <v>0</v>
      </c>
      <c r="DA199" s="79" cm="1">
        <f t="array" ref="DA199">SUMPRODUCT((DA$2:DA$126&gt;=18)*(DA$2:DA$126&lt;=22)*(DA$2:DA$126&lt;&gt;"")*($J$2:$J$126))</f>
        <v>0</v>
      </c>
      <c r="DB199" s="79" cm="1">
        <f t="array" ref="DB199">SUMPRODUCT((DB$2:DB$126&gt;=18)*(DB$2:DB$126&lt;=22)*(DB$2:DB$126&lt;&gt;"")*($J$2:$J$126))</f>
        <v>0</v>
      </c>
      <c r="DC199" s="79" cm="1">
        <f t="array" ref="DC199">SUMPRODUCT((DC$2:DC$126&gt;=18)*(DC$2:DC$126&lt;=22)*(DC$2:DC$126&lt;&gt;"")*($J$2:$J$126))</f>
        <v>0</v>
      </c>
      <c r="DD199" s="79" cm="1">
        <f t="array" ref="DD199">SUMPRODUCT((DD$2:DD$126&gt;=18)*(DD$2:DD$126&lt;=22)*(DD$2:DD$126&lt;&gt;"")*($J$2:$J$126))</f>
        <v>0</v>
      </c>
      <c r="DE199" s="79" cm="1">
        <f t="array" ref="DE199">SUMPRODUCT((DE$2:DE$126&gt;=18)*(DE$2:DE$126&lt;=22)*(DE$2:DE$126&lt;&gt;"")*($J$2:$J$126))</f>
        <v>0</v>
      </c>
      <c r="DF199" s="79" cm="1">
        <f t="array" ref="DF199">SUMPRODUCT((DF$2:DF$126&gt;=18)*(DF$2:DF$126&lt;=22)*(DF$2:DF$126&lt;&gt;"")*($J$2:$J$126))</f>
        <v>0</v>
      </c>
      <c r="DG199" s="79" cm="1">
        <f t="array" ref="DG199">SUMPRODUCT((DG$2:DG$126&gt;=18)*(DG$2:DG$126&lt;=22)*(DG$2:DG$126&lt;&gt;"")*($J$2:$J$126))</f>
        <v>0</v>
      </c>
      <c r="DH199" s="79" cm="1">
        <f t="array" ref="DH199">SUMPRODUCT((DH$2:DH$126&gt;=18)*(DH$2:DH$126&lt;=22)*(DH$2:DH$126&lt;&gt;"")*($J$2:$J$126))</f>
        <v>0</v>
      </c>
      <c r="DI199" s="79" cm="1">
        <f t="array" ref="DI199">SUMPRODUCT((DI$2:DI$126&gt;=18)*(DI$2:DI$126&lt;=22)*(DI$2:DI$126&lt;&gt;"")*($J$2:$J$126))</f>
        <v>0</v>
      </c>
      <c r="DJ199" s="79" cm="1">
        <f t="array" ref="DJ199">SUMPRODUCT((DJ$2:DJ$126&gt;=18)*(DJ$2:DJ$126&lt;=22)*(DJ$2:DJ$126&lt;&gt;"")*($J$2:$J$126))</f>
        <v>0</v>
      </c>
      <c r="DK199" s="79" cm="1">
        <f t="array" ref="DK199">SUMPRODUCT((DK$2:DK$126&gt;=18)*(DK$2:DK$126&lt;=22)*(DK$2:DK$126&lt;&gt;"")*($J$2:$J$126))</f>
        <v>0</v>
      </c>
      <c r="DL199" s="79" cm="1">
        <f t="array" ref="DL199">SUMPRODUCT((DL$2:DL$126&gt;=18)*(DL$2:DL$126&lt;=22)*(DL$2:DL$126&lt;&gt;"")*($J$2:$J$126))</f>
        <v>0</v>
      </c>
      <c r="DM199" s="79" cm="1">
        <f t="array" ref="DM199">SUMPRODUCT((DM$2:DM$126&gt;=18)*(DM$2:DM$126&lt;=22)*(DM$2:DM$126&lt;&gt;"")*($J$2:$J$126))</f>
        <v>0</v>
      </c>
      <c r="DN199" s="79" cm="1">
        <f t="array" ref="DN199">SUMPRODUCT((DN$2:DN$126&gt;=18)*(DN$2:DN$126&lt;=22)*(DN$2:DN$126&lt;&gt;"")*($J$2:$J$126))</f>
        <v>0</v>
      </c>
      <c r="DO199" s="79" cm="1">
        <f t="array" ref="DO199">SUMPRODUCT((DO$2:DO$126&gt;=18)*(DO$2:DO$126&lt;=22)*(DO$2:DO$126&lt;&gt;"")*($J$2:$J$126))</f>
        <v>0</v>
      </c>
      <c r="DP199" s="79" cm="1">
        <f t="array" ref="DP199">SUMPRODUCT((DP$2:DP$126&gt;=18)*(DP$2:DP$126&lt;=22)*(DP$2:DP$126&lt;&gt;"")*($J$2:$J$126))</f>
        <v>0</v>
      </c>
      <c r="DQ199" s="79" cm="1">
        <f t="array" ref="DQ199">SUMPRODUCT((DQ$2:DQ$126&gt;=18)*(DQ$2:DQ$126&lt;=22)*(DQ$2:DQ$126&lt;&gt;"")*($J$2:$J$126))</f>
        <v>0</v>
      </c>
      <c r="DR199" s="79" cm="1">
        <f t="array" ref="DR199">SUMPRODUCT((DR$2:DR$126&gt;=18)*(DR$2:DR$126&lt;=22)*(DR$2:DR$126&lt;&gt;"")*($J$2:$J$126))</f>
        <v>0</v>
      </c>
      <c r="DS199" s="79" cm="1">
        <f t="array" ref="DS199">SUMPRODUCT((DS$2:DS$126&gt;=18)*(DS$2:DS$126&lt;=22)*(DS$2:DS$126&lt;&gt;"")*($J$2:$J$126))</f>
        <v>0</v>
      </c>
      <c r="DT199" s="79" cm="1">
        <f t="array" ref="DT199">SUMPRODUCT((DT$2:DT$126&gt;=18)*(DT$2:DT$126&lt;=22)*(DT$2:DT$126&lt;&gt;"")*($J$2:$J$126))</f>
        <v>0</v>
      </c>
      <c r="DU199" s="79" cm="1">
        <f t="array" ref="DU199">SUMPRODUCT((DU$2:DU$126&gt;=18)*(DU$2:DU$126&lt;=22)*(DU$2:DU$126&lt;&gt;"")*($J$2:$J$126))</f>
        <v>0</v>
      </c>
      <c r="DV199" s="79" cm="1">
        <f t="array" ref="DV199">SUMPRODUCT((DV$2:DV$126&gt;=18)*(DV$2:DV$126&lt;=22)*(DV$2:DV$126&lt;&gt;"")*($J$2:$J$126))</f>
        <v>0</v>
      </c>
      <c r="DW199" s="79" cm="1">
        <f t="array" ref="DW199">SUMPRODUCT((DW$2:DW$126&gt;=18)*(DW$2:DW$126&lt;=22)*(DW$2:DW$126&lt;&gt;"")*($J$2:$J$126))</f>
        <v>0</v>
      </c>
      <c r="DX199" s="79" cm="1">
        <f t="array" ref="DX199">SUMPRODUCT((DX$2:DX$126&gt;=18)*(DX$2:DX$126&lt;=22)*(DX$2:DX$126&lt;&gt;"")*($J$2:$J$126))</f>
        <v>0</v>
      </c>
      <c r="DY199" s="79" cm="1">
        <f t="array" ref="DY199">SUMPRODUCT((DY$2:DY$126&gt;=18)*(DY$2:DY$126&lt;=22)*(DY$2:DY$126&lt;&gt;"")*($J$2:$J$126))</f>
        <v>0</v>
      </c>
      <c r="DZ199" s="79" cm="1">
        <f t="array" ref="DZ199">SUMPRODUCT((DZ$2:DZ$126&gt;=18)*(DZ$2:DZ$126&lt;=22)*(DZ$2:DZ$126&lt;&gt;"")*($J$2:$J$126))</f>
        <v>0</v>
      </c>
      <c r="EA199" s="79" cm="1">
        <f t="array" ref="EA199">SUMPRODUCT((EA$2:EA$126&gt;=18)*(EA$2:EA$126&lt;=22)*(EA$2:EA$126&lt;&gt;"")*($J$2:$J$126))</f>
        <v>0</v>
      </c>
      <c r="EB199" s="79" cm="1">
        <f t="array" ref="EB199">SUMPRODUCT((EB$2:EB$126&gt;=18)*(EB$2:EB$126&lt;=22)*(EB$2:EB$126&lt;&gt;"")*($J$2:$J$126))</f>
        <v>0</v>
      </c>
      <c r="EC199" s="79" cm="1">
        <f t="array" ref="EC199">SUMPRODUCT((EC$2:EC$126&gt;=18)*(EC$2:EC$126&lt;=22)*(EC$2:EC$126&lt;&gt;"")*($J$2:$J$126))</f>
        <v>0</v>
      </c>
      <c r="ED199" s="79" cm="1">
        <f t="array" ref="ED199">SUMPRODUCT((ED$2:ED$126&gt;=18)*(ED$2:ED$126&lt;=22)*(ED$2:ED$126&lt;&gt;"")*($J$2:$J$126))</f>
        <v>0</v>
      </c>
      <c r="EE199" s="79" cm="1">
        <f t="array" ref="EE199">SUMPRODUCT((EE$2:EE$126&gt;=18)*(EE$2:EE$126&lt;=22)*(EE$2:EE$126&lt;&gt;"")*($J$2:$J$126))</f>
        <v>0</v>
      </c>
      <c r="EF199" s="79" cm="1">
        <f t="array" ref="EF199">SUMPRODUCT((EF$2:EF$126&gt;=18)*(EF$2:EF$126&lt;=22)*(EF$2:EF$126&lt;&gt;"")*($J$2:$J$126))</f>
        <v>0</v>
      </c>
      <c r="EG199" s="79" cm="1">
        <f t="array" ref="EG199">SUMPRODUCT((EG$2:EG$126&gt;=18)*(EG$2:EG$126&lt;=22)*(EG$2:EG$126&lt;&gt;"")*($J$2:$J$126))</f>
        <v>0</v>
      </c>
      <c r="EH199" s="79" cm="1">
        <f t="array" ref="EH199">SUMPRODUCT((EH$2:EH$126&gt;=18)*(EH$2:EH$126&lt;=22)*(EH$2:EH$126&lt;&gt;"")*($J$2:$J$126))</f>
        <v>0</v>
      </c>
      <c r="EI199" s="79" cm="1">
        <f t="array" ref="EI199">SUMPRODUCT((EI$2:EI$126&gt;=18)*(EI$2:EI$126&lt;=22)*(EI$2:EI$126&lt;&gt;"")*($J$2:$J$126))</f>
        <v>0</v>
      </c>
      <c r="EJ199" s="79" cm="1">
        <f t="array" ref="EJ199">SUMPRODUCT((EJ$2:EJ$126&gt;=18)*(EJ$2:EJ$126&lt;=22)*(EJ$2:EJ$126&lt;&gt;"")*($J$2:$J$126))</f>
        <v>0</v>
      </c>
      <c r="EK199" s="79" cm="1">
        <f t="array" ref="EK199">SUMPRODUCT((EK$2:EK$126&gt;=18)*(EK$2:EK$126&lt;=22)*(EK$2:EK$126&lt;&gt;"")*($J$2:$J$126))</f>
        <v>0</v>
      </c>
      <c r="EL199" s="79" cm="1">
        <f t="array" ref="EL199">SUMPRODUCT((EL$2:EL$126&gt;=18)*(EL$2:EL$126&lt;=22)*(EL$2:EL$126&lt;&gt;"")*($J$2:$J$126))</f>
        <v>0</v>
      </c>
      <c r="EM199" s="79" cm="1">
        <f t="array" ref="EM199">SUMPRODUCT((EM$2:EM$126&gt;=18)*(EM$2:EM$126&lt;=22)*(EM$2:EM$126&lt;&gt;"")*($J$2:$J$126))</f>
        <v>0</v>
      </c>
      <c r="EN199" s="79" cm="1">
        <f t="array" ref="EN199">SUMPRODUCT((EN$2:EN$126&gt;=18)*(EN$2:EN$126&lt;=22)*(EN$2:EN$126&lt;&gt;"")*($J$2:$J$126))</f>
        <v>0</v>
      </c>
      <c r="EO199" s="79" cm="1">
        <f t="array" ref="EO199">SUMPRODUCT((EO$2:EO$126&gt;=18)*(EO$2:EO$126&lt;=22)*(EO$2:EO$126&lt;&gt;"")*($J$2:$J$126))</f>
        <v>0</v>
      </c>
      <c r="EP199" s="79" cm="1">
        <f t="array" ref="EP199">SUMPRODUCT((EP$2:EP$126&gt;=18)*(EP$2:EP$126&lt;=22)*(EP$2:EP$126&lt;&gt;"")*($J$2:$J$126))</f>
        <v>0</v>
      </c>
      <c r="EQ199" s="79" cm="1">
        <f t="array" ref="EQ199">SUMPRODUCT((EQ$2:EQ$126&gt;=18)*(EQ$2:EQ$126&lt;=22)*(EQ$2:EQ$126&lt;&gt;"")*($J$2:$J$126))</f>
        <v>0</v>
      </c>
      <c r="ER199" s="79" cm="1">
        <f t="array" ref="ER199">SUMPRODUCT((ER$2:ER$126&gt;=18)*(ER$2:ER$126&lt;=22)*(ER$2:ER$126&lt;&gt;"")*($J$2:$J$126))</f>
        <v>0</v>
      </c>
      <c r="ES199" s="79" cm="1">
        <f t="array" ref="ES199">SUMPRODUCT((ES$2:ES$126&gt;=18)*(ES$2:ES$126&lt;=22)*(ES$2:ES$126&lt;&gt;"")*($J$2:$J$126))</f>
        <v>0</v>
      </c>
      <c r="ET199" s="79" cm="1">
        <f t="array" ref="ET199">SUMPRODUCT((ET$2:ET$126&gt;=18)*(ET$2:ET$126&lt;=22)*(ET$2:ET$126&lt;&gt;"")*($J$2:$J$126))</f>
        <v>0</v>
      </c>
      <c r="EU199" s="79" cm="1">
        <f t="array" ref="EU199">SUMPRODUCT((EU$2:EU$126&gt;=18)*(EU$2:EU$126&lt;=22)*(EU$2:EU$126&lt;&gt;"")*($J$2:$J$126))</f>
        <v>0</v>
      </c>
      <c r="EV199" s="79" cm="1">
        <f t="array" ref="EV199">SUMPRODUCT((EV$2:EV$126&gt;=18)*(EV$2:EV$126&lt;=22)*(EV$2:EV$126&lt;&gt;"")*($J$2:$J$126))</f>
        <v>0</v>
      </c>
      <c r="EW199" s="79" cm="1">
        <f t="array" ref="EW199">SUMPRODUCT((EW$2:EW$126&gt;=18)*(EW$2:EW$126&lt;=22)*(EW$2:EW$126&lt;&gt;"")*($J$2:$J$126))</f>
        <v>0</v>
      </c>
      <c r="EX199" s="79" cm="1">
        <f t="array" ref="EX199">SUMPRODUCT((EX$2:EX$126&gt;=18)*(EX$2:EX$126&lt;=22)*(EX$2:EX$126&lt;&gt;"")*($J$2:$J$126))</f>
        <v>0</v>
      </c>
      <c r="EY199" s="79" cm="1">
        <f t="array" ref="EY199">SUMPRODUCT((EY$2:EY$126&gt;=18)*(EY$2:EY$126&lt;=22)*(EY$2:EY$126&lt;&gt;"")*($J$2:$J$126))</f>
        <v>0</v>
      </c>
      <c r="EZ199" s="79" cm="1">
        <f t="array" ref="EZ199">SUMPRODUCT((EZ$2:EZ$126&gt;=18)*(EZ$2:EZ$126&lt;=22)*(EZ$2:EZ$126&lt;&gt;"")*($J$2:$J$126))</f>
        <v>0</v>
      </c>
      <c r="FA199" s="79" cm="1">
        <f t="array" ref="FA199">SUMPRODUCT((FA$2:FA$126&gt;=18)*(FA$2:FA$126&lt;=22)*(FA$2:FA$126&lt;&gt;"")*($J$2:$J$126))</f>
        <v>0</v>
      </c>
      <c r="FB199" s="79" cm="1">
        <f t="array" ref="FB199">SUMPRODUCT((FB$2:FB$126&gt;=18)*(FB$2:FB$126&lt;=22)*(FB$2:FB$126&lt;&gt;"")*($J$2:$J$126))</f>
        <v>0</v>
      </c>
      <c r="FC199" s="79" cm="1">
        <f t="array" ref="FC199">SUMPRODUCT((FC$2:FC$126&gt;=18)*(FC$2:FC$126&lt;=22)*(FC$2:FC$126&lt;&gt;"")*($J$2:$J$126))</f>
        <v>0</v>
      </c>
      <c r="FD199" s="79" cm="1">
        <f t="array" ref="FD199">SUMPRODUCT((FD$2:FD$126&gt;=18)*(FD$2:FD$126&lt;=22)*(FD$2:FD$126&lt;&gt;"")*($J$2:$J$126))</f>
        <v>0</v>
      </c>
      <c r="FE199" s="79" cm="1">
        <f t="array" ref="FE199">SUMPRODUCT((FE$2:FE$126&gt;=18)*(FE$2:FE$126&lt;=22)*(FE$2:FE$126&lt;&gt;"")*($J$2:$J$126))</f>
        <v>0</v>
      </c>
      <c r="FF199" s="79" cm="1">
        <f t="array" ref="FF199">SUMPRODUCT((FF$2:FF$126&gt;=18)*(FF$2:FF$126&lt;=22)*(FF$2:FF$126&lt;&gt;"")*($J$2:$J$126))</f>
        <v>0</v>
      </c>
      <c r="FG199" s="79" cm="1">
        <f t="array" ref="FG199">SUMPRODUCT((FG$2:FG$126&gt;=18)*(FG$2:FG$126&lt;=22)*(FG$2:FG$126&lt;&gt;"")*($J$2:$J$126))</f>
        <v>0</v>
      </c>
      <c r="FH199" s="79" cm="1">
        <f t="array" ref="FH199">SUMPRODUCT((FH$2:FH$126&gt;=18)*(FH$2:FH$126&lt;=22)*(FH$2:FH$126&lt;&gt;"")*($J$2:$J$126))</f>
        <v>0</v>
      </c>
      <c r="FI199" s="79" cm="1">
        <f t="array" ref="FI199">SUMPRODUCT((FI$2:FI$126&gt;=18)*(FI$2:FI$126&lt;=22)*(FI$2:FI$126&lt;&gt;"")*($J$2:$J$126))</f>
        <v>0</v>
      </c>
      <c r="FJ199" s="79" cm="1">
        <f t="array" ref="FJ199">SUMPRODUCT((FJ$2:FJ$126&gt;=18)*(FJ$2:FJ$126&lt;=22)*(FJ$2:FJ$126&lt;&gt;"")*($J$2:$J$126))</f>
        <v>0</v>
      </c>
      <c r="FK199" s="79" cm="1">
        <f t="array" ref="FK199">SUMPRODUCT((FK$2:FK$126&gt;=18)*(FK$2:FK$126&lt;=22)*(FK$2:FK$126&lt;&gt;"")*($J$2:$J$126))</f>
        <v>0</v>
      </c>
      <c r="FL199" s="79" cm="1">
        <f t="array" ref="FL199">SUMPRODUCT((FL$2:FL$126&gt;=18)*(FL$2:FL$126&lt;=22)*(FL$2:FL$126&lt;&gt;"")*($J$2:$J$126))</f>
        <v>0</v>
      </c>
      <c r="FM199" s="79" cm="1">
        <f t="array" ref="FM199">SUMPRODUCT((FM$2:FM$126&gt;=18)*(FM$2:FM$126&lt;=22)*(FM$2:FM$126&lt;&gt;"")*($J$2:$J$126))</f>
        <v>0</v>
      </c>
      <c r="FN199" s="79" cm="1">
        <f t="array" ref="FN199">SUMPRODUCT((FN$2:FN$126&gt;=18)*(FN$2:FN$126&lt;=22)*(FN$2:FN$126&lt;&gt;"")*($J$2:$J$126))</f>
        <v>0</v>
      </c>
      <c r="FO199" s="79" cm="1">
        <f t="array" ref="FO199">SUMPRODUCT((FO$2:FO$126&gt;=18)*(FO$2:FO$126&lt;=22)*(FO$2:FO$126&lt;&gt;"")*($J$2:$J$126))</f>
        <v>0</v>
      </c>
      <c r="FP199" s="79" cm="1">
        <f t="array" ref="FP199">SUMPRODUCT((FP$2:FP$126&gt;=18)*(FP$2:FP$126&lt;=22)*(FP$2:FP$126&lt;&gt;"")*($J$2:$J$126))</f>
        <v>0</v>
      </c>
      <c r="FQ199" s="79" cm="1">
        <f t="array" ref="FQ199">SUMPRODUCT((FQ$2:FQ$126&gt;=18)*(FQ$2:FQ$126&lt;=22)*(FQ$2:FQ$126&lt;&gt;"")*($J$2:$J$126))</f>
        <v>0</v>
      </c>
      <c r="FR199" s="79" cm="1">
        <f t="array" ref="FR199">SUMPRODUCT((FR$2:FR$126&gt;=18)*(FR$2:FR$126&lt;=22)*(FR$2:FR$126&lt;&gt;"")*($J$2:$J$126))</f>
        <v>0</v>
      </c>
      <c r="FS199" s="79" cm="1">
        <f t="array" ref="FS199">SUMPRODUCT((FS$2:FS$126&gt;=18)*(FS$2:FS$126&lt;=22)*(FS$2:FS$126&lt;&gt;"")*($J$2:$J$126))</f>
        <v>0</v>
      </c>
      <c r="FT199" s="79" cm="1">
        <f t="array" ref="FT199">SUMPRODUCT((FT$2:FT$126&gt;=18)*(FT$2:FT$126&lt;=22)*(FT$2:FT$126&lt;&gt;"")*($J$2:$J$126))</f>
        <v>0</v>
      </c>
      <c r="FU199" s="79" cm="1">
        <f t="array" ref="FU199">SUMPRODUCT((FU$2:FU$126&gt;=18)*(FU$2:FU$126&lt;=22)*(FU$2:FU$126&lt;&gt;"")*($J$2:$J$126))</f>
        <v>0</v>
      </c>
      <c r="FV199" s="79" cm="1">
        <f t="array" ref="FV199">SUMPRODUCT((FV$2:FV$126&gt;=18)*(FV$2:FV$126&lt;=22)*(FV$2:FV$126&lt;&gt;"")*($J$2:$J$126))</f>
        <v>0</v>
      </c>
      <c r="FW199" s="79" cm="1">
        <f t="array" ref="FW199">SUMPRODUCT((FW$2:FW$126&gt;=18)*(FW$2:FW$126&lt;=22)*(FW$2:FW$126&lt;&gt;"")*($J$2:$J$126))</f>
        <v>0</v>
      </c>
      <c r="FX199" s="79" cm="1">
        <f t="array" ref="FX199">SUMPRODUCT((FX$2:FX$126&gt;=18)*(FX$2:FX$126&lt;=22)*(FX$2:FX$126&lt;&gt;"")*($J$2:$J$126))</f>
        <v>0</v>
      </c>
      <c r="FY199" s="79" cm="1">
        <f t="array" ref="FY199">SUMPRODUCT((FY$2:FY$126&gt;=18)*(FY$2:FY$126&lt;=22)*(FY$2:FY$126&lt;&gt;"")*($J$2:$J$126))</f>
        <v>0</v>
      </c>
      <c r="FZ199" s="79" cm="1">
        <f t="array" ref="FZ199">SUMPRODUCT((FZ$2:FZ$126&gt;=18)*(FZ$2:FZ$126&lt;=22)*(FZ$2:FZ$126&lt;&gt;"")*($J$2:$J$126))</f>
        <v>0</v>
      </c>
      <c r="GA199" s="79" cm="1">
        <f t="array" ref="GA199">SUMPRODUCT((GA$2:GA$126&gt;=18)*(GA$2:GA$126&lt;=22)*(GA$2:GA$126&lt;&gt;"")*($J$2:$J$126))</f>
        <v>0</v>
      </c>
      <c r="GB199" s="79" cm="1">
        <f t="array" ref="GB199">SUMPRODUCT((GB$2:GB$126&gt;=18)*(GB$2:GB$126&lt;=22)*(GB$2:GB$126&lt;&gt;"")*($J$2:$J$126))</f>
        <v>0</v>
      </c>
      <c r="GC199" s="79" cm="1">
        <f t="array" ref="GC199">SUMPRODUCT((GC$2:GC$126&gt;=18)*(GC$2:GC$126&lt;=22)*(GC$2:GC$126&lt;&gt;"")*($J$2:$J$126))</f>
        <v>0</v>
      </c>
      <c r="GD199" s="79" cm="1">
        <f t="array" ref="GD199">SUMPRODUCT((GD$2:GD$126&gt;=18)*(GD$2:GD$126&lt;=22)*(GD$2:GD$126&lt;&gt;"")*($J$2:$J$126))</f>
        <v>0</v>
      </c>
      <c r="GE199" s="79" cm="1">
        <f t="array" ref="GE199">SUMPRODUCT((GE$2:GE$126&gt;=18)*(GE$2:GE$126&lt;=22)*(GE$2:GE$126&lt;&gt;"")*($J$2:$J$126))</f>
        <v>0</v>
      </c>
      <c r="GF199" s="79" cm="1">
        <f t="array" ref="GF199">SUMPRODUCT((GF$2:GF$126&gt;=18)*(GF$2:GF$126&lt;=22)*(GF$2:GF$126&lt;&gt;"")*($J$2:$J$126))</f>
        <v>0</v>
      </c>
      <c r="GG199" s="79" cm="1">
        <f t="array" ref="GG199">SUMPRODUCT((GG$2:GG$126&gt;=18)*(GG$2:GG$126&lt;=22)*(GG$2:GG$126&lt;&gt;"")*($J$2:$J$126))</f>
        <v>0</v>
      </c>
      <c r="GH199" s="79" cm="1">
        <f t="array" ref="GH199">SUMPRODUCT((GH$2:GH$126&gt;=18)*(GH$2:GH$126&lt;=22)*(GH$2:GH$126&lt;&gt;"")*($J$2:$J$126))</f>
        <v>0</v>
      </c>
      <c r="GI199" s="79" cm="1">
        <f t="array" ref="GI199">SUMPRODUCT((GI$2:GI$126&gt;=18)*(GI$2:GI$126&lt;=22)*(GI$2:GI$126&lt;&gt;"")*($J$2:$J$126))</f>
        <v>0</v>
      </c>
      <c r="GJ199" s="79" cm="1">
        <f t="array" ref="GJ199">SUMPRODUCT((GJ$2:GJ$126&gt;=18)*(GJ$2:GJ$126&lt;=22)*(GJ$2:GJ$126&lt;&gt;"")*($J$2:$J$126))</f>
        <v>0</v>
      </c>
      <c r="GK199" s="79" cm="1">
        <f t="array" ref="GK199">SUMPRODUCT((GK$2:GK$126&gt;=18)*(GK$2:GK$126&lt;=22)*(GK$2:GK$126&lt;&gt;"")*($J$2:$J$126))</f>
        <v>0</v>
      </c>
      <c r="GL199" s="79" cm="1">
        <f t="array" ref="GL199">SUMPRODUCT((GL$2:GL$126&gt;=18)*(GL$2:GL$126&lt;=22)*(GL$2:GL$126&lt;&gt;"")*($J$2:$J$126))</f>
        <v>0</v>
      </c>
      <c r="GM199" s="79" cm="1">
        <f t="array" ref="GM199">SUMPRODUCT((GM$2:GM$126&gt;=18)*(GM$2:GM$126&lt;=22)*(GM$2:GM$126&lt;&gt;"")*($J$2:$J$126))</f>
        <v>0</v>
      </c>
      <c r="GN199" s="79" cm="1">
        <f t="array" ref="GN199">SUMPRODUCT((GN$2:GN$126&gt;=18)*(GN$2:GN$126&lt;=22)*(GN$2:GN$126&lt;&gt;"")*($J$2:$J$126))</f>
        <v>0</v>
      </c>
      <c r="GO199" s="79" cm="1">
        <f t="array" ref="GO199">SUMPRODUCT((GO$2:GO$126&gt;=18)*(GO$2:GO$126&lt;=22)*(GO$2:GO$126&lt;&gt;"")*($J$2:$J$126))</f>
        <v>0</v>
      </c>
      <c r="GP199" s="79" cm="1">
        <f t="array" ref="GP199">SUMPRODUCT((GP$2:GP$126&gt;=18)*(GP$2:GP$126&lt;=22)*(GP$2:GP$126&lt;&gt;"")*($J$2:$J$126))</f>
        <v>0</v>
      </c>
      <c r="GQ199" s="79" cm="1">
        <f t="array" ref="GQ199">SUMPRODUCT((GQ$2:GQ$126&gt;=18)*(GQ$2:GQ$126&lt;=22)*(GQ$2:GQ$126&lt;&gt;"")*($J$2:$J$126))</f>
        <v>0</v>
      </c>
      <c r="GR199" s="79" cm="1">
        <f t="array" ref="GR199">SUMPRODUCT((GR$2:GR$126&gt;=18)*(GR$2:GR$126&lt;=22)*(GR$2:GR$126&lt;&gt;"")*($J$2:$J$126))</f>
        <v>0</v>
      </c>
      <c r="GS199" s="79" cm="1">
        <f t="array" ref="GS199">SUMPRODUCT((GS$2:GS$126&gt;=18)*(GS$2:GS$126&lt;=22)*(GS$2:GS$126&lt;&gt;"")*($J$2:$J$126))</f>
        <v>0</v>
      </c>
      <c r="GT199" s="79" cm="1">
        <f t="array" ref="GT199">SUMPRODUCT((GT$2:GT$126&gt;=18)*(GT$2:GT$126&lt;=22)*(GT$2:GT$126&lt;&gt;"")*($J$2:$J$126))</f>
        <v>0</v>
      </c>
      <c r="GU199" s="79" cm="1">
        <f t="array" ref="GU199">SUMPRODUCT((GU$2:GU$126&gt;=18)*(GU$2:GU$126&lt;=22)*(GU$2:GU$126&lt;&gt;"")*($J$2:$J$126))</f>
        <v>0</v>
      </c>
      <c r="GV199" s="79" cm="1">
        <f t="array" ref="GV199">SUMPRODUCT((GV$2:GV$126&gt;=18)*(GV$2:GV$126&lt;=22)*(GV$2:GV$126&lt;&gt;"")*($J$2:$J$126))</f>
        <v>0</v>
      </c>
      <c r="GW199" s="79" cm="1">
        <f t="array" ref="GW199">SUMPRODUCT((GW$2:GW$126&gt;=18)*(GW$2:GW$126&lt;=22)*(GW$2:GW$126&lt;&gt;"")*($J$2:$J$126))</f>
        <v>0</v>
      </c>
      <c r="GX199" s="79" cm="1">
        <f t="array" ref="GX199">SUMPRODUCT((GX$2:GX$126&gt;=18)*(GX$2:GX$126&lt;=22)*(GX$2:GX$126&lt;&gt;"")*($J$2:$J$126))</f>
        <v>0</v>
      </c>
    </row>
    <row r="200" spans="1:206" x14ac:dyDescent="0.2">
      <c r="A200" s="84"/>
      <c r="B200" s="84" t="s">
        <v>272</v>
      </c>
      <c r="W200" s="79" cm="1">
        <f t="array" ref="W200">SUMPRODUCT((W$2:W$126&gt;=23)*(W$2:W$126&lt;=27)*(W$2:W$126&lt;&gt;"")*($J$2:$J$126))</f>
        <v>59.9</v>
      </c>
      <c r="X200" s="79" cm="1">
        <f t="array" ref="X200">SUMPRODUCT((X$2:X$126&gt;=23)*(X$2:X$126&lt;=27)*(X$2:X$126&lt;&gt;"")*($J$2:$J$126))</f>
        <v>150.87</v>
      </c>
      <c r="Y200" s="79" cm="1">
        <f t="array" ref="Y200">SUMPRODUCT((Y$2:Y$126&gt;=23)*(Y$2:Y$126&lt;=27)*(Y$2:Y$126&lt;&gt;"")*($J$2:$J$126))</f>
        <v>235.78</v>
      </c>
      <c r="Z200" s="79" cm="1">
        <f t="array" ref="Z200">SUMPRODUCT((Z$2:Z$126&gt;=23)*(Z$2:Z$126&lt;=27)*(Z$2:Z$126&lt;&gt;"")*($J$2:$J$126))</f>
        <v>251.72</v>
      </c>
      <c r="AA200" s="79" cm="1">
        <f t="array" ref="AA200">SUMPRODUCT((AA$2:AA$126&gt;=23)*(AA$2:AA$126&lt;=27)*(AA$2:AA$126&lt;&gt;"")*($J$2:$J$126))</f>
        <v>295.31</v>
      </c>
      <c r="AB200" s="79" cm="1">
        <f t="array" ref="AB200">SUMPRODUCT((AB$2:AB$126&gt;=23)*(AB$2:AB$126&lt;=27)*(AB$2:AB$126&lt;&gt;"")*($J$2:$J$126))</f>
        <v>537.04000000000008</v>
      </c>
      <c r="AC200" s="79" cm="1">
        <f t="array" ref="AC200">SUMPRODUCT((AC$2:AC$126&gt;=23)*(AC$2:AC$126&lt;=27)*(AC$2:AC$126&lt;&gt;"")*($J$2:$J$126))</f>
        <v>446.07000000000005</v>
      </c>
      <c r="AD200" s="79" cm="1">
        <f t="array" ref="AD200">SUMPRODUCT((AD$2:AD$126&gt;=23)*(AD$2:AD$126&lt;=27)*(AD$2:AD$126&lt;&gt;"")*($J$2:$J$126))</f>
        <v>334.99000000000007</v>
      </c>
      <c r="AE200" s="79" cm="1">
        <f t="array" ref="AE200">SUMPRODUCT((AE$2:AE$126&gt;=23)*(AE$2:AE$126&lt;=27)*(AE$2:AE$126&lt;&gt;"")*($J$2:$J$126))</f>
        <v>268.34000000000003</v>
      </c>
      <c r="AF200" s="79" cm="1">
        <f t="array" ref="AF200">SUMPRODUCT((AF$2:AF$126&gt;=23)*(AF$2:AF$126&lt;=27)*(AF$2:AF$126&lt;&gt;"")*($J$2:$J$126))</f>
        <v>445.64</v>
      </c>
      <c r="AG200" s="79" cm="1">
        <f t="array" ref="AG200">SUMPRODUCT((AG$2:AG$126&gt;=23)*(AG$2:AG$126&lt;=27)*(AG$2:AG$126&lt;&gt;"")*($J$2:$J$126))</f>
        <v>270.52</v>
      </c>
      <c r="AH200" s="79" cm="1">
        <f t="array" ref="AH200">SUMPRODUCT((AH$2:AH$126&gt;=23)*(AH$2:AH$126&lt;=27)*(AH$2:AH$126&lt;&gt;"")*($J$2:$J$126))</f>
        <v>266.12</v>
      </c>
      <c r="AI200" s="79" cm="1">
        <f t="array" ref="AI200">SUMPRODUCT((AI$2:AI$126&gt;=23)*(AI$2:AI$126&lt;=27)*(AI$2:AI$126&lt;&gt;"")*($J$2:$J$126))</f>
        <v>385.96000000000004</v>
      </c>
      <c r="AJ200" s="79" cm="1">
        <f t="array" ref="AJ200">SUMPRODUCT((AJ$2:AJ$126&gt;=23)*(AJ$2:AJ$126&lt;=27)*(AJ$2:AJ$126&lt;&gt;"")*($J$2:$J$126))</f>
        <v>407.89000000000004</v>
      </c>
      <c r="AK200" s="79" cm="1">
        <f t="array" ref="AK200">SUMPRODUCT((AK$2:AK$126&gt;=23)*(AK$2:AK$126&lt;=27)*(AK$2:AK$126&lt;&gt;"")*($J$2:$J$126))</f>
        <v>212.74</v>
      </c>
      <c r="AL200" s="79" cm="1">
        <f t="array" ref="AL200">SUMPRODUCT((AL$2:AL$126&gt;=23)*(AL$2:AL$126&lt;=27)*(AL$2:AL$126&lt;&gt;"")*($J$2:$J$126))</f>
        <v>232.3</v>
      </c>
      <c r="AM200" s="79" cm="1">
        <f t="array" ref="AM200">SUMPRODUCT((AM$2:AM$126&gt;=23)*(AM$2:AM$126&lt;=27)*(AM$2:AM$126&lt;&gt;"")*($J$2:$J$126))</f>
        <v>148.69999999999999</v>
      </c>
      <c r="AN200" s="79" cm="1">
        <f t="array" ref="AN200">SUMPRODUCT((AN$2:AN$126&gt;=23)*(AN$2:AN$126&lt;=27)*(AN$2:AN$126&lt;&gt;"")*($J$2:$J$126))</f>
        <v>167.03</v>
      </c>
      <c r="AO200" s="79" cm="1">
        <f t="array" ref="AO200">SUMPRODUCT((AO$2:AO$126&gt;=23)*(AO$2:AO$126&lt;=27)*(AO$2:AO$126&lt;&gt;"")*($J$2:$J$126))</f>
        <v>173.28</v>
      </c>
      <c r="AP200" s="79" cm="1">
        <f t="array" ref="AP200">SUMPRODUCT((AP$2:AP$126&gt;=23)*(AP$2:AP$126&lt;=27)*(AP$2:AP$126&lt;&gt;"")*($J$2:$J$126))</f>
        <v>184.41</v>
      </c>
      <c r="AQ200" s="79" cm="1">
        <f t="array" ref="AQ200">SUMPRODUCT((AQ$2:AQ$126&gt;=23)*(AQ$2:AQ$126&lt;=27)*(AQ$2:AQ$126&lt;&gt;"")*($J$2:$J$126))</f>
        <v>127.63999999999999</v>
      </c>
      <c r="AR200" s="79" cm="1">
        <f t="array" ref="AR200">SUMPRODUCT((AR$2:AR$126&gt;=23)*(AR$2:AR$126&lt;=27)*(AR$2:AR$126&lt;&gt;"")*($J$2:$J$126))</f>
        <v>162.58000000000001</v>
      </c>
      <c r="AS200" s="79" cm="1">
        <f t="array" ref="AS200">SUMPRODUCT((AS$2:AS$126&gt;=23)*(AS$2:AS$126&lt;=27)*(AS$2:AS$126&lt;&gt;"")*($J$2:$J$126))</f>
        <v>94.15</v>
      </c>
      <c r="AT200" s="79" cm="1">
        <f t="array" ref="AT200">SUMPRODUCT((AT$2:AT$126&gt;=23)*(AT$2:AT$126&lt;=27)*(AT$2:AT$126&lt;&gt;"")*($J$2:$J$126))</f>
        <v>75.260000000000005</v>
      </c>
      <c r="AU200" s="79" cm="1">
        <f t="array" ref="AU200">SUMPRODUCT((AU$2:AU$126&gt;=23)*(AU$2:AU$126&lt;=27)*(AU$2:AU$126&lt;&gt;"")*($J$2:$J$126))</f>
        <v>99.39</v>
      </c>
      <c r="AV200" s="79" cm="1">
        <f t="array" ref="AV200">SUMPRODUCT((AV$2:AV$126&gt;=23)*(AV$2:AV$126&lt;=27)*(AV$2:AV$126&lt;&gt;"")*($J$2:$J$126))</f>
        <v>189.23999999999998</v>
      </c>
      <c r="AW200" s="79" cm="1">
        <f t="array" ref="AW200">SUMPRODUCT((AW$2:AW$126&gt;=23)*(AW$2:AW$126&lt;=27)*(AW$2:AW$126&lt;&gt;"")*($J$2:$J$126))</f>
        <v>94.550000000000011</v>
      </c>
      <c r="AX200" s="79" cm="1">
        <f t="array" ref="AX200">SUMPRODUCT((AX$2:AX$126&gt;=23)*(AX$2:AX$126&lt;=27)*(AX$2:AX$126&lt;&gt;"")*($J$2:$J$126))</f>
        <v>94.550000000000011</v>
      </c>
      <c r="AY200" s="79" cm="1">
        <f t="array" ref="AY200">SUMPRODUCT((AY$2:AY$126&gt;=23)*(AY$2:AY$126&lt;=27)*(AY$2:AY$126&lt;&gt;"")*($J$2:$J$126))</f>
        <v>111.55000000000001</v>
      </c>
      <c r="AZ200" s="79" cm="1">
        <f t="array" ref="AZ200">SUMPRODUCT((AZ$2:AZ$126&gt;=23)*(AZ$2:AZ$126&lt;=27)*(AZ$2:AZ$126&lt;&gt;"")*($J$2:$J$126))</f>
        <v>59.29</v>
      </c>
      <c r="BA200" s="79" cm="1">
        <f t="array" ref="BA200">SUMPRODUCT((BA$2:BA$126&gt;=23)*(BA$2:BA$126&lt;=27)*(BA$2:BA$126&lt;&gt;"")*($J$2:$J$126))</f>
        <v>40.29</v>
      </c>
      <c r="BB200" s="79" cm="1">
        <f t="array" ref="BB200">SUMPRODUCT((BB$2:BB$126&gt;=23)*(BB$2:BB$126&lt;=27)*(BB$2:BB$126&lt;&gt;"")*($J$2:$J$126))</f>
        <v>0</v>
      </c>
      <c r="BC200" s="79" cm="1">
        <f t="array" ref="BC200">SUMPRODUCT((BC$2:BC$126&gt;=23)*(BC$2:BC$126&lt;=27)*(BC$2:BC$126&lt;&gt;"")*($J$2:$J$126))</f>
        <v>21.43</v>
      </c>
      <c r="BD200" s="79" cm="1">
        <f t="array" ref="BD200">SUMPRODUCT((BD$2:BD$126&gt;=23)*(BD$2:BD$126&lt;=27)*(BD$2:BD$126&lt;&gt;"")*($J$2:$J$126))</f>
        <v>21.43</v>
      </c>
      <c r="BE200" s="79" cm="1">
        <f t="array" ref="BE200">SUMPRODUCT((BE$2:BE$126&gt;=23)*(BE$2:BE$126&lt;=27)*(BE$2:BE$126&lt;&gt;"")*($J$2:$J$126))</f>
        <v>21.43</v>
      </c>
      <c r="BF200" s="79" cm="1">
        <f t="array" ref="BF200">SUMPRODUCT((BF$2:BF$126&gt;=23)*(BF$2:BF$126&lt;=27)*(BF$2:BF$126&lt;&gt;"")*($J$2:$J$126))</f>
        <v>21.43</v>
      </c>
      <c r="BG200" s="79" cm="1">
        <f t="array" ref="BG200">SUMPRODUCT((BG$2:BG$126&gt;=23)*(BG$2:BG$126&lt;=27)*(BG$2:BG$126&lt;&gt;"")*($J$2:$J$126))</f>
        <v>21.43</v>
      </c>
      <c r="BH200" s="79" cm="1">
        <f t="array" ref="BH200">SUMPRODUCT((BH$2:BH$126&gt;=23)*(BH$2:BH$126&lt;=27)*(BH$2:BH$126&lt;&gt;"")*($J$2:$J$126))</f>
        <v>0</v>
      </c>
      <c r="BI200" s="79" cm="1">
        <f t="array" ref="BI200">SUMPRODUCT((BI$2:BI$126&gt;=23)*(BI$2:BI$126&lt;=27)*(BI$2:BI$126&lt;&gt;"")*($J$2:$J$126))</f>
        <v>0</v>
      </c>
      <c r="BJ200" s="79" cm="1">
        <f t="array" ref="BJ200">SUMPRODUCT((BJ$2:BJ$126&gt;=23)*(BJ$2:BJ$126&lt;=27)*(BJ$2:BJ$126&lt;&gt;"")*($J$2:$J$126))</f>
        <v>0</v>
      </c>
      <c r="BK200" s="79" cm="1">
        <f t="array" ref="BK200">SUMPRODUCT((BK$2:BK$126&gt;=23)*(BK$2:BK$126&lt;=27)*(BK$2:BK$126&lt;&gt;"")*($J$2:$J$126))</f>
        <v>0</v>
      </c>
      <c r="BL200" s="79" cm="1">
        <f t="array" ref="BL200">SUMPRODUCT((BL$2:BL$126&gt;=23)*(BL$2:BL$126&lt;=27)*(BL$2:BL$126&lt;&gt;"")*($J$2:$J$126))</f>
        <v>0</v>
      </c>
      <c r="BM200" s="79" cm="1">
        <f t="array" ref="BM200">SUMPRODUCT((BM$2:BM$126&gt;=23)*(BM$2:BM$126&lt;=27)*(BM$2:BM$126&lt;&gt;"")*($J$2:$J$126))</f>
        <v>0</v>
      </c>
      <c r="BN200" s="79" cm="1">
        <f t="array" ref="BN200">SUMPRODUCT((BN$2:BN$126&gt;=23)*(BN$2:BN$126&lt;=27)*(BN$2:BN$126&lt;&gt;"")*($J$2:$J$126))</f>
        <v>0</v>
      </c>
      <c r="BO200" s="79" cm="1">
        <f t="array" ref="BO200">SUMPRODUCT((BO$2:BO$126&gt;=23)*(BO$2:BO$126&lt;=27)*(BO$2:BO$126&lt;&gt;"")*($J$2:$J$126))</f>
        <v>0</v>
      </c>
      <c r="BP200" s="79" cm="1">
        <f t="array" ref="BP200">SUMPRODUCT((BP$2:BP$126&gt;=23)*(BP$2:BP$126&lt;=27)*(BP$2:BP$126&lt;&gt;"")*($J$2:$J$126))</f>
        <v>0</v>
      </c>
      <c r="BQ200" s="79" cm="1">
        <f t="array" ref="BQ200">SUMPRODUCT((BQ$2:BQ$126&gt;=23)*(BQ$2:BQ$126&lt;=27)*(BQ$2:BQ$126&lt;&gt;"")*($J$2:$J$126))</f>
        <v>40.909999999999997</v>
      </c>
      <c r="BR200" s="79" cm="1">
        <f t="array" ref="BR200">SUMPRODUCT((BR$2:BR$126&gt;=23)*(BR$2:BR$126&lt;=27)*(BR$2:BR$126&lt;&gt;"")*($J$2:$J$126))</f>
        <v>40.909999999999997</v>
      </c>
      <c r="BS200" s="79" cm="1">
        <f t="array" ref="BS200">SUMPRODUCT((BS$2:BS$126&gt;=23)*(BS$2:BS$126&lt;=27)*(BS$2:BS$126&lt;&gt;"")*($J$2:$J$126))</f>
        <v>40.909999999999997</v>
      </c>
      <c r="BT200" s="79" cm="1">
        <f t="array" ref="BT200">SUMPRODUCT((BT$2:BT$126&gt;=23)*(BT$2:BT$126&lt;=27)*(BT$2:BT$126&lt;&gt;"")*($J$2:$J$126))</f>
        <v>106.06</v>
      </c>
      <c r="BU200" s="79" cm="1">
        <f t="array" ref="BU200">SUMPRODUCT((BU$2:BU$126&gt;=23)*(BU$2:BU$126&lt;=27)*(BU$2:BU$126&lt;&gt;"")*($J$2:$J$126))</f>
        <v>162.42000000000002</v>
      </c>
      <c r="BV200" s="79" cm="1">
        <f t="array" ref="BV200">SUMPRODUCT((BV$2:BV$126&gt;=23)*(BV$2:BV$126&lt;=27)*(BV$2:BV$126&lt;&gt;"")*($J$2:$J$126))</f>
        <v>225.54999999999998</v>
      </c>
      <c r="BW200" s="79" cm="1">
        <f t="array" ref="BW200">SUMPRODUCT((BW$2:BW$126&gt;=23)*(BW$2:BW$126&lt;=27)*(BW$2:BW$126&lt;&gt;"")*($J$2:$J$126))</f>
        <v>357.48999999999995</v>
      </c>
      <c r="BX200" s="79" cm="1">
        <f t="array" ref="BX200">SUMPRODUCT((BX$2:BX$126&gt;=23)*(BX$2:BX$126&lt;=27)*(BX$2:BX$126&lt;&gt;"")*($J$2:$J$126))</f>
        <v>545.17000000000007</v>
      </c>
      <c r="BY200" s="79" cm="1">
        <f t="array" ref="BY200">SUMPRODUCT((BY$2:BY$126&gt;=23)*(BY$2:BY$126&lt;=27)*(BY$2:BY$126&lt;&gt;"")*($J$2:$J$126))</f>
        <v>549.80000000000007</v>
      </c>
      <c r="BZ200" s="79" cm="1">
        <f t="array" ref="BZ200">SUMPRODUCT((BZ$2:BZ$126&gt;=23)*(BZ$2:BZ$126&lt;=27)*(BZ$2:BZ$126&lt;&gt;"")*($J$2:$J$126))</f>
        <v>493.44000000000005</v>
      </c>
      <c r="CA200" s="79" cm="1">
        <f t="array" ref="CA200">SUMPRODUCT((CA$2:CA$126&gt;=23)*(CA$2:CA$126&lt;=27)*(CA$2:CA$126&lt;&gt;"")*($J$2:$J$126))</f>
        <v>517.58000000000004</v>
      </c>
      <c r="CB200" s="79" cm="1">
        <f t="array" ref="CB200">SUMPRODUCT((CB$2:CB$126&gt;=23)*(CB$2:CB$126&lt;=27)*(CB$2:CB$126&lt;&gt;"")*($J$2:$J$126))</f>
        <v>504.9</v>
      </c>
      <c r="CC200" s="79" cm="1">
        <f t="array" ref="CC200">SUMPRODUCT((CC$2:CC$126&gt;=23)*(CC$2:CC$126&lt;=27)*(CC$2:CC$126&lt;&gt;"")*($J$2:$J$126))</f>
        <v>563.68999999999983</v>
      </c>
      <c r="CD200" s="79" cm="1">
        <f t="array" ref="CD200">SUMPRODUCT((CD$2:CD$126&gt;=23)*(CD$2:CD$126&lt;=27)*(CD$2:CD$126&lt;&gt;"")*($J$2:$J$126))</f>
        <v>694</v>
      </c>
      <c r="CE200" s="79" cm="1">
        <f t="array" ref="CE200">SUMPRODUCT((CE$2:CE$126&gt;=23)*(CE$2:CE$126&lt;=27)*(CE$2:CE$126&lt;&gt;"")*($J$2:$J$126))</f>
        <v>755.34</v>
      </c>
      <c r="CF200" s="79" cm="1">
        <f t="array" ref="CF200">SUMPRODUCT((CF$2:CF$126&gt;=23)*(CF$2:CF$126&lt;=27)*(CF$2:CF$126&lt;&gt;"")*($J$2:$J$126))</f>
        <v>678.93000000000006</v>
      </c>
      <c r="CG200" s="79" cm="1">
        <f t="array" ref="CG200">SUMPRODUCT((CG$2:CG$126&gt;=23)*(CG$2:CG$126&lt;=27)*(CG$2:CG$126&lt;&gt;"")*($J$2:$J$126))</f>
        <v>559.67000000000007</v>
      </c>
      <c r="CH200" s="79" cm="1">
        <f t="array" ref="CH200">SUMPRODUCT((CH$2:CH$126&gt;=23)*(CH$2:CH$126&lt;=27)*(CH$2:CH$126&lt;&gt;"")*($J$2:$J$126))</f>
        <v>455.39</v>
      </c>
      <c r="CI200" s="79" cm="1">
        <f t="array" ref="CI200">SUMPRODUCT((CI$2:CI$126&gt;=23)*(CI$2:CI$126&lt;=27)*(CI$2:CI$126&lt;&gt;"")*($J$2:$J$126))</f>
        <v>484.59999999999997</v>
      </c>
      <c r="CJ200" s="79" cm="1">
        <f t="array" ref="CJ200">SUMPRODUCT((CJ$2:CJ$126&gt;=23)*(CJ$2:CJ$126&lt;=27)*(CJ$2:CJ$126&lt;&gt;"")*($J$2:$J$126))</f>
        <v>641.50999999999988</v>
      </c>
      <c r="CK200" s="79" cm="1">
        <f t="array" ref="CK200">SUMPRODUCT((CK$2:CK$126&gt;=23)*(CK$2:CK$126&lt;=27)*(CK$2:CK$126&lt;&gt;"")*($J$2:$J$126))</f>
        <v>653.86999999999989</v>
      </c>
      <c r="CL200" s="79" cm="1">
        <f t="array" ref="CL200">SUMPRODUCT((CL$2:CL$126&gt;=23)*(CL$2:CL$126&lt;=27)*(CL$2:CL$126&lt;&gt;"")*($J$2:$J$126))</f>
        <v>873.17999999999984</v>
      </c>
      <c r="CM200" s="79" cm="1">
        <f t="array" ref="CM200">SUMPRODUCT((CM$2:CM$126&gt;=23)*(CM$2:CM$126&lt;=27)*(CM$2:CM$126&lt;&gt;"")*($J$2:$J$126))</f>
        <v>730.9899999999999</v>
      </c>
      <c r="CN200" s="79" cm="1">
        <f t="array" ref="CN200">SUMPRODUCT((CN$2:CN$126&gt;=23)*(CN$2:CN$126&lt;=27)*(CN$2:CN$126&lt;&gt;"")*($J$2:$J$126))</f>
        <v>501.69000000000005</v>
      </c>
      <c r="CO200" s="79" cm="1">
        <f t="array" ref="CO200">SUMPRODUCT((CO$2:CO$126&gt;=23)*(CO$2:CO$126&lt;=27)*(CO$2:CO$126&lt;&gt;"")*($J$2:$J$126))</f>
        <v>283.44</v>
      </c>
      <c r="CP200" s="79" cm="1">
        <f t="array" ref="CP200">SUMPRODUCT((CP$2:CP$126&gt;=23)*(CP$2:CP$126&lt;=27)*(CP$2:CP$126&lt;&gt;"")*($J$2:$J$126))</f>
        <v>219.31</v>
      </c>
      <c r="CQ200" s="79" cm="1">
        <f t="array" ref="CQ200">SUMPRODUCT((CQ$2:CQ$126&gt;=23)*(CQ$2:CQ$126&lt;=27)*(CQ$2:CQ$126&lt;&gt;"")*($J$2:$J$126))</f>
        <v>0</v>
      </c>
      <c r="CR200" s="79" cm="1">
        <f t="array" ref="CR200">SUMPRODUCT((CR$2:CR$126&gt;=23)*(CR$2:CR$126&lt;=27)*(CR$2:CR$126&lt;&gt;"")*($J$2:$J$126))</f>
        <v>0</v>
      </c>
      <c r="CS200" s="79" cm="1">
        <f t="array" ref="CS200">SUMPRODUCT((CS$2:CS$126&gt;=23)*(CS$2:CS$126&lt;=27)*(CS$2:CS$126&lt;&gt;"")*($J$2:$J$126))</f>
        <v>0</v>
      </c>
      <c r="CT200" s="79" cm="1">
        <f t="array" ref="CT200">SUMPRODUCT((CT$2:CT$126&gt;=23)*(CT$2:CT$126&lt;=27)*(CT$2:CT$126&lt;&gt;"")*($J$2:$J$126))</f>
        <v>0</v>
      </c>
      <c r="CU200" s="79" cm="1">
        <f t="array" ref="CU200">SUMPRODUCT((CU$2:CU$126&gt;=23)*(CU$2:CU$126&lt;=27)*(CU$2:CU$126&lt;&gt;"")*($J$2:$J$126))</f>
        <v>0</v>
      </c>
      <c r="CV200" s="79" cm="1">
        <f t="array" ref="CV200">SUMPRODUCT((CV$2:CV$126&gt;=23)*(CV$2:CV$126&lt;=27)*(CV$2:CV$126&lt;&gt;"")*($J$2:$J$126))</f>
        <v>0</v>
      </c>
      <c r="CW200" s="79" cm="1">
        <f t="array" ref="CW200">SUMPRODUCT((CW$2:CW$126&gt;=23)*(CW$2:CW$126&lt;=27)*(CW$2:CW$126&lt;&gt;"")*($J$2:$J$126))</f>
        <v>0</v>
      </c>
      <c r="CX200" s="79" cm="1">
        <f t="array" ref="CX200">SUMPRODUCT((CX$2:CX$126&gt;=23)*(CX$2:CX$126&lt;=27)*(CX$2:CX$126&lt;&gt;"")*($J$2:$J$126))</f>
        <v>0</v>
      </c>
      <c r="CY200" s="79" cm="1">
        <f t="array" ref="CY200">SUMPRODUCT((CY$2:CY$126&gt;=23)*(CY$2:CY$126&lt;=27)*(CY$2:CY$126&lt;&gt;"")*($J$2:$J$126))</f>
        <v>0</v>
      </c>
      <c r="CZ200" s="79" cm="1">
        <f t="array" ref="CZ200">SUMPRODUCT((CZ$2:CZ$126&gt;=23)*(CZ$2:CZ$126&lt;=27)*(CZ$2:CZ$126&lt;&gt;"")*($J$2:$J$126))</f>
        <v>0</v>
      </c>
      <c r="DA200" s="79" cm="1">
        <f t="array" ref="DA200">SUMPRODUCT((DA$2:DA$126&gt;=23)*(DA$2:DA$126&lt;=27)*(DA$2:DA$126&lt;&gt;"")*($J$2:$J$126))</f>
        <v>0</v>
      </c>
      <c r="DB200" s="79" cm="1">
        <f t="array" ref="DB200">SUMPRODUCT((DB$2:DB$126&gt;=23)*(DB$2:DB$126&lt;=27)*(DB$2:DB$126&lt;&gt;"")*($J$2:$J$126))</f>
        <v>0</v>
      </c>
      <c r="DC200" s="79" cm="1">
        <f t="array" ref="DC200">SUMPRODUCT((DC$2:DC$126&gt;=23)*(DC$2:DC$126&lt;=27)*(DC$2:DC$126&lt;&gt;"")*($J$2:$J$126))</f>
        <v>0</v>
      </c>
      <c r="DD200" s="79" cm="1">
        <f t="array" ref="DD200">SUMPRODUCT((DD$2:DD$126&gt;=23)*(DD$2:DD$126&lt;=27)*(DD$2:DD$126&lt;&gt;"")*($J$2:$J$126))</f>
        <v>0</v>
      </c>
      <c r="DE200" s="79" cm="1">
        <f t="array" ref="DE200">SUMPRODUCT((DE$2:DE$126&gt;=23)*(DE$2:DE$126&lt;=27)*(DE$2:DE$126&lt;&gt;"")*($J$2:$J$126))</f>
        <v>0</v>
      </c>
      <c r="DF200" s="79" cm="1">
        <f t="array" ref="DF200">SUMPRODUCT((DF$2:DF$126&gt;=23)*(DF$2:DF$126&lt;=27)*(DF$2:DF$126&lt;&gt;"")*($J$2:$J$126))</f>
        <v>0</v>
      </c>
      <c r="DG200" s="79" cm="1">
        <f t="array" ref="DG200">SUMPRODUCT((DG$2:DG$126&gt;=23)*(DG$2:DG$126&lt;=27)*(DG$2:DG$126&lt;&gt;"")*($J$2:$J$126))</f>
        <v>0</v>
      </c>
      <c r="DH200" s="79" cm="1">
        <f t="array" ref="DH200">SUMPRODUCT((DH$2:DH$126&gt;=23)*(DH$2:DH$126&lt;=27)*(DH$2:DH$126&lt;&gt;"")*($J$2:$J$126))</f>
        <v>0</v>
      </c>
      <c r="DI200" s="79" cm="1">
        <f t="array" ref="DI200">SUMPRODUCT((DI$2:DI$126&gt;=23)*(DI$2:DI$126&lt;=27)*(DI$2:DI$126&lt;&gt;"")*($J$2:$J$126))</f>
        <v>0</v>
      </c>
      <c r="DJ200" s="79" cm="1">
        <f t="array" ref="DJ200">SUMPRODUCT((DJ$2:DJ$126&gt;=23)*(DJ$2:DJ$126&lt;=27)*(DJ$2:DJ$126&lt;&gt;"")*($J$2:$J$126))</f>
        <v>0</v>
      </c>
      <c r="DK200" s="79" cm="1">
        <f t="array" ref="DK200">SUMPRODUCT((DK$2:DK$126&gt;=23)*(DK$2:DK$126&lt;=27)*(DK$2:DK$126&lt;&gt;"")*($J$2:$J$126))</f>
        <v>0</v>
      </c>
      <c r="DL200" s="79" cm="1">
        <f t="array" ref="DL200">SUMPRODUCT((DL$2:DL$126&gt;=23)*(DL$2:DL$126&lt;=27)*(DL$2:DL$126&lt;&gt;"")*($J$2:$J$126))</f>
        <v>0</v>
      </c>
      <c r="DM200" s="79" cm="1">
        <f t="array" ref="DM200">SUMPRODUCT((DM$2:DM$126&gt;=23)*(DM$2:DM$126&lt;=27)*(DM$2:DM$126&lt;&gt;"")*($J$2:$J$126))</f>
        <v>0</v>
      </c>
      <c r="DN200" s="79" cm="1">
        <f t="array" ref="DN200">SUMPRODUCT((DN$2:DN$126&gt;=23)*(DN$2:DN$126&lt;=27)*(DN$2:DN$126&lt;&gt;"")*($J$2:$J$126))</f>
        <v>0</v>
      </c>
      <c r="DO200" s="79" cm="1">
        <f t="array" ref="DO200">SUMPRODUCT((DO$2:DO$126&gt;=23)*(DO$2:DO$126&lt;=27)*(DO$2:DO$126&lt;&gt;"")*($J$2:$J$126))</f>
        <v>0</v>
      </c>
      <c r="DP200" s="79" cm="1">
        <f t="array" ref="DP200">SUMPRODUCT((DP$2:DP$126&gt;=23)*(DP$2:DP$126&lt;=27)*(DP$2:DP$126&lt;&gt;"")*($J$2:$J$126))</f>
        <v>0</v>
      </c>
      <c r="DQ200" s="79" cm="1">
        <f t="array" ref="DQ200">SUMPRODUCT((DQ$2:DQ$126&gt;=23)*(DQ$2:DQ$126&lt;=27)*(DQ$2:DQ$126&lt;&gt;"")*($J$2:$J$126))</f>
        <v>0</v>
      </c>
      <c r="DR200" s="79" cm="1">
        <f t="array" ref="DR200">SUMPRODUCT((DR$2:DR$126&gt;=23)*(DR$2:DR$126&lt;=27)*(DR$2:DR$126&lt;&gt;"")*($J$2:$J$126))</f>
        <v>0</v>
      </c>
      <c r="DS200" s="79" cm="1">
        <f t="array" ref="DS200">SUMPRODUCT((DS$2:DS$126&gt;=23)*(DS$2:DS$126&lt;=27)*(DS$2:DS$126&lt;&gt;"")*($J$2:$J$126))</f>
        <v>0</v>
      </c>
      <c r="DT200" s="79" cm="1">
        <f t="array" ref="DT200">SUMPRODUCT((DT$2:DT$126&gt;=23)*(DT$2:DT$126&lt;=27)*(DT$2:DT$126&lt;&gt;"")*($J$2:$J$126))</f>
        <v>0</v>
      </c>
      <c r="DU200" s="79" cm="1">
        <f t="array" ref="DU200">SUMPRODUCT((DU$2:DU$126&gt;=23)*(DU$2:DU$126&lt;=27)*(DU$2:DU$126&lt;&gt;"")*($J$2:$J$126))</f>
        <v>0</v>
      </c>
      <c r="DV200" s="79" cm="1">
        <f t="array" ref="DV200">SUMPRODUCT((DV$2:DV$126&gt;=23)*(DV$2:DV$126&lt;=27)*(DV$2:DV$126&lt;&gt;"")*($J$2:$J$126))</f>
        <v>0</v>
      </c>
      <c r="DW200" s="79" cm="1">
        <f t="array" ref="DW200">SUMPRODUCT((DW$2:DW$126&gt;=23)*(DW$2:DW$126&lt;=27)*(DW$2:DW$126&lt;&gt;"")*($J$2:$J$126))</f>
        <v>0</v>
      </c>
      <c r="DX200" s="79" cm="1">
        <f t="array" ref="DX200">SUMPRODUCT((DX$2:DX$126&gt;=23)*(DX$2:DX$126&lt;=27)*(DX$2:DX$126&lt;&gt;"")*($J$2:$J$126))</f>
        <v>0</v>
      </c>
      <c r="DY200" s="79" cm="1">
        <f t="array" ref="DY200">SUMPRODUCT((DY$2:DY$126&gt;=23)*(DY$2:DY$126&lt;=27)*(DY$2:DY$126&lt;&gt;"")*($J$2:$J$126))</f>
        <v>0</v>
      </c>
      <c r="DZ200" s="79" cm="1">
        <f t="array" ref="DZ200">SUMPRODUCT((DZ$2:DZ$126&gt;=23)*(DZ$2:DZ$126&lt;=27)*(DZ$2:DZ$126&lt;&gt;"")*($J$2:$J$126))</f>
        <v>0</v>
      </c>
      <c r="EA200" s="79" cm="1">
        <f t="array" ref="EA200">SUMPRODUCT((EA$2:EA$126&gt;=23)*(EA$2:EA$126&lt;=27)*(EA$2:EA$126&lt;&gt;"")*($J$2:$J$126))</f>
        <v>0</v>
      </c>
      <c r="EB200" s="79" cm="1">
        <f t="array" ref="EB200">SUMPRODUCT((EB$2:EB$126&gt;=23)*(EB$2:EB$126&lt;=27)*(EB$2:EB$126&lt;&gt;"")*($J$2:$J$126))</f>
        <v>0</v>
      </c>
      <c r="EC200" s="79" cm="1">
        <f t="array" ref="EC200">SUMPRODUCT((EC$2:EC$126&gt;=23)*(EC$2:EC$126&lt;=27)*(EC$2:EC$126&lt;&gt;"")*($J$2:$J$126))</f>
        <v>0</v>
      </c>
      <c r="ED200" s="79" cm="1">
        <f t="array" ref="ED200">SUMPRODUCT((ED$2:ED$126&gt;=23)*(ED$2:ED$126&lt;=27)*(ED$2:ED$126&lt;&gt;"")*($J$2:$J$126))</f>
        <v>0</v>
      </c>
      <c r="EE200" s="79" cm="1">
        <f t="array" ref="EE200">SUMPRODUCT((EE$2:EE$126&gt;=23)*(EE$2:EE$126&lt;=27)*(EE$2:EE$126&lt;&gt;"")*($J$2:$J$126))</f>
        <v>0</v>
      </c>
      <c r="EF200" s="79" cm="1">
        <f t="array" ref="EF200">SUMPRODUCT((EF$2:EF$126&gt;=23)*(EF$2:EF$126&lt;=27)*(EF$2:EF$126&lt;&gt;"")*($J$2:$J$126))</f>
        <v>0</v>
      </c>
      <c r="EG200" s="79" cm="1">
        <f t="array" ref="EG200">SUMPRODUCT((EG$2:EG$126&gt;=23)*(EG$2:EG$126&lt;=27)*(EG$2:EG$126&lt;&gt;"")*($J$2:$J$126))</f>
        <v>0</v>
      </c>
      <c r="EH200" s="79" cm="1">
        <f t="array" ref="EH200">SUMPRODUCT((EH$2:EH$126&gt;=23)*(EH$2:EH$126&lt;=27)*(EH$2:EH$126&lt;&gt;"")*($J$2:$J$126))</f>
        <v>0</v>
      </c>
      <c r="EI200" s="79" cm="1">
        <f t="array" ref="EI200">SUMPRODUCT((EI$2:EI$126&gt;=23)*(EI$2:EI$126&lt;=27)*(EI$2:EI$126&lt;&gt;"")*($J$2:$J$126))</f>
        <v>0</v>
      </c>
      <c r="EJ200" s="79" cm="1">
        <f t="array" ref="EJ200">SUMPRODUCT((EJ$2:EJ$126&gt;=23)*(EJ$2:EJ$126&lt;=27)*(EJ$2:EJ$126&lt;&gt;"")*($J$2:$J$126))</f>
        <v>0</v>
      </c>
      <c r="EK200" s="79" cm="1">
        <f t="array" ref="EK200">SUMPRODUCT((EK$2:EK$126&gt;=23)*(EK$2:EK$126&lt;=27)*(EK$2:EK$126&lt;&gt;"")*($J$2:$J$126))</f>
        <v>0</v>
      </c>
      <c r="EL200" s="79" cm="1">
        <f t="array" ref="EL200">SUMPRODUCT((EL$2:EL$126&gt;=23)*(EL$2:EL$126&lt;=27)*(EL$2:EL$126&lt;&gt;"")*($J$2:$J$126))</f>
        <v>0</v>
      </c>
      <c r="EM200" s="79" cm="1">
        <f t="array" ref="EM200">SUMPRODUCT((EM$2:EM$126&gt;=23)*(EM$2:EM$126&lt;=27)*(EM$2:EM$126&lt;&gt;"")*($J$2:$J$126))</f>
        <v>0</v>
      </c>
      <c r="EN200" s="79" cm="1">
        <f t="array" ref="EN200">SUMPRODUCT((EN$2:EN$126&gt;=23)*(EN$2:EN$126&lt;=27)*(EN$2:EN$126&lt;&gt;"")*($J$2:$J$126))</f>
        <v>0</v>
      </c>
      <c r="EO200" s="79" cm="1">
        <f t="array" ref="EO200">SUMPRODUCT((EO$2:EO$126&gt;=23)*(EO$2:EO$126&lt;=27)*(EO$2:EO$126&lt;&gt;"")*($J$2:$J$126))</f>
        <v>0</v>
      </c>
      <c r="EP200" s="79" cm="1">
        <f t="array" ref="EP200">SUMPRODUCT((EP$2:EP$126&gt;=23)*(EP$2:EP$126&lt;=27)*(EP$2:EP$126&lt;&gt;"")*($J$2:$J$126))</f>
        <v>0</v>
      </c>
      <c r="EQ200" s="79" cm="1">
        <f t="array" ref="EQ200">SUMPRODUCT((EQ$2:EQ$126&gt;=23)*(EQ$2:EQ$126&lt;=27)*(EQ$2:EQ$126&lt;&gt;"")*($J$2:$J$126))</f>
        <v>0</v>
      </c>
      <c r="ER200" s="79" cm="1">
        <f t="array" ref="ER200">SUMPRODUCT((ER$2:ER$126&gt;=23)*(ER$2:ER$126&lt;=27)*(ER$2:ER$126&lt;&gt;"")*($J$2:$J$126))</f>
        <v>0</v>
      </c>
      <c r="ES200" s="79" cm="1">
        <f t="array" ref="ES200">SUMPRODUCT((ES$2:ES$126&gt;=23)*(ES$2:ES$126&lt;=27)*(ES$2:ES$126&lt;&gt;"")*($J$2:$J$126))</f>
        <v>0</v>
      </c>
      <c r="ET200" s="79" cm="1">
        <f t="array" ref="ET200">SUMPRODUCT((ET$2:ET$126&gt;=23)*(ET$2:ET$126&lt;=27)*(ET$2:ET$126&lt;&gt;"")*($J$2:$J$126))</f>
        <v>0</v>
      </c>
      <c r="EU200" s="79" cm="1">
        <f t="array" ref="EU200">SUMPRODUCT((EU$2:EU$126&gt;=23)*(EU$2:EU$126&lt;=27)*(EU$2:EU$126&lt;&gt;"")*($J$2:$J$126))</f>
        <v>0</v>
      </c>
      <c r="EV200" s="79" cm="1">
        <f t="array" ref="EV200">SUMPRODUCT((EV$2:EV$126&gt;=23)*(EV$2:EV$126&lt;=27)*(EV$2:EV$126&lt;&gt;"")*($J$2:$J$126))</f>
        <v>0</v>
      </c>
      <c r="EW200" s="79" cm="1">
        <f t="array" ref="EW200">SUMPRODUCT((EW$2:EW$126&gt;=23)*(EW$2:EW$126&lt;=27)*(EW$2:EW$126&lt;&gt;"")*($J$2:$J$126))</f>
        <v>0</v>
      </c>
      <c r="EX200" s="79" cm="1">
        <f t="array" ref="EX200">SUMPRODUCT((EX$2:EX$126&gt;=23)*(EX$2:EX$126&lt;=27)*(EX$2:EX$126&lt;&gt;"")*($J$2:$J$126))</f>
        <v>0</v>
      </c>
      <c r="EY200" s="79" cm="1">
        <f t="array" ref="EY200">SUMPRODUCT((EY$2:EY$126&gt;=23)*(EY$2:EY$126&lt;=27)*(EY$2:EY$126&lt;&gt;"")*($J$2:$J$126))</f>
        <v>0</v>
      </c>
      <c r="EZ200" s="79" cm="1">
        <f t="array" ref="EZ200">SUMPRODUCT((EZ$2:EZ$126&gt;=23)*(EZ$2:EZ$126&lt;=27)*(EZ$2:EZ$126&lt;&gt;"")*($J$2:$J$126))</f>
        <v>0</v>
      </c>
      <c r="FA200" s="79" cm="1">
        <f t="array" ref="FA200">SUMPRODUCT((FA$2:FA$126&gt;=23)*(FA$2:FA$126&lt;=27)*(FA$2:FA$126&lt;&gt;"")*($J$2:$J$126))</f>
        <v>0</v>
      </c>
      <c r="FB200" s="79" cm="1">
        <f t="array" ref="FB200">SUMPRODUCT((FB$2:FB$126&gt;=23)*(FB$2:FB$126&lt;=27)*(FB$2:FB$126&lt;&gt;"")*($J$2:$J$126))</f>
        <v>0</v>
      </c>
      <c r="FC200" s="79" cm="1">
        <f t="array" ref="FC200">SUMPRODUCT((FC$2:FC$126&gt;=23)*(FC$2:FC$126&lt;=27)*(FC$2:FC$126&lt;&gt;"")*($J$2:$J$126))</f>
        <v>0</v>
      </c>
      <c r="FD200" s="79" cm="1">
        <f t="array" ref="FD200">SUMPRODUCT((FD$2:FD$126&gt;=23)*(FD$2:FD$126&lt;=27)*(FD$2:FD$126&lt;&gt;"")*($J$2:$J$126))</f>
        <v>0</v>
      </c>
      <c r="FE200" s="79" cm="1">
        <f t="array" ref="FE200">SUMPRODUCT((FE$2:FE$126&gt;=23)*(FE$2:FE$126&lt;=27)*(FE$2:FE$126&lt;&gt;"")*($J$2:$J$126))</f>
        <v>0</v>
      </c>
      <c r="FF200" s="79" cm="1">
        <f t="array" ref="FF200">SUMPRODUCT((FF$2:FF$126&gt;=23)*(FF$2:FF$126&lt;=27)*(FF$2:FF$126&lt;&gt;"")*($J$2:$J$126))</f>
        <v>0</v>
      </c>
      <c r="FG200" s="79" cm="1">
        <f t="array" ref="FG200">SUMPRODUCT((FG$2:FG$126&gt;=23)*(FG$2:FG$126&lt;=27)*(FG$2:FG$126&lt;&gt;"")*($J$2:$J$126))</f>
        <v>0</v>
      </c>
      <c r="FH200" s="79" cm="1">
        <f t="array" ref="FH200">SUMPRODUCT((FH$2:FH$126&gt;=23)*(FH$2:FH$126&lt;=27)*(FH$2:FH$126&lt;&gt;"")*($J$2:$J$126))</f>
        <v>0</v>
      </c>
      <c r="FI200" s="79" cm="1">
        <f t="array" ref="FI200">SUMPRODUCT((FI$2:FI$126&gt;=23)*(FI$2:FI$126&lt;=27)*(FI$2:FI$126&lt;&gt;"")*($J$2:$J$126))</f>
        <v>0</v>
      </c>
      <c r="FJ200" s="79" cm="1">
        <f t="array" ref="FJ200">SUMPRODUCT((FJ$2:FJ$126&gt;=23)*(FJ$2:FJ$126&lt;=27)*(FJ$2:FJ$126&lt;&gt;"")*($J$2:$J$126))</f>
        <v>0</v>
      </c>
      <c r="FK200" s="79" cm="1">
        <f t="array" ref="FK200">SUMPRODUCT((FK$2:FK$126&gt;=23)*(FK$2:FK$126&lt;=27)*(FK$2:FK$126&lt;&gt;"")*($J$2:$J$126))</f>
        <v>0</v>
      </c>
      <c r="FL200" s="79" cm="1">
        <f t="array" ref="FL200">SUMPRODUCT((FL$2:FL$126&gt;=23)*(FL$2:FL$126&lt;=27)*(FL$2:FL$126&lt;&gt;"")*($J$2:$J$126))</f>
        <v>0</v>
      </c>
      <c r="FM200" s="79" cm="1">
        <f t="array" ref="FM200">SUMPRODUCT((FM$2:FM$126&gt;=23)*(FM$2:FM$126&lt;=27)*(FM$2:FM$126&lt;&gt;"")*($J$2:$J$126))</f>
        <v>0</v>
      </c>
      <c r="FN200" s="79" cm="1">
        <f t="array" ref="FN200">SUMPRODUCT((FN$2:FN$126&gt;=23)*(FN$2:FN$126&lt;=27)*(FN$2:FN$126&lt;&gt;"")*($J$2:$J$126))</f>
        <v>0</v>
      </c>
      <c r="FO200" s="79" cm="1">
        <f t="array" ref="FO200">SUMPRODUCT((FO$2:FO$126&gt;=23)*(FO$2:FO$126&lt;=27)*(FO$2:FO$126&lt;&gt;"")*($J$2:$J$126))</f>
        <v>0</v>
      </c>
      <c r="FP200" s="79" cm="1">
        <f t="array" ref="FP200">SUMPRODUCT((FP$2:FP$126&gt;=23)*(FP$2:FP$126&lt;=27)*(FP$2:FP$126&lt;&gt;"")*($J$2:$J$126))</f>
        <v>0</v>
      </c>
      <c r="FQ200" s="79" cm="1">
        <f t="array" ref="FQ200">SUMPRODUCT((FQ$2:FQ$126&gt;=23)*(FQ$2:FQ$126&lt;=27)*(FQ$2:FQ$126&lt;&gt;"")*($J$2:$J$126))</f>
        <v>0</v>
      </c>
      <c r="FR200" s="79" cm="1">
        <f t="array" ref="FR200">SUMPRODUCT((FR$2:FR$126&gt;=23)*(FR$2:FR$126&lt;=27)*(FR$2:FR$126&lt;&gt;"")*($J$2:$J$126))</f>
        <v>0</v>
      </c>
      <c r="FS200" s="79" cm="1">
        <f t="array" ref="FS200">SUMPRODUCT((FS$2:FS$126&gt;=23)*(FS$2:FS$126&lt;=27)*(FS$2:FS$126&lt;&gt;"")*($J$2:$J$126))</f>
        <v>0</v>
      </c>
      <c r="FT200" s="79" cm="1">
        <f t="array" ref="FT200">SUMPRODUCT((FT$2:FT$126&gt;=23)*(FT$2:FT$126&lt;=27)*(FT$2:FT$126&lt;&gt;"")*($J$2:$J$126))</f>
        <v>0</v>
      </c>
      <c r="FU200" s="79" cm="1">
        <f t="array" ref="FU200">SUMPRODUCT((FU$2:FU$126&gt;=23)*(FU$2:FU$126&lt;=27)*(FU$2:FU$126&lt;&gt;"")*($J$2:$J$126))</f>
        <v>0</v>
      </c>
      <c r="FV200" s="79" cm="1">
        <f t="array" ref="FV200">SUMPRODUCT((FV$2:FV$126&gt;=23)*(FV$2:FV$126&lt;=27)*(FV$2:FV$126&lt;&gt;"")*($J$2:$J$126))</f>
        <v>0</v>
      </c>
      <c r="FW200" s="79" cm="1">
        <f t="array" ref="FW200">SUMPRODUCT((FW$2:FW$126&gt;=23)*(FW$2:FW$126&lt;=27)*(FW$2:FW$126&lt;&gt;"")*($J$2:$J$126))</f>
        <v>0</v>
      </c>
      <c r="FX200" s="79" cm="1">
        <f t="array" ref="FX200">SUMPRODUCT((FX$2:FX$126&gt;=23)*(FX$2:FX$126&lt;=27)*(FX$2:FX$126&lt;&gt;"")*($J$2:$J$126))</f>
        <v>0</v>
      </c>
      <c r="FY200" s="79" cm="1">
        <f t="array" ref="FY200">SUMPRODUCT((FY$2:FY$126&gt;=23)*(FY$2:FY$126&lt;=27)*(FY$2:FY$126&lt;&gt;"")*($J$2:$J$126))</f>
        <v>0</v>
      </c>
      <c r="FZ200" s="79" cm="1">
        <f t="array" ref="FZ200">SUMPRODUCT((FZ$2:FZ$126&gt;=23)*(FZ$2:FZ$126&lt;=27)*(FZ$2:FZ$126&lt;&gt;"")*($J$2:$J$126))</f>
        <v>0</v>
      </c>
      <c r="GA200" s="79" cm="1">
        <f t="array" ref="GA200">SUMPRODUCT((GA$2:GA$126&gt;=23)*(GA$2:GA$126&lt;=27)*(GA$2:GA$126&lt;&gt;"")*($J$2:$J$126))</f>
        <v>0</v>
      </c>
      <c r="GB200" s="79" cm="1">
        <f t="array" ref="GB200">SUMPRODUCT((GB$2:GB$126&gt;=23)*(GB$2:GB$126&lt;=27)*(GB$2:GB$126&lt;&gt;"")*($J$2:$J$126))</f>
        <v>0</v>
      </c>
      <c r="GC200" s="79" cm="1">
        <f t="array" ref="GC200">SUMPRODUCT((GC$2:GC$126&gt;=23)*(GC$2:GC$126&lt;=27)*(GC$2:GC$126&lt;&gt;"")*($J$2:$J$126))</f>
        <v>0</v>
      </c>
      <c r="GD200" s="79" cm="1">
        <f t="array" ref="GD200">SUMPRODUCT((GD$2:GD$126&gt;=23)*(GD$2:GD$126&lt;=27)*(GD$2:GD$126&lt;&gt;"")*($J$2:$J$126))</f>
        <v>0</v>
      </c>
      <c r="GE200" s="79" cm="1">
        <f t="array" ref="GE200">SUMPRODUCT((GE$2:GE$126&gt;=23)*(GE$2:GE$126&lt;=27)*(GE$2:GE$126&lt;&gt;"")*($J$2:$J$126))</f>
        <v>0</v>
      </c>
      <c r="GF200" s="79" cm="1">
        <f t="array" ref="GF200">SUMPRODUCT((GF$2:GF$126&gt;=23)*(GF$2:GF$126&lt;=27)*(GF$2:GF$126&lt;&gt;"")*($J$2:$J$126))</f>
        <v>0</v>
      </c>
      <c r="GG200" s="79" cm="1">
        <f t="array" ref="GG200">SUMPRODUCT((GG$2:GG$126&gt;=23)*(GG$2:GG$126&lt;=27)*(GG$2:GG$126&lt;&gt;"")*($J$2:$J$126))</f>
        <v>0</v>
      </c>
      <c r="GH200" s="79" cm="1">
        <f t="array" ref="GH200">SUMPRODUCT((GH$2:GH$126&gt;=23)*(GH$2:GH$126&lt;=27)*(GH$2:GH$126&lt;&gt;"")*($J$2:$J$126))</f>
        <v>0</v>
      </c>
      <c r="GI200" s="79" cm="1">
        <f t="array" ref="GI200">SUMPRODUCT((GI$2:GI$126&gt;=23)*(GI$2:GI$126&lt;=27)*(GI$2:GI$126&lt;&gt;"")*($J$2:$J$126))</f>
        <v>0</v>
      </c>
      <c r="GJ200" s="79" cm="1">
        <f t="array" ref="GJ200">SUMPRODUCT((GJ$2:GJ$126&gt;=23)*(GJ$2:GJ$126&lt;=27)*(GJ$2:GJ$126&lt;&gt;"")*($J$2:$J$126))</f>
        <v>0</v>
      </c>
      <c r="GK200" s="79" cm="1">
        <f t="array" ref="GK200">SUMPRODUCT((GK$2:GK$126&gt;=23)*(GK$2:GK$126&lt;=27)*(GK$2:GK$126&lt;&gt;"")*($J$2:$J$126))</f>
        <v>0</v>
      </c>
      <c r="GL200" s="79" cm="1">
        <f t="array" ref="GL200">SUMPRODUCT((GL$2:GL$126&gt;=23)*(GL$2:GL$126&lt;=27)*(GL$2:GL$126&lt;&gt;"")*($J$2:$J$126))</f>
        <v>0</v>
      </c>
      <c r="GM200" s="79" cm="1">
        <f t="array" ref="GM200">SUMPRODUCT((GM$2:GM$126&gt;=23)*(GM$2:GM$126&lt;=27)*(GM$2:GM$126&lt;&gt;"")*($J$2:$J$126))</f>
        <v>0</v>
      </c>
      <c r="GN200" s="79" cm="1">
        <f t="array" ref="GN200">SUMPRODUCT((GN$2:GN$126&gt;=23)*(GN$2:GN$126&lt;=27)*(GN$2:GN$126&lt;&gt;"")*($J$2:$J$126))</f>
        <v>0</v>
      </c>
      <c r="GO200" s="79" cm="1">
        <f t="array" ref="GO200">SUMPRODUCT((GO$2:GO$126&gt;=23)*(GO$2:GO$126&lt;=27)*(GO$2:GO$126&lt;&gt;"")*($J$2:$J$126))</f>
        <v>0</v>
      </c>
      <c r="GP200" s="79" cm="1">
        <f t="array" ref="GP200">SUMPRODUCT((GP$2:GP$126&gt;=23)*(GP$2:GP$126&lt;=27)*(GP$2:GP$126&lt;&gt;"")*($J$2:$J$126))</f>
        <v>0</v>
      </c>
      <c r="GQ200" s="79" cm="1">
        <f t="array" ref="GQ200">SUMPRODUCT((GQ$2:GQ$126&gt;=23)*(GQ$2:GQ$126&lt;=27)*(GQ$2:GQ$126&lt;&gt;"")*($J$2:$J$126))</f>
        <v>0</v>
      </c>
      <c r="GR200" s="79" cm="1">
        <f t="array" ref="GR200">SUMPRODUCT((GR$2:GR$126&gt;=23)*(GR$2:GR$126&lt;=27)*(GR$2:GR$126&lt;&gt;"")*($J$2:$J$126))</f>
        <v>0</v>
      </c>
      <c r="GS200" s="79" cm="1">
        <f t="array" ref="GS200">SUMPRODUCT((GS$2:GS$126&gt;=23)*(GS$2:GS$126&lt;=27)*(GS$2:GS$126&lt;&gt;"")*($J$2:$J$126))</f>
        <v>0</v>
      </c>
      <c r="GT200" s="79" cm="1">
        <f t="array" ref="GT200">SUMPRODUCT((GT$2:GT$126&gt;=23)*(GT$2:GT$126&lt;=27)*(GT$2:GT$126&lt;&gt;"")*($J$2:$J$126))</f>
        <v>0</v>
      </c>
      <c r="GU200" s="79" cm="1">
        <f t="array" ref="GU200">SUMPRODUCT((GU$2:GU$126&gt;=23)*(GU$2:GU$126&lt;=27)*(GU$2:GU$126&lt;&gt;"")*($J$2:$J$126))</f>
        <v>0</v>
      </c>
      <c r="GV200" s="79" cm="1">
        <f t="array" ref="GV200">SUMPRODUCT((GV$2:GV$126&gt;=23)*(GV$2:GV$126&lt;=27)*(GV$2:GV$126&lt;&gt;"")*($J$2:$J$126))</f>
        <v>0</v>
      </c>
      <c r="GW200" s="79" cm="1">
        <f t="array" ref="GW200">SUMPRODUCT((GW$2:GW$126&gt;=23)*(GW$2:GW$126&lt;=27)*(GW$2:GW$126&lt;&gt;"")*($J$2:$J$126))</f>
        <v>0</v>
      </c>
      <c r="GX200" s="79" cm="1">
        <f t="array" ref="GX200">SUMPRODUCT((GX$2:GX$126&gt;=23)*(GX$2:GX$126&lt;=27)*(GX$2:GX$126&lt;&gt;"")*($J$2:$J$126))</f>
        <v>0</v>
      </c>
    </row>
    <row r="201" spans="1:206" x14ac:dyDescent="0.2">
      <c r="A201" s="84"/>
      <c r="B201" s="84" t="s">
        <v>273</v>
      </c>
      <c r="W201" s="79" cm="1">
        <f t="array" ref="W201">SUMPRODUCT((W$2:W$126&gt;=28)*(W$2:W$126&lt;&gt;"")*($J$2:$J$126))</f>
        <v>250.81</v>
      </c>
      <c r="X201" s="79" cm="1">
        <f t="array" ref="X201">SUMPRODUCT((X$2:X$126&gt;=28)*(X$2:X$126&lt;&gt;"")*($J$2:$J$126))</f>
        <v>250.81</v>
      </c>
      <c r="Y201" s="79" cm="1">
        <f t="array" ref="Y201">SUMPRODUCT((Y$2:Y$126&gt;=28)*(Y$2:Y$126&lt;&gt;"")*($J$2:$J$126))</f>
        <v>276.98</v>
      </c>
      <c r="Z201" s="79" cm="1">
        <f t="array" ref="Z201">SUMPRODUCT((Z$2:Z$126&gt;=28)*(Z$2:Z$126&lt;&gt;"")*($J$2:$J$126))</f>
        <v>310.70999999999998</v>
      </c>
      <c r="AA201" s="79" cm="1">
        <f t="array" ref="AA201">SUMPRODUCT((AA$2:AA$126&gt;=28)*(AA$2:AA$126&lt;&gt;"")*($J$2:$J$126))</f>
        <v>310.70999999999998</v>
      </c>
      <c r="AB201" s="79" cm="1">
        <f t="array" ref="AB201">SUMPRODUCT((AB$2:AB$126&gt;=28)*(AB$2:AB$126&lt;&gt;"")*($J$2:$J$126))</f>
        <v>254.32999999999998</v>
      </c>
      <c r="AC201" s="79" cm="1">
        <f t="array" ref="AC201">SUMPRODUCT((AC$2:AC$126&gt;=28)*(AC$2:AC$126&lt;&gt;"")*($J$2:$J$126))</f>
        <v>288.04999999999995</v>
      </c>
      <c r="AD201" s="79" cm="1">
        <f t="array" ref="AD201">SUMPRODUCT((AD$2:AD$126&gt;=28)*(AD$2:AD$126&lt;&gt;"")*($J$2:$J$126))</f>
        <v>393.49</v>
      </c>
      <c r="AE201" s="79" cm="1">
        <f t="array" ref="AE201">SUMPRODUCT((AE$2:AE$126&gt;=28)*(AE$2:AE$126&lt;&gt;"")*($J$2:$J$126))</f>
        <v>343.18</v>
      </c>
      <c r="AF201" s="79" cm="1">
        <f t="array" ref="AF201">SUMPRODUCT((AF$2:AF$126&gt;=28)*(AF$2:AF$126&lt;&gt;"")*($J$2:$J$126))</f>
        <v>349.26</v>
      </c>
      <c r="AG201" s="79" cm="1">
        <f t="array" ref="AG201">SUMPRODUCT((AG$2:AG$126&gt;=28)*(AG$2:AG$126&lt;&gt;"")*($J$2:$J$126))</f>
        <v>441.65</v>
      </c>
      <c r="AH201" s="79" cm="1">
        <f t="array" ref="AH201">SUMPRODUCT((AH$2:AH$126&gt;=28)*(AH$2:AH$126&lt;&gt;"")*($J$2:$J$126))</f>
        <v>387.72</v>
      </c>
      <c r="AI201" s="79" cm="1">
        <f t="array" ref="AI201">SUMPRODUCT((AI$2:AI$126&gt;=28)*(AI$2:AI$126&lt;&gt;"")*($J$2:$J$126))</f>
        <v>331.90999999999997</v>
      </c>
      <c r="AJ201" s="79" cm="1">
        <f t="array" ref="AJ201">SUMPRODUCT((AJ$2:AJ$126&gt;=28)*(AJ$2:AJ$126&lt;&gt;"")*($J$2:$J$126))</f>
        <v>320.90999999999997</v>
      </c>
      <c r="AK201" s="79" cm="1">
        <f t="array" ref="AK201">SUMPRODUCT((AK$2:AK$126&gt;=28)*(AK$2:AK$126&lt;&gt;"")*($J$2:$J$126))</f>
        <v>384.22</v>
      </c>
      <c r="AL201" s="79" cm="1">
        <f t="array" ref="AL201">SUMPRODUCT((AL$2:AL$126&gt;=28)*(AL$2:AL$126&lt;&gt;"")*($J$2:$J$126))</f>
        <v>389.73</v>
      </c>
      <c r="AM201" s="79" cm="1">
        <f t="array" ref="AM201">SUMPRODUCT((AM$2:AM$126&gt;=28)*(AM$2:AM$126&lt;&gt;"")*($J$2:$J$126))</f>
        <v>408.47</v>
      </c>
      <c r="AN201" s="79" cm="1">
        <f t="array" ref="AN201">SUMPRODUCT((AN$2:AN$126&gt;=28)*(AN$2:AN$126&lt;&gt;"")*($J$2:$J$126))</f>
        <v>431.13000000000005</v>
      </c>
      <c r="AO201" s="79" cm="1">
        <f t="array" ref="AO201">SUMPRODUCT((AO$2:AO$126&gt;=28)*(AO$2:AO$126&lt;&gt;"")*($J$2:$J$126))</f>
        <v>464.99000000000007</v>
      </c>
      <c r="AP201" s="79" cm="1">
        <f t="array" ref="AP201">SUMPRODUCT((AP$2:AP$126&gt;=28)*(AP$2:AP$126&lt;&gt;"")*($J$2:$J$126))</f>
        <v>451.88000000000005</v>
      </c>
      <c r="AQ201" s="79" cm="1">
        <f t="array" ref="AQ201">SUMPRODUCT((AQ$2:AQ$126&gt;=28)*(AQ$2:AQ$126&lt;&gt;"")*($J$2:$J$126))</f>
        <v>447.77000000000004</v>
      </c>
      <c r="AR201" s="79" cm="1">
        <f t="array" ref="AR201">SUMPRODUCT((AR$2:AR$126&gt;=28)*(AR$2:AR$126&lt;&gt;"")*($J$2:$J$126))</f>
        <v>316.3</v>
      </c>
      <c r="AS201" s="79" cm="1">
        <f t="array" ref="AS201">SUMPRODUCT((AS$2:AS$126&gt;=28)*(AS$2:AS$126&lt;&gt;"")*($J$2:$J$126))</f>
        <v>251.03</v>
      </c>
      <c r="AT201" s="79" cm="1">
        <f t="array" ref="AT201">SUMPRODUCT((AT$2:AT$126&gt;=28)*(AT$2:AT$126&lt;&gt;"")*($J$2:$J$126))</f>
        <v>269.91999999999996</v>
      </c>
      <c r="AU201" s="79" cm="1">
        <f t="array" ref="AU201">SUMPRODUCT((AU$2:AU$126&gt;=28)*(AU$2:AU$126&lt;&gt;"")*($J$2:$J$126))</f>
        <v>222.57999999999998</v>
      </c>
      <c r="AV201" s="79" cm="1">
        <f t="array" ref="AV201">SUMPRODUCT((AV$2:AV$126&gt;=28)*(AV$2:AV$126&lt;&gt;"")*($J$2:$J$126))</f>
        <v>222.57999999999998</v>
      </c>
      <c r="AW201" s="79" cm="1">
        <f t="array" ref="AW201">SUMPRODUCT((AW$2:AW$126&gt;=28)*(AW$2:AW$126&lt;&gt;"")*($J$2:$J$126))</f>
        <v>137.56</v>
      </c>
      <c r="AX201" s="79" cm="1">
        <f t="array" ref="AX201">SUMPRODUCT((AX$2:AX$126&gt;=28)*(AX$2:AX$126&lt;&gt;"")*($J$2:$J$126))</f>
        <v>125.67</v>
      </c>
      <c r="AY201" s="79" cm="1">
        <f t="array" ref="AY201">SUMPRODUCT((AY$2:AY$126&gt;=28)*(AY$2:AY$126&lt;&gt;"")*($J$2:$J$126))</f>
        <v>111.49</v>
      </c>
      <c r="AZ201" s="79" cm="1">
        <f t="array" ref="AZ201">SUMPRODUCT((AZ$2:AZ$126&gt;=28)*(AZ$2:AZ$126&lt;&gt;"")*($J$2:$J$126))</f>
        <v>146.75</v>
      </c>
      <c r="BA201" s="79" cm="1">
        <f t="array" ref="BA201">SUMPRODUCT((BA$2:BA$126&gt;=28)*(BA$2:BA$126&lt;&gt;"")*($J$2:$J$126))</f>
        <v>132.69</v>
      </c>
      <c r="BB201" s="79" cm="1">
        <f t="array" ref="BB201">SUMPRODUCT((BB$2:BB$126&gt;=28)*(BB$2:BB$126&lt;&gt;"")*($J$2:$J$126))</f>
        <v>172.98</v>
      </c>
      <c r="BC201" s="79" cm="1">
        <f t="array" ref="BC201">SUMPRODUCT((BC$2:BC$126&gt;=28)*(BC$2:BC$126&lt;&gt;"")*($J$2:$J$126))</f>
        <v>172.98</v>
      </c>
      <c r="BD201" s="79" cm="1">
        <f t="array" ref="BD201">SUMPRODUCT((BD$2:BD$126&gt;=28)*(BD$2:BD$126&lt;&gt;"")*($J$2:$J$126))</f>
        <v>172.98</v>
      </c>
      <c r="BE201" s="79" cm="1">
        <f t="array" ref="BE201">SUMPRODUCT((BE$2:BE$126&gt;=28)*(BE$2:BE$126&lt;&gt;"")*($J$2:$J$126))</f>
        <v>117.52000000000001</v>
      </c>
      <c r="BF201" s="79" cm="1">
        <f t="array" ref="BF201">SUMPRODUCT((BF$2:BF$126&gt;=28)*(BF$2:BF$126&lt;&gt;"")*($J$2:$J$126))</f>
        <v>106.39000000000001</v>
      </c>
      <c r="BG201" s="79" cm="1">
        <f t="array" ref="BG201">SUMPRODUCT((BG$2:BG$126&gt;=28)*(BG$2:BG$126&lt;&gt;"")*($J$2:$J$126))</f>
        <v>93.420000000000016</v>
      </c>
      <c r="BH201" s="79" cm="1">
        <f t="array" ref="BH201">SUMPRODUCT((BH$2:BH$126&gt;=28)*(BH$2:BH$126&lt;&gt;"")*($J$2:$J$126))</f>
        <v>114.85000000000002</v>
      </c>
      <c r="BI201" s="79" cm="1">
        <f t="array" ref="BI201">SUMPRODUCT((BI$2:BI$126&gt;=28)*(BI$2:BI$126&lt;&gt;"")*($J$2:$J$126))</f>
        <v>96.980000000000018</v>
      </c>
      <c r="BJ201" s="79" cm="1">
        <f t="array" ref="BJ201">SUMPRODUCT((BJ$2:BJ$126&gt;=28)*(BJ$2:BJ$126&lt;&gt;"")*($J$2:$J$126))</f>
        <v>96.980000000000018</v>
      </c>
      <c r="BK201" s="79" cm="1">
        <f t="array" ref="BK201">SUMPRODUCT((BK$2:BK$126&gt;=28)*(BK$2:BK$126&lt;&gt;"")*($J$2:$J$126))</f>
        <v>96.980000000000018</v>
      </c>
      <c r="BL201" s="79" cm="1">
        <f t="array" ref="BL201">SUMPRODUCT((BL$2:BL$126&gt;=28)*(BL$2:BL$126&lt;&gt;"")*($J$2:$J$126))</f>
        <v>96.980000000000018</v>
      </c>
      <c r="BM201" s="79" cm="1">
        <f t="array" ref="BM201">SUMPRODUCT((BM$2:BM$126&gt;=28)*(BM$2:BM$126&lt;&gt;"")*($J$2:$J$126))</f>
        <v>0</v>
      </c>
      <c r="BN201" s="79" cm="1">
        <f t="array" ref="BN201">SUMPRODUCT((BN$2:BN$126&gt;=28)*(BN$2:BN$126&lt;&gt;"")*($J$2:$J$126))</f>
        <v>0</v>
      </c>
      <c r="BO201" s="79" cm="1">
        <f t="array" ref="BO201">SUMPRODUCT((BO$2:BO$126&gt;=28)*(BO$2:BO$126&lt;&gt;"")*($J$2:$J$126))</f>
        <v>0</v>
      </c>
      <c r="BP201" s="79" cm="1">
        <f t="array" ref="BP201">SUMPRODUCT((BP$2:BP$126&gt;=28)*(BP$2:BP$126&lt;&gt;"")*($J$2:$J$126))</f>
        <v>0</v>
      </c>
      <c r="BQ201" s="79" cm="1">
        <f t="array" ref="BQ201">SUMPRODUCT((BQ$2:BQ$126&gt;=28)*(BQ$2:BQ$126&lt;&gt;"")*($J$2:$J$126))</f>
        <v>0</v>
      </c>
      <c r="BR201" s="79" cm="1">
        <f t="array" ref="BR201">SUMPRODUCT((BR$2:BR$126&gt;=28)*(BR$2:BR$126&lt;&gt;"")*($J$2:$J$126))</f>
        <v>0</v>
      </c>
      <c r="BS201" s="79" cm="1">
        <f t="array" ref="BS201">SUMPRODUCT((BS$2:BS$126&gt;=28)*(BS$2:BS$126&lt;&gt;"")*($J$2:$J$126))</f>
        <v>0</v>
      </c>
      <c r="BT201" s="79" cm="1">
        <f t="array" ref="BT201">SUMPRODUCT((BT$2:BT$126&gt;=28)*(BT$2:BT$126&lt;&gt;"")*($J$2:$J$126))</f>
        <v>0</v>
      </c>
      <c r="BU201" s="79" cm="1">
        <f t="array" ref="BU201">SUMPRODUCT((BU$2:BU$126&gt;=28)*(BU$2:BU$126&lt;&gt;"")*($J$2:$J$126))</f>
        <v>0</v>
      </c>
      <c r="BV201" s="79" cm="1">
        <f t="array" ref="BV201">SUMPRODUCT((BV$2:BV$126&gt;=28)*(BV$2:BV$126&lt;&gt;"")*($J$2:$J$126))</f>
        <v>40.909999999999997</v>
      </c>
      <c r="BW201" s="79" cm="1">
        <f t="array" ref="BW201">SUMPRODUCT((BW$2:BW$126&gt;=28)*(BW$2:BW$126&lt;&gt;"")*($J$2:$J$126))</f>
        <v>40.909999999999997</v>
      </c>
      <c r="BX201" s="79" cm="1">
        <f t="array" ref="BX201">SUMPRODUCT((BX$2:BX$126&gt;=28)*(BX$2:BX$126&lt;&gt;"")*($J$2:$J$126))</f>
        <v>40.909999999999997</v>
      </c>
      <c r="BY201" s="79" cm="1">
        <f t="array" ref="BY201">SUMPRODUCT((BY$2:BY$126&gt;=28)*(BY$2:BY$126&lt;&gt;"")*($J$2:$J$126))</f>
        <v>106.06</v>
      </c>
      <c r="BZ201" s="79" cm="1">
        <f t="array" ref="BZ201">SUMPRODUCT((BZ$2:BZ$126&gt;=28)*(BZ$2:BZ$126&lt;&gt;"")*($J$2:$J$126))</f>
        <v>162.42000000000002</v>
      </c>
      <c r="CA201" s="79" cm="1">
        <f t="array" ref="CA201">SUMPRODUCT((CA$2:CA$126&gt;=28)*(CA$2:CA$126&lt;&gt;"")*($J$2:$J$126))</f>
        <v>266.45999999999998</v>
      </c>
      <c r="CB201" s="79" cm="1">
        <f t="array" ref="CB201">SUMPRODUCT((CB$2:CB$126&gt;=28)*(CB$2:CB$126&lt;&gt;"")*($J$2:$J$126))</f>
        <v>398.39999999999992</v>
      </c>
      <c r="CC201" s="79" cm="1">
        <f t="array" ref="CC201">SUMPRODUCT((CC$2:CC$126&gt;=28)*(CC$2:CC$126&lt;&gt;"")*($J$2:$J$126))</f>
        <v>586.07999999999993</v>
      </c>
      <c r="CD201" s="79" cm="1">
        <f t="array" ref="CD201">SUMPRODUCT((CD$2:CD$126&gt;=28)*(CD$2:CD$126&lt;&gt;"")*($J$2:$J$126))</f>
        <v>655.86000000000013</v>
      </c>
      <c r="CE201" s="79" cm="1">
        <f t="array" ref="CE201">SUMPRODUCT((CE$2:CE$126&gt;=28)*(CE$2:CE$126&lt;&gt;"")*($J$2:$J$126))</f>
        <v>655.86000000000013</v>
      </c>
      <c r="CF201" s="79" cm="1">
        <f t="array" ref="CF201">SUMPRODUCT((CF$2:CF$126&gt;=28)*(CF$2:CF$126&lt;&gt;"")*($J$2:$J$126))</f>
        <v>784.04000000000008</v>
      </c>
      <c r="CG201" s="79" cm="1">
        <f t="array" ref="CG201">SUMPRODUCT((CG$2:CG$126&gt;=28)*(CG$2:CG$126&lt;&gt;"")*($J$2:$J$126))</f>
        <v>903.3</v>
      </c>
      <c r="CH201" s="79" cm="1">
        <f t="array" ref="CH201">SUMPRODUCT((CH$2:CH$126&gt;=28)*(CH$2:CH$126&lt;&gt;"")*($J$2:$J$126))</f>
        <v>1149.77</v>
      </c>
      <c r="CI201" s="79" cm="1">
        <f t="array" ref="CI201">SUMPRODUCT((CI$2:CI$126&gt;=28)*(CI$2:CI$126&lt;&gt;"")*($J$2:$J$126))</f>
        <v>1349.8600000000004</v>
      </c>
      <c r="CJ201" s="79" cm="1">
        <f t="array" ref="CJ201">SUMPRODUCT((CJ$2:CJ$126&gt;=28)*(CJ$2:CJ$126&lt;&gt;"")*($J$2:$J$126))</f>
        <v>1411.2000000000005</v>
      </c>
      <c r="CK201" s="79" cm="1">
        <f t="array" ref="CK201">SUMPRODUCT((CK$2:CK$126&gt;=28)*(CK$2:CK$126&lt;&gt;"")*($J$2:$J$126))</f>
        <v>1462.9700000000007</v>
      </c>
      <c r="CL201" s="79" cm="1">
        <f t="array" ref="CL201">SUMPRODUCT((CL$2:CL$126&gt;=28)*(CL$2:CL$126&lt;&gt;"")*($J$2:$J$126))</f>
        <v>1462.9700000000007</v>
      </c>
      <c r="CM201" s="79" cm="1">
        <f t="array" ref="CM201">SUMPRODUCT((CM$2:CM$126&gt;=28)*(CM$2:CM$126&lt;&gt;"")*($J$2:$J$126))</f>
        <v>1605.1600000000005</v>
      </c>
      <c r="CN201" s="79" cm="1">
        <f t="array" ref="CN201">SUMPRODUCT((CN$2:CN$126&gt;=28)*(CN$2:CN$126&lt;&gt;"")*($J$2:$J$126))</f>
        <v>1834.4600000000003</v>
      </c>
      <c r="CO201" s="79" cm="1">
        <f t="array" ref="CO201">SUMPRODUCT((CO$2:CO$126&gt;=28)*(CO$2:CO$126&lt;&gt;"")*($J$2:$J$126))</f>
        <v>2052.7100000000005</v>
      </c>
      <c r="CP201" s="79" cm="1">
        <f t="array" ref="CP201">SUMPRODUCT((CP$2:CP$126&gt;=28)*(CP$2:CP$126&lt;&gt;"")*($J$2:$J$126))</f>
        <v>2116.8400000000006</v>
      </c>
      <c r="CQ201" s="79" cm="1">
        <f t="array" ref="CQ201">SUMPRODUCT((CQ$2:CQ$126&gt;=28)*(CQ$2:CQ$126&lt;&gt;"")*($J$2:$J$126))</f>
        <v>2336.15</v>
      </c>
      <c r="CR201" s="79" cm="1">
        <f t="array" ref="CR201">SUMPRODUCT((CR$2:CR$126&gt;=28)*(CR$2:CR$126&lt;&gt;"")*($J$2:$J$126))</f>
        <v>2336.15</v>
      </c>
      <c r="CS201" s="79" cm="1">
        <f t="array" ref="CS201">SUMPRODUCT((CS$2:CS$126&gt;=28)*(CS$2:CS$126&lt;&gt;"")*($J$2:$J$126))</f>
        <v>2336.15</v>
      </c>
      <c r="CT201" s="79" cm="1">
        <f t="array" ref="CT201">SUMPRODUCT((CT$2:CT$126&gt;=28)*(CT$2:CT$126&lt;&gt;"")*($J$2:$J$126))</f>
        <v>2336.15</v>
      </c>
      <c r="CU201" s="79" cm="1">
        <f t="array" ref="CU201">SUMPRODUCT((CU$2:CU$126&gt;=28)*(CU$2:CU$126&lt;&gt;"")*($J$2:$J$126))</f>
        <v>2336.15</v>
      </c>
      <c r="CV201" s="79" cm="1">
        <f t="array" ref="CV201">SUMPRODUCT((CV$2:CV$126&gt;=28)*(CV$2:CV$126&lt;&gt;"")*($J$2:$J$126))</f>
        <v>2336.15</v>
      </c>
      <c r="CW201" s="79" cm="1">
        <f t="array" ref="CW201">SUMPRODUCT((CW$2:CW$126&gt;=28)*(CW$2:CW$126&lt;&gt;"")*($J$2:$J$126))</f>
        <v>2336.15</v>
      </c>
      <c r="CX201" s="79" cm="1">
        <f t="array" ref="CX201">SUMPRODUCT((CX$2:CX$126&gt;=28)*(CX$2:CX$126&lt;&gt;"")*($J$2:$J$126))</f>
        <v>2336.15</v>
      </c>
      <c r="CY201" s="79" cm="1">
        <f t="array" ref="CY201">SUMPRODUCT((CY$2:CY$126&gt;=28)*(CY$2:CY$126&lt;&gt;"")*($J$2:$J$126))</f>
        <v>2336.15</v>
      </c>
      <c r="CZ201" s="79" cm="1">
        <f t="array" ref="CZ201">SUMPRODUCT((CZ$2:CZ$126&gt;=28)*(CZ$2:CZ$126&lt;&gt;"")*($J$2:$J$126))</f>
        <v>2336.15</v>
      </c>
      <c r="DA201" s="79" cm="1">
        <f t="array" ref="DA201">SUMPRODUCT((DA$2:DA$126&gt;=28)*(DA$2:DA$126&lt;&gt;"")*($J$2:$J$126))</f>
        <v>2336.15</v>
      </c>
      <c r="DB201" s="79" cm="1">
        <f t="array" ref="DB201">SUMPRODUCT((DB$2:DB$126&gt;=28)*(DB$2:DB$126&lt;&gt;"")*($J$2:$J$126))</f>
        <v>2336.15</v>
      </c>
      <c r="DC201" s="79" cm="1">
        <f t="array" ref="DC201">SUMPRODUCT((DC$2:DC$126&gt;=28)*(DC$2:DC$126&lt;&gt;"")*($J$2:$J$126))</f>
        <v>2336.15</v>
      </c>
      <c r="DD201" s="79" cm="1">
        <f t="array" ref="DD201">SUMPRODUCT((DD$2:DD$126&gt;=28)*(DD$2:DD$126&lt;&gt;"")*($J$2:$J$126))</f>
        <v>2336.15</v>
      </c>
      <c r="DE201" s="79" cm="1">
        <f t="array" ref="DE201">SUMPRODUCT((DE$2:DE$126&gt;=28)*(DE$2:DE$126&lt;&gt;"")*($J$2:$J$126))</f>
        <v>2336.15</v>
      </c>
      <c r="DF201" s="79" cm="1">
        <f t="array" ref="DF201">SUMPRODUCT((DF$2:DF$126&gt;=28)*(DF$2:DF$126&lt;&gt;"")*($J$2:$J$126))</f>
        <v>2336.15</v>
      </c>
      <c r="DG201" s="79" cm="1">
        <f t="array" ref="DG201">SUMPRODUCT((DG$2:DG$126&gt;=28)*(DG$2:DG$126&lt;&gt;"")*($J$2:$J$126))</f>
        <v>2336.15</v>
      </c>
      <c r="DH201" s="79" cm="1">
        <f t="array" ref="DH201">SUMPRODUCT((DH$2:DH$126&gt;=28)*(DH$2:DH$126&lt;&gt;"")*($J$2:$J$126))</f>
        <v>2336.15</v>
      </c>
      <c r="DI201" s="79" cm="1">
        <f t="array" ref="DI201">SUMPRODUCT((DI$2:DI$126&gt;=28)*(DI$2:DI$126&lt;&gt;"")*($J$2:$J$126))</f>
        <v>2336.15</v>
      </c>
      <c r="DJ201" s="79" cm="1">
        <f t="array" ref="DJ201">SUMPRODUCT((DJ$2:DJ$126&gt;=28)*(DJ$2:DJ$126&lt;&gt;"")*($J$2:$J$126))</f>
        <v>2336.15</v>
      </c>
      <c r="DK201" s="79" cm="1">
        <f t="array" ref="DK201">SUMPRODUCT((DK$2:DK$126&gt;=28)*(DK$2:DK$126&lt;&gt;"")*($J$2:$J$126))</f>
        <v>2336.15</v>
      </c>
      <c r="DL201" s="79" cm="1">
        <f t="array" ref="DL201">SUMPRODUCT((DL$2:DL$126&gt;=28)*(DL$2:DL$126&lt;&gt;"")*($J$2:$J$126))</f>
        <v>2336.15</v>
      </c>
      <c r="DM201" s="79" cm="1">
        <f t="array" ref="DM201">SUMPRODUCT((DM$2:DM$126&gt;=28)*(DM$2:DM$126&lt;&gt;"")*($J$2:$J$126))</f>
        <v>2336.15</v>
      </c>
      <c r="DN201" s="79" cm="1">
        <f t="array" ref="DN201">SUMPRODUCT((DN$2:DN$126&gt;=28)*(DN$2:DN$126&lt;&gt;"")*($J$2:$J$126))</f>
        <v>2336.15</v>
      </c>
      <c r="DO201" s="79" cm="1">
        <f t="array" ref="DO201">SUMPRODUCT((DO$2:DO$126&gt;=28)*(DO$2:DO$126&lt;&gt;"")*($J$2:$J$126))</f>
        <v>2336.15</v>
      </c>
      <c r="DP201" s="79" cm="1">
        <f t="array" ref="DP201">SUMPRODUCT((DP$2:DP$126&gt;=28)*(DP$2:DP$126&lt;&gt;"")*($J$2:$J$126))</f>
        <v>2336.15</v>
      </c>
      <c r="DQ201" s="79" cm="1">
        <f t="array" ref="DQ201">SUMPRODUCT((DQ$2:DQ$126&gt;=28)*(DQ$2:DQ$126&lt;&gt;"")*($J$2:$J$126))</f>
        <v>2336.15</v>
      </c>
      <c r="DR201" s="79" cm="1">
        <f t="array" ref="DR201">SUMPRODUCT((DR$2:DR$126&gt;=28)*(DR$2:DR$126&lt;&gt;"")*($J$2:$J$126))</f>
        <v>2336.15</v>
      </c>
      <c r="DS201" s="79" cm="1">
        <f t="array" ref="DS201">SUMPRODUCT((DS$2:DS$126&gt;=28)*(DS$2:DS$126&lt;&gt;"")*($J$2:$J$126))</f>
        <v>2336.15</v>
      </c>
      <c r="DT201" s="79" cm="1">
        <f t="array" ref="DT201">SUMPRODUCT((DT$2:DT$126&gt;=28)*(DT$2:DT$126&lt;&gt;"")*($J$2:$J$126))</f>
        <v>2336.15</v>
      </c>
      <c r="DU201" s="79" cm="1">
        <f t="array" ref="DU201">SUMPRODUCT((DU$2:DU$126&gt;=28)*(DU$2:DU$126&lt;&gt;"")*($J$2:$J$126))</f>
        <v>2336.15</v>
      </c>
      <c r="DV201" s="79" cm="1">
        <f t="array" ref="DV201">SUMPRODUCT((DV$2:DV$126&gt;=28)*(DV$2:DV$126&lt;&gt;"")*($J$2:$J$126))</f>
        <v>2336.15</v>
      </c>
      <c r="DW201" s="79" cm="1">
        <f t="array" ref="DW201">SUMPRODUCT((DW$2:DW$126&gt;=28)*(DW$2:DW$126&lt;&gt;"")*($J$2:$J$126))</f>
        <v>2336.15</v>
      </c>
      <c r="DX201" s="79" cm="1">
        <f t="array" ref="DX201">SUMPRODUCT((DX$2:DX$126&gt;=28)*(DX$2:DX$126&lt;&gt;"")*($J$2:$J$126))</f>
        <v>2336.15</v>
      </c>
      <c r="DY201" s="79" cm="1">
        <f t="array" ref="DY201">SUMPRODUCT((DY$2:DY$126&gt;=28)*(DY$2:DY$126&lt;&gt;"")*($J$2:$J$126))</f>
        <v>2336.15</v>
      </c>
      <c r="DZ201" s="79" cm="1">
        <f t="array" ref="DZ201">SUMPRODUCT((DZ$2:DZ$126&gt;=28)*(DZ$2:DZ$126&lt;&gt;"")*($J$2:$J$126))</f>
        <v>2336.15</v>
      </c>
      <c r="EA201" s="79" cm="1">
        <f t="array" ref="EA201">SUMPRODUCT((EA$2:EA$126&gt;=28)*(EA$2:EA$126&lt;&gt;"")*($J$2:$J$126))</f>
        <v>2336.15</v>
      </c>
      <c r="EB201" s="79" cm="1">
        <f t="array" ref="EB201">SUMPRODUCT((EB$2:EB$126&gt;=28)*(EB$2:EB$126&lt;&gt;"")*($J$2:$J$126))</f>
        <v>2336.15</v>
      </c>
      <c r="EC201" s="79" cm="1">
        <f t="array" ref="EC201">SUMPRODUCT((EC$2:EC$126&gt;=28)*(EC$2:EC$126&lt;&gt;"")*($J$2:$J$126))</f>
        <v>2336.15</v>
      </c>
      <c r="ED201" s="79" cm="1">
        <f t="array" ref="ED201">SUMPRODUCT((ED$2:ED$126&gt;=28)*(ED$2:ED$126&lt;&gt;"")*($J$2:$J$126))</f>
        <v>2336.15</v>
      </c>
      <c r="EE201" s="79" cm="1">
        <f t="array" ref="EE201">SUMPRODUCT((EE$2:EE$126&gt;=28)*(EE$2:EE$126&lt;&gt;"")*($J$2:$J$126))</f>
        <v>2336.15</v>
      </c>
      <c r="EF201" s="79" cm="1">
        <f t="array" ref="EF201">SUMPRODUCT((EF$2:EF$126&gt;=28)*(EF$2:EF$126&lt;&gt;"")*($J$2:$J$126))</f>
        <v>2336.15</v>
      </c>
      <c r="EG201" s="79" cm="1">
        <f t="array" ref="EG201">SUMPRODUCT((EG$2:EG$126&gt;=28)*(EG$2:EG$126&lt;&gt;"")*($J$2:$J$126))</f>
        <v>2336.15</v>
      </c>
      <c r="EH201" s="79" cm="1">
        <f t="array" ref="EH201">SUMPRODUCT((EH$2:EH$126&gt;=28)*(EH$2:EH$126&lt;&gt;"")*($J$2:$J$126))</f>
        <v>2336.15</v>
      </c>
      <c r="EI201" s="79" cm="1">
        <f t="array" ref="EI201">SUMPRODUCT((EI$2:EI$126&gt;=28)*(EI$2:EI$126&lt;&gt;"")*($J$2:$J$126))</f>
        <v>2336.15</v>
      </c>
      <c r="EJ201" s="79" cm="1">
        <f t="array" ref="EJ201">SUMPRODUCT((EJ$2:EJ$126&gt;=28)*(EJ$2:EJ$126&lt;&gt;"")*($J$2:$J$126))</f>
        <v>2336.15</v>
      </c>
      <c r="EK201" s="79" cm="1">
        <f t="array" ref="EK201">SUMPRODUCT((EK$2:EK$126&gt;=28)*(EK$2:EK$126&lt;&gt;"")*($J$2:$J$126))</f>
        <v>2336.15</v>
      </c>
      <c r="EL201" s="79" cm="1">
        <f t="array" ref="EL201">SUMPRODUCT((EL$2:EL$126&gt;=28)*(EL$2:EL$126&lt;&gt;"")*($J$2:$J$126))</f>
        <v>2336.15</v>
      </c>
      <c r="EM201" s="79" cm="1">
        <f t="array" ref="EM201">SUMPRODUCT((EM$2:EM$126&gt;=28)*(EM$2:EM$126&lt;&gt;"")*($J$2:$J$126))</f>
        <v>2336.15</v>
      </c>
      <c r="EN201" s="79" cm="1">
        <f t="array" ref="EN201">SUMPRODUCT((EN$2:EN$126&gt;=28)*(EN$2:EN$126&lt;&gt;"")*($J$2:$J$126))</f>
        <v>2336.15</v>
      </c>
      <c r="EO201" s="79" cm="1">
        <f t="array" ref="EO201">SUMPRODUCT((EO$2:EO$126&gt;=28)*(EO$2:EO$126&lt;&gt;"")*($J$2:$J$126))</f>
        <v>2336.15</v>
      </c>
      <c r="EP201" s="79" cm="1">
        <f t="array" ref="EP201">SUMPRODUCT((EP$2:EP$126&gt;=28)*(EP$2:EP$126&lt;&gt;"")*($J$2:$J$126))</f>
        <v>2336.15</v>
      </c>
      <c r="EQ201" s="79" cm="1">
        <f t="array" ref="EQ201">SUMPRODUCT((EQ$2:EQ$126&gt;=28)*(EQ$2:EQ$126&lt;&gt;"")*($J$2:$J$126))</f>
        <v>2336.15</v>
      </c>
      <c r="ER201" s="79" cm="1">
        <f t="array" ref="ER201">SUMPRODUCT((ER$2:ER$126&gt;=28)*(ER$2:ER$126&lt;&gt;"")*($J$2:$J$126))</f>
        <v>2336.15</v>
      </c>
      <c r="ES201" s="79" cm="1">
        <f t="array" ref="ES201">SUMPRODUCT((ES$2:ES$126&gt;=28)*(ES$2:ES$126&lt;&gt;"")*($J$2:$J$126))</f>
        <v>2336.15</v>
      </c>
      <c r="ET201" s="79" cm="1">
        <f t="array" ref="ET201">SUMPRODUCT((ET$2:ET$126&gt;=28)*(ET$2:ET$126&lt;&gt;"")*($J$2:$J$126))</f>
        <v>2336.15</v>
      </c>
      <c r="EU201" s="79" cm="1">
        <f t="array" ref="EU201">SUMPRODUCT((EU$2:EU$126&gt;=28)*(EU$2:EU$126&lt;&gt;"")*($J$2:$J$126))</f>
        <v>2336.15</v>
      </c>
      <c r="EV201" s="79" cm="1">
        <f t="array" ref="EV201">SUMPRODUCT((EV$2:EV$126&gt;=28)*(EV$2:EV$126&lt;&gt;"")*($J$2:$J$126))</f>
        <v>2336.15</v>
      </c>
      <c r="EW201" s="79" cm="1">
        <f t="array" ref="EW201">SUMPRODUCT((EW$2:EW$126&gt;=28)*(EW$2:EW$126&lt;&gt;"")*($J$2:$J$126))</f>
        <v>2336.15</v>
      </c>
      <c r="EX201" s="79" cm="1">
        <f t="array" ref="EX201">SUMPRODUCT((EX$2:EX$126&gt;=28)*(EX$2:EX$126&lt;&gt;"")*($J$2:$J$126))</f>
        <v>2336.15</v>
      </c>
      <c r="EY201" s="79" cm="1">
        <f t="array" ref="EY201">SUMPRODUCT((EY$2:EY$126&gt;=28)*(EY$2:EY$126&lt;&gt;"")*($J$2:$J$126))</f>
        <v>2336.15</v>
      </c>
      <c r="EZ201" s="79" cm="1">
        <f t="array" ref="EZ201">SUMPRODUCT((EZ$2:EZ$126&gt;=28)*(EZ$2:EZ$126&lt;&gt;"")*($J$2:$J$126))</f>
        <v>2336.15</v>
      </c>
      <c r="FA201" s="79" cm="1">
        <f t="array" ref="FA201">SUMPRODUCT((FA$2:FA$126&gt;=28)*(FA$2:FA$126&lt;&gt;"")*($J$2:$J$126))</f>
        <v>2336.15</v>
      </c>
      <c r="FB201" s="79" cm="1">
        <f t="array" ref="FB201">SUMPRODUCT((FB$2:FB$126&gt;=28)*(FB$2:FB$126&lt;&gt;"")*($J$2:$J$126))</f>
        <v>2336.15</v>
      </c>
      <c r="FC201" s="79" cm="1">
        <f t="array" ref="FC201">SUMPRODUCT((FC$2:FC$126&gt;=28)*(FC$2:FC$126&lt;&gt;"")*($J$2:$J$126))</f>
        <v>2336.15</v>
      </c>
      <c r="FD201" s="79" cm="1">
        <f t="array" ref="FD201">SUMPRODUCT((FD$2:FD$126&gt;=28)*(FD$2:FD$126&lt;&gt;"")*($J$2:$J$126))</f>
        <v>2336.15</v>
      </c>
      <c r="FE201" s="79" cm="1">
        <f t="array" ref="FE201">SUMPRODUCT((FE$2:FE$126&gt;=28)*(FE$2:FE$126&lt;&gt;"")*($J$2:$J$126))</f>
        <v>2336.15</v>
      </c>
      <c r="FF201" s="79" cm="1">
        <f t="array" ref="FF201">SUMPRODUCT((FF$2:FF$126&gt;=28)*(FF$2:FF$126&lt;&gt;"")*($J$2:$J$126))</f>
        <v>2336.15</v>
      </c>
      <c r="FG201" s="79" cm="1">
        <f t="array" ref="FG201">SUMPRODUCT((FG$2:FG$126&gt;=28)*(FG$2:FG$126&lt;&gt;"")*($J$2:$J$126))</f>
        <v>2336.15</v>
      </c>
      <c r="FH201" s="79" cm="1">
        <f t="array" ref="FH201">SUMPRODUCT((FH$2:FH$126&gt;=28)*(FH$2:FH$126&lt;&gt;"")*($J$2:$J$126))</f>
        <v>2336.15</v>
      </c>
      <c r="FI201" s="79" cm="1">
        <f t="array" ref="FI201">SUMPRODUCT((FI$2:FI$126&gt;=28)*(FI$2:FI$126&lt;&gt;"")*($J$2:$J$126))</f>
        <v>2336.15</v>
      </c>
      <c r="FJ201" s="79" cm="1">
        <f t="array" ref="FJ201">SUMPRODUCT((FJ$2:FJ$126&gt;=28)*(FJ$2:FJ$126&lt;&gt;"")*($J$2:$J$126))</f>
        <v>2336.15</v>
      </c>
      <c r="FK201" s="79" cm="1">
        <f t="array" ref="FK201">SUMPRODUCT((FK$2:FK$126&gt;=28)*(FK$2:FK$126&lt;&gt;"")*($J$2:$J$126))</f>
        <v>2336.15</v>
      </c>
      <c r="FL201" s="79" cm="1">
        <f t="array" ref="FL201">SUMPRODUCT((FL$2:FL$126&gt;=28)*(FL$2:FL$126&lt;&gt;"")*($J$2:$J$126))</f>
        <v>2336.15</v>
      </c>
      <c r="FM201" s="79" cm="1">
        <f t="array" ref="FM201">SUMPRODUCT((FM$2:FM$126&gt;=28)*(FM$2:FM$126&lt;&gt;"")*($J$2:$J$126))</f>
        <v>2336.15</v>
      </c>
      <c r="FN201" s="79" cm="1">
        <f t="array" ref="FN201">SUMPRODUCT((FN$2:FN$126&gt;=28)*(FN$2:FN$126&lt;&gt;"")*($J$2:$J$126))</f>
        <v>2336.15</v>
      </c>
      <c r="FO201" s="79" cm="1">
        <f t="array" ref="FO201">SUMPRODUCT((FO$2:FO$126&gt;=28)*(FO$2:FO$126&lt;&gt;"")*($J$2:$J$126))</f>
        <v>2336.15</v>
      </c>
      <c r="FP201" s="79" cm="1">
        <f t="array" ref="FP201">SUMPRODUCT((FP$2:FP$126&gt;=28)*(FP$2:FP$126&lt;&gt;"")*($J$2:$J$126))</f>
        <v>2336.15</v>
      </c>
      <c r="FQ201" s="79" cm="1">
        <f t="array" ref="FQ201">SUMPRODUCT((FQ$2:FQ$126&gt;=28)*(FQ$2:FQ$126&lt;&gt;"")*($J$2:$J$126))</f>
        <v>2336.15</v>
      </c>
      <c r="FR201" s="79" cm="1">
        <f t="array" ref="FR201">SUMPRODUCT((FR$2:FR$126&gt;=28)*(FR$2:FR$126&lt;&gt;"")*($J$2:$J$126))</f>
        <v>2336.15</v>
      </c>
      <c r="FS201" s="79" cm="1">
        <f t="array" ref="FS201">SUMPRODUCT((FS$2:FS$126&gt;=28)*(FS$2:FS$126&lt;&gt;"")*($J$2:$J$126))</f>
        <v>2336.15</v>
      </c>
      <c r="FT201" s="79" cm="1">
        <f t="array" ref="FT201">SUMPRODUCT((FT$2:FT$126&gt;=28)*(FT$2:FT$126&lt;&gt;"")*($J$2:$J$126))</f>
        <v>2336.15</v>
      </c>
      <c r="FU201" s="79" cm="1">
        <f t="array" ref="FU201">SUMPRODUCT((FU$2:FU$126&gt;=28)*(FU$2:FU$126&lt;&gt;"")*($J$2:$J$126))</f>
        <v>2336.15</v>
      </c>
      <c r="FV201" s="79" cm="1">
        <f t="array" ref="FV201">SUMPRODUCT((FV$2:FV$126&gt;=28)*(FV$2:FV$126&lt;&gt;"")*($J$2:$J$126))</f>
        <v>2336.15</v>
      </c>
      <c r="FW201" s="79" cm="1">
        <f t="array" ref="FW201">SUMPRODUCT((FW$2:FW$126&gt;=28)*(FW$2:FW$126&lt;&gt;"")*($J$2:$J$126))</f>
        <v>2336.15</v>
      </c>
      <c r="FX201" s="79" cm="1">
        <f t="array" ref="FX201">SUMPRODUCT((FX$2:FX$126&gt;=28)*(FX$2:FX$126&lt;&gt;"")*($J$2:$J$126))</f>
        <v>2336.15</v>
      </c>
      <c r="FY201" s="79" cm="1">
        <f t="array" ref="FY201">SUMPRODUCT((FY$2:FY$126&gt;=28)*(FY$2:FY$126&lt;&gt;"")*($J$2:$J$126))</f>
        <v>2336.15</v>
      </c>
      <c r="FZ201" s="79" cm="1">
        <f t="array" ref="FZ201">SUMPRODUCT((FZ$2:FZ$126&gt;=28)*(FZ$2:FZ$126&lt;&gt;"")*($J$2:$J$126))</f>
        <v>2336.15</v>
      </c>
      <c r="GA201" s="79" cm="1">
        <f t="array" ref="GA201">SUMPRODUCT((GA$2:GA$126&gt;=28)*(GA$2:GA$126&lt;&gt;"")*($J$2:$J$126))</f>
        <v>2336.15</v>
      </c>
      <c r="GB201" s="79" cm="1">
        <f t="array" ref="GB201">SUMPRODUCT((GB$2:GB$126&gt;=28)*(GB$2:GB$126&lt;&gt;"")*($J$2:$J$126))</f>
        <v>2336.15</v>
      </c>
      <c r="GC201" s="79" cm="1">
        <f t="array" ref="GC201">SUMPRODUCT((GC$2:GC$126&gt;=28)*(GC$2:GC$126&lt;&gt;"")*($J$2:$J$126))</f>
        <v>2336.15</v>
      </c>
      <c r="GD201" s="79" cm="1">
        <f t="array" ref="GD201">SUMPRODUCT((GD$2:GD$126&gt;=28)*(GD$2:GD$126&lt;&gt;"")*($J$2:$J$126))</f>
        <v>2336.15</v>
      </c>
      <c r="GE201" s="79" cm="1">
        <f t="array" ref="GE201">SUMPRODUCT((GE$2:GE$126&gt;=28)*(GE$2:GE$126&lt;&gt;"")*($J$2:$J$126))</f>
        <v>2336.15</v>
      </c>
      <c r="GF201" s="79" cm="1">
        <f t="array" ref="GF201">SUMPRODUCT((GF$2:GF$126&gt;=28)*(GF$2:GF$126&lt;&gt;"")*($J$2:$J$126))</f>
        <v>2336.15</v>
      </c>
      <c r="GG201" s="79" cm="1">
        <f t="array" ref="GG201">SUMPRODUCT((GG$2:GG$126&gt;=28)*(GG$2:GG$126&lt;&gt;"")*($J$2:$J$126))</f>
        <v>2336.15</v>
      </c>
      <c r="GH201" s="79" cm="1">
        <f t="array" ref="GH201">SUMPRODUCT((GH$2:GH$126&gt;=28)*(GH$2:GH$126&lt;&gt;"")*($J$2:$J$126))</f>
        <v>2336.15</v>
      </c>
      <c r="GI201" s="79" cm="1">
        <f t="array" ref="GI201">SUMPRODUCT((GI$2:GI$126&gt;=28)*(GI$2:GI$126&lt;&gt;"")*($J$2:$J$126))</f>
        <v>2336.15</v>
      </c>
      <c r="GJ201" s="79" cm="1">
        <f t="array" ref="GJ201">SUMPRODUCT((GJ$2:GJ$126&gt;=28)*(GJ$2:GJ$126&lt;&gt;"")*($J$2:$J$126))</f>
        <v>2336.15</v>
      </c>
      <c r="GK201" s="79" cm="1">
        <f t="array" ref="GK201">SUMPRODUCT((GK$2:GK$126&gt;=28)*(GK$2:GK$126&lt;&gt;"")*($J$2:$J$126))</f>
        <v>2336.15</v>
      </c>
      <c r="GL201" s="79" cm="1">
        <f t="array" ref="GL201">SUMPRODUCT((GL$2:GL$126&gt;=28)*(GL$2:GL$126&lt;&gt;"")*($J$2:$J$126))</f>
        <v>2336.15</v>
      </c>
      <c r="GM201" s="79" cm="1">
        <f t="array" ref="GM201">SUMPRODUCT((GM$2:GM$126&gt;=28)*(GM$2:GM$126&lt;&gt;"")*($J$2:$J$126))</f>
        <v>2336.15</v>
      </c>
      <c r="GN201" s="79" cm="1">
        <f t="array" ref="GN201">SUMPRODUCT((GN$2:GN$126&gt;=28)*(GN$2:GN$126&lt;&gt;"")*($J$2:$J$126))</f>
        <v>2336.15</v>
      </c>
      <c r="GO201" s="79" cm="1">
        <f t="array" ref="GO201">SUMPRODUCT((GO$2:GO$126&gt;=28)*(GO$2:GO$126&lt;&gt;"")*($J$2:$J$126))</f>
        <v>2336.15</v>
      </c>
      <c r="GP201" s="79" cm="1">
        <f t="array" ref="GP201">SUMPRODUCT((GP$2:GP$126&gt;=28)*(GP$2:GP$126&lt;&gt;"")*($J$2:$J$126))</f>
        <v>2336.15</v>
      </c>
      <c r="GQ201" s="79" cm="1">
        <f t="array" ref="GQ201">SUMPRODUCT((GQ$2:GQ$126&gt;=28)*(GQ$2:GQ$126&lt;&gt;"")*($J$2:$J$126))</f>
        <v>2336.15</v>
      </c>
      <c r="GR201" s="79" cm="1">
        <f t="array" ref="GR201">SUMPRODUCT((GR$2:GR$126&gt;=28)*(GR$2:GR$126&lt;&gt;"")*($J$2:$J$126))</f>
        <v>2336.15</v>
      </c>
      <c r="GS201" s="79" cm="1">
        <f t="array" ref="GS201">SUMPRODUCT((GS$2:GS$126&gt;=28)*(GS$2:GS$126&lt;&gt;"")*($J$2:$J$126))</f>
        <v>2336.15</v>
      </c>
      <c r="GT201" s="79" cm="1">
        <f t="array" ref="GT201">SUMPRODUCT((GT$2:GT$126&gt;=28)*(GT$2:GT$126&lt;&gt;"")*($J$2:$J$126))</f>
        <v>2336.15</v>
      </c>
      <c r="GU201" s="79" cm="1">
        <f t="array" ref="GU201">SUMPRODUCT((GU$2:GU$126&gt;=28)*(GU$2:GU$126&lt;&gt;"")*($J$2:$J$126))</f>
        <v>2336.15</v>
      </c>
      <c r="GV201" s="79" cm="1">
        <f t="array" ref="GV201">SUMPRODUCT((GV$2:GV$126&gt;=28)*(GV$2:GV$126&lt;&gt;"")*($J$2:$J$126))</f>
        <v>2336.15</v>
      </c>
      <c r="GW201" s="79" cm="1">
        <f t="array" ref="GW201">SUMPRODUCT((GW$2:GW$126&gt;=28)*(GW$2:GW$126&lt;&gt;"")*($J$2:$J$126))</f>
        <v>2336.15</v>
      </c>
      <c r="GX201" s="79" cm="1">
        <f t="array" ref="GX201">SUMPRODUCT((GX$2:GX$126&gt;=28)*(GX$2:GX$126&lt;&gt;"")*($J$2:$J$126))</f>
        <v>2336.15</v>
      </c>
    </row>
    <row r="202" spans="1:206" s="102" customFormat="1" x14ac:dyDescent="0.2">
      <c r="A202" s="101"/>
      <c r="B202" s="101" t="s">
        <v>21</v>
      </c>
      <c r="W202" s="103">
        <f>SUM(W197:W201)</f>
        <v>2054.4299999999998</v>
      </c>
      <c r="X202" s="103">
        <f t="shared" ref="X202:CI202" si="256">SUM(X197:X201)</f>
        <v>2150.8000000000002</v>
      </c>
      <c r="Y202" s="103">
        <f t="shared" si="256"/>
        <v>2240.65</v>
      </c>
      <c r="Z202" s="103">
        <f t="shared" si="256"/>
        <v>2336.15</v>
      </c>
      <c r="AA202" s="103">
        <f t="shared" si="256"/>
        <v>2336.15</v>
      </c>
      <c r="AB202" s="103">
        <f t="shared" si="256"/>
        <v>2336.15</v>
      </c>
      <c r="AC202" s="103">
        <f t="shared" si="256"/>
        <v>2336.1500000000005</v>
      </c>
      <c r="AD202" s="103">
        <f t="shared" si="256"/>
        <v>2336.1500000000005</v>
      </c>
      <c r="AE202" s="103">
        <f t="shared" si="256"/>
        <v>2336.15</v>
      </c>
      <c r="AF202" s="103">
        <f t="shared" si="256"/>
        <v>2336.1499999999996</v>
      </c>
      <c r="AG202" s="103">
        <f t="shared" si="256"/>
        <v>2336.15</v>
      </c>
      <c r="AH202" s="103">
        <f t="shared" si="256"/>
        <v>2336.1499999999996</v>
      </c>
      <c r="AI202" s="103">
        <f t="shared" si="256"/>
        <v>2336.1499999999996</v>
      </c>
      <c r="AJ202" s="103">
        <f t="shared" si="256"/>
        <v>2336.15</v>
      </c>
      <c r="AK202" s="103">
        <f t="shared" si="256"/>
        <v>2336.15</v>
      </c>
      <c r="AL202" s="103">
        <f t="shared" si="256"/>
        <v>2336.1499999999996</v>
      </c>
      <c r="AM202" s="103">
        <f t="shared" si="256"/>
        <v>2336.15</v>
      </c>
      <c r="AN202" s="103">
        <f t="shared" si="256"/>
        <v>2336.1499999999996</v>
      </c>
      <c r="AO202" s="103">
        <f t="shared" si="256"/>
        <v>2336.15</v>
      </c>
      <c r="AP202" s="103">
        <f t="shared" si="256"/>
        <v>2336.15</v>
      </c>
      <c r="AQ202" s="103">
        <f t="shared" si="256"/>
        <v>2336.1499999999996</v>
      </c>
      <c r="AR202" s="103">
        <f t="shared" si="256"/>
        <v>2336.15</v>
      </c>
      <c r="AS202" s="103">
        <f t="shared" si="256"/>
        <v>2336.1500000000005</v>
      </c>
      <c r="AT202" s="103">
        <f t="shared" si="256"/>
        <v>2336.1500000000005</v>
      </c>
      <c r="AU202" s="103">
        <f t="shared" si="256"/>
        <v>2336.15</v>
      </c>
      <c r="AV202" s="103">
        <f t="shared" si="256"/>
        <v>2336.15</v>
      </c>
      <c r="AW202" s="103">
        <f t="shared" si="256"/>
        <v>2336.15</v>
      </c>
      <c r="AX202" s="103">
        <f t="shared" si="256"/>
        <v>2336.1500000000005</v>
      </c>
      <c r="AY202" s="103">
        <f t="shared" si="256"/>
        <v>2336.15</v>
      </c>
      <c r="AZ202" s="103">
        <f t="shared" si="256"/>
        <v>2336.1499999999996</v>
      </c>
      <c r="BA202" s="103">
        <f t="shared" si="256"/>
        <v>2336.15</v>
      </c>
      <c r="BB202" s="103">
        <f t="shared" si="256"/>
        <v>2336.15</v>
      </c>
      <c r="BC202" s="103">
        <f t="shared" si="256"/>
        <v>2336.15</v>
      </c>
      <c r="BD202" s="103">
        <f t="shared" si="256"/>
        <v>2336.1500000000005</v>
      </c>
      <c r="BE202" s="103">
        <f t="shared" si="256"/>
        <v>2336.1499999999996</v>
      </c>
      <c r="BF202" s="103">
        <f t="shared" si="256"/>
        <v>2336.15</v>
      </c>
      <c r="BG202" s="103">
        <f t="shared" si="256"/>
        <v>2336.15</v>
      </c>
      <c r="BH202" s="103">
        <f t="shared" si="256"/>
        <v>2336.15</v>
      </c>
      <c r="BI202" s="103">
        <f t="shared" si="256"/>
        <v>2336.15</v>
      </c>
      <c r="BJ202" s="103">
        <f t="shared" si="256"/>
        <v>2336.15</v>
      </c>
      <c r="BK202" s="103">
        <f t="shared" si="256"/>
        <v>2336.15</v>
      </c>
      <c r="BL202" s="103">
        <f t="shared" si="256"/>
        <v>2336.1500000000005</v>
      </c>
      <c r="BM202" s="103">
        <f t="shared" si="256"/>
        <v>2336.1500000000005</v>
      </c>
      <c r="BN202" s="103">
        <f t="shared" si="256"/>
        <v>2336.15</v>
      </c>
      <c r="BO202" s="103">
        <f t="shared" si="256"/>
        <v>2336.15</v>
      </c>
      <c r="BP202" s="103">
        <f t="shared" si="256"/>
        <v>2336.1500000000005</v>
      </c>
      <c r="BQ202" s="103">
        <f t="shared" si="256"/>
        <v>2336.15</v>
      </c>
      <c r="BR202" s="103">
        <f t="shared" si="256"/>
        <v>2336.1499999999996</v>
      </c>
      <c r="BS202" s="103">
        <f t="shared" si="256"/>
        <v>2336.1499999999996</v>
      </c>
      <c r="BT202" s="103">
        <f t="shared" si="256"/>
        <v>2336.15</v>
      </c>
      <c r="BU202" s="103">
        <f t="shared" si="256"/>
        <v>2336.15</v>
      </c>
      <c r="BV202" s="103">
        <f t="shared" si="256"/>
        <v>2336.15</v>
      </c>
      <c r="BW202" s="103">
        <f t="shared" si="256"/>
        <v>2336.1499999999996</v>
      </c>
      <c r="BX202" s="103">
        <f t="shared" si="256"/>
        <v>2336.1499999999996</v>
      </c>
      <c r="BY202" s="103">
        <f t="shared" si="256"/>
        <v>2336.15</v>
      </c>
      <c r="BZ202" s="103">
        <f t="shared" si="256"/>
        <v>2336.15</v>
      </c>
      <c r="CA202" s="103">
        <f t="shared" si="256"/>
        <v>2336.15</v>
      </c>
      <c r="CB202" s="103">
        <f t="shared" si="256"/>
        <v>2336.15</v>
      </c>
      <c r="CC202" s="103">
        <f t="shared" si="256"/>
        <v>2336.1499999999996</v>
      </c>
      <c r="CD202" s="103">
        <f t="shared" si="256"/>
        <v>2336.15</v>
      </c>
      <c r="CE202" s="103">
        <f t="shared" si="256"/>
        <v>2336.15</v>
      </c>
      <c r="CF202" s="103">
        <f t="shared" si="256"/>
        <v>2336.15</v>
      </c>
      <c r="CG202" s="103">
        <f t="shared" si="256"/>
        <v>2336.1499999999996</v>
      </c>
      <c r="CH202" s="103">
        <f t="shared" si="256"/>
        <v>2336.1499999999996</v>
      </c>
      <c r="CI202" s="103">
        <f t="shared" si="256"/>
        <v>2336.1500000000005</v>
      </c>
      <c r="CJ202" s="103">
        <f t="shared" ref="CJ202:EU202" si="257">SUM(CJ197:CJ201)</f>
        <v>2336.1500000000005</v>
      </c>
      <c r="CK202" s="103">
        <f t="shared" si="257"/>
        <v>2336.1500000000005</v>
      </c>
      <c r="CL202" s="103">
        <f t="shared" si="257"/>
        <v>2336.1500000000005</v>
      </c>
      <c r="CM202" s="103">
        <f t="shared" si="257"/>
        <v>2336.1500000000005</v>
      </c>
      <c r="CN202" s="103">
        <f t="shared" si="257"/>
        <v>2336.1500000000005</v>
      </c>
      <c r="CO202" s="103">
        <f t="shared" si="257"/>
        <v>2336.1500000000005</v>
      </c>
      <c r="CP202" s="103">
        <f t="shared" si="257"/>
        <v>2336.1500000000005</v>
      </c>
      <c r="CQ202" s="103">
        <f t="shared" si="257"/>
        <v>2336.15</v>
      </c>
      <c r="CR202" s="103">
        <f t="shared" si="257"/>
        <v>2336.15</v>
      </c>
      <c r="CS202" s="103">
        <f t="shared" si="257"/>
        <v>2336.15</v>
      </c>
      <c r="CT202" s="103">
        <f t="shared" si="257"/>
        <v>2336.15</v>
      </c>
      <c r="CU202" s="103">
        <f t="shared" si="257"/>
        <v>2336.15</v>
      </c>
      <c r="CV202" s="103">
        <f t="shared" si="257"/>
        <v>2336.15</v>
      </c>
      <c r="CW202" s="103">
        <f t="shared" si="257"/>
        <v>2336.15</v>
      </c>
      <c r="CX202" s="103">
        <f t="shared" si="257"/>
        <v>2336.15</v>
      </c>
      <c r="CY202" s="103">
        <f t="shared" si="257"/>
        <v>2336.15</v>
      </c>
      <c r="CZ202" s="103">
        <f t="shared" si="257"/>
        <v>2336.15</v>
      </c>
      <c r="DA202" s="103">
        <f t="shared" si="257"/>
        <v>2336.15</v>
      </c>
      <c r="DB202" s="103">
        <f t="shared" si="257"/>
        <v>2336.15</v>
      </c>
      <c r="DC202" s="103">
        <f t="shared" si="257"/>
        <v>2336.15</v>
      </c>
      <c r="DD202" s="103">
        <f t="shared" si="257"/>
        <v>2336.15</v>
      </c>
      <c r="DE202" s="103">
        <f t="shared" si="257"/>
        <v>2336.15</v>
      </c>
      <c r="DF202" s="103">
        <f t="shared" si="257"/>
        <v>2336.15</v>
      </c>
      <c r="DG202" s="103">
        <f t="shared" si="257"/>
        <v>2336.15</v>
      </c>
      <c r="DH202" s="103">
        <f t="shared" si="257"/>
        <v>2336.15</v>
      </c>
      <c r="DI202" s="103">
        <f t="shared" si="257"/>
        <v>2336.15</v>
      </c>
      <c r="DJ202" s="103">
        <f t="shared" si="257"/>
        <v>2336.15</v>
      </c>
      <c r="DK202" s="103">
        <f t="shared" si="257"/>
        <v>2336.15</v>
      </c>
      <c r="DL202" s="103">
        <f t="shared" si="257"/>
        <v>2336.15</v>
      </c>
      <c r="DM202" s="103">
        <f t="shared" si="257"/>
        <v>2336.15</v>
      </c>
      <c r="DN202" s="103">
        <f t="shared" si="257"/>
        <v>2336.15</v>
      </c>
      <c r="DO202" s="103">
        <f t="shared" si="257"/>
        <v>2336.15</v>
      </c>
      <c r="DP202" s="103">
        <f t="shared" si="257"/>
        <v>2336.15</v>
      </c>
      <c r="DQ202" s="103">
        <f t="shared" si="257"/>
        <v>2336.15</v>
      </c>
      <c r="DR202" s="103">
        <f t="shared" si="257"/>
        <v>2336.15</v>
      </c>
      <c r="DS202" s="103">
        <f t="shared" si="257"/>
        <v>2336.15</v>
      </c>
      <c r="DT202" s="103">
        <f t="shared" si="257"/>
        <v>2336.15</v>
      </c>
      <c r="DU202" s="103">
        <f t="shared" si="257"/>
        <v>2336.15</v>
      </c>
      <c r="DV202" s="103">
        <f t="shared" si="257"/>
        <v>2336.15</v>
      </c>
      <c r="DW202" s="103">
        <f t="shared" si="257"/>
        <v>2336.15</v>
      </c>
      <c r="DX202" s="103">
        <f t="shared" si="257"/>
        <v>2336.15</v>
      </c>
      <c r="DY202" s="103">
        <f t="shared" si="257"/>
        <v>2336.15</v>
      </c>
      <c r="DZ202" s="103">
        <f t="shared" si="257"/>
        <v>2336.15</v>
      </c>
      <c r="EA202" s="103">
        <f t="shared" si="257"/>
        <v>2336.15</v>
      </c>
      <c r="EB202" s="103">
        <f t="shared" si="257"/>
        <v>2336.15</v>
      </c>
      <c r="EC202" s="103">
        <f t="shared" si="257"/>
        <v>2336.15</v>
      </c>
      <c r="ED202" s="103">
        <f t="shared" si="257"/>
        <v>2336.15</v>
      </c>
      <c r="EE202" s="103">
        <f t="shared" si="257"/>
        <v>2336.15</v>
      </c>
      <c r="EF202" s="103">
        <f t="shared" si="257"/>
        <v>2336.15</v>
      </c>
      <c r="EG202" s="103">
        <f t="shared" si="257"/>
        <v>2336.15</v>
      </c>
      <c r="EH202" s="103">
        <f t="shared" si="257"/>
        <v>2336.15</v>
      </c>
      <c r="EI202" s="103">
        <f t="shared" si="257"/>
        <v>2336.15</v>
      </c>
      <c r="EJ202" s="103">
        <f t="shared" si="257"/>
        <v>2336.15</v>
      </c>
      <c r="EK202" s="103">
        <f t="shared" si="257"/>
        <v>2336.15</v>
      </c>
      <c r="EL202" s="103">
        <f t="shared" si="257"/>
        <v>2336.15</v>
      </c>
      <c r="EM202" s="103">
        <f t="shared" si="257"/>
        <v>2336.15</v>
      </c>
      <c r="EN202" s="103">
        <f t="shared" si="257"/>
        <v>2336.15</v>
      </c>
      <c r="EO202" s="103">
        <f t="shared" si="257"/>
        <v>2336.15</v>
      </c>
      <c r="EP202" s="103">
        <f t="shared" si="257"/>
        <v>2336.15</v>
      </c>
      <c r="EQ202" s="103">
        <f t="shared" si="257"/>
        <v>2336.15</v>
      </c>
      <c r="ER202" s="103">
        <f t="shared" si="257"/>
        <v>2336.15</v>
      </c>
      <c r="ES202" s="103">
        <f t="shared" si="257"/>
        <v>2336.15</v>
      </c>
      <c r="ET202" s="103">
        <f t="shared" si="257"/>
        <v>2336.15</v>
      </c>
      <c r="EU202" s="103">
        <f t="shared" si="257"/>
        <v>2336.15</v>
      </c>
      <c r="EV202" s="103">
        <f t="shared" ref="EV202:GX202" si="258">SUM(EV197:EV201)</f>
        <v>2336.15</v>
      </c>
      <c r="EW202" s="103">
        <f t="shared" si="258"/>
        <v>2336.15</v>
      </c>
      <c r="EX202" s="103">
        <f t="shared" si="258"/>
        <v>2336.15</v>
      </c>
      <c r="EY202" s="103">
        <f t="shared" si="258"/>
        <v>2336.15</v>
      </c>
      <c r="EZ202" s="103">
        <f t="shared" si="258"/>
        <v>2336.15</v>
      </c>
      <c r="FA202" s="103">
        <f t="shared" si="258"/>
        <v>2336.15</v>
      </c>
      <c r="FB202" s="103">
        <f t="shared" si="258"/>
        <v>2336.15</v>
      </c>
      <c r="FC202" s="103">
        <f t="shared" si="258"/>
        <v>2336.15</v>
      </c>
      <c r="FD202" s="103">
        <f t="shared" si="258"/>
        <v>2336.15</v>
      </c>
      <c r="FE202" s="103">
        <f t="shared" si="258"/>
        <v>2336.15</v>
      </c>
      <c r="FF202" s="103">
        <f t="shared" si="258"/>
        <v>2336.15</v>
      </c>
      <c r="FG202" s="103">
        <f t="shared" si="258"/>
        <v>2336.15</v>
      </c>
      <c r="FH202" s="103">
        <f t="shared" si="258"/>
        <v>2336.15</v>
      </c>
      <c r="FI202" s="103">
        <f t="shared" si="258"/>
        <v>2336.15</v>
      </c>
      <c r="FJ202" s="103">
        <f t="shared" si="258"/>
        <v>2336.15</v>
      </c>
      <c r="FK202" s="103">
        <f t="shared" si="258"/>
        <v>2336.15</v>
      </c>
      <c r="FL202" s="103">
        <f t="shared" si="258"/>
        <v>2336.15</v>
      </c>
      <c r="FM202" s="103">
        <f t="shared" si="258"/>
        <v>2336.15</v>
      </c>
      <c r="FN202" s="103">
        <f t="shared" si="258"/>
        <v>2336.15</v>
      </c>
      <c r="FO202" s="103">
        <f t="shared" si="258"/>
        <v>2336.15</v>
      </c>
      <c r="FP202" s="103">
        <f t="shared" si="258"/>
        <v>2336.15</v>
      </c>
      <c r="FQ202" s="103">
        <f t="shared" si="258"/>
        <v>2336.15</v>
      </c>
      <c r="FR202" s="103">
        <f t="shared" si="258"/>
        <v>2336.15</v>
      </c>
      <c r="FS202" s="103">
        <f t="shared" si="258"/>
        <v>2336.15</v>
      </c>
      <c r="FT202" s="103">
        <f t="shared" si="258"/>
        <v>2336.15</v>
      </c>
      <c r="FU202" s="103">
        <f t="shared" si="258"/>
        <v>2336.15</v>
      </c>
      <c r="FV202" s="103">
        <f t="shared" si="258"/>
        <v>2336.15</v>
      </c>
      <c r="FW202" s="103">
        <f t="shared" si="258"/>
        <v>2336.15</v>
      </c>
      <c r="FX202" s="103">
        <f t="shared" si="258"/>
        <v>2336.15</v>
      </c>
      <c r="FY202" s="103">
        <f t="shared" si="258"/>
        <v>2336.15</v>
      </c>
      <c r="FZ202" s="103">
        <f t="shared" si="258"/>
        <v>2336.15</v>
      </c>
      <c r="GA202" s="103">
        <f t="shared" si="258"/>
        <v>2336.15</v>
      </c>
      <c r="GB202" s="103">
        <f t="shared" si="258"/>
        <v>2336.15</v>
      </c>
      <c r="GC202" s="103">
        <f t="shared" si="258"/>
        <v>2336.15</v>
      </c>
      <c r="GD202" s="103">
        <f t="shared" si="258"/>
        <v>2336.15</v>
      </c>
      <c r="GE202" s="103">
        <f t="shared" si="258"/>
        <v>2336.15</v>
      </c>
      <c r="GF202" s="103">
        <f t="shared" si="258"/>
        <v>2336.15</v>
      </c>
      <c r="GG202" s="103">
        <f t="shared" si="258"/>
        <v>2336.15</v>
      </c>
      <c r="GH202" s="103">
        <f t="shared" si="258"/>
        <v>2336.15</v>
      </c>
      <c r="GI202" s="103">
        <f t="shared" si="258"/>
        <v>2336.15</v>
      </c>
      <c r="GJ202" s="103">
        <f t="shared" si="258"/>
        <v>2336.15</v>
      </c>
      <c r="GK202" s="103">
        <f t="shared" si="258"/>
        <v>2336.15</v>
      </c>
      <c r="GL202" s="103">
        <f t="shared" si="258"/>
        <v>2336.15</v>
      </c>
      <c r="GM202" s="103">
        <f t="shared" si="258"/>
        <v>2336.15</v>
      </c>
      <c r="GN202" s="103">
        <f t="shared" si="258"/>
        <v>2336.15</v>
      </c>
      <c r="GO202" s="103">
        <f t="shared" si="258"/>
        <v>2336.15</v>
      </c>
      <c r="GP202" s="103">
        <f t="shared" si="258"/>
        <v>2336.15</v>
      </c>
      <c r="GQ202" s="103">
        <f t="shared" si="258"/>
        <v>2336.15</v>
      </c>
      <c r="GR202" s="103">
        <f t="shared" si="258"/>
        <v>2336.15</v>
      </c>
      <c r="GS202" s="103">
        <f t="shared" si="258"/>
        <v>2336.15</v>
      </c>
      <c r="GT202" s="103">
        <f t="shared" si="258"/>
        <v>2336.15</v>
      </c>
      <c r="GU202" s="103">
        <f t="shared" si="258"/>
        <v>2336.15</v>
      </c>
      <c r="GV202" s="103">
        <f t="shared" si="258"/>
        <v>2336.15</v>
      </c>
      <c r="GW202" s="103">
        <f t="shared" si="258"/>
        <v>2336.15</v>
      </c>
      <c r="GX202" s="103">
        <f t="shared" si="258"/>
        <v>2336.15</v>
      </c>
    </row>
    <row r="203" spans="1:206" x14ac:dyDescent="0.2">
      <c r="A203" s="89" t="s">
        <v>8</v>
      </c>
      <c r="B203" s="84" t="s">
        <v>11</v>
      </c>
      <c r="W203" s="87" cm="1">
        <f t="array" ref="W203">SUMPRODUCT((W$2:W$126&gt;=0)*(W$2:W$126&lt;=12)*(W$2:W$126&lt;&gt;""))</f>
        <v>43</v>
      </c>
      <c r="X203" s="87" cm="1">
        <f t="array" ref="X203">SUMPRODUCT((X$2:X$126&gt;=0)*(X$2:X$126&lt;=12)*(X$2:X$126&lt;&gt;""))</f>
        <v>43</v>
      </c>
      <c r="Y203" s="87" cm="1">
        <f t="array" ref="Y203">SUMPRODUCT((Y$2:Y$126&gt;=0)*(Y$2:Y$126&lt;=12)*(Y$2:Y$126&lt;&gt;""))</f>
        <v>41</v>
      </c>
      <c r="Z203" s="87" cm="1">
        <f t="array" ref="Z203">SUMPRODUCT((Z$2:Z$126&gt;=0)*(Z$2:Z$126&lt;=12)*(Z$2:Z$126&lt;&gt;""))</f>
        <v>38</v>
      </c>
      <c r="AA203" s="87" cm="1">
        <f t="array" ref="AA203">SUMPRODUCT((AA$2:AA$126&gt;=0)*(AA$2:AA$126&lt;=12)*(AA$2:AA$126&lt;&gt;""))</f>
        <v>38</v>
      </c>
      <c r="AB203" s="87" cm="1">
        <f t="array" ref="AB203">SUMPRODUCT((AB$2:AB$126&gt;=0)*(AB$2:AB$126&lt;=12)*(AB$2:AB$126&lt;&gt;""))</f>
        <v>37</v>
      </c>
      <c r="AC203" s="87" cm="1">
        <f t="array" ref="AC203">SUMPRODUCT((AC$2:AC$126&gt;=0)*(AC$2:AC$126&lt;=12)*(AC$2:AC$126&lt;&gt;""))</f>
        <v>39</v>
      </c>
      <c r="AD203" s="87" cm="1">
        <f t="array" ref="AD203">SUMPRODUCT((AD$2:AD$126&gt;=0)*(AD$2:AD$126&lt;=12)*(AD$2:AD$126&lt;&gt;""))</f>
        <v>33</v>
      </c>
      <c r="AE203" s="87" cm="1">
        <f t="array" ref="AE203">SUMPRODUCT((AE$2:AE$126&gt;=0)*(AE$2:AE$126&lt;=12)*(AE$2:AE$126&lt;&gt;""))</f>
        <v>34</v>
      </c>
      <c r="AF203" s="87" cm="1">
        <f t="array" ref="AF203">SUMPRODUCT((AF$2:AF$126&gt;=0)*(AF$2:AF$126&lt;=12)*(AF$2:AF$126&lt;&gt;""))</f>
        <v>35</v>
      </c>
      <c r="AG203" s="87" cm="1">
        <f t="array" ref="AG203">SUMPRODUCT((AG$2:AG$126&gt;=0)*(AG$2:AG$126&lt;=12)*(AG$2:AG$126&lt;&gt;""))</f>
        <v>37</v>
      </c>
      <c r="AH203" s="87" cm="1">
        <f t="array" ref="AH203">SUMPRODUCT((AH$2:AH$126&gt;=0)*(AH$2:AH$126&lt;=12)*(AH$2:AH$126&lt;&gt;""))</f>
        <v>38</v>
      </c>
      <c r="AI203" s="87" cm="1">
        <f t="array" ref="AI203">SUMPRODUCT((AI$2:AI$126&gt;=0)*(AI$2:AI$126&lt;=12)*(AI$2:AI$126&lt;&gt;""))</f>
        <v>39</v>
      </c>
      <c r="AJ203" s="87" cm="1">
        <f t="array" ref="AJ203">SUMPRODUCT((AJ$2:AJ$126&gt;=0)*(AJ$2:AJ$126&lt;=12)*(AJ$2:AJ$126&lt;&gt;""))</f>
        <v>40</v>
      </c>
      <c r="AK203" s="87" cm="1">
        <f t="array" ref="AK203">SUMPRODUCT((AK$2:AK$126&gt;=0)*(AK$2:AK$126&lt;=12)*(AK$2:AK$126&lt;&gt;""))</f>
        <v>42</v>
      </c>
      <c r="AL203" s="87" cm="1">
        <f t="array" ref="AL203">SUMPRODUCT((AL$2:AL$126&gt;=0)*(AL$2:AL$126&lt;=12)*(AL$2:AL$126&lt;&gt;""))</f>
        <v>42</v>
      </c>
      <c r="AM203" s="87" cm="1">
        <f t="array" ref="AM203">SUMPRODUCT((AM$2:AM$126&gt;=0)*(AM$2:AM$126&lt;=12)*(AM$2:AM$126&lt;&gt;""))</f>
        <v>45</v>
      </c>
      <c r="AN203" s="87" cm="1">
        <f t="array" ref="AN203">SUMPRODUCT((AN$2:AN$126&gt;=0)*(AN$2:AN$126&lt;=12)*(AN$2:AN$126&lt;&gt;""))</f>
        <v>49</v>
      </c>
      <c r="AO203" s="87" cm="1">
        <f t="array" ref="AO203">SUMPRODUCT((AO$2:AO$126&gt;=0)*(AO$2:AO$126&lt;=12)*(AO$2:AO$126&lt;&gt;""))</f>
        <v>47</v>
      </c>
      <c r="AP203" s="87" cm="1">
        <f t="array" ref="AP203">SUMPRODUCT((AP$2:AP$126&gt;=0)*(AP$2:AP$126&lt;=12)*(AP$2:AP$126&lt;&gt;""))</f>
        <v>43</v>
      </c>
      <c r="AQ203" s="87" cm="1">
        <f t="array" ref="AQ203">SUMPRODUCT((AQ$2:AQ$126&gt;=0)*(AQ$2:AQ$126&lt;=12)*(AQ$2:AQ$126&lt;&gt;""))</f>
        <v>44</v>
      </c>
      <c r="AR203" s="87" cm="1">
        <f t="array" ref="AR203">SUMPRODUCT((AR$2:AR$126&gt;=0)*(AR$2:AR$126&lt;=12)*(AR$2:AR$126&lt;&gt;""))</f>
        <v>51</v>
      </c>
      <c r="AS203" s="87" cm="1">
        <f t="array" ref="AS203">SUMPRODUCT((AS$2:AS$126&gt;=0)*(AS$2:AS$126&lt;=12)*(AS$2:AS$126&lt;&gt;""))</f>
        <v>59</v>
      </c>
      <c r="AT203" s="87" cm="1">
        <f t="array" ref="AT203">SUMPRODUCT((AT$2:AT$126&gt;=0)*(AT$2:AT$126&lt;=12)*(AT$2:AT$126&lt;&gt;""))</f>
        <v>60</v>
      </c>
      <c r="AU203" s="87" cm="1">
        <f t="array" ref="AU203">SUMPRODUCT((AU$2:AU$126&gt;=0)*(AU$2:AU$126&lt;=12)*(AU$2:AU$126&lt;&gt;""))</f>
        <v>59</v>
      </c>
      <c r="AV203" s="87" cm="1">
        <f t="array" ref="AV203">SUMPRODUCT((AV$2:AV$126&gt;=0)*(AV$2:AV$126&lt;=12)*(AV$2:AV$126&lt;&gt;""))</f>
        <v>55</v>
      </c>
      <c r="AW203" s="87" cm="1">
        <f t="array" ref="AW203">SUMPRODUCT((AW$2:AW$126&gt;=0)*(AW$2:AW$126&lt;=12)*(AW$2:AW$126&lt;&gt;""))</f>
        <v>59</v>
      </c>
      <c r="AX203" s="87" cm="1">
        <f t="array" ref="AX203">SUMPRODUCT((AX$2:AX$126&gt;=0)*(AX$2:AX$126&lt;=12)*(AX$2:AX$126&lt;&gt;""))</f>
        <v>56</v>
      </c>
      <c r="AY203" s="87" cm="1">
        <f t="array" ref="AY203">SUMPRODUCT((AY$2:AY$126&gt;=0)*(AY$2:AY$126&lt;=12)*(AY$2:AY$126&lt;&gt;""))</f>
        <v>59</v>
      </c>
      <c r="AZ203" s="87" cm="1">
        <f t="array" ref="AZ203">SUMPRODUCT((AZ$2:AZ$126&gt;=0)*(AZ$2:AZ$126&lt;=12)*(AZ$2:AZ$126&lt;&gt;""))</f>
        <v>60</v>
      </c>
      <c r="BA203" s="87" cm="1">
        <f t="array" ref="BA203">SUMPRODUCT((BA$2:BA$126&gt;=0)*(BA$2:BA$126&lt;=12)*(BA$2:BA$126&lt;&gt;""))</f>
        <v>66</v>
      </c>
      <c r="BB203" s="87" cm="1">
        <f t="array" ref="BB203">SUMPRODUCT((BB$2:BB$126&gt;=0)*(BB$2:BB$126&lt;=12)*(BB$2:BB$126&lt;&gt;""))</f>
        <v>69</v>
      </c>
      <c r="BC203" s="87" cm="1">
        <f t="array" ref="BC203">SUMPRODUCT((BC$2:BC$126&gt;=0)*(BC$2:BC$126&lt;=12)*(BC$2:BC$126&lt;&gt;""))</f>
        <v>68</v>
      </c>
      <c r="BD203" s="87" cm="1">
        <f t="array" ref="BD203">SUMPRODUCT((BD$2:BD$126&gt;=0)*(BD$2:BD$126&lt;=12)*(BD$2:BD$126&lt;&gt;""))</f>
        <v>70</v>
      </c>
      <c r="BE203" s="87" cm="1">
        <f t="array" ref="BE203">SUMPRODUCT((BE$2:BE$126&gt;=0)*(BE$2:BE$126&lt;=12)*(BE$2:BE$126&lt;&gt;""))</f>
        <v>65</v>
      </c>
      <c r="BF203" s="87" cm="1">
        <f t="array" ref="BF203">SUMPRODUCT((BF$2:BF$126&gt;=0)*(BF$2:BF$126&lt;=12)*(BF$2:BF$126&lt;&gt;""))</f>
        <v>66</v>
      </c>
      <c r="BG203" s="87" cm="1">
        <f t="array" ref="BG203">SUMPRODUCT((BG$2:BG$126&gt;=0)*(BG$2:BG$126&lt;=12)*(BG$2:BG$126&lt;&gt;""))</f>
        <v>70</v>
      </c>
      <c r="BH203" s="87" cm="1">
        <f t="array" ref="BH203">SUMPRODUCT((BH$2:BH$126&gt;=0)*(BH$2:BH$126&lt;=12)*(BH$2:BH$126&lt;&gt;""))</f>
        <v>69</v>
      </c>
      <c r="BI203" s="87" cm="1">
        <f t="array" ref="BI203">SUMPRODUCT((BI$2:BI$126&gt;=0)*(BI$2:BI$126&lt;=12)*(BI$2:BI$126&lt;&gt;""))</f>
        <v>73</v>
      </c>
      <c r="BJ203" s="87" cm="1">
        <f t="array" ref="BJ203">SUMPRODUCT((BJ$2:BJ$126&gt;=0)*(BJ$2:BJ$126&lt;=12)*(BJ$2:BJ$126&lt;&gt;""))</f>
        <v>65</v>
      </c>
      <c r="BK203" s="87" cm="1">
        <f t="array" ref="BK203">SUMPRODUCT((BK$2:BK$126&gt;=0)*(BK$2:BK$126&lt;=12)*(BK$2:BK$126&lt;&gt;""))</f>
        <v>68</v>
      </c>
      <c r="BL203" s="87" cm="1">
        <f t="array" ref="BL203">SUMPRODUCT((BL$2:BL$126&gt;=0)*(BL$2:BL$126&lt;=12)*(BL$2:BL$126&lt;&gt;""))</f>
        <v>68</v>
      </c>
      <c r="BM203" s="87" cm="1">
        <f t="array" ref="BM203">SUMPRODUCT((BM$2:BM$126&gt;=0)*(BM$2:BM$126&lt;=12)*(BM$2:BM$126&lt;&gt;""))</f>
        <v>72</v>
      </c>
      <c r="BN203" s="87" cm="1">
        <f t="array" ref="BN203">SUMPRODUCT((BN$2:BN$126&gt;=0)*(BN$2:BN$126&lt;=12)*(BN$2:BN$126&lt;&gt;""))</f>
        <v>65</v>
      </c>
      <c r="BO203" s="87" cm="1">
        <f t="array" ref="BO203">SUMPRODUCT((BO$2:BO$126&gt;=0)*(BO$2:BO$126&lt;=12)*(BO$2:BO$126&lt;&gt;""))</f>
        <v>69</v>
      </c>
      <c r="BP203" s="87" cm="1">
        <f t="array" ref="BP203">SUMPRODUCT((BP$2:BP$126&gt;=0)*(BP$2:BP$126&lt;=12)*(BP$2:BP$126&lt;&gt;""))</f>
        <v>69</v>
      </c>
      <c r="BQ203" s="87" cm="1">
        <f t="array" ref="BQ203">SUMPRODUCT((BQ$2:BQ$126&gt;=0)*(BQ$2:BQ$126&lt;=12)*(BQ$2:BQ$126&lt;&gt;""))</f>
        <v>65</v>
      </c>
      <c r="BR203" s="87" cm="1">
        <f t="array" ref="BR203">SUMPRODUCT((BR$2:BR$126&gt;=0)*(BR$2:BR$126&lt;=12)*(BR$2:BR$126&lt;&gt;""))</f>
        <v>59</v>
      </c>
      <c r="BS203" s="87" cm="1">
        <f t="array" ref="BS203">SUMPRODUCT((BS$2:BS$126&gt;=0)*(BS$2:BS$126&lt;=12)*(BS$2:BS$126&lt;&gt;""))</f>
        <v>48</v>
      </c>
      <c r="BT203" s="87" cm="1">
        <f t="array" ref="BT203">SUMPRODUCT((BT$2:BT$126&gt;=0)*(BT$2:BT$126&lt;=12)*(BT$2:BT$126&lt;&gt;""))</f>
        <v>39</v>
      </c>
      <c r="BU203" s="87" cm="1">
        <f t="array" ref="BU203">SUMPRODUCT((BU$2:BU$126&gt;=0)*(BU$2:BU$126&lt;=12)*(BU$2:BU$126&lt;&gt;""))</f>
        <v>36</v>
      </c>
      <c r="BV203" s="87" cm="1">
        <f t="array" ref="BV203">SUMPRODUCT((BV$2:BV$126&gt;=0)*(BV$2:BV$126&lt;=12)*(BV$2:BV$126&lt;&gt;""))</f>
        <v>32</v>
      </c>
      <c r="BW203" s="87" cm="1">
        <f t="array" ref="BW203">SUMPRODUCT((BW$2:BW$126&gt;=0)*(BW$2:BW$126&lt;=12)*(BW$2:BW$126&lt;&gt;""))</f>
        <v>32</v>
      </c>
      <c r="BX203" s="87" cm="1">
        <f t="array" ref="BX203">SUMPRODUCT((BX$2:BX$126&gt;=0)*(BX$2:BX$126&lt;=12)*(BX$2:BX$126&lt;&gt;""))</f>
        <v>25</v>
      </c>
      <c r="BY203" s="87" cm="1">
        <f t="array" ref="BY203">SUMPRODUCT((BY$2:BY$126&gt;=0)*(BY$2:BY$126&lt;=12)*(BY$2:BY$126&lt;&gt;""))</f>
        <v>19</v>
      </c>
      <c r="BZ203" s="87" cm="1">
        <f t="array" ref="BZ203">SUMPRODUCT((BZ$2:BZ$126&gt;=0)*(BZ$2:BZ$126&lt;=12)*(BZ$2:BZ$126&lt;&gt;""))</f>
        <v>9</v>
      </c>
      <c r="CA203" s="87" cm="1">
        <f t="array" ref="CA203">SUMPRODUCT((CA$2:CA$126&gt;=0)*(CA$2:CA$126&lt;=12)*(CA$2:CA$126&lt;&gt;""))</f>
        <v>7</v>
      </c>
      <c r="CB203" s="87" cm="1">
        <f t="array" ref="CB203">SUMPRODUCT((CB$2:CB$126&gt;=0)*(CB$2:CB$126&lt;=12)*(CB$2:CB$126&lt;&gt;""))</f>
        <v>0</v>
      </c>
      <c r="CC203" s="87" cm="1">
        <f t="array" ref="CC203">SUMPRODUCT((CC$2:CC$126&gt;=0)*(CC$2:CC$126&lt;=12)*(CC$2:CC$126&lt;&gt;""))</f>
        <v>0</v>
      </c>
      <c r="CD203" s="87" cm="1">
        <f t="array" ref="CD203">SUMPRODUCT((CD$2:CD$126&gt;=0)*(CD$2:CD$126&lt;=12)*(CD$2:CD$126&lt;&gt;""))</f>
        <v>0</v>
      </c>
      <c r="CE203" s="87" cm="1">
        <f t="array" ref="CE203">SUMPRODUCT((CE$2:CE$126&gt;=0)*(CE$2:CE$126&lt;=12)*(CE$2:CE$126&lt;&gt;""))</f>
        <v>0</v>
      </c>
      <c r="CF203" s="87" cm="1">
        <f t="array" ref="CF203">SUMPRODUCT((CF$2:CF$126&gt;=0)*(CF$2:CF$126&lt;=12)*(CF$2:CF$126&lt;&gt;""))</f>
        <v>0</v>
      </c>
      <c r="CG203" s="87" cm="1">
        <f t="array" ref="CG203">SUMPRODUCT((CG$2:CG$126&gt;=0)*(CG$2:CG$126&lt;=12)*(CG$2:CG$126&lt;&gt;""))</f>
        <v>0</v>
      </c>
      <c r="CH203" s="87" cm="1">
        <f t="array" ref="CH203">SUMPRODUCT((CH$2:CH$126&gt;=0)*(CH$2:CH$126&lt;=12)*(CH$2:CH$126&lt;&gt;""))</f>
        <v>0</v>
      </c>
      <c r="CI203" s="87" cm="1">
        <f t="array" ref="CI203">SUMPRODUCT((CI$2:CI$126&gt;=0)*(CI$2:CI$126&lt;=12)*(CI$2:CI$126&lt;&gt;""))</f>
        <v>0</v>
      </c>
      <c r="CJ203" s="87" cm="1">
        <f t="array" ref="CJ203">SUMPRODUCT((CJ$2:CJ$126&gt;=0)*(CJ$2:CJ$126&lt;=12)*(CJ$2:CJ$126&lt;&gt;""))</f>
        <v>0</v>
      </c>
      <c r="CK203" s="87" cm="1">
        <f t="array" ref="CK203">SUMPRODUCT((CK$2:CK$126&gt;=0)*(CK$2:CK$126&lt;=12)*(CK$2:CK$126&lt;&gt;""))</f>
        <v>0</v>
      </c>
      <c r="CL203" s="87" cm="1">
        <f t="array" ref="CL203">SUMPRODUCT((CL$2:CL$126&gt;=0)*(CL$2:CL$126&lt;=12)*(CL$2:CL$126&lt;&gt;""))</f>
        <v>0</v>
      </c>
      <c r="CM203" s="87" cm="1">
        <f t="array" ref="CM203">SUMPRODUCT((CM$2:CM$126&gt;=0)*(CM$2:CM$126&lt;=12)*(CM$2:CM$126&lt;&gt;""))</f>
        <v>0</v>
      </c>
      <c r="CN203" s="87" cm="1">
        <f t="array" ref="CN203">SUMPRODUCT((CN$2:CN$126&gt;=0)*(CN$2:CN$126&lt;=12)*(CN$2:CN$126&lt;&gt;""))</f>
        <v>0</v>
      </c>
      <c r="CO203" s="87" cm="1">
        <f t="array" ref="CO203">SUMPRODUCT((CO$2:CO$126&gt;=0)*(CO$2:CO$126&lt;=12)*(CO$2:CO$126&lt;&gt;""))</f>
        <v>0</v>
      </c>
      <c r="CP203" s="87" cm="1">
        <f t="array" ref="CP203">SUMPRODUCT((CP$2:CP$126&gt;=0)*(CP$2:CP$126&lt;=12)*(CP$2:CP$126&lt;&gt;""))</f>
        <v>0</v>
      </c>
      <c r="CQ203" s="87" cm="1">
        <f t="array" ref="CQ203">SUMPRODUCT((CQ$2:CQ$126&gt;=0)*(CQ$2:CQ$126&lt;=12)*(CQ$2:CQ$126&lt;&gt;""))</f>
        <v>0</v>
      </c>
      <c r="CR203" s="87" cm="1">
        <f t="array" ref="CR203">SUMPRODUCT((CR$2:CR$126&gt;=0)*(CR$2:CR$126&lt;=12)*(CR$2:CR$126&lt;&gt;""))</f>
        <v>0</v>
      </c>
      <c r="CS203" s="87" cm="1">
        <f t="array" ref="CS203">SUMPRODUCT((CS$2:CS$126&gt;=0)*(CS$2:CS$126&lt;=12)*(CS$2:CS$126&lt;&gt;""))</f>
        <v>0</v>
      </c>
      <c r="CT203" s="87" cm="1">
        <f t="array" ref="CT203">SUMPRODUCT((CT$2:CT$126&gt;=0)*(CT$2:CT$126&lt;=12)*(CT$2:CT$126&lt;&gt;""))</f>
        <v>0</v>
      </c>
      <c r="CU203" s="87" cm="1">
        <f t="array" ref="CU203">SUMPRODUCT((CU$2:CU$126&gt;=0)*(CU$2:CU$126&lt;=12)*(CU$2:CU$126&lt;&gt;""))</f>
        <v>0</v>
      </c>
      <c r="CV203" s="87" cm="1">
        <f t="array" ref="CV203">SUMPRODUCT((CV$2:CV$126&gt;=0)*(CV$2:CV$126&lt;=12)*(CV$2:CV$126&lt;&gt;""))</f>
        <v>0</v>
      </c>
      <c r="CW203" s="87" cm="1">
        <f t="array" ref="CW203">SUMPRODUCT((CW$2:CW$126&gt;=0)*(CW$2:CW$126&lt;=12)*(CW$2:CW$126&lt;&gt;""))</f>
        <v>0</v>
      </c>
      <c r="CX203" s="87" cm="1">
        <f t="array" ref="CX203">SUMPRODUCT((CX$2:CX$126&gt;=0)*(CX$2:CX$126&lt;=12)*(CX$2:CX$126&lt;&gt;""))</f>
        <v>0</v>
      </c>
      <c r="CY203" s="87" cm="1">
        <f t="array" ref="CY203">SUMPRODUCT((CY$2:CY$126&gt;=0)*(CY$2:CY$126&lt;=12)*(CY$2:CY$126&lt;&gt;""))</f>
        <v>0</v>
      </c>
      <c r="CZ203" s="87" cm="1">
        <f t="array" ref="CZ203">SUMPRODUCT((CZ$2:CZ$126&gt;=0)*(CZ$2:CZ$126&lt;=12)*(CZ$2:CZ$126&lt;&gt;""))</f>
        <v>0</v>
      </c>
      <c r="DA203" s="87" cm="1">
        <f t="array" ref="DA203">SUMPRODUCT((DA$2:DA$126&gt;=0)*(DA$2:DA$126&lt;=12)*(DA$2:DA$126&lt;&gt;""))</f>
        <v>0</v>
      </c>
      <c r="DB203" s="87" cm="1">
        <f t="array" ref="DB203">SUMPRODUCT((DB$2:DB$126&gt;=0)*(DB$2:DB$126&lt;=12)*(DB$2:DB$126&lt;&gt;""))</f>
        <v>0</v>
      </c>
      <c r="DC203" s="87" cm="1">
        <f t="array" ref="DC203">SUMPRODUCT((DC$2:DC$126&gt;=0)*(DC$2:DC$126&lt;=12)*(DC$2:DC$126&lt;&gt;""))</f>
        <v>0</v>
      </c>
      <c r="DD203" s="87" cm="1">
        <f t="array" ref="DD203">SUMPRODUCT((DD$2:DD$126&gt;=0)*(DD$2:DD$126&lt;=12)*(DD$2:DD$126&lt;&gt;""))</f>
        <v>0</v>
      </c>
      <c r="DE203" s="87" cm="1">
        <f t="array" ref="DE203">SUMPRODUCT((DE$2:DE$126&gt;=0)*(DE$2:DE$126&lt;=12)*(DE$2:DE$126&lt;&gt;""))</f>
        <v>0</v>
      </c>
      <c r="DF203" s="87" cm="1">
        <f t="array" ref="DF203">SUMPRODUCT((DF$2:DF$126&gt;=0)*(DF$2:DF$126&lt;=12)*(DF$2:DF$126&lt;&gt;""))</f>
        <v>0</v>
      </c>
      <c r="DG203" s="87" cm="1">
        <f t="array" ref="DG203">SUMPRODUCT((DG$2:DG$126&gt;=0)*(DG$2:DG$126&lt;=12)*(DG$2:DG$126&lt;&gt;""))</f>
        <v>0</v>
      </c>
      <c r="DH203" s="87" cm="1">
        <f t="array" ref="DH203">SUMPRODUCT((DH$2:DH$126&gt;=0)*(DH$2:DH$126&lt;=12)*(DH$2:DH$126&lt;&gt;""))</f>
        <v>0</v>
      </c>
      <c r="DI203" s="87" cm="1">
        <f t="array" ref="DI203">SUMPRODUCT((DI$2:DI$126&gt;=0)*(DI$2:DI$126&lt;=12)*(DI$2:DI$126&lt;&gt;""))</f>
        <v>0</v>
      </c>
      <c r="DJ203" s="87" cm="1">
        <f t="array" ref="DJ203">SUMPRODUCT((DJ$2:DJ$126&gt;=0)*(DJ$2:DJ$126&lt;=12)*(DJ$2:DJ$126&lt;&gt;""))</f>
        <v>0</v>
      </c>
      <c r="DK203" s="87" cm="1">
        <f t="array" ref="DK203">SUMPRODUCT((DK$2:DK$126&gt;=0)*(DK$2:DK$126&lt;=12)*(DK$2:DK$126&lt;&gt;""))</f>
        <v>0</v>
      </c>
      <c r="DL203" s="87" cm="1">
        <f t="array" ref="DL203">SUMPRODUCT((DL$2:DL$126&gt;=0)*(DL$2:DL$126&lt;=12)*(DL$2:DL$126&lt;&gt;""))</f>
        <v>0</v>
      </c>
      <c r="DM203" s="87" cm="1">
        <f t="array" ref="DM203">SUMPRODUCT((DM$2:DM$126&gt;=0)*(DM$2:DM$126&lt;=12)*(DM$2:DM$126&lt;&gt;""))</f>
        <v>0</v>
      </c>
      <c r="DN203" s="87" cm="1">
        <f t="array" ref="DN203">SUMPRODUCT((DN$2:DN$126&gt;=0)*(DN$2:DN$126&lt;=12)*(DN$2:DN$126&lt;&gt;""))</f>
        <v>0</v>
      </c>
      <c r="DO203" s="87" cm="1">
        <f t="array" ref="DO203">SUMPRODUCT((DO$2:DO$126&gt;=0)*(DO$2:DO$126&lt;=12)*(DO$2:DO$126&lt;&gt;""))</f>
        <v>0</v>
      </c>
      <c r="DP203" s="87" cm="1">
        <f t="array" ref="DP203">SUMPRODUCT((DP$2:DP$126&gt;=0)*(DP$2:DP$126&lt;=12)*(DP$2:DP$126&lt;&gt;""))</f>
        <v>0</v>
      </c>
      <c r="DQ203" s="87" cm="1">
        <f t="array" ref="DQ203">SUMPRODUCT((DQ$2:DQ$126&gt;=0)*(DQ$2:DQ$126&lt;=12)*(DQ$2:DQ$126&lt;&gt;""))</f>
        <v>0</v>
      </c>
      <c r="DR203" s="87" cm="1">
        <f t="array" ref="DR203">SUMPRODUCT((DR$2:DR$126&gt;=0)*(DR$2:DR$126&lt;=12)*(DR$2:DR$126&lt;&gt;""))</f>
        <v>0</v>
      </c>
      <c r="DS203" s="87" cm="1">
        <f t="array" ref="DS203">SUMPRODUCT((DS$2:DS$126&gt;=0)*(DS$2:DS$126&lt;=12)*(DS$2:DS$126&lt;&gt;""))</f>
        <v>0</v>
      </c>
      <c r="DT203" s="87" cm="1">
        <f t="array" ref="DT203">SUMPRODUCT((DT$2:DT$126&gt;=0)*(DT$2:DT$126&lt;=12)*(DT$2:DT$126&lt;&gt;""))</f>
        <v>0</v>
      </c>
      <c r="DU203" s="87" cm="1">
        <f t="array" ref="DU203">SUMPRODUCT((DU$2:DU$126&gt;=0)*(DU$2:DU$126&lt;=12)*(DU$2:DU$126&lt;&gt;""))</f>
        <v>0</v>
      </c>
      <c r="DV203" s="87" cm="1">
        <f t="array" ref="DV203">SUMPRODUCT((DV$2:DV$126&gt;=0)*(DV$2:DV$126&lt;=12)*(DV$2:DV$126&lt;&gt;""))</f>
        <v>0</v>
      </c>
      <c r="DW203" s="87" cm="1">
        <f t="array" ref="DW203">SUMPRODUCT((DW$2:DW$126&gt;=0)*(DW$2:DW$126&lt;=12)*(DW$2:DW$126&lt;&gt;""))</f>
        <v>0</v>
      </c>
      <c r="DX203" s="87" cm="1">
        <f t="array" ref="DX203">SUMPRODUCT((DX$2:DX$126&gt;=0)*(DX$2:DX$126&lt;=12)*(DX$2:DX$126&lt;&gt;""))</f>
        <v>0</v>
      </c>
      <c r="DY203" s="87" cm="1">
        <f t="array" ref="DY203">SUMPRODUCT((DY$2:DY$126&gt;=0)*(DY$2:DY$126&lt;=12)*(DY$2:DY$126&lt;&gt;""))</f>
        <v>0</v>
      </c>
      <c r="DZ203" s="87" cm="1">
        <f t="array" ref="DZ203">SUMPRODUCT((DZ$2:DZ$126&gt;=0)*(DZ$2:DZ$126&lt;=12)*(DZ$2:DZ$126&lt;&gt;""))</f>
        <v>0</v>
      </c>
      <c r="EA203" s="87" cm="1">
        <f t="array" ref="EA203">SUMPRODUCT((EA$2:EA$126&gt;=0)*(EA$2:EA$126&lt;=12)*(EA$2:EA$126&lt;&gt;""))</f>
        <v>0</v>
      </c>
      <c r="EB203" s="87" cm="1">
        <f t="array" ref="EB203">SUMPRODUCT((EB$2:EB$126&gt;=0)*(EB$2:EB$126&lt;=12)*(EB$2:EB$126&lt;&gt;""))</f>
        <v>0</v>
      </c>
      <c r="EC203" s="87" cm="1">
        <f t="array" ref="EC203">SUMPRODUCT((EC$2:EC$126&gt;=0)*(EC$2:EC$126&lt;=12)*(EC$2:EC$126&lt;&gt;""))</f>
        <v>0</v>
      </c>
      <c r="ED203" s="87" cm="1">
        <f t="array" ref="ED203">SUMPRODUCT((ED$2:ED$126&gt;=0)*(ED$2:ED$126&lt;=12)*(ED$2:ED$126&lt;&gt;""))</f>
        <v>0</v>
      </c>
      <c r="EE203" s="87" cm="1">
        <f t="array" ref="EE203">SUMPRODUCT((EE$2:EE$126&gt;=0)*(EE$2:EE$126&lt;=12)*(EE$2:EE$126&lt;&gt;""))</f>
        <v>0</v>
      </c>
      <c r="EF203" s="87" cm="1">
        <f t="array" ref="EF203">SUMPRODUCT((EF$2:EF$126&gt;=0)*(EF$2:EF$126&lt;=12)*(EF$2:EF$126&lt;&gt;""))</f>
        <v>0</v>
      </c>
      <c r="EG203" s="87" cm="1">
        <f t="array" ref="EG203">SUMPRODUCT((EG$2:EG$126&gt;=0)*(EG$2:EG$126&lt;=12)*(EG$2:EG$126&lt;&gt;""))</f>
        <v>0</v>
      </c>
      <c r="EH203" s="87" cm="1">
        <f t="array" ref="EH203">SUMPRODUCT((EH$2:EH$126&gt;=0)*(EH$2:EH$126&lt;=12)*(EH$2:EH$126&lt;&gt;""))</f>
        <v>0</v>
      </c>
      <c r="EI203" s="87" cm="1">
        <f t="array" ref="EI203">SUMPRODUCT((EI$2:EI$126&gt;=0)*(EI$2:EI$126&lt;=12)*(EI$2:EI$126&lt;&gt;""))</f>
        <v>0</v>
      </c>
      <c r="EJ203" s="87" cm="1">
        <f t="array" ref="EJ203">SUMPRODUCT((EJ$2:EJ$126&gt;=0)*(EJ$2:EJ$126&lt;=12)*(EJ$2:EJ$126&lt;&gt;""))</f>
        <v>0</v>
      </c>
      <c r="EK203" s="87" cm="1">
        <f t="array" ref="EK203">SUMPRODUCT((EK$2:EK$126&gt;=0)*(EK$2:EK$126&lt;=12)*(EK$2:EK$126&lt;&gt;""))</f>
        <v>0</v>
      </c>
      <c r="EL203" s="87" cm="1">
        <f t="array" ref="EL203">SUMPRODUCT((EL$2:EL$126&gt;=0)*(EL$2:EL$126&lt;=12)*(EL$2:EL$126&lt;&gt;""))</f>
        <v>0</v>
      </c>
      <c r="EM203" s="87" cm="1">
        <f t="array" ref="EM203">SUMPRODUCT((EM$2:EM$126&gt;=0)*(EM$2:EM$126&lt;=12)*(EM$2:EM$126&lt;&gt;""))</f>
        <v>0</v>
      </c>
      <c r="EN203" s="87" cm="1">
        <f t="array" ref="EN203">SUMPRODUCT((EN$2:EN$126&gt;=0)*(EN$2:EN$126&lt;=12)*(EN$2:EN$126&lt;&gt;""))</f>
        <v>0</v>
      </c>
      <c r="EO203" s="87" cm="1">
        <f t="array" ref="EO203">SUMPRODUCT((EO$2:EO$126&gt;=0)*(EO$2:EO$126&lt;=12)*(EO$2:EO$126&lt;&gt;""))</f>
        <v>0</v>
      </c>
      <c r="EP203" s="87" cm="1">
        <f t="array" ref="EP203">SUMPRODUCT((EP$2:EP$126&gt;=0)*(EP$2:EP$126&lt;=12)*(EP$2:EP$126&lt;&gt;""))</f>
        <v>0</v>
      </c>
      <c r="EQ203" s="87" cm="1">
        <f t="array" ref="EQ203">SUMPRODUCT((EQ$2:EQ$126&gt;=0)*(EQ$2:EQ$126&lt;=12)*(EQ$2:EQ$126&lt;&gt;""))</f>
        <v>0</v>
      </c>
      <c r="ER203" s="87" cm="1">
        <f t="array" ref="ER203">SUMPRODUCT((ER$2:ER$126&gt;=0)*(ER$2:ER$126&lt;=12)*(ER$2:ER$126&lt;&gt;""))</f>
        <v>0</v>
      </c>
      <c r="ES203" s="87" cm="1">
        <f t="array" ref="ES203">SUMPRODUCT((ES$2:ES$126&gt;=0)*(ES$2:ES$126&lt;=12)*(ES$2:ES$126&lt;&gt;""))</f>
        <v>0</v>
      </c>
      <c r="ET203" s="87" cm="1">
        <f t="array" ref="ET203">SUMPRODUCT((ET$2:ET$126&gt;=0)*(ET$2:ET$126&lt;=12)*(ET$2:ET$126&lt;&gt;""))</f>
        <v>0</v>
      </c>
      <c r="EU203" s="87" cm="1">
        <f t="array" ref="EU203">SUMPRODUCT((EU$2:EU$126&gt;=0)*(EU$2:EU$126&lt;=12)*(EU$2:EU$126&lt;&gt;""))</f>
        <v>0</v>
      </c>
      <c r="EV203" s="87" cm="1">
        <f t="array" ref="EV203">SUMPRODUCT((EV$2:EV$126&gt;=0)*(EV$2:EV$126&lt;=12)*(EV$2:EV$126&lt;&gt;""))</f>
        <v>0</v>
      </c>
      <c r="EW203" s="87" cm="1">
        <f t="array" ref="EW203">SUMPRODUCT((EW$2:EW$126&gt;=0)*(EW$2:EW$126&lt;=12)*(EW$2:EW$126&lt;&gt;""))</f>
        <v>0</v>
      </c>
      <c r="EX203" s="87" cm="1">
        <f t="array" ref="EX203">SUMPRODUCT((EX$2:EX$126&gt;=0)*(EX$2:EX$126&lt;=12)*(EX$2:EX$126&lt;&gt;""))</f>
        <v>0</v>
      </c>
      <c r="EY203" s="87" cm="1">
        <f t="array" ref="EY203">SUMPRODUCT((EY$2:EY$126&gt;=0)*(EY$2:EY$126&lt;=12)*(EY$2:EY$126&lt;&gt;""))</f>
        <v>0</v>
      </c>
      <c r="EZ203" s="87" cm="1">
        <f t="array" ref="EZ203">SUMPRODUCT((EZ$2:EZ$126&gt;=0)*(EZ$2:EZ$126&lt;=12)*(EZ$2:EZ$126&lt;&gt;""))</f>
        <v>0</v>
      </c>
      <c r="FA203" s="87" cm="1">
        <f t="array" ref="FA203">SUMPRODUCT((FA$2:FA$126&gt;=0)*(FA$2:FA$126&lt;=12)*(FA$2:FA$126&lt;&gt;""))</f>
        <v>0</v>
      </c>
      <c r="FB203" s="87" cm="1">
        <f t="array" ref="FB203">SUMPRODUCT((FB$2:FB$126&gt;=0)*(FB$2:FB$126&lt;=12)*(FB$2:FB$126&lt;&gt;""))</f>
        <v>0</v>
      </c>
      <c r="FC203" s="87" cm="1">
        <f t="array" ref="FC203">SUMPRODUCT((FC$2:FC$126&gt;=0)*(FC$2:FC$126&lt;=12)*(FC$2:FC$126&lt;&gt;""))</f>
        <v>0</v>
      </c>
      <c r="FD203" s="87" cm="1">
        <f t="array" ref="FD203">SUMPRODUCT((FD$2:FD$126&gt;=0)*(FD$2:FD$126&lt;=12)*(FD$2:FD$126&lt;&gt;""))</f>
        <v>0</v>
      </c>
      <c r="FE203" s="87" cm="1">
        <f t="array" ref="FE203">SUMPRODUCT((FE$2:FE$126&gt;=0)*(FE$2:FE$126&lt;=12)*(FE$2:FE$126&lt;&gt;""))</f>
        <v>0</v>
      </c>
      <c r="FF203" s="87" cm="1">
        <f t="array" ref="FF203">SUMPRODUCT((FF$2:FF$126&gt;=0)*(FF$2:FF$126&lt;=12)*(FF$2:FF$126&lt;&gt;""))</f>
        <v>0</v>
      </c>
      <c r="FG203" s="87" cm="1">
        <f t="array" ref="FG203">SUMPRODUCT((FG$2:FG$126&gt;=0)*(FG$2:FG$126&lt;=12)*(FG$2:FG$126&lt;&gt;""))</f>
        <v>0</v>
      </c>
      <c r="FH203" s="87" cm="1">
        <f t="array" ref="FH203">SUMPRODUCT((FH$2:FH$126&gt;=0)*(FH$2:FH$126&lt;=12)*(FH$2:FH$126&lt;&gt;""))</f>
        <v>0</v>
      </c>
      <c r="FI203" s="87" cm="1">
        <f t="array" ref="FI203">SUMPRODUCT((FI$2:FI$126&gt;=0)*(FI$2:FI$126&lt;=12)*(FI$2:FI$126&lt;&gt;""))</f>
        <v>0</v>
      </c>
      <c r="FJ203" s="87" cm="1">
        <f t="array" ref="FJ203">SUMPRODUCT((FJ$2:FJ$126&gt;=0)*(FJ$2:FJ$126&lt;=12)*(FJ$2:FJ$126&lt;&gt;""))</f>
        <v>0</v>
      </c>
      <c r="FK203" s="87" cm="1">
        <f t="array" ref="FK203">SUMPRODUCT((FK$2:FK$126&gt;=0)*(FK$2:FK$126&lt;=12)*(FK$2:FK$126&lt;&gt;""))</f>
        <v>0</v>
      </c>
      <c r="FL203" s="87" cm="1">
        <f t="array" ref="FL203">SUMPRODUCT((FL$2:FL$126&gt;=0)*(FL$2:FL$126&lt;=12)*(FL$2:FL$126&lt;&gt;""))</f>
        <v>0</v>
      </c>
      <c r="FM203" s="87" cm="1">
        <f t="array" ref="FM203">SUMPRODUCT((FM$2:FM$126&gt;=0)*(FM$2:FM$126&lt;=12)*(FM$2:FM$126&lt;&gt;""))</f>
        <v>0</v>
      </c>
      <c r="FN203" s="87" cm="1">
        <f t="array" ref="FN203">SUMPRODUCT((FN$2:FN$126&gt;=0)*(FN$2:FN$126&lt;=12)*(FN$2:FN$126&lt;&gt;""))</f>
        <v>0</v>
      </c>
      <c r="FO203" s="87" cm="1">
        <f t="array" ref="FO203">SUMPRODUCT((FO$2:FO$126&gt;=0)*(FO$2:FO$126&lt;=12)*(FO$2:FO$126&lt;&gt;""))</f>
        <v>0</v>
      </c>
      <c r="FP203" s="87" cm="1">
        <f t="array" ref="FP203">SUMPRODUCT((FP$2:FP$126&gt;=0)*(FP$2:FP$126&lt;=12)*(FP$2:FP$126&lt;&gt;""))</f>
        <v>0</v>
      </c>
      <c r="FQ203" s="87" cm="1">
        <f t="array" ref="FQ203">SUMPRODUCT((FQ$2:FQ$126&gt;=0)*(FQ$2:FQ$126&lt;=12)*(FQ$2:FQ$126&lt;&gt;""))</f>
        <v>0</v>
      </c>
      <c r="FR203" s="87" cm="1">
        <f t="array" ref="FR203">SUMPRODUCT((FR$2:FR$126&gt;=0)*(FR$2:FR$126&lt;=12)*(FR$2:FR$126&lt;&gt;""))</f>
        <v>0</v>
      </c>
      <c r="FS203" s="87" cm="1">
        <f t="array" ref="FS203">SUMPRODUCT((FS$2:FS$126&gt;=0)*(FS$2:FS$126&lt;=12)*(FS$2:FS$126&lt;&gt;""))</f>
        <v>0</v>
      </c>
      <c r="FT203" s="87" cm="1">
        <f t="array" ref="FT203">SUMPRODUCT((FT$2:FT$126&gt;=0)*(FT$2:FT$126&lt;=12)*(FT$2:FT$126&lt;&gt;""))</f>
        <v>0</v>
      </c>
      <c r="FU203" s="87" cm="1">
        <f t="array" ref="FU203">SUMPRODUCT((FU$2:FU$126&gt;=0)*(FU$2:FU$126&lt;=12)*(FU$2:FU$126&lt;&gt;""))</f>
        <v>0</v>
      </c>
      <c r="FV203" s="87" cm="1">
        <f t="array" ref="FV203">SUMPRODUCT((FV$2:FV$126&gt;=0)*(FV$2:FV$126&lt;=12)*(FV$2:FV$126&lt;&gt;""))</f>
        <v>0</v>
      </c>
      <c r="FW203" s="87" cm="1">
        <f t="array" ref="FW203">SUMPRODUCT((FW$2:FW$126&gt;=0)*(FW$2:FW$126&lt;=12)*(FW$2:FW$126&lt;&gt;""))</f>
        <v>0</v>
      </c>
      <c r="FX203" s="87" cm="1">
        <f t="array" ref="FX203">SUMPRODUCT((FX$2:FX$126&gt;=0)*(FX$2:FX$126&lt;=12)*(FX$2:FX$126&lt;&gt;""))</f>
        <v>0</v>
      </c>
      <c r="FY203" s="87" cm="1">
        <f t="array" ref="FY203">SUMPRODUCT((FY$2:FY$126&gt;=0)*(FY$2:FY$126&lt;=12)*(FY$2:FY$126&lt;&gt;""))</f>
        <v>0</v>
      </c>
      <c r="FZ203" s="87" cm="1">
        <f t="array" ref="FZ203">SUMPRODUCT((FZ$2:FZ$126&gt;=0)*(FZ$2:FZ$126&lt;=12)*(FZ$2:FZ$126&lt;&gt;""))</f>
        <v>0</v>
      </c>
      <c r="GA203" s="87" cm="1">
        <f t="array" ref="GA203">SUMPRODUCT((GA$2:GA$126&gt;=0)*(GA$2:GA$126&lt;=12)*(GA$2:GA$126&lt;&gt;""))</f>
        <v>0</v>
      </c>
      <c r="GB203" s="87" cm="1">
        <f t="array" ref="GB203">SUMPRODUCT((GB$2:GB$126&gt;=0)*(GB$2:GB$126&lt;=12)*(GB$2:GB$126&lt;&gt;""))</f>
        <v>0</v>
      </c>
      <c r="GC203" s="87" cm="1">
        <f t="array" ref="GC203">SUMPRODUCT((GC$2:GC$126&gt;=0)*(GC$2:GC$126&lt;=12)*(GC$2:GC$126&lt;&gt;""))</f>
        <v>0</v>
      </c>
      <c r="GD203" s="87" cm="1">
        <f t="array" ref="GD203">SUMPRODUCT((GD$2:GD$126&gt;=0)*(GD$2:GD$126&lt;=12)*(GD$2:GD$126&lt;&gt;""))</f>
        <v>0</v>
      </c>
      <c r="GE203" s="87" cm="1">
        <f t="array" ref="GE203">SUMPRODUCT((GE$2:GE$126&gt;=0)*(GE$2:GE$126&lt;=12)*(GE$2:GE$126&lt;&gt;""))</f>
        <v>0</v>
      </c>
      <c r="GF203" s="87" cm="1">
        <f t="array" ref="GF203">SUMPRODUCT((GF$2:GF$126&gt;=0)*(GF$2:GF$126&lt;=12)*(GF$2:GF$126&lt;&gt;""))</f>
        <v>0</v>
      </c>
      <c r="GG203" s="87" cm="1">
        <f t="array" ref="GG203">SUMPRODUCT((GG$2:GG$126&gt;=0)*(GG$2:GG$126&lt;=12)*(GG$2:GG$126&lt;&gt;""))</f>
        <v>0</v>
      </c>
      <c r="GH203" s="87" cm="1">
        <f t="array" ref="GH203">SUMPRODUCT((GH$2:GH$126&gt;=0)*(GH$2:GH$126&lt;=12)*(GH$2:GH$126&lt;&gt;""))</f>
        <v>0</v>
      </c>
      <c r="GI203" s="87" cm="1">
        <f t="array" ref="GI203">SUMPRODUCT((GI$2:GI$126&gt;=0)*(GI$2:GI$126&lt;=12)*(GI$2:GI$126&lt;&gt;""))</f>
        <v>0</v>
      </c>
      <c r="GJ203" s="87" cm="1">
        <f t="array" ref="GJ203">SUMPRODUCT((GJ$2:GJ$126&gt;=0)*(GJ$2:GJ$126&lt;=12)*(GJ$2:GJ$126&lt;&gt;""))</f>
        <v>0</v>
      </c>
      <c r="GK203" s="87" cm="1">
        <f t="array" ref="GK203">SUMPRODUCT((GK$2:GK$126&gt;=0)*(GK$2:GK$126&lt;=12)*(GK$2:GK$126&lt;&gt;""))</f>
        <v>0</v>
      </c>
      <c r="GL203" s="87" cm="1">
        <f t="array" ref="GL203">SUMPRODUCT((GL$2:GL$126&gt;=0)*(GL$2:GL$126&lt;=12)*(GL$2:GL$126&lt;&gt;""))</f>
        <v>0</v>
      </c>
      <c r="GM203" s="87" cm="1">
        <f t="array" ref="GM203">SUMPRODUCT((GM$2:GM$126&gt;=0)*(GM$2:GM$126&lt;=12)*(GM$2:GM$126&lt;&gt;""))</f>
        <v>0</v>
      </c>
      <c r="GN203" s="87" cm="1">
        <f t="array" ref="GN203">SUMPRODUCT((GN$2:GN$126&gt;=0)*(GN$2:GN$126&lt;=12)*(GN$2:GN$126&lt;&gt;""))</f>
        <v>0</v>
      </c>
      <c r="GO203" s="87" cm="1">
        <f t="array" ref="GO203">SUMPRODUCT((GO$2:GO$126&gt;=0)*(GO$2:GO$126&lt;=12)*(GO$2:GO$126&lt;&gt;""))</f>
        <v>0</v>
      </c>
      <c r="GP203" s="87" cm="1">
        <f t="array" ref="GP203">SUMPRODUCT((GP$2:GP$126&gt;=0)*(GP$2:GP$126&lt;=12)*(GP$2:GP$126&lt;&gt;""))</f>
        <v>0</v>
      </c>
      <c r="GQ203" s="87" cm="1">
        <f t="array" ref="GQ203">SUMPRODUCT((GQ$2:GQ$126&gt;=0)*(GQ$2:GQ$126&lt;=12)*(GQ$2:GQ$126&lt;&gt;""))</f>
        <v>0</v>
      </c>
      <c r="GR203" s="87" cm="1">
        <f t="array" ref="GR203">SUMPRODUCT((GR$2:GR$126&gt;=0)*(GR$2:GR$126&lt;=12)*(GR$2:GR$126&lt;&gt;""))</f>
        <v>0</v>
      </c>
      <c r="GS203" s="87" cm="1">
        <f t="array" ref="GS203">SUMPRODUCT((GS$2:GS$126&gt;=0)*(GS$2:GS$126&lt;=12)*(GS$2:GS$126&lt;&gt;""))</f>
        <v>0</v>
      </c>
      <c r="GT203" s="87" cm="1">
        <f t="array" ref="GT203">SUMPRODUCT((GT$2:GT$126&gt;=0)*(GT$2:GT$126&lt;=12)*(GT$2:GT$126&lt;&gt;""))</f>
        <v>0</v>
      </c>
      <c r="GU203" s="87" cm="1">
        <f t="array" ref="GU203">SUMPRODUCT((GU$2:GU$126&gt;=0)*(GU$2:GU$126&lt;=12)*(GU$2:GU$126&lt;&gt;""))</f>
        <v>0</v>
      </c>
      <c r="GV203" s="87" cm="1">
        <f t="array" ref="GV203">SUMPRODUCT((GV$2:GV$126&gt;=0)*(GV$2:GV$126&lt;=12)*(GV$2:GV$126&lt;&gt;""))</f>
        <v>0</v>
      </c>
      <c r="GW203" s="87" cm="1">
        <f t="array" ref="GW203">SUMPRODUCT((GW$2:GW$126&gt;=0)*(GW$2:GW$126&lt;=12)*(GW$2:GW$126&lt;&gt;""))</f>
        <v>0</v>
      </c>
      <c r="GX203" s="87" cm="1">
        <f t="array" ref="GX203">SUMPRODUCT((GX$2:GX$126&gt;=0)*(GX$2:GX$126&lt;=12)*(GX$2:GX$126&lt;&gt;""))</f>
        <v>0</v>
      </c>
    </row>
    <row r="204" spans="1:206" x14ac:dyDescent="0.2">
      <c r="A204" s="84"/>
      <c r="B204" s="84" t="s">
        <v>255</v>
      </c>
      <c r="W204" s="87" cm="1">
        <f t="array" ref="W204">SUMPRODUCT((W$2:W$126&gt;=13)*(W$2:W$126&lt;=17)*(W$2:W$126&lt;&gt;""))</f>
        <v>9</v>
      </c>
      <c r="X204" s="87" cm="1">
        <f t="array" ref="X204">SUMPRODUCT((X$2:X$126&gt;=13)*(X$2:X$126&lt;=17)*(X$2:X$126&lt;&gt;""))</f>
        <v>13</v>
      </c>
      <c r="Y204" s="87" cm="1">
        <f t="array" ref="Y204">SUMPRODUCT((Y$2:Y$126&gt;=13)*(Y$2:Y$126&lt;=17)*(Y$2:Y$126&lt;&gt;""))</f>
        <v>17</v>
      </c>
      <c r="Z204" s="87" cm="1">
        <f t="array" ref="Z204">SUMPRODUCT((Z$2:Z$126&gt;=13)*(Z$2:Z$126&lt;=17)*(Z$2:Z$126&lt;&gt;""))</f>
        <v>23</v>
      </c>
      <c r="AA204" s="87" cm="1">
        <f t="array" ref="AA204">SUMPRODUCT((AA$2:AA$126&gt;=13)*(AA$2:AA$126&lt;=17)*(AA$2:AA$126&lt;&gt;""))</f>
        <v>15</v>
      </c>
      <c r="AB204" s="87" cm="1">
        <f t="array" ref="AB204">SUMPRODUCT((AB$2:AB$126&gt;=13)*(AB$2:AB$126&lt;=17)*(AB$2:AB$126&lt;&gt;""))</f>
        <v>17</v>
      </c>
      <c r="AC204" s="87" cm="1">
        <f t="array" ref="AC204">SUMPRODUCT((AC$2:AC$126&gt;=13)*(AC$2:AC$126&lt;=17)*(AC$2:AC$126&lt;&gt;""))</f>
        <v>15</v>
      </c>
      <c r="AD204" s="87" cm="1">
        <f t="array" ref="AD204">SUMPRODUCT((AD$2:AD$126&gt;=13)*(AD$2:AD$126&lt;=17)*(AD$2:AD$126&lt;&gt;""))</f>
        <v>18</v>
      </c>
      <c r="AE204" s="87" cm="1">
        <f t="array" ref="AE204">SUMPRODUCT((AE$2:AE$126&gt;=13)*(AE$2:AE$126&lt;=17)*(AE$2:AE$126&lt;&gt;""))</f>
        <v>16</v>
      </c>
      <c r="AF204" s="87" cm="1">
        <f t="array" ref="AF204">SUMPRODUCT((AF$2:AF$126&gt;=13)*(AF$2:AF$126&lt;=17)*(AF$2:AF$126&lt;&gt;""))</f>
        <v>17</v>
      </c>
      <c r="AG204" s="87" cm="1">
        <f t="array" ref="AG204">SUMPRODUCT((AG$2:AG$126&gt;=13)*(AG$2:AG$126&lt;=17)*(AG$2:AG$126&lt;&gt;""))</f>
        <v>16</v>
      </c>
      <c r="AH204" s="87" cm="1">
        <f t="array" ref="AH204">SUMPRODUCT((AH$2:AH$126&gt;=13)*(AH$2:AH$126&lt;=17)*(AH$2:AH$126&lt;&gt;""))</f>
        <v>17</v>
      </c>
      <c r="AI204" s="87" cm="1">
        <f t="array" ref="AI204">SUMPRODUCT((AI$2:AI$126&gt;=13)*(AI$2:AI$126&lt;=17)*(AI$2:AI$126&lt;&gt;""))</f>
        <v>13</v>
      </c>
      <c r="AJ204" s="87" cm="1">
        <f t="array" ref="AJ204">SUMPRODUCT((AJ$2:AJ$126&gt;=13)*(AJ$2:AJ$126&lt;=17)*(AJ$2:AJ$126&lt;&gt;""))</f>
        <v>13</v>
      </c>
      <c r="AK204" s="87" cm="1">
        <f t="array" ref="AK204">SUMPRODUCT((AK$2:AK$126&gt;=13)*(AK$2:AK$126&lt;=17)*(AK$2:AK$126&lt;&gt;""))</f>
        <v>15</v>
      </c>
      <c r="AL204" s="87" cm="1">
        <f t="array" ref="AL204">SUMPRODUCT((AL$2:AL$126&gt;=13)*(AL$2:AL$126&lt;=17)*(AL$2:AL$126&lt;&gt;""))</f>
        <v>15</v>
      </c>
      <c r="AM204" s="87" cm="1">
        <f t="array" ref="AM204">SUMPRODUCT((AM$2:AM$126&gt;=13)*(AM$2:AM$126&lt;=17)*(AM$2:AM$126&lt;&gt;""))</f>
        <v>14</v>
      </c>
      <c r="AN204" s="87" cm="1">
        <f t="array" ref="AN204">SUMPRODUCT((AN$2:AN$126&gt;=13)*(AN$2:AN$126&lt;=17)*(AN$2:AN$126&lt;&gt;""))</f>
        <v>12</v>
      </c>
      <c r="AO204" s="87" cm="1">
        <f t="array" ref="AO204">SUMPRODUCT((AO$2:AO$126&gt;=13)*(AO$2:AO$126&lt;=17)*(AO$2:AO$126&lt;&gt;""))</f>
        <v>11</v>
      </c>
      <c r="AP204" s="87" cm="1">
        <f t="array" ref="AP204">SUMPRODUCT((AP$2:AP$126&gt;=13)*(AP$2:AP$126&lt;=17)*(AP$2:AP$126&lt;&gt;""))</f>
        <v>12</v>
      </c>
      <c r="AQ204" s="87" cm="1">
        <f t="array" ref="AQ204">SUMPRODUCT((AQ$2:AQ$126&gt;=13)*(AQ$2:AQ$126&lt;=17)*(AQ$2:AQ$126&lt;&gt;""))</f>
        <v>11</v>
      </c>
      <c r="AR204" s="87" cm="1">
        <f t="array" ref="AR204">SUMPRODUCT((AR$2:AR$126&gt;=13)*(AR$2:AR$126&lt;=17)*(AR$2:AR$126&lt;&gt;""))</f>
        <v>10</v>
      </c>
      <c r="AS204" s="87" cm="1">
        <f t="array" ref="AS204">SUMPRODUCT((AS$2:AS$126&gt;=13)*(AS$2:AS$126&lt;=17)*(AS$2:AS$126&lt;&gt;""))</f>
        <v>11</v>
      </c>
      <c r="AT204" s="87" cm="1">
        <f t="array" ref="AT204">SUMPRODUCT((AT$2:AT$126&gt;=13)*(AT$2:AT$126&lt;=17)*(AT$2:AT$126&lt;&gt;""))</f>
        <v>10</v>
      </c>
      <c r="AU204" s="87" cm="1">
        <f t="array" ref="AU204">SUMPRODUCT((AU$2:AU$126&gt;=13)*(AU$2:AU$126&lt;=17)*(AU$2:AU$126&lt;&gt;""))</f>
        <v>12</v>
      </c>
      <c r="AV204" s="87" cm="1">
        <f t="array" ref="AV204">SUMPRODUCT((AV$2:AV$126&gt;=13)*(AV$2:AV$126&lt;=17)*(AV$2:AV$126&lt;&gt;""))</f>
        <v>16</v>
      </c>
      <c r="AW204" s="87" cm="1">
        <f t="array" ref="AW204">SUMPRODUCT((AW$2:AW$126&gt;=13)*(AW$2:AW$126&lt;=17)*(AW$2:AW$126&lt;&gt;""))</f>
        <v>16</v>
      </c>
      <c r="AX204" s="87" cm="1">
        <f t="array" ref="AX204">SUMPRODUCT((AX$2:AX$126&gt;=13)*(AX$2:AX$126&lt;=17)*(AX$2:AX$126&lt;&gt;""))</f>
        <v>21</v>
      </c>
      <c r="AY204" s="87" cm="1">
        <f t="array" ref="AY204">SUMPRODUCT((AY$2:AY$126&gt;=13)*(AY$2:AY$126&lt;=17)*(AY$2:AY$126&lt;&gt;""))</f>
        <v>20</v>
      </c>
      <c r="AZ204" s="87" cm="1">
        <f t="array" ref="AZ204">SUMPRODUCT((AZ$2:AZ$126&gt;=13)*(AZ$2:AZ$126&lt;=17)*(AZ$2:AZ$126&lt;&gt;""))</f>
        <v>21</v>
      </c>
      <c r="BA204" s="87" cm="1">
        <f t="array" ref="BA204">SUMPRODUCT((BA$2:BA$126&gt;=13)*(BA$2:BA$126&lt;=17)*(BA$2:BA$126&lt;&gt;""))</f>
        <v>18</v>
      </c>
      <c r="BB204" s="87" cm="1">
        <f t="array" ref="BB204">SUMPRODUCT((BB$2:BB$126&gt;=13)*(BB$2:BB$126&lt;=17)*(BB$2:BB$126&lt;&gt;""))</f>
        <v>14</v>
      </c>
      <c r="BC204" s="87" cm="1">
        <f t="array" ref="BC204">SUMPRODUCT((BC$2:BC$126&gt;=13)*(BC$2:BC$126&lt;=17)*(BC$2:BC$126&lt;&gt;""))</f>
        <v>11</v>
      </c>
      <c r="BD204" s="87" cm="1">
        <f t="array" ref="BD204">SUMPRODUCT((BD$2:BD$126&gt;=13)*(BD$2:BD$126&lt;=17)*(BD$2:BD$126&lt;&gt;""))</f>
        <v>11</v>
      </c>
      <c r="BE204" s="87" cm="1">
        <f t="array" ref="BE204">SUMPRODUCT((BE$2:BE$126&gt;=13)*(BE$2:BE$126&lt;=17)*(BE$2:BE$126&lt;&gt;""))</f>
        <v>17</v>
      </c>
      <c r="BF204" s="87" cm="1">
        <f t="array" ref="BF204">SUMPRODUCT((BF$2:BF$126&gt;=13)*(BF$2:BF$126&lt;=17)*(BF$2:BF$126&lt;&gt;""))</f>
        <v>19</v>
      </c>
      <c r="BG204" s="87" cm="1">
        <f t="array" ref="BG204">SUMPRODUCT((BG$2:BG$126&gt;=13)*(BG$2:BG$126&lt;=17)*(BG$2:BG$126&lt;&gt;""))</f>
        <v>18</v>
      </c>
      <c r="BH204" s="87" cm="1">
        <f t="array" ref="BH204">SUMPRODUCT((BH$2:BH$126&gt;=13)*(BH$2:BH$126&lt;=17)*(BH$2:BH$126&lt;&gt;""))</f>
        <v>20</v>
      </c>
      <c r="BI204" s="87" cm="1">
        <f t="array" ref="BI204">SUMPRODUCT((BI$2:BI$126&gt;=13)*(BI$2:BI$126&lt;=17)*(BI$2:BI$126&lt;&gt;""))</f>
        <v>16</v>
      </c>
      <c r="BJ204" s="87" cm="1">
        <f t="array" ref="BJ204">SUMPRODUCT((BJ$2:BJ$126&gt;=13)*(BJ$2:BJ$126&lt;=17)*(BJ$2:BJ$126&lt;&gt;""))</f>
        <v>21</v>
      </c>
      <c r="BK204" s="87" cm="1">
        <f t="array" ref="BK204">SUMPRODUCT((BK$2:BK$126&gt;=13)*(BK$2:BK$126&lt;=17)*(BK$2:BK$126&lt;&gt;""))</f>
        <v>18</v>
      </c>
      <c r="BL204" s="87" cm="1">
        <f t="array" ref="BL204">SUMPRODUCT((BL$2:BL$126&gt;=13)*(BL$2:BL$126&lt;=17)*(BL$2:BL$126&lt;&gt;""))</f>
        <v>17</v>
      </c>
      <c r="BM204" s="87" cm="1">
        <f t="array" ref="BM204">SUMPRODUCT((BM$2:BM$126&gt;=13)*(BM$2:BM$126&lt;=17)*(BM$2:BM$126&lt;&gt;""))</f>
        <v>17</v>
      </c>
      <c r="BN204" s="87" cm="1">
        <f t="array" ref="BN204">SUMPRODUCT((BN$2:BN$126&gt;=13)*(BN$2:BN$126&lt;=17)*(BN$2:BN$126&lt;&gt;""))</f>
        <v>26</v>
      </c>
      <c r="BO204" s="87" cm="1">
        <f t="array" ref="BO204">SUMPRODUCT((BO$2:BO$126&gt;=13)*(BO$2:BO$126&lt;=17)*(BO$2:BO$126&lt;&gt;""))</f>
        <v>22</v>
      </c>
      <c r="BP204" s="87" cm="1">
        <f t="array" ref="BP204">SUMPRODUCT((BP$2:BP$126&gt;=13)*(BP$2:BP$126&lt;=17)*(BP$2:BP$126&lt;&gt;""))</f>
        <v>20</v>
      </c>
      <c r="BQ204" s="87" cm="1">
        <f t="array" ref="BQ204">SUMPRODUCT((BQ$2:BQ$126&gt;=13)*(BQ$2:BQ$126&lt;=17)*(BQ$2:BQ$126&lt;&gt;""))</f>
        <v>21</v>
      </c>
      <c r="BR204" s="87" cm="1">
        <f t="array" ref="BR204">SUMPRODUCT((BR$2:BR$126&gt;=13)*(BR$2:BR$126&lt;=17)*(BR$2:BR$126&lt;&gt;""))</f>
        <v>21</v>
      </c>
      <c r="BS204" s="87" cm="1">
        <f t="array" ref="BS204">SUMPRODUCT((BS$2:BS$126&gt;=13)*(BS$2:BS$126&lt;=17)*(BS$2:BS$126&lt;&gt;""))</f>
        <v>24</v>
      </c>
      <c r="BT204" s="87" cm="1">
        <f t="array" ref="BT204">SUMPRODUCT((BT$2:BT$126&gt;=13)*(BT$2:BT$126&lt;=17)*(BT$2:BT$126&lt;&gt;""))</f>
        <v>30</v>
      </c>
      <c r="BU204" s="87" cm="1">
        <f t="array" ref="BU204">SUMPRODUCT((BU$2:BU$126&gt;=13)*(BU$2:BU$126&lt;=17)*(BU$2:BU$126&lt;&gt;""))</f>
        <v>33</v>
      </c>
      <c r="BV204" s="87" cm="1">
        <f t="array" ref="BV204">SUMPRODUCT((BV$2:BV$126&gt;=13)*(BV$2:BV$126&lt;=17)*(BV$2:BV$126&lt;&gt;""))</f>
        <v>33</v>
      </c>
      <c r="BW204" s="87" cm="1">
        <f t="array" ref="BW204">SUMPRODUCT((BW$2:BW$126&gt;=13)*(BW$2:BW$126&lt;=17)*(BW$2:BW$126&lt;&gt;""))</f>
        <v>27</v>
      </c>
      <c r="BX204" s="87" cm="1">
        <f t="array" ref="BX204">SUMPRODUCT((BX$2:BX$126&gt;=13)*(BX$2:BX$126&lt;=17)*(BX$2:BX$126&lt;&gt;""))</f>
        <v>23</v>
      </c>
      <c r="BY204" s="87" cm="1">
        <f t="array" ref="BY204">SUMPRODUCT((BY$2:BY$126&gt;=13)*(BY$2:BY$126&lt;=17)*(BY$2:BY$126&lt;&gt;""))</f>
        <v>20</v>
      </c>
      <c r="BZ204" s="87" cm="1">
        <f t="array" ref="BZ204">SUMPRODUCT((BZ$2:BZ$126&gt;=13)*(BZ$2:BZ$126&lt;=17)*(BZ$2:BZ$126&lt;&gt;""))</f>
        <v>27</v>
      </c>
      <c r="CA204" s="87" cm="1">
        <f t="array" ref="CA204">SUMPRODUCT((CA$2:CA$126&gt;=13)*(CA$2:CA$126&lt;=17)*(CA$2:CA$126&lt;&gt;""))</f>
        <v>25</v>
      </c>
      <c r="CB204" s="87" cm="1">
        <f t="array" ref="CB204">SUMPRODUCT((CB$2:CB$126&gt;=13)*(CB$2:CB$126&lt;=17)*(CB$2:CB$126&lt;&gt;""))</f>
        <v>32</v>
      </c>
      <c r="CC204" s="87" cm="1">
        <f t="array" ref="CC204">SUMPRODUCT((CC$2:CC$126&gt;=13)*(CC$2:CC$126&lt;=17)*(CC$2:CC$126&lt;&gt;""))</f>
        <v>25</v>
      </c>
      <c r="CD204" s="87" cm="1">
        <f t="array" ref="CD204">SUMPRODUCT((CD$2:CD$126&gt;=13)*(CD$2:CD$126&lt;=17)*(CD$2:CD$126&lt;&gt;""))</f>
        <v>19</v>
      </c>
      <c r="CE204" s="87" cm="1">
        <f t="array" ref="CE204">SUMPRODUCT((CE$2:CE$126&gt;=13)*(CE$2:CE$126&lt;=17)*(CE$2:CE$126&lt;&gt;""))</f>
        <v>9</v>
      </c>
      <c r="CF204" s="87" cm="1">
        <f t="array" ref="CF204">SUMPRODUCT((CF$2:CF$126&gt;=13)*(CF$2:CF$126&lt;=17)*(CF$2:CF$126&lt;&gt;""))</f>
        <v>7</v>
      </c>
      <c r="CG204" s="87" cm="1">
        <f t="array" ref="CG204">SUMPRODUCT((CG$2:CG$126&gt;=13)*(CG$2:CG$126&lt;=17)*(CG$2:CG$126&lt;&gt;""))</f>
        <v>0</v>
      </c>
      <c r="CH204" s="87" cm="1">
        <f t="array" ref="CH204">SUMPRODUCT((CH$2:CH$126&gt;=13)*(CH$2:CH$126&lt;=17)*(CH$2:CH$126&lt;&gt;""))</f>
        <v>0</v>
      </c>
      <c r="CI204" s="87" cm="1">
        <f t="array" ref="CI204">SUMPRODUCT((CI$2:CI$126&gt;=13)*(CI$2:CI$126&lt;=17)*(CI$2:CI$126&lt;&gt;""))</f>
        <v>0</v>
      </c>
      <c r="CJ204" s="87" cm="1">
        <f t="array" ref="CJ204">SUMPRODUCT((CJ$2:CJ$126&gt;=13)*(CJ$2:CJ$126&lt;=17)*(CJ$2:CJ$126&lt;&gt;""))</f>
        <v>0</v>
      </c>
      <c r="CK204" s="87" cm="1">
        <f t="array" ref="CK204">SUMPRODUCT((CK$2:CK$126&gt;=13)*(CK$2:CK$126&lt;=17)*(CK$2:CK$126&lt;&gt;""))</f>
        <v>0</v>
      </c>
      <c r="CL204" s="87" cm="1">
        <f t="array" ref="CL204">SUMPRODUCT((CL$2:CL$126&gt;=13)*(CL$2:CL$126&lt;=17)*(CL$2:CL$126&lt;&gt;""))</f>
        <v>0</v>
      </c>
      <c r="CM204" s="87" cm="1">
        <f t="array" ref="CM204">SUMPRODUCT((CM$2:CM$126&gt;=13)*(CM$2:CM$126&lt;=17)*(CM$2:CM$126&lt;&gt;""))</f>
        <v>0</v>
      </c>
      <c r="CN204" s="87" cm="1">
        <f t="array" ref="CN204">SUMPRODUCT((CN$2:CN$126&gt;=13)*(CN$2:CN$126&lt;=17)*(CN$2:CN$126&lt;&gt;""))</f>
        <v>0</v>
      </c>
      <c r="CO204" s="87" cm="1">
        <f t="array" ref="CO204">SUMPRODUCT((CO$2:CO$126&gt;=13)*(CO$2:CO$126&lt;=17)*(CO$2:CO$126&lt;&gt;""))</f>
        <v>0</v>
      </c>
      <c r="CP204" s="87" cm="1">
        <f t="array" ref="CP204">SUMPRODUCT((CP$2:CP$126&gt;=13)*(CP$2:CP$126&lt;=17)*(CP$2:CP$126&lt;&gt;""))</f>
        <v>0</v>
      </c>
      <c r="CQ204" s="87" cm="1">
        <f t="array" ref="CQ204">SUMPRODUCT((CQ$2:CQ$126&gt;=13)*(CQ$2:CQ$126&lt;=17)*(CQ$2:CQ$126&lt;&gt;""))</f>
        <v>0</v>
      </c>
      <c r="CR204" s="87" cm="1">
        <f t="array" ref="CR204">SUMPRODUCT((CR$2:CR$126&gt;=13)*(CR$2:CR$126&lt;=17)*(CR$2:CR$126&lt;&gt;""))</f>
        <v>0</v>
      </c>
      <c r="CS204" s="87" cm="1">
        <f t="array" ref="CS204">SUMPRODUCT((CS$2:CS$126&gt;=13)*(CS$2:CS$126&lt;=17)*(CS$2:CS$126&lt;&gt;""))</f>
        <v>0</v>
      </c>
      <c r="CT204" s="87" cm="1">
        <f t="array" ref="CT204">SUMPRODUCT((CT$2:CT$126&gt;=13)*(CT$2:CT$126&lt;=17)*(CT$2:CT$126&lt;&gt;""))</f>
        <v>0</v>
      </c>
      <c r="CU204" s="87" cm="1">
        <f t="array" ref="CU204">SUMPRODUCT((CU$2:CU$126&gt;=13)*(CU$2:CU$126&lt;=17)*(CU$2:CU$126&lt;&gt;""))</f>
        <v>0</v>
      </c>
      <c r="CV204" s="87" cm="1">
        <f t="array" ref="CV204">SUMPRODUCT((CV$2:CV$126&gt;=13)*(CV$2:CV$126&lt;=17)*(CV$2:CV$126&lt;&gt;""))</f>
        <v>0</v>
      </c>
      <c r="CW204" s="87" cm="1">
        <f t="array" ref="CW204">SUMPRODUCT((CW$2:CW$126&gt;=13)*(CW$2:CW$126&lt;=17)*(CW$2:CW$126&lt;&gt;""))</f>
        <v>0</v>
      </c>
      <c r="CX204" s="87" cm="1">
        <f t="array" ref="CX204">SUMPRODUCT((CX$2:CX$126&gt;=13)*(CX$2:CX$126&lt;=17)*(CX$2:CX$126&lt;&gt;""))</f>
        <v>0</v>
      </c>
      <c r="CY204" s="87" cm="1">
        <f t="array" ref="CY204">SUMPRODUCT((CY$2:CY$126&gt;=13)*(CY$2:CY$126&lt;=17)*(CY$2:CY$126&lt;&gt;""))</f>
        <v>0</v>
      </c>
      <c r="CZ204" s="87" cm="1">
        <f t="array" ref="CZ204">SUMPRODUCT((CZ$2:CZ$126&gt;=13)*(CZ$2:CZ$126&lt;=17)*(CZ$2:CZ$126&lt;&gt;""))</f>
        <v>0</v>
      </c>
      <c r="DA204" s="87" cm="1">
        <f t="array" ref="DA204">SUMPRODUCT((DA$2:DA$126&gt;=13)*(DA$2:DA$126&lt;=17)*(DA$2:DA$126&lt;&gt;""))</f>
        <v>0</v>
      </c>
      <c r="DB204" s="87" cm="1">
        <f t="array" ref="DB204">SUMPRODUCT((DB$2:DB$126&gt;=13)*(DB$2:DB$126&lt;=17)*(DB$2:DB$126&lt;&gt;""))</f>
        <v>0</v>
      </c>
      <c r="DC204" s="87" cm="1">
        <f t="array" ref="DC204">SUMPRODUCT((DC$2:DC$126&gt;=13)*(DC$2:DC$126&lt;=17)*(DC$2:DC$126&lt;&gt;""))</f>
        <v>0</v>
      </c>
      <c r="DD204" s="87" cm="1">
        <f t="array" ref="DD204">SUMPRODUCT((DD$2:DD$126&gt;=13)*(DD$2:DD$126&lt;=17)*(DD$2:DD$126&lt;&gt;""))</f>
        <v>0</v>
      </c>
      <c r="DE204" s="87" cm="1">
        <f t="array" ref="DE204">SUMPRODUCT((DE$2:DE$126&gt;=13)*(DE$2:DE$126&lt;=17)*(DE$2:DE$126&lt;&gt;""))</f>
        <v>0</v>
      </c>
      <c r="DF204" s="87" cm="1">
        <f t="array" ref="DF204">SUMPRODUCT((DF$2:DF$126&gt;=13)*(DF$2:DF$126&lt;=17)*(DF$2:DF$126&lt;&gt;""))</f>
        <v>0</v>
      </c>
      <c r="DG204" s="87" cm="1">
        <f t="array" ref="DG204">SUMPRODUCT((DG$2:DG$126&gt;=13)*(DG$2:DG$126&lt;=17)*(DG$2:DG$126&lt;&gt;""))</f>
        <v>0</v>
      </c>
      <c r="DH204" s="87" cm="1">
        <f t="array" ref="DH204">SUMPRODUCT((DH$2:DH$126&gt;=13)*(DH$2:DH$126&lt;=17)*(DH$2:DH$126&lt;&gt;""))</f>
        <v>0</v>
      </c>
      <c r="DI204" s="87" cm="1">
        <f t="array" ref="DI204">SUMPRODUCT((DI$2:DI$126&gt;=13)*(DI$2:DI$126&lt;=17)*(DI$2:DI$126&lt;&gt;""))</f>
        <v>0</v>
      </c>
      <c r="DJ204" s="87" cm="1">
        <f t="array" ref="DJ204">SUMPRODUCT((DJ$2:DJ$126&gt;=13)*(DJ$2:DJ$126&lt;=17)*(DJ$2:DJ$126&lt;&gt;""))</f>
        <v>0</v>
      </c>
      <c r="DK204" s="87" cm="1">
        <f t="array" ref="DK204">SUMPRODUCT((DK$2:DK$126&gt;=13)*(DK$2:DK$126&lt;=17)*(DK$2:DK$126&lt;&gt;""))</f>
        <v>0</v>
      </c>
      <c r="DL204" s="87" cm="1">
        <f t="array" ref="DL204">SUMPRODUCT((DL$2:DL$126&gt;=13)*(DL$2:DL$126&lt;=17)*(DL$2:DL$126&lt;&gt;""))</f>
        <v>0</v>
      </c>
      <c r="DM204" s="87" cm="1">
        <f t="array" ref="DM204">SUMPRODUCT((DM$2:DM$126&gt;=13)*(DM$2:DM$126&lt;=17)*(DM$2:DM$126&lt;&gt;""))</f>
        <v>0</v>
      </c>
      <c r="DN204" s="87" cm="1">
        <f t="array" ref="DN204">SUMPRODUCT((DN$2:DN$126&gt;=13)*(DN$2:DN$126&lt;=17)*(DN$2:DN$126&lt;&gt;""))</f>
        <v>0</v>
      </c>
      <c r="DO204" s="87" cm="1">
        <f t="array" ref="DO204">SUMPRODUCT((DO$2:DO$126&gt;=13)*(DO$2:DO$126&lt;=17)*(DO$2:DO$126&lt;&gt;""))</f>
        <v>0</v>
      </c>
      <c r="DP204" s="87" cm="1">
        <f t="array" ref="DP204">SUMPRODUCT((DP$2:DP$126&gt;=13)*(DP$2:DP$126&lt;=17)*(DP$2:DP$126&lt;&gt;""))</f>
        <v>0</v>
      </c>
      <c r="DQ204" s="87" cm="1">
        <f t="array" ref="DQ204">SUMPRODUCT((DQ$2:DQ$126&gt;=13)*(DQ$2:DQ$126&lt;=17)*(DQ$2:DQ$126&lt;&gt;""))</f>
        <v>0</v>
      </c>
      <c r="DR204" s="87" cm="1">
        <f t="array" ref="DR204">SUMPRODUCT((DR$2:DR$126&gt;=13)*(DR$2:DR$126&lt;=17)*(DR$2:DR$126&lt;&gt;""))</f>
        <v>0</v>
      </c>
      <c r="DS204" s="87" cm="1">
        <f t="array" ref="DS204">SUMPRODUCT((DS$2:DS$126&gt;=13)*(DS$2:DS$126&lt;=17)*(DS$2:DS$126&lt;&gt;""))</f>
        <v>0</v>
      </c>
      <c r="DT204" s="87" cm="1">
        <f t="array" ref="DT204">SUMPRODUCT((DT$2:DT$126&gt;=13)*(DT$2:DT$126&lt;=17)*(DT$2:DT$126&lt;&gt;""))</f>
        <v>0</v>
      </c>
      <c r="DU204" s="87" cm="1">
        <f t="array" ref="DU204">SUMPRODUCT((DU$2:DU$126&gt;=13)*(DU$2:DU$126&lt;=17)*(DU$2:DU$126&lt;&gt;""))</f>
        <v>0</v>
      </c>
      <c r="DV204" s="87" cm="1">
        <f t="array" ref="DV204">SUMPRODUCT((DV$2:DV$126&gt;=13)*(DV$2:DV$126&lt;=17)*(DV$2:DV$126&lt;&gt;""))</f>
        <v>0</v>
      </c>
      <c r="DW204" s="87" cm="1">
        <f t="array" ref="DW204">SUMPRODUCT((DW$2:DW$126&gt;=13)*(DW$2:DW$126&lt;=17)*(DW$2:DW$126&lt;&gt;""))</f>
        <v>0</v>
      </c>
      <c r="DX204" s="87" cm="1">
        <f t="array" ref="DX204">SUMPRODUCT((DX$2:DX$126&gt;=13)*(DX$2:DX$126&lt;=17)*(DX$2:DX$126&lt;&gt;""))</f>
        <v>0</v>
      </c>
      <c r="DY204" s="87" cm="1">
        <f t="array" ref="DY204">SUMPRODUCT((DY$2:DY$126&gt;=13)*(DY$2:DY$126&lt;=17)*(DY$2:DY$126&lt;&gt;""))</f>
        <v>0</v>
      </c>
      <c r="DZ204" s="87" cm="1">
        <f t="array" ref="DZ204">SUMPRODUCT((DZ$2:DZ$126&gt;=13)*(DZ$2:DZ$126&lt;=17)*(DZ$2:DZ$126&lt;&gt;""))</f>
        <v>0</v>
      </c>
      <c r="EA204" s="87" cm="1">
        <f t="array" ref="EA204">SUMPRODUCT((EA$2:EA$126&gt;=13)*(EA$2:EA$126&lt;=17)*(EA$2:EA$126&lt;&gt;""))</f>
        <v>0</v>
      </c>
      <c r="EB204" s="87" cm="1">
        <f t="array" ref="EB204">SUMPRODUCT((EB$2:EB$126&gt;=13)*(EB$2:EB$126&lt;=17)*(EB$2:EB$126&lt;&gt;""))</f>
        <v>0</v>
      </c>
      <c r="EC204" s="87" cm="1">
        <f t="array" ref="EC204">SUMPRODUCT((EC$2:EC$126&gt;=13)*(EC$2:EC$126&lt;=17)*(EC$2:EC$126&lt;&gt;""))</f>
        <v>0</v>
      </c>
      <c r="ED204" s="87" cm="1">
        <f t="array" ref="ED204">SUMPRODUCT((ED$2:ED$126&gt;=13)*(ED$2:ED$126&lt;=17)*(ED$2:ED$126&lt;&gt;""))</f>
        <v>0</v>
      </c>
      <c r="EE204" s="87" cm="1">
        <f t="array" ref="EE204">SUMPRODUCT((EE$2:EE$126&gt;=13)*(EE$2:EE$126&lt;=17)*(EE$2:EE$126&lt;&gt;""))</f>
        <v>0</v>
      </c>
      <c r="EF204" s="87" cm="1">
        <f t="array" ref="EF204">SUMPRODUCT((EF$2:EF$126&gt;=13)*(EF$2:EF$126&lt;=17)*(EF$2:EF$126&lt;&gt;""))</f>
        <v>0</v>
      </c>
      <c r="EG204" s="87" cm="1">
        <f t="array" ref="EG204">SUMPRODUCT((EG$2:EG$126&gt;=13)*(EG$2:EG$126&lt;=17)*(EG$2:EG$126&lt;&gt;""))</f>
        <v>0</v>
      </c>
      <c r="EH204" s="87" cm="1">
        <f t="array" ref="EH204">SUMPRODUCT((EH$2:EH$126&gt;=13)*(EH$2:EH$126&lt;=17)*(EH$2:EH$126&lt;&gt;""))</f>
        <v>0</v>
      </c>
      <c r="EI204" s="87" cm="1">
        <f t="array" ref="EI204">SUMPRODUCT((EI$2:EI$126&gt;=13)*(EI$2:EI$126&lt;=17)*(EI$2:EI$126&lt;&gt;""))</f>
        <v>0</v>
      </c>
      <c r="EJ204" s="87" cm="1">
        <f t="array" ref="EJ204">SUMPRODUCT((EJ$2:EJ$126&gt;=13)*(EJ$2:EJ$126&lt;=17)*(EJ$2:EJ$126&lt;&gt;""))</f>
        <v>0</v>
      </c>
      <c r="EK204" s="87" cm="1">
        <f t="array" ref="EK204">SUMPRODUCT((EK$2:EK$126&gt;=13)*(EK$2:EK$126&lt;=17)*(EK$2:EK$126&lt;&gt;""))</f>
        <v>0</v>
      </c>
      <c r="EL204" s="87" cm="1">
        <f t="array" ref="EL204">SUMPRODUCT((EL$2:EL$126&gt;=13)*(EL$2:EL$126&lt;=17)*(EL$2:EL$126&lt;&gt;""))</f>
        <v>0</v>
      </c>
      <c r="EM204" s="87" cm="1">
        <f t="array" ref="EM204">SUMPRODUCT((EM$2:EM$126&gt;=13)*(EM$2:EM$126&lt;=17)*(EM$2:EM$126&lt;&gt;""))</f>
        <v>0</v>
      </c>
      <c r="EN204" s="87" cm="1">
        <f t="array" ref="EN204">SUMPRODUCT((EN$2:EN$126&gt;=13)*(EN$2:EN$126&lt;=17)*(EN$2:EN$126&lt;&gt;""))</f>
        <v>0</v>
      </c>
      <c r="EO204" s="87" cm="1">
        <f t="array" ref="EO204">SUMPRODUCT((EO$2:EO$126&gt;=13)*(EO$2:EO$126&lt;=17)*(EO$2:EO$126&lt;&gt;""))</f>
        <v>0</v>
      </c>
      <c r="EP204" s="87" cm="1">
        <f t="array" ref="EP204">SUMPRODUCT((EP$2:EP$126&gt;=13)*(EP$2:EP$126&lt;=17)*(EP$2:EP$126&lt;&gt;""))</f>
        <v>0</v>
      </c>
      <c r="EQ204" s="87" cm="1">
        <f t="array" ref="EQ204">SUMPRODUCT((EQ$2:EQ$126&gt;=13)*(EQ$2:EQ$126&lt;=17)*(EQ$2:EQ$126&lt;&gt;""))</f>
        <v>0</v>
      </c>
      <c r="ER204" s="87" cm="1">
        <f t="array" ref="ER204">SUMPRODUCT((ER$2:ER$126&gt;=13)*(ER$2:ER$126&lt;=17)*(ER$2:ER$126&lt;&gt;""))</f>
        <v>0</v>
      </c>
      <c r="ES204" s="87" cm="1">
        <f t="array" ref="ES204">SUMPRODUCT((ES$2:ES$126&gt;=13)*(ES$2:ES$126&lt;=17)*(ES$2:ES$126&lt;&gt;""))</f>
        <v>0</v>
      </c>
      <c r="ET204" s="87" cm="1">
        <f t="array" ref="ET204">SUMPRODUCT((ET$2:ET$126&gt;=13)*(ET$2:ET$126&lt;=17)*(ET$2:ET$126&lt;&gt;""))</f>
        <v>0</v>
      </c>
      <c r="EU204" s="87" cm="1">
        <f t="array" ref="EU204">SUMPRODUCT((EU$2:EU$126&gt;=13)*(EU$2:EU$126&lt;=17)*(EU$2:EU$126&lt;&gt;""))</f>
        <v>0</v>
      </c>
      <c r="EV204" s="87" cm="1">
        <f t="array" ref="EV204">SUMPRODUCT((EV$2:EV$126&gt;=13)*(EV$2:EV$126&lt;=17)*(EV$2:EV$126&lt;&gt;""))</f>
        <v>0</v>
      </c>
      <c r="EW204" s="87" cm="1">
        <f t="array" ref="EW204">SUMPRODUCT((EW$2:EW$126&gt;=13)*(EW$2:EW$126&lt;=17)*(EW$2:EW$126&lt;&gt;""))</f>
        <v>0</v>
      </c>
      <c r="EX204" s="87" cm="1">
        <f t="array" ref="EX204">SUMPRODUCT((EX$2:EX$126&gt;=13)*(EX$2:EX$126&lt;=17)*(EX$2:EX$126&lt;&gt;""))</f>
        <v>0</v>
      </c>
      <c r="EY204" s="87" cm="1">
        <f t="array" ref="EY204">SUMPRODUCT((EY$2:EY$126&gt;=13)*(EY$2:EY$126&lt;=17)*(EY$2:EY$126&lt;&gt;""))</f>
        <v>0</v>
      </c>
      <c r="EZ204" s="87" cm="1">
        <f t="array" ref="EZ204">SUMPRODUCT((EZ$2:EZ$126&gt;=13)*(EZ$2:EZ$126&lt;=17)*(EZ$2:EZ$126&lt;&gt;""))</f>
        <v>0</v>
      </c>
      <c r="FA204" s="87" cm="1">
        <f t="array" ref="FA204">SUMPRODUCT((FA$2:FA$126&gt;=13)*(FA$2:FA$126&lt;=17)*(FA$2:FA$126&lt;&gt;""))</f>
        <v>0</v>
      </c>
      <c r="FB204" s="87" cm="1">
        <f t="array" ref="FB204">SUMPRODUCT((FB$2:FB$126&gt;=13)*(FB$2:FB$126&lt;=17)*(FB$2:FB$126&lt;&gt;""))</f>
        <v>0</v>
      </c>
      <c r="FC204" s="87" cm="1">
        <f t="array" ref="FC204">SUMPRODUCT((FC$2:FC$126&gt;=13)*(FC$2:FC$126&lt;=17)*(FC$2:FC$126&lt;&gt;""))</f>
        <v>0</v>
      </c>
      <c r="FD204" s="87" cm="1">
        <f t="array" ref="FD204">SUMPRODUCT((FD$2:FD$126&gt;=13)*(FD$2:FD$126&lt;=17)*(FD$2:FD$126&lt;&gt;""))</f>
        <v>0</v>
      </c>
      <c r="FE204" s="87" cm="1">
        <f t="array" ref="FE204">SUMPRODUCT((FE$2:FE$126&gt;=13)*(FE$2:FE$126&lt;=17)*(FE$2:FE$126&lt;&gt;""))</f>
        <v>0</v>
      </c>
      <c r="FF204" s="87" cm="1">
        <f t="array" ref="FF204">SUMPRODUCT((FF$2:FF$126&gt;=13)*(FF$2:FF$126&lt;=17)*(FF$2:FF$126&lt;&gt;""))</f>
        <v>0</v>
      </c>
      <c r="FG204" s="87" cm="1">
        <f t="array" ref="FG204">SUMPRODUCT((FG$2:FG$126&gt;=13)*(FG$2:FG$126&lt;=17)*(FG$2:FG$126&lt;&gt;""))</f>
        <v>0</v>
      </c>
      <c r="FH204" s="87" cm="1">
        <f t="array" ref="FH204">SUMPRODUCT((FH$2:FH$126&gt;=13)*(FH$2:FH$126&lt;=17)*(FH$2:FH$126&lt;&gt;""))</f>
        <v>0</v>
      </c>
      <c r="FI204" s="87" cm="1">
        <f t="array" ref="FI204">SUMPRODUCT((FI$2:FI$126&gt;=13)*(FI$2:FI$126&lt;=17)*(FI$2:FI$126&lt;&gt;""))</f>
        <v>0</v>
      </c>
      <c r="FJ204" s="87" cm="1">
        <f t="array" ref="FJ204">SUMPRODUCT((FJ$2:FJ$126&gt;=13)*(FJ$2:FJ$126&lt;=17)*(FJ$2:FJ$126&lt;&gt;""))</f>
        <v>0</v>
      </c>
      <c r="FK204" s="87" cm="1">
        <f t="array" ref="FK204">SUMPRODUCT((FK$2:FK$126&gt;=13)*(FK$2:FK$126&lt;=17)*(FK$2:FK$126&lt;&gt;""))</f>
        <v>0</v>
      </c>
      <c r="FL204" s="87" cm="1">
        <f t="array" ref="FL204">SUMPRODUCT((FL$2:FL$126&gt;=13)*(FL$2:FL$126&lt;=17)*(FL$2:FL$126&lt;&gt;""))</f>
        <v>0</v>
      </c>
      <c r="FM204" s="87" cm="1">
        <f t="array" ref="FM204">SUMPRODUCT((FM$2:FM$126&gt;=13)*(FM$2:FM$126&lt;=17)*(FM$2:FM$126&lt;&gt;""))</f>
        <v>0</v>
      </c>
      <c r="FN204" s="87" cm="1">
        <f t="array" ref="FN204">SUMPRODUCT((FN$2:FN$126&gt;=13)*(FN$2:FN$126&lt;=17)*(FN$2:FN$126&lt;&gt;""))</f>
        <v>0</v>
      </c>
      <c r="FO204" s="87" cm="1">
        <f t="array" ref="FO204">SUMPRODUCT((FO$2:FO$126&gt;=13)*(FO$2:FO$126&lt;=17)*(FO$2:FO$126&lt;&gt;""))</f>
        <v>0</v>
      </c>
      <c r="FP204" s="87" cm="1">
        <f t="array" ref="FP204">SUMPRODUCT((FP$2:FP$126&gt;=13)*(FP$2:FP$126&lt;=17)*(FP$2:FP$126&lt;&gt;""))</f>
        <v>0</v>
      </c>
      <c r="FQ204" s="87" cm="1">
        <f t="array" ref="FQ204">SUMPRODUCT((FQ$2:FQ$126&gt;=13)*(FQ$2:FQ$126&lt;=17)*(FQ$2:FQ$126&lt;&gt;""))</f>
        <v>0</v>
      </c>
      <c r="FR204" s="87" cm="1">
        <f t="array" ref="FR204">SUMPRODUCT((FR$2:FR$126&gt;=13)*(FR$2:FR$126&lt;=17)*(FR$2:FR$126&lt;&gt;""))</f>
        <v>0</v>
      </c>
      <c r="FS204" s="87" cm="1">
        <f t="array" ref="FS204">SUMPRODUCT((FS$2:FS$126&gt;=13)*(FS$2:FS$126&lt;=17)*(FS$2:FS$126&lt;&gt;""))</f>
        <v>0</v>
      </c>
      <c r="FT204" s="87" cm="1">
        <f t="array" ref="FT204">SUMPRODUCT((FT$2:FT$126&gt;=13)*(FT$2:FT$126&lt;=17)*(FT$2:FT$126&lt;&gt;""))</f>
        <v>0</v>
      </c>
      <c r="FU204" s="87" cm="1">
        <f t="array" ref="FU204">SUMPRODUCT((FU$2:FU$126&gt;=13)*(FU$2:FU$126&lt;=17)*(FU$2:FU$126&lt;&gt;""))</f>
        <v>0</v>
      </c>
      <c r="FV204" s="87" cm="1">
        <f t="array" ref="FV204">SUMPRODUCT((FV$2:FV$126&gt;=13)*(FV$2:FV$126&lt;=17)*(FV$2:FV$126&lt;&gt;""))</f>
        <v>0</v>
      </c>
      <c r="FW204" s="87" cm="1">
        <f t="array" ref="FW204">SUMPRODUCT((FW$2:FW$126&gt;=13)*(FW$2:FW$126&lt;=17)*(FW$2:FW$126&lt;&gt;""))</f>
        <v>0</v>
      </c>
      <c r="FX204" s="87" cm="1">
        <f t="array" ref="FX204">SUMPRODUCT((FX$2:FX$126&gt;=13)*(FX$2:FX$126&lt;=17)*(FX$2:FX$126&lt;&gt;""))</f>
        <v>0</v>
      </c>
      <c r="FY204" s="87" cm="1">
        <f t="array" ref="FY204">SUMPRODUCT((FY$2:FY$126&gt;=13)*(FY$2:FY$126&lt;=17)*(FY$2:FY$126&lt;&gt;""))</f>
        <v>0</v>
      </c>
      <c r="FZ204" s="87" cm="1">
        <f t="array" ref="FZ204">SUMPRODUCT((FZ$2:FZ$126&gt;=13)*(FZ$2:FZ$126&lt;=17)*(FZ$2:FZ$126&lt;&gt;""))</f>
        <v>0</v>
      </c>
      <c r="GA204" s="87" cm="1">
        <f t="array" ref="GA204">SUMPRODUCT((GA$2:GA$126&gt;=13)*(GA$2:GA$126&lt;=17)*(GA$2:GA$126&lt;&gt;""))</f>
        <v>0</v>
      </c>
      <c r="GB204" s="87" cm="1">
        <f t="array" ref="GB204">SUMPRODUCT((GB$2:GB$126&gt;=13)*(GB$2:GB$126&lt;=17)*(GB$2:GB$126&lt;&gt;""))</f>
        <v>0</v>
      </c>
      <c r="GC204" s="87" cm="1">
        <f t="array" ref="GC204">SUMPRODUCT((GC$2:GC$126&gt;=13)*(GC$2:GC$126&lt;=17)*(GC$2:GC$126&lt;&gt;""))</f>
        <v>0</v>
      </c>
      <c r="GD204" s="87" cm="1">
        <f t="array" ref="GD204">SUMPRODUCT((GD$2:GD$126&gt;=13)*(GD$2:GD$126&lt;=17)*(GD$2:GD$126&lt;&gt;""))</f>
        <v>0</v>
      </c>
      <c r="GE204" s="87" cm="1">
        <f t="array" ref="GE204">SUMPRODUCT((GE$2:GE$126&gt;=13)*(GE$2:GE$126&lt;=17)*(GE$2:GE$126&lt;&gt;""))</f>
        <v>0</v>
      </c>
      <c r="GF204" s="87" cm="1">
        <f t="array" ref="GF204">SUMPRODUCT((GF$2:GF$126&gt;=13)*(GF$2:GF$126&lt;=17)*(GF$2:GF$126&lt;&gt;""))</f>
        <v>0</v>
      </c>
      <c r="GG204" s="87" cm="1">
        <f t="array" ref="GG204">SUMPRODUCT((GG$2:GG$126&gt;=13)*(GG$2:GG$126&lt;=17)*(GG$2:GG$126&lt;&gt;""))</f>
        <v>0</v>
      </c>
      <c r="GH204" s="87" cm="1">
        <f t="array" ref="GH204">SUMPRODUCT((GH$2:GH$126&gt;=13)*(GH$2:GH$126&lt;=17)*(GH$2:GH$126&lt;&gt;""))</f>
        <v>0</v>
      </c>
      <c r="GI204" s="87" cm="1">
        <f t="array" ref="GI204">SUMPRODUCT((GI$2:GI$126&gt;=13)*(GI$2:GI$126&lt;=17)*(GI$2:GI$126&lt;&gt;""))</f>
        <v>0</v>
      </c>
      <c r="GJ204" s="87" cm="1">
        <f t="array" ref="GJ204">SUMPRODUCT((GJ$2:GJ$126&gt;=13)*(GJ$2:GJ$126&lt;=17)*(GJ$2:GJ$126&lt;&gt;""))</f>
        <v>0</v>
      </c>
      <c r="GK204" s="87" cm="1">
        <f t="array" ref="GK204">SUMPRODUCT((GK$2:GK$126&gt;=13)*(GK$2:GK$126&lt;=17)*(GK$2:GK$126&lt;&gt;""))</f>
        <v>0</v>
      </c>
      <c r="GL204" s="87" cm="1">
        <f t="array" ref="GL204">SUMPRODUCT((GL$2:GL$126&gt;=13)*(GL$2:GL$126&lt;=17)*(GL$2:GL$126&lt;&gt;""))</f>
        <v>0</v>
      </c>
      <c r="GM204" s="87" cm="1">
        <f t="array" ref="GM204">SUMPRODUCT((GM$2:GM$126&gt;=13)*(GM$2:GM$126&lt;=17)*(GM$2:GM$126&lt;&gt;""))</f>
        <v>0</v>
      </c>
      <c r="GN204" s="87" cm="1">
        <f t="array" ref="GN204">SUMPRODUCT((GN$2:GN$126&gt;=13)*(GN$2:GN$126&lt;=17)*(GN$2:GN$126&lt;&gt;""))</f>
        <v>0</v>
      </c>
      <c r="GO204" s="87" cm="1">
        <f t="array" ref="GO204">SUMPRODUCT((GO$2:GO$126&gt;=13)*(GO$2:GO$126&lt;=17)*(GO$2:GO$126&lt;&gt;""))</f>
        <v>0</v>
      </c>
      <c r="GP204" s="87" cm="1">
        <f t="array" ref="GP204">SUMPRODUCT((GP$2:GP$126&gt;=13)*(GP$2:GP$126&lt;=17)*(GP$2:GP$126&lt;&gt;""))</f>
        <v>0</v>
      </c>
      <c r="GQ204" s="87" cm="1">
        <f t="array" ref="GQ204">SUMPRODUCT((GQ$2:GQ$126&gt;=13)*(GQ$2:GQ$126&lt;=17)*(GQ$2:GQ$126&lt;&gt;""))</f>
        <v>0</v>
      </c>
      <c r="GR204" s="87" cm="1">
        <f t="array" ref="GR204">SUMPRODUCT((GR$2:GR$126&gt;=13)*(GR$2:GR$126&lt;=17)*(GR$2:GR$126&lt;&gt;""))</f>
        <v>0</v>
      </c>
      <c r="GS204" s="87" cm="1">
        <f t="array" ref="GS204">SUMPRODUCT((GS$2:GS$126&gt;=13)*(GS$2:GS$126&lt;=17)*(GS$2:GS$126&lt;&gt;""))</f>
        <v>0</v>
      </c>
      <c r="GT204" s="87" cm="1">
        <f t="array" ref="GT204">SUMPRODUCT((GT$2:GT$126&gt;=13)*(GT$2:GT$126&lt;=17)*(GT$2:GT$126&lt;&gt;""))</f>
        <v>0</v>
      </c>
      <c r="GU204" s="87" cm="1">
        <f t="array" ref="GU204">SUMPRODUCT((GU$2:GU$126&gt;=13)*(GU$2:GU$126&lt;=17)*(GU$2:GU$126&lt;&gt;""))</f>
        <v>0</v>
      </c>
      <c r="GV204" s="87" cm="1">
        <f t="array" ref="GV204">SUMPRODUCT((GV$2:GV$126&gt;=13)*(GV$2:GV$126&lt;=17)*(GV$2:GV$126&lt;&gt;""))</f>
        <v>0</v>
      </c>
      <c r="GW204" s="87" cm="1">
        <f t="array" ref="GW204">SUMPRODUCT((GW$2:GW$126&gt;=13)*(GW$2:GW$126&lt;=17)*(GW$2:GW$126&lt;&gt;""))</f>
        <v>0</v>
      </c>
      <c r="GX204" s="87" cm="1">
        <f t="array" ref="GX204">SUMPRODUCT((GX$2:GX$126&gt;=13)*(GX$2:GX$126&lt;=17)*(GX$2:GX$126&lt;&gt;""))</f>
        <v>0</v>
      </c>
    </row>
    <row r="205" spans="1:206" x14ac:dyDescent="0.2">
      <c r="A205" s="84"/>
      <c r="B205" s="84" t="s">
        <v>256</v>
      </c>
      <c r="W205" s="87" cm="1">
        <f t="array" ref="W205">SUMPRODUCT((W$2:W$126&gt;=18)*(W$2:W$126&lt;=22)*(W$2:W$126&lt;&gt;""))</f>
        <v>18</v>
      </c>
      <c r="X205" s="87" cm="1">
        <f t="array" ref="X205">SUMPRODUCT((X$2:X$126&gt;=18)*(X$2:X$126&lt;=22)*(X$2:X$126&lt;&gt;""))</f>
        <v>16</v>
      </c>
      <c r="Y205" s="87" cm="1">
        <f t="array" ref="Y205">SUMPRODUCT((Y$2:Y$126&gt;=18)*(Y$2:Y$126&lt;=22)*(Y$2:Y$126&lt;&gt;""))</f>
        <v>12</v>
      </c>
      <c r="Z205" s="87" cm="1">
        <f t="array" ref="Z205">SUMPRODUCT((Z$2:Z$126&gt;=18)*(Z$2:Z$126&lt;=22)*(Z$2:Z$126&lt;&gt;""))</f>
        <v>10</v>
      </c>
      <c r="AA205" s="87" cm="1">
        <f t="array" ref="AA205">SUMPRODUCT((AA$2:AA$126&gt;=18)*(AA$2:AA$126&lt;=22)*(AA$2:AA$126&lt;&gt;""))</f>
        <v>16</v>
      </c>
      <c r="AB205" s="87" cm="1">
        <f t="array" ref="AB205">SUMPRODUCT((AB$2:AB$126&gt;=18)*(AB$2:AB$126&lt;=22)*(AB$2:AB$126&lt;&gt;""))</f>
        <v>9</v>
      </c>
      <c r="AC205" s="87" cm="1">
        <f t="array" ref="AC205">SUMPRODUCT((AC$2:AC$126&gt;=18)*(AC$2:AC$126&lt;=22)*(AC$2:AC$126&lt;&gt;""))</f>
        <v>13</v>
      </c>
      <c r="AD205" s="87" cm="1">
        <f t="array" ref="AD205">SUMPRODUCT((AD$2:AD$126&gt;=18)*(AD$2:AD$126&lt;=22)*(AD$2:AD$126&lt;&gt;""))</f>
        <v>17</v>
      </c>
      <c r="AE205" s="87" cm="1">
        <f t="array" ref="AE205">SUMPRODUCT((AE$2:AE$126&gt;=18)*(AE$2:AE$126&lt;=22)*(AE$2:AE$126&lt;&gt;""))</f>
        <v>22</v>
      </c>
      <c r="AF205" s="87" cm="1">
        <f t="array" ref="AF205">SUMPRODUCT((AF$2:AF$126&gt;=18)*(AF$2:AF$126&lt;=22)*(AF$2:AF$126&lt;&gt;""))</f>
        <v>14</v>
      </c>
      <c r="AG205" s="87" cm="1">
        <f t="array" ref="AG205">SUMPRODUCT((AG$2:AG$126&gt;=18)*(AG$2:AG$126&lt;=22)*(AG$2:AG$126&lt;&gt;""))</f>
        <v>16</v>
      </c>
      <c r="AH205" s="87" cm="1">
        <f t="array" ref="AH205">SUMPRODUCT((AH$2:AH$126&gt;=18)*(AH$2:AH$126&lt;=22)*(AH$2:AH$126&lt;&gt;""))</f>
        <v>14</v>
      </c>
      <c r="AI205" s="87" cm="1">
        <f t="array" ref="AI205">SUMPRODUCT((AI$2:AI$126&gt;=18)*(AI$2:AI$126&lt;=22)*(AI$2:AI$126&lt;&gt;""))</f>
        <v>16</v>
      </c>
      <c r="AJ205" s="87" cm="1">
        <f t="array" ref="AJ205">SUMPRODUCT((AJ$2:AJ$126&gt;=18)*(AJ$2:AJ$126&lt;=22)*(AJ$2:AJ$126&lt;&gt;""))</f>
        <v>14</v>
      </c>
      <c r="AK205" s="87" cm="1">
        <f t="array" ref="AK205">SUMPRODUCT((AK$2:AK$126&gt;=18)*(AK$2:AK$126&lt;=22)*(AK$2:AK$126&lt;&gt;""))</f>
        <v>15</v>
      </c>
      <c r="AL205" s="87" cm="1">
        <f t="array" ref="AL205">SUMPRODUCT((AL$2:AL$126&gt;=18)*(AL$2:AL$126&lt;=22)*(AL$2:AL$126&lt;&gt;""))</f>
        <v>13</v>
      </c>
      <c r="AM205" s="87" cm="1">
        <f t="array" ref="AM205">SUMPRODUCT((AM$2:AM$126&gt;=18)*(AM$2:AM$126&lt;=22)*(AM$2:AM$126&lt;&gt;""))</f>
        <v>13</v>
      </c>
      <c r="AN205" s="87" cm="1">
        <f t="array" ref="AN205">SUMPRODUCT((AN$2:AN$126&gt;=18)*(AN$2:AN$126&lt;=22)*(AN$2:AN$126&lt;&gt;""))</f>
        <v>9</v>
      </c>
      <c r="AO205" s="87" cm="1">
        <f t="array" ref="AO205">SUMPRODUCT((AO$2:AO$126&gt;=18)*(AO$2:AO$126&lt;=22)*(AO$2:AO$126&lt;&gt;""))</f>
        <v>10</v>
      </c>
      <c r="AP205" s="87" cm="1">
        <f t="array" ref="AP205">SUMPRODUCT((AP$2:AP$126&gt;=18)*(AP$2:AP$126&lt;=22)*(AP$2:AP$126&lt;&gt;""))</f>
        <v>13</v>
      </c>
      <c r="AQ205" s="87" cm="1">
        <f t="array" ref="AQ205">SUMPRODUCT((AQ$2:AQ$126&gt;=18)*(AQ$2:AQ$126&lt;=22)*(AQ$2:AQ$126&lt;&gt;""))</f>
        <v>14</v>
      </c>
      <c r="AR205" s="87" cm="1">
        <f t="array" ref="AR205">SUMPRODUCT((AR$2:AR$126&gt;=18)*(AR$2:AR$126&lt;=22)*(AR$2:AR$126&lt;&gt;""))</f>
        <v>11</v>
      </c>
      <c r="AS205" s="87" cm="1">
        <f t="array" ref="AS205">SUMPRODUCT((AS$2:AS$126&gt;=18)*(AS$2:AS$126&lt;=22)*(AS$2:AS$126&lt;&gt;""))</f>
        <v>7</v>
      </c>
      <c r="AT205" s="87" cm="1">
        <f t="array" ref="AT205">SUMPRODUCT((AT$2:AT$126&gt;=18)*(AT$2:AT$126&lt;=22)*(AT$2:AT$126&lt;&gt;""))</f>
        <v>7</v>
      </c>
      <c r="AU205" s="87" cm="1">
        <f t="array" ref="AU205">SUMPRODUCT((AU$2:AU$126&gt;=18)*(AU$2:AU$126&lt;=22)*(AU$2:AU$126&lt;&gt;""))</f>
        <v>6</v>
      </c>
      <c r="AV205" s="87" cm="1">
        <f t="array" ref="AV205">SUMPRODUCT((AV$2:AV$126&gt;=18)*(AV$2:AV$126&lt;=22)*(AV$2:AV$126&lt;&gt;""))</f>
        <v>4</v>
      </c>
      <c r="AW205" s="87" cm="1">
        <f t="array" ref="AW205">SUMPRODUCT((AW$2:AW$126&gt;=18)*(AW$2:AW$126&lt;=22)*(AW$2:AW$126&lt;&gt;""))</f>
        <v>7</v>
      </c>
      <c r="AX205" s="87" cm="1">
        <f t="array" ref="AX205">SUMPRODUCT((AX$2:AX$126&gt;=18)*(AX$2:AX$126&lt;=22)*(AX$2:AX$126&lt;&gt;""))</f>
        <v>6</v>
      </c>
      <c r="AY205" s="87" cm="1">
        <f t="array" ref="AY205">SUMPRODUCT((AY$2:AY$126&gt;=18)*(AY$2:AY$126&lt;=22)*(AY$2:AY$126&lt;&gt;""))</f>
        <v>4</v>
      </c>
      <c r="AZ205" s="87" cm="1">
        <f t="array" ref="AZ205">SUMPRODUCT((AZ$2:AZ$126&gt;=18)*(AZ$2:AZ$126&lt;=22)*(AZ$2:AZ$126&lt;&gt;""))</f>
        <v>3</v>
      </c>
      <c r="BA205" s="87" cm="1">
        <f t="array" ref="BA205">SUMPRODUCT((BA$2:BA$126&gt;=18)*(BA$2:BA$126&lt;=22)*(BA$2:BA$126&lt;&gt;""))</f>
        <v>2</v>
      </c>
      <c r="BB205" s="87" cm="1">
        <f t="array" ref="BB205">SUMPRODUCT((BB$2:BB$126&gt;=18)*(BB$2:BB$126&lt;=22)*(BB$2:BB$126&lt;&gt;""))</f>
        <v>3</v>
      </c>
      <c r="BC205" s="87" cm="1">
        <f t="array" ref="BC205">SUMPRODUCT((BC$2:BC$126&gt;=18)*(BC$2:BC$126&lt;=22)*(BC$2:BC$126&lt;&gt;""))</f>
        <v>6</v>
      </c>
      <c r="BD205" s="87" cm="1">
        <f t="array" ref="BD205">SUMPRODUCT((BD$2:BD$126&gt;=18)*(BD$2:BD$126&lt;=22)*(BD$2:BD$126&lt;&gt;""))</f>
        <v>4</v>
      </c>
      <c r="BE205" s="87" cm="1">
        <f t="array" ref="BE205">SUMPRODUCT((BE$2:BE$126&gt;=18)*(BE$2:BE$126&lt;=22)*(BE$2:BE$126&lt;&gt;""))</f>
        <v>5</v>
      </c>
      <c r="BF205" s="87" cm="1">
        <f t="array" ref="BF205">SUMPRODUCT((BF$2:BF$126&gt;=18)*(BF$2:BF$126&lt;=22)*(BF$2:BF$126&lt;&gt;""))</f>
        <v>3</v>
      </c>
      <c r="BG205" s="87" cm="1">
        <f t="array" ref="BG205">SUMPRODUCT((BG$2:BG$126&gt;=18)*(BG$2:BG$126&lt;=22)*(BG$2:BG$126&lt;&gt;""))</f>
        <v>1</v>
      </c>
      <c r="BH205" s="87" cm="1">
        <f t="array" ref="BH205">SUMPRODUCT((BH$2:BH$126&gt;=18)*(BH$2:BH$126&lt;=22)*(BH$2:BH$126&lt;&gt;""))</f>
        <v>0</v>
      </c>
      <c r="BI205" s="87" cm="1">
        <f t="array" ref="BI205">SUMPRODUCT((BI$2:BI$126&gt;=18)*(BI$2:BI$126&lt;=22)*(BI$2:BI$126&lt;&gt;""))</f>
        <v>1</v>
      </c>
      <c r="BJ205" s="87" cm="1">
        <f t="array" ref="BJ205">SUMPRODUCT((BJ$2:BJ$126&gt;=18)*(BJ$2:BJ$126&lt;=22)*(BJ$2:BJ$126&lt;&gt;""))</f>
        <v>4</v>
      </c>
      <c r="BK205" s="87" cm="1">
        <f t="array" ref="BK205">SUMPRODUCT((BK$2:BK$126&gt;=18)*(BK$2:BK$126&lt;=22)*(BK$2:BK$126&lt;&gt;""))</f>
        <v>4</v>
      </c>
      <c r="BL205" s="87" cm="1">
        <f t="array" ref="BL205">SUMPRODUCT((BL$2:BL$126&gt;=18)*(BL$2:BL$126&lt;=22)*(BL$2:BL$126&lt;&gt;""))</f>
        <v>5</v>
      </c>
      <c r="BM205" s="87" cm="1">
        <f t="array" ref="BM205">SUMPRODUCT((BM$2:BM$126&gt;=18)*(BM$2:BM$126&lt;=22)*(BM$2:BM$126&lt;&gt;""))</f>
        <v>5</v>
      </c>
      <c r="BN205" s="87" cm="1">
        <f t="array" ref="BN205">SUMPRODUCT((BN$2:BN$126&gt;=18)*(BN$2:BN$126&lt;=22)*(BN$2:BN$126&lt;&gt;""))</f>
        <v>3</v>
      </c>
      <c r="BO205" s="87" cm="1">
        <f t="array" ref="BO205">SUMPRODUCT((BO$2:BO$126&gt;=18)*(BO$2:BO$126&lt;=22)*(BO$2:BO$126&lt;&gt;""))</f>
        <v>3</v>
      </c>
      <c r="BP205" s="87" cm="1">
        <f t="array" ref="BP205">SUMPRODUCT((BP$2:BP$126&gt;=18)*(BP$2:BP$126&lt;=22)*(BP$2:BP$126&lt;&gt;""))</f>
        <v>5</v>
      </c>
      <c r="BQ205" s="87" cm="1">
        <f t="array" ref="BQ205">SUMPRODUCT((BQ$2:BQ$126&gt;=18)*(BQ$2:BQ$126&lt;=22)*(BQ$2:BQ$126&lt;&gt;""))</f>
        <v>7</v>
      </c>
      <c r="BR205" s="87" cm="1">
        <f t="array" ref="BR205">SUMPRODUCT((BR$2:BR$126&gt;=18)*(BR$2:BR$126&lt;=22)*(BR$2:BR$126&lt;&gt;""))</f>
        <v>13</v>
      </c>
      <c r="BS205" s="87" cm="1">
        <f t="array" ref="BS205">SUMPRODUCT((BS$2:BS$126&gt;=18)*(BS$2:BS$126&lt;=22)*(BS$2:BS$126&lt;&gt;""))</f>
        <v>21</v>
      </c>
      <c r="BT205" s="87" cm="1">
        <f t="array" ref="BT205">SUMPRODUCT((BT$2:BT$126&gt;=18)*(BT$2:BT$126&lt;=22)*(BT$2:BT$126&lt;&gt;""))</f>
        <v>22</v>
      </c>
      <c r="BU205" s="87" cm="1">
        <f t="array" ref="BU205">SUMPRODUCT((BU$2:BU$126&gt;=18)*(BU$2:BU$126&lt;=22)*(BU$2:BU$126&lt;&gt;""))</f>
        <v>20</v>
      </c>
      <c r="BV205" s="87" cm="1">
        <f t="array" ref="BV205">SUMPRODUCT((BV$2:BV$126&gt;=18)*(BV$2:BV$126&lt;=22)*(BV$2:BV$126&lt;&gt;""))</f>
        <v>21</v>
      </c>
      <c r="BW205" s="87" cm="1">
        <f t="array" ref="BW205">SUMPRODUCT((BW$2:BW$126&gt;=18)*(BW$2:BW$126&lt;=22)*(BW$2:BW$126&lt;&gt;""))</f>
        <v>21</v>
      </c>
      <c r="BX205" s="87" cm="1">
        <f t="array" ref="BX205">SUMPRODUCT((BX$2:BX$126&gt;=18)*(BX$2:BX$126&lt;=22)*(BX$2:BX$126&lt;&gt;""))</f>
        <v>24</v>
      </c>
      <c r="BY205" s="87" cm="1">
        <f t="array" ref="BY205">SUMPRODUCT((BY$2:BY$126&gt;=18)*(BY$2:BY$126&lt;=22)*(BY$2:BY$126&lt;&gt;""))</f>
        <v>30</v>
      </c>
      <c r="BZ205" s="87" cm="1">
        <f t="array" ref="BZ205">SUMPRODUCT((BZ$2:BZ$126&gt;=18)*(BZ$2:BZ$126&lt;=22)*(BZ$2:BZ$126&lt;&gt;""))</f>
        <v>33</v>
      </c>
      <c r="CA205" s="87" cm="1">
        <f t="array" ref="CA205">SUMPRODUCT((CA$2:CA$126&gt;=18)*(CA$2:CA$126&lt;=22)*(CA$2:CA$126&lt;&gt;""))</f>
        <v>33</v>
      </c>
      <c r="CB205" s="87" cm="1">
        <f t="array" ref="CB205">SUMPRODUCT((CB$2:CB$126&gt;=18)*(CB$2:CB$126&lt;=22)*(CB$2:CB$126&lt;&gt;""))</f>
        <v>27</v>
      </c>
      <c r="CC205" s="87" cm="1">
        <f t="array" ref="CC205">SUMPRODUCT((CC$2:CC$126&gt;=18)*(CC$2:CC$126&lt;=22)*(CC$2:CC$126&lt;&gt;""))</f>
        <v>23</v>
      </c>
      <c r="CD205" s="87" cm="1">
        <f t="array" ref="CD205">SUMPRODUCT((CD$2:CD$126&gt;=18)*(CD$2:CD$126&lt;=22)*(CD$2:CD$126&lt;&gt;""))</f>
        <v>20</v>
      </c>
      <c r="CE205" s="87" cm="1">
        <f t="array" ref="CE205">SUMPRODUCT((CE$2:CE$126&gt;=18)*(CE$2:CE$126&lt;=22)*(CE$2:CE$126&lt;&gt;""))</f>
        <v>27</v>
      </c>
      <c r="CF205" s="87" cm="1">
        <f t="array" ref="CF205">SUMPRODUCT((CF$2:CF$126&gt;=18)*(CF$2:CF$126&lt;=22)*(CF$2:CF$126&lt;&gt;""))</f>
        <v>25</v>
      </c>
      <c r="CG205" s="87" cm="1">
        <f t="array" ref="CG205">SUMPRODUCT((CG$2:CG$126&gt;=18)*(CG$2:CG$126&lt;=22)*(CG$2:CG$126&lt;&gt;""))</f>
        <v>32</v>
      </c>
      <c r="CH205" s="87" cm="1">
        <f t="array" ref="CH205">SUMPRODUCT((CH$2:CH$126&gt;=18)*(CH$2:CH$126&lt;=22)*(CH$2:CH$126&lt;&gt;""))</f>
        <v>25</v>
      </c>
      <c r="CI205" s="87" cm="1">
        <f t="array" ref="CI205">SUMPRODUCT((CI$2:CI$126&gt;=18)*(CI$2:CI$126&lt;=22)*(CI$2:CI$126&lt;&gt;""))</f>
        <v>19</v>
      </c>
      <c r="CJ205" s="87" cm="1">
        <f t="array" ref="CJ205">SUMPRODUCT((CJ$2:CJ$126&gt;=18)*(CJ$2:CJ$126&lt;=22)*(CJ$2:CJ$126&lt;&gt;""))</f>
        <v>9</v>
      </c>
      <c r="CK205" s="87" cm="1">
        <f t="array" ref="CK205">SUMPRODUCT((CK$2:CK$126&gt;=18)*(CK$2:CK$126&lt;=22)*(CK$2:CK$126&lt;&gt;""))</f>
        <v>7</v>
      </c>
      <c r="CL205" s="87" cm="1">
        <f t="array" ref="CL205">SUMPRODUCT((CL$2:CL$126&gt;=18)*(CL$2:CL$126&lt;=22)*(CL$2:CL$126&lt;&gt;""))</f>
        <v>0</v>
      </c>
      <c r="CM205" s="87" cm="1">
        <f t="array" ref="CM205">SUMPRODUCT((CM$2:CM$126&gt;=18)*(CM$2:CM$126&lt;=22)*(CM$2:CM$126&lt;&gt;""))</f>
        <v>0</v>
      </c>
      <c r="CN205" s="87" cm="1">
        <f t="array" ref="CN205">SUMPRODUCT((CN$2:CN$126&gt;=18)*(CN$2:CN$126&lt;=22)*(CN$2:CN$126&lt;&gt;""))</f>
        <v>0</v>
      </c>
      <c r="CO205" s="87" cm="1">
        <f t="array" ref="CO205">SUMPRODUCT((CO$2:CO$126&gt;=18)*(CO$2:CO$126&lt;=22)*(CO$2:CO$126&lt;&gt;""))</f>
        <v>0</v>
      </c>
      <c r="CP205" s="87" cm="1">
        <f t="array" ref="CP205">SUMPRODUCT((CP$2:CP$126&gt;=18)*(CP$2:CP$126&lt;=22)*(CP$2:CP$126&lt;&gt;""))</f>
        <v>0</v>
      </c>
      <c r="CQ205" s="87" cm="1">
        <f t="array" ref="CQ205">SUMPRODUCT((CQ$2:CQ$126&gt;=18)*(CQ$2:CQ$126&lt;=22)*(CQ$2:CQ$126&lt;&gt;""))</f>
        <v>0</v>
      </c>
      <c r="CR205" s="87" cm="1">
        <f t="array" ref="CR205">SUMPRODUCT((CR$2:CR$126&gt;=18)*(CR$2:CR$126&lt;=22)*(CR$2:CR$126&lt;&gt;""))</f>
        <v>0</v>
      </c>
      <c r="CS205" s="87" cm="1">
        <f t="array" ref="CS205">SUMPRODUCT((CS$2:CS$126&gt;=18)*(CS$2:CS$126&lt;=22)*(CS$2:CS$126&lt;&gt;""))</f>
        <v>0</v>
      </c>
      <c r="CT205" s="87" cm="1">
        <f t="array" ref="CT205">SUMPRODUCT((CT$2:CT$126&gt;=18)*(CT$2:CT$126&lt;=22)*(CT$2:CT$126&lt;&gt;""))</f>
        <v>0</v>
      </c>
      <c r="CU205" s="87" cm="1">
        <f t="array" ref="CU205">SUMPRODUCT((CU$2:CU$126&gt;=18)*(CU$2:CU$126&lt;=22)*(CU$2:CU$126&lt;&gt;""))</f>
        <v>0</v>
      </c>
      <c r="CV205" s="87" cm="1">
        <f t="array" ref="CV205">SUMPRODUCT((CV$2:CV$126&gt;=18)*(CV$2:CV$126&lt;=22)*(CV$2:CV$126&lt;&gt;""))</f>
        <v>0</v>
      </c>
      <c r="CW205" s="87" cm="1">
        <f t="array" ref="CW205">SUMPRODUCT((CW$2:CW$126&gt;=18)*(CW$2:CW$126&lt;=22)*(CW$2:CW$126&lt;&gt;""))</f>
        <v>0</v>
      </c>
      <c r="CX205" s="87" cm="1">
        <f t="array" ref="CX205">SUMPRODUCT((CX$2:CX$126&gt;=18)*(CX$2:CX$126&lt;=22)*(CX$2:CX$126&lt;&gt;""))</f>
        <v>0</v>
      </c>
      <c r="CY205" s="87" cm="1">
        <f t="array" ref="CY205">SUMPRODUCT((CY$2:CY$126&gt;=18)*(CY$2:CY$126&lt;=22)*(CY$2:CY$126&lt;&gt;""))</f>
        <v>0</v>
      </c>
      <c r="CZ205" s="87" cm="1">
        <f t="array" ref="CZ205">SUMPRODUCT((CZ$2:CZ$126&gt;=18)*(CZ$2:CZ$126&lt;=22)*(CZ$2:CZ$126&lt;&gt;""))</f>
        <v>0</v>
      </c>
      <c r="DA205" s="87" cm="1">
        <f t="array" ref="DA205">SUMPRODUCT((DA$2:DA$126&gt;=18)*(DA$2:DA$126&lt;=22)*(DA$2:DA$126&lt;&gt;""))</f>
        <v>0</v>
      </c>
      <c r="DB205" s="87" cm="1">
        <f t="array" ref="DB205">SUMPRODUCT((DB$2:DB$126&gt;=18)*(DB$2:DB$126&lt;=22)*(DB$2:DB$126&lt;&gt;""))</f>
        <v>0</v>
      </c>
      <c r="DC205" s="87" cm="1">
        <f t="array" ref="DC205">SUMPRODUCT((DC$2:DC$126&gt;=18)*(DC$2:DC$126&lt;=22)*(DC$2:DC$126&lt;&gt;""))</f>
        <v>0</v>
      </c>
      <c r="DD205" s="87" cm="1">
        <f t="array" ref="DD205">SUMPRODUCT((DD$2:DD$126&gt;=18)*(DD$2:DD$126&lt;=22)*(DD$2:DD$126&lt;&gt;""))</f>
        <v>0</v>
      </c>
      <c r="DE205" s="87" cm="1">
        <f t="array" ref="DE205">SUMPRODUCT((DE$2:DE$126&gt;=18)*(DE$2:DE$126&lt;=22)*(DE$2:DE$126&lt;&gt;""))</f>
        <v>0</v>
      </c>
      <c r="DF205" s="87" cm="1">
        <f t="array" ref="DF205">SUMPRODUCT((DF$2:DF$126&gt;=18)*(DF$2:DF$126&lt;=22)*(DF$2:DF$126&lt;&gt;""))</f>
        <v>0</v>
      </c>
      <c r="DG205" s="87" cm="1">
        <f t="array" ref="DG205">SUMPRODUCT((DG$2:DG$126&gt;=18)*(DG$2:DG$126&lt;=22)*(DG$2:DG$126&lt;&gt;""))</f>
        <v>0</v>
      </c>
      <c r="DH205" s="87" cm="1">
        <f t="array" ref="DH205">SUMPRODUCT((DH$2:DH$126&gt;=18)*(DH$2:DH$126&lt;=22)*(DH$2:DH$126&lt;&gt;""))</f>
        <v>0</v>
      </c>
      <c r="DI205" s="87" cm="1">
        <f t="array" ref="DI205">SUMPRODUCT((DI$2:DI$126&gt;=18)*(DI$2:DI$126&lt;=22)*(DI$2:DI$126&lt;&gt;""))</f>
        <v>0</v>
      </c>
      <c r="DJ205" s="87" cm="1">
        <f t="array" ref="DJ205">SUMPRODUCT((DJ$2:DJ$126&gt;=18)*(DJ$2:DJ$126&lt;=22)*(DJ$2:DJ$126&lt;&gt;""))</f>
        <v>0</v>
      </c>
      <c r="DK205" s="87" cm="1">
        <f t="array" ref="DK205">SUMPRODUCT((DK$2:DK$126&gt;=18)*(DK$2:DK$126&lt;=22)*(DK$2:DK$126&lt;&gt;""))</f>
        <v>0</v>
      </c>
      <c r="DL205" s="87" cm="1">
        <f t="array" ref="DL205">SUMPRODUCT((DL$2:DL$126&gt;=18)*(DL$2:DL$126&lt;=22)*(DL$2:DL$126&lt;&gt;""))</f>
        <v>0</v>
      </c>
      <c r="DM205" s="87" cm="1">
        <f t="array" ref="DM205">SUMPRODUCT((DM$2:DM$126&gt;=18)*(DM$2:DM$126&lt;=22)*(DM$2:DM$126&lt;&gt;""))</f>
        <v>0</v>
      </c>
      <c r="DN205" s="87" cm="1">
        <f t="array" ref="DN205">SUMPRODUCT((DN$2:DN$126&gt;=18)*(DN$2:DN$126&lt;=22)*(DN$2:DN$126&lt;&gt;""))</f>
        <v>0</v>
      </c>
      <c r="DO205" s="87" cm="1">
        <f t="array" ref="DO205">SUMPRODUCT((DO$2:DO$126&gt;=18)*(DO$2:DO$126&lt;=22)*(DO$2:DO$126&lt;&gt;""))</f>
        <v>0</v>
      </c>
      <c r="DP205" s="87" cm="1">
        <f t="array" ref="DP205">SUMPRODUCT((DP$2:DP$126&gt;=18)*(DP$2:DP$126&lt;=22)*(DP$2:DP$126&lt;&gt;""))</f>
        <v>0</v>
      </c>
      <c r="DQ205" s="87" cm="1">
        <f t="array" ref="DQ205">SUMPRODUCT((DQ$2:DQ$126&gt;=18)*(DQ$2:DQ$126&lt;=22)*(DQ$2:DQ$126&lt;&gt;""))</f>
        <v>0</v>
      </c>
      <c r="DR205" s="87" cm="1">
        <f t="array" ref="DR205">SUMPRODUCT((DR$2:DR$126&gt;=18)*(DR$2:DR$126&lt;=22)*(DR$2:DR$126&lt;&gt;""))</f>
        <v>0</v>
      </c>
      <c r="DS205" s="87" cm="1">
        <f t="array" ref="DS205">SUMPRODUCT((DS$2:DS$126&gt;=18)*(DS$2:DS$126&lt;=22)*(DS$2:DS$126&lt;&gt;""))</f>
        <v>0</v>
      </c>
      <c r="DT205" s="87" cm="1">
        <f t="array" ref="DT205">SUMPRODUCT((DT$2:DT$126&gt;=18)*(DT$2:DT$126&lt;=22)*(DT$2:DT$126&lt;&gt;""))</f>
        <v>0</v>
      </c>
      <c r="DU205" s="87" cm="1">
        <f t="array" ref="DU205">SUMPRODUCT((DU$2:DU$126&gt;=18)*(DU$2:DU$126&lt;=22)*(DU$2:DU$126&lt;&gt;""))</f>
        <v>0</v>
      </c>
      <c r="DV205" s="87" cm="1">
        <f t="array" ref="DV205">SUMPRODUCT((DV$2:DV$126&gt;=18)*(DV$2:DV$126&lt;=22)*(DV$2:DV$126&lt;&gt;""))</f>
        <v>0</v>
      </c>
      <c r="DW205" s="87" cm="1">
        <f t="array" ref="DW205">SUMPRODUCT((DW$2:DW$126&gt;=18)*(DW$2:DW$126&lt;=22)*(DW$2:DW$126&lt;&gt;""))</f>
        <v>0</v>
      </c>
      <c r="DX205" s="87" cm="1">
        <f t="array" ref="DX205">SUMPRODUCT((DX$2:DX$126&gt;=18)*(DX$2:DX$126&lt;=22)*(DX$2:DX$126&lt;&gt;""))</f>
        <v>0</v>
      </c>
      <c r="DY205" s="87" cm="1">
        <f t="array" ref="DY205">SUMPRODUCT((DY$2:DY$126&gt;=18)*(DY$2:DY$126&lt;=22)*(DY$2:DY$126&lt;&gt;""))</f>
        <v>0</v>
      </c>
      <c r="DZ205" s="87" cm="1">
        <f t="array" ref="DZ205">SUMPRODUCT((DZ$2:DZ$126&gt;=18)*(DZ$2:DZ$126&lt;=22)*(DZ$2:DZ$126&lt;&gt;""))</f>
        <v>0</v>
      </c>
      <c r="EA205" s="87" cm="1">
        <f t="array" ref="EA205">SUMPRODUCT((EA$2:EA$126&gt;=18)*(EA$2:EA$126&lt;=22)*(EA$2:EA$126&lt;&gt;""))</f>
        <v>0</v>
      </c>
      <c r="EB205" s="87" cm="1">
        <f t="array" ref="EB205">SUMPRODUCT((EB$2:EB$126&gt;=18)*(EB$2:EB$126&lt;=22)*(EB$2:EB$126&lt;&gt;""))</f>
        <v>0</v>
      </c>
      <c r="EC205" s="87" cm="1">
        <f t="array" ref="EC205">SUMPRODUCT((EC$2:EC$126&gt;=18)*(EC$2:EC$126&lt;=22)*(EC$2:EC$126&lt;&gt;""))</f>
        <v>0</v>
      </c>
      <c r="ED205" s="87" cm="1">
        <f t="array" ref="ED205">SUMPRODUCT((ED$2:ED$126&gt;=18)*(ED$2:ED$126&lt;=22)*(ED$2:ED$126&lt;&gt;""))</f>
        <v>0</v>
      </c>
      <c r="EE205" s="87" cm="1">
        <f t="array" ref="EE205">SUMPRODUCT((EE$2:EE$126&gt;=18)*(EE$2:EE$126&lt;=22)*(EE$2:EE$126&lt;&gt;""))</f>
        <v>0</v>
      </c>
      <c r="EF205" s="87" cm="1">
        <f t="array" ref="EF205">SUMPRODUCT((EF$2:EF$126&gt;=18)*(EF$2:EF$126&lt;=22)*(EF$2:EF$126&lt;&gt;""))</f>
        <v>0</v>
      </c>
      <c r="EG205" s="87" cm="1">
        <f t="array" ref="EG205">SUMPRODUCT((EG$2:EG$126&gt;=18)*(EG$2:EG$126&lt;=22)*(EG$2:EG$126&lt;&gt;""))</f>
        <v>0</v>
      </c>
      <c r="EH205" s="87" cm="1">
        <f t="array" ref="EH205">SUMPRODUCT((EH$2:EH$126&gt;=18)*(EH$2:EH$126&lt;=22)*(EH$2:EH$126&lt;&gt;""))</f>
        <v>0</v>
      </c>
      <c r="EI205" s="87" cm="1">
        <f t="array" ref="EI205">SUMPRODUCT((EI$2:EI$126&gt;=18)*(EI$2:EI$126&lt;=22)*(EI$2:EI$126&lt;&gt;""))</f>
        <v>0</v>
      </c>
      <c r="EJ205" s="87" cm="1">
        <f t="array" ref="EJ205">SUMPRODUCT((EJ$2:EJ$126&gt;=18)*(EJ$2:EJ$126&lt;=22)*(EJ$2:EJ$126&lt;&gt;""))</f>
        <v>0</v>
      </c>
      <c r="EK205" s="87" cm="1">
        <f t="array" ref="EK205">SUMPRODUCT((EK$2:EK$126&gt;=18)*(EK$2:EK$126&lt;=22)*(EK$2:EK$126&lt;&gt;""))</f>
        <v>0</v>
      </c>
      <c r="EL205" s="87" cm="1">
        <f t="array" ref="EL205">SUMPRODUCT((EL$2:EL$126&gt;=18)*(EL$2:EL$126&lt;=22)*(EL$2:EL$126&lt;&gt;""))</f>
        <v>0</v>
      </c>
      <c r="EM205" s="87" cm="1">
        <f t="array" ref="EM205">SUMPRODUCT((EM$2:EM$126&gt;=18)*(EM$2:EM$126&lt;=22)*(EM$2:EM$126&lt;&gt;""))</f>
        <v>0</v>
      </c>
      <c r="EN205" s="87" cm="1">
        <f t="array" ref="EN205">SUMPRODUCT((EN$2:EN$126&gt;=18)*(EN$2:EN$126&lt;=22)*(EN$2:EN$126&lt;&gt;""))</f>
        <v>0</v>
      </c>
      <c r="EO205" s="87" cm="1">
        <f t="array" ref="EO205">SUMPRODUCT((EO$2:EO$126&gt;=18)*(EO$2:EO$126&lt;=22)*(EO$2:EO$126&lt;&gt;""))</f>
        <v>0</v>
      </c>
      <c r="EP205" s="87" cm="1">
        <f t="array" ref="EP205">SUMPRODUCT((EP$2:EP$126&gt;=18)*(EP$2:EP$126&lt;=22)*(EP$2:EP$126&lt;&gt;""))</f>
        <v>0</v>
      </c>
      <c r="EQ205" s="87" cm="1">
        <f t="array" ref="EQ205">SUMPRODUCT((EQ$2:EQ$126&gt;=18)*(EQ$2:EQ$126&lt;=22)*(EQ$2:EQ$126&lt;&gt;""))</f>
        <v>0</v>
      </c>
      <c r="ER205" s="87" cm="1">
        <f t="array" ref="ER205">SUMPRODUCT((ER$2:ER$126&gt;=18)*(ER$2:ER$126&lt;=22)*(ER$2:ER$126&lt;&gt;""))</f>
        <v>0</v>
      </c>
      <c r="ES205" s="87" cm="1">
        <f t="array" ref="ES205">SUMPRODUCT((ES$2:ES$126&gt;=18)*(ES$2:ES$126&lt;=22)*(ES$2:ES$126&lt;&gt;""))</f>
        <v>0</v>
      </c>
      <c r="ET205" s="87" cm="1">
        <f t="array" ref="ET205">SUMPRODUCT((ET$2:ET$126&gt;=18)*(ET$2:ET$126&lt;=22)*(ET$2:ET$126&lt;&gt;""))</f>
        <v>0</v>
      </c>
      <c r="EU205" s="87" cm="1">
        <f t="array" ref="EU205">SUMPRODUCT((EU$2:EU$126&gt;=18)*(EU$2:EU$126&lt;=22)*(EU$2:EU$126&lt;&gt;""))</f>
        <v>0</v>
      </c>
      <c r="EV205" s="87" cm="1">
        <f t="array" ref="EV205">SUMPRODUCT((EV$2:EV$126&gt;=18)*(EV$2:EV$126&lt;=22)*(EV$2:EV$126&lt;&gt;""))</f>
        <v>0</v>
      </c>
      <c r="EW205" s="87" cm="1">
        <f t="array" ref="EW205">SUMPRODUCT((EW$2:EW$126&gt;=18)*(EW$2:EW$126&lt;=22)*(EW$2:EW$126&lt;&gt;""))</f>
        <v>0</v>
      </c>
      <c r="EX205" s="87" cm="1">
        <f t="array" ref="EX205">SUMPRODUCT((EX$2:EX$126&gt;=18)*(EX$2:EX$126&lt;=22)*(EX$2:EX$126&lt;&gt;""))</f>
        <v>0</v>
      </c>
      <c r="EY205" s="87" cm="1">
        <f t="array" ref="EY205">SUMPRODUCT((EY$2:EY$126&gt;=18)*(EY$2:EY$126&lt;=22)*(EY$2:EY$126&lt;&gt;""))</f>
        <v>0</v>
      </c>
      <c r="EZ205" s="87" cm="1">
        <f t="array" ref="EZ205">SUMPRODUCT((EZ$2:EZ$126&gt;=18)*(EZ$2:EZ$126&lt;=22)*(EZ$2:EZ$126&lt;&gt;""))</f>
        <v>0</v>
      </c>
      <c r="FA205" s="87" cm="1">
        <f t="array" ref="FA205">SUMPRODUCT((FA$2:FA$126&gt;=18)*(FA$2:FA$126&lt;=22)*(FA$2:FA$126&lt;&gt;""))</f>
        <v>0</v>
      </c>
      <c r="FB205" s="87" cm="1">
        <f t="array" ref="FB205">SUMPRODUCT((FB$2:FB$126&gt;=18)*(FB$2:FB$126&lt;=22)*(FB$2:FB$126&lt;&gt;""))</f>
        <v>0</v>
      </c>
      <c r="FC205" s="87" cm="1">
        <f t="array" ref="FC205">SUMPRODUCT((FC$2:FC$126&gt;=18)*(FC$2:FC$126&lt;=22)*(FC$2:FC$126&lt;&gt;""))</f>
        <v>0</v>
      </c>
      <c r="FD205" s="87" cm="1">
        <f t="array" ref="FD205">SUMPRODUCT((FD$2:FD$126&gt;=18)*(FD$2:FD$126&lt;=22)*(FD$2:FD$126&lt;&gt;""))</f>
        <v>0</v>
      </c>
      <c r="FE205" s="87" cm="1">
        <f t="array" ref="FE205">SUMPRODUCT((FE$2:FE$126&gt;=18)*(FE$2:FE$126&lt;=22)*(FE$2:FE$126&lt;&gt;""))</f>
        <v>0</v>
      </c>
      <c r="FF205" s="87" cm="1">
        <f t="array" ref="FF205">SUMPRODUCT((FF$2:FF$126&gt;=18)*(FF$2:FF$126&lt;=22)*(FF$2:FF$126&lt;&gt;""))</f>
        <v>0</v>
      </c>
      <c r="FG205" s="87" cm="1">
        <f t="array" ref="FG205">SUMPRODUCT((FG$2:FG$126&gt;=18)*(FG$2:FG$126&lt;=22)*(FG$2:FG$126&lt;&gt;""))</f>
        <v>0</v>
      </c>
      <c r="FH205" s="87" cm="1">
        <f t="array" ref="FH205">SUMPRODUCT((FH$2:FH$126&gt;=18)*(FH$2:FH$126&lt;=22)*(FH$2:FH$126&lt;&gt;""))</f>
        <v>0</v>
      </c>
      <c r="FI205" s="87" cm="1">
        <f t="array" ref="FI205">SUMPRODUCT((FI$2:FI$126&gt;=18)*(FI$2:FI$126&lt;=22)*(FI$2:FI$126&lt;&gt;""))</f>
        <v>0</v>
      </c>
      <c r="FJ205" s="87" cm="1">
        <f t="array" ref="FJ205">SUMPRODUCT((FJ$2:FJ$126&gt;=18)*(FJ$2:FJ$126&lt;=22)*(FJ$2:FJ$126&lt;&gt;""))</f>
        <v>0</v>
      </c>
      <c r="FK205" s="87" cm="1">
        <f t="array" ref="FK205">SUMPRODUCT((FK$2:FK$126&gt;=18)*(FK$2:FK$126&lt;=22)*(FK$2:FK$126&lt;&gt;""))</f>
        <v>0</v>
      </c>
      <c r="FL205" s="87" cm="1">
        <f t="array" ref="FL205">SUMPRODUCT((FL$2:FL$126&gt;=18)*(FL$2:FL$126&lt;=22)*(FL$2:FL$126&lt;&gt;""))</f>
        <v>0</v>
      </c>
      <c r="FM205" s="87" cm="1">
        <f t="array" ref="FM205">SUMPRODUCT((FM$2:FM$126&gt;=18)*(FM$2:FM$126&lt;=22)*(FM$2:FM$126&lt;&gt;""))</f>
        <v>0</v>
      </c>
      <c r="FN205" s="87" cm="1">
        <f t="array" ref="FN205">SUMPRODUCT((FN$2:FN$126&gt;=18)*(FN$2:FN$126&lt;=22)*(FN$2:FN$126&lt;&gt;""))</f>
        <v>0</v>
      </c>
      <c r="FO205" s="87" cm="1">
        <f t="array" ref="FO205">SUMPRODUCT((FO$2:FO$126&gt;=18)*(FO$2:FO$126&lt;=22)*(FO$2:FO$126&lt;&gt;""))</f>
        <v>0</v>
      </c>
      <c r="FP205" s="87" cm="1">
        <f t="array" ref="FP205">SUMPRODUCT((FP$2:FP$126&gt;=18)*(FP$2:FP$126&lt;=22)*(FP$2:FP$126&lt;&gt;""))</f>
        <v>0</v>
      </c>
      <c r="FQ205" s="87" cm="1">
        <f t="array" ref="FQ205">SUMPRODUCT((FQ$2:FQ$126&gt;=18)*(FQ$2:FQ$126&lt;=22)*(FQ$2:FQ$126&lt;&gt;""))</f>
        <v>0</v>
      </c>
      <c r="FR205" s="87" cm="1">
        <f t="array" ref="FR205">SUMPRODUCT((FR$2:FR$126&gt;=18)*(FR$2:FR$126&lt;=22)*(FR$2:FR$126&lt;&gt;""))</f>
        <v>0</v>
      </c>
      <c r="FS205" s="87" cm="1">
        <f t="array" ref="FS205">SUMPRODUCT((FS$2:FS$126&gt;=18)*(FS$2:FS$126&lt;=22)*(FS$2:FS$126&lt;&gt;""))</f>
        <v>0</v>
      </c>
      <c r="FT205" s="87" cm="1">
        <f t="array" ref="FT205">SUMPRODUCT((FT$2:FT$126&gt;=18)*(FT$2:FT$126&lt;=22)*(FT$2:FT$126&lt;&gt;""))</f>
        <v>0</v>
      </c>
      <c r="FU205" s="87" cm="1">
        <f t="array" ref="FU205">SUMPRODUCT((FU$2:FU$126&gt;=18)*(FU$2:FU$126&lt;=22)*(FU$2:FU$126&lt;&gt;""))</f>
        <v>0</v>
      </c>
      <c r="FV205" s="87" cm="1">
        <f t="array" ref="FV205">SUMPRODUCT((FV$2:FV$126&gt;=18)*(FV$2:FV$126&lt;=22)*(FV$2:FV$126&lt;&gt;""))</f>
        <v>0</v>
      </c>
      <c r="FW205" s="87" cm="1">
        <f t="array" ref="FW205">SUMPRODUCT((FW$2:FW$126&gt;=18)*(FW$2:FW$126&lt;=22)*(FW$2:FW$126&lt;&gt;""))</f>
        <v>0</v>
      </c>
      <c r="FX205" s="87" cm="1">
        <f t="array" ref="FX205">SUMPRODUCT((FX$2:FX$126&gt;=18)*(FX$2:FX$126&lt;=22)*(FX$2:FX$126&lt;&gt;""))</f>
        <v>0</v>
      </c>
      <c r="FY205" s="87" cm="1">
        <f t="array" ref="FY205">SUMPRODUCT((FY$2:FY$126&gt;=18)*(FY$2:FY$126&lt;=22)*(FY$2:FY$126&lt;&gt;""))</f>
        <v>0</v>
      </c>
      <c r="FZ205" s="87" cm="1">
        <f t="array" ref="FZ205">SUMPRODUCT((FZ$2:FZ$126&gt;=18)*(FZ$2:FZ$126&lt;=22)*(FZ$2:FZ$126&lt;&gt;""))</f>
        <v>0</v>
      </c>
      <c r="GA205" s="87" cm="1">
        <f t="array" ref="GA205">SUMPRODUCT((GA$2:GA$126&gt;=18)*(GA$2:GA$126&lt;=22)*(GA$2:GA$126&lt;&gt;""))</f>
        <v>0</v>
      </c>
      <c r="GB205" s="87" cm="1">
        <f t="array" ref="GB205">SUMPRODUCT((GB$2:GB$126&gt;=18)*(GB$2:GB$126&lt;=22)*(GB$2:GB$126&lt;&gt;""))</f>
        <v>0</v>
      </c>
      <c r="GC205" s="87" cm="1">
        <f t="array" ref="GC205">SUMPRODUCT((GC$2:GC$126&gt;=18)*(GC$2:GC$126&lt;=22)*(GC$2:GC$126&lt;&gt;""))</f>
        <v>0</v>
      </c>
      <c r="GD205" s="87" cm="1">
        <f t="array" ref="GD205">SUMPRODUCT((GD$2:GD$126&gt;=18)*(GD$2:GD$126&lt;=22)*(GD$2:GD$126&lt;&gt;""))</f>
        <v>0</v>
      </c>
      <c r="GE205" s="87" cm="1">
        <f t="array" ref="GE205">SUMPRODUCT((GE$2:GE$126&gt;=18)*(GE$2:GE$126&lt;=22)*(GE$2:GE$126&lt;&gt;""))</f>
        <v>0</v>
      </c>
      <c r="GF205" s="87" cm="1">
        <f t="array" ref="GF205">SUMPRODUCT((GF$2:GF$126&gt;=18)*(GF$2:GF$126&lt;=22)*(GF$2:GF$126&lt;&gt;""))</f>
        <v>0</v>
      </c>
      <c r="GG205" s="87" cm="1">
        <f t="array" ref="GG205">SUMPRODUCT((GG$2:GG$126&gt;=18)*(GG$2:GG$126&lt;=22)*(GG$2:GG$126&lt;&gt;""))</f>
        <v>0</v>
      </c>
      <c r="GH205" s="87" cm="1">
        <f t="array" ref="GH205">SUMPRODUCT((GH$2:GH$126&gt;=18)*(GH$2:GH$126&lt;=22)*(GH$2:GH$126&lt;&gt;""))</f>
        <v>0</v>
      </c>
      <c r="GI205" s="87" cm="1">
        <f t="array" ref="GI205">SUMPRODUCT((GI$2:GI$126&gt;=18)*(GI$2:GI$126&lt;=22)*(GI$2:GI$126&lt;&gt;""))</f>
        <v>0</v>
      </c>
      <c r="GJ205" s="87" cm="1">
        <f t="array" ref="GJ205">SUMPRODUCT((GJ$2:GJ$126&gt;=18)*(GJ$2:GJ$126&lt;=22)*(GJ$2:GJ$126&lt;&gt;""))</f>
        <v>0</v>
      </c>
      <c r="GK205" s="87" cm="1">
        <f t="array" ref="GK205">SUMPRODUCT((GK$2:GK$126&gt;=18)*(GK$2:GK$126&lt;=22)*(GK$2:GK$126&lt;&gt;""))</f>
        <v>0</v>
      </c>
      <c r="GL205" s="87" cm="1">
        <f t="array" ref="GL205">SUMPRODUCT((GL$2:GL$126&gt;=18)*(GL$2:GL$126&lt;=22)*(GL$2:GL$126&lt;&gt;""))</f>
        <v>0</v>
      </c>
      <c r="GM205" s="87" cm="1">
        <f t="array" ref="GM205">SUMPRODUCT((GM$2:GM$126&gt;=18)*(GM$2:GM$126&lt;=22)*(GM$2:GM$126&lt;&gt;""))</f>
        <v>0</v>
      </c>
      <c r="GN205" s="87" cm="1">
        <f t="array" ref="GN205">SUMPRODUCT((GN$2:GN$126&gt;=18)*(GN$2:GN$126&lt;=22)*(GN$2:GN$126&lt;&gt;""))</f>
        <v>0</v>
      </c>
      <c r="GO205" s="87" cm="1">
        <f t="array" ref="GO205">SUMPRODUCT((GO$2:GO$126&gt;=18)*(GO$2:GO$126&lt;=22)*(GO$2:GO$126&lt;&gt;""))</f>
        <v>0</v>
      </c>
      <c r="GP205" s="87" cm="1">
        <f t="array" ref="GP205">SUMPRODUCT((GP$2:GP$126&gt;=18)*(GP$2:GP$126&lt;=22)*(GP$2:GP$126&lt;&gt;""))</f>
        <v>0</v>
      </c>
      <c r="GQ205" s="87" cm="1">
        <f t="array" ref="GQ205">SUMPRODUCT((GQ$2:GQ$126&gt;=18)*(GQ$2:GQ$126&lt;=22)*(GQ$2:GQ$126&lt;&gt;""))</f>
        <v>0</v>
      </c>
      <c r="GR205" s="87" cm="1">
        <f t="array" ref="GR205">SUMPRODUCT((GR$2:GR$126&gt;=18)*(GR$2:GR$126&lt;=22)*(GR$2:GR$126&lt;&gt;""))</f>
        <v>0</v>
      </c>
      <c r="GS205" s="87" cm="1">
        <f t="array" ref="GS205">SUMPRODUCT((GS$2:GS$126&gt;=18)*(GS$2:GS$126&lt;=22)*(GS$2:GS$126&lt;&gt;""))</f>
        <v>0</v>
      </c>
      <c r="GT205" s="87" cm="1">
        <f t="array" ref="GT205">SUMPRODUCT((GT$2:GT$126&gt;=18)*(GT$2:GT$126&lt;=22)*(GT$2:GT$126&lt;&gt;""))</f>
        <v>0</v>
      </c>
      <c r="GU205" s="87" cm="1">
        <f t="array" ref="GU205">SUMPRODUCT((GU$2:GU$126&gt;=18)*(GU$2:GU$126&lt;=22)*(GU$2:GU$126&lt;&gt;""))</f>
        <v>0</v>
      </c>
      <c r="GV205" s="87" cm="1">
        <f t="array" ref="GV205">SUMPRODUCT((GV$2:GV$126&gt;=18)*(GV$2:GV$126&lt;=22)*(GV$2:GV$126&lt;&gt;""))</f>
        <v>0</v>
      </c>
      <c r="GW205" s="87" cm="1">
        <f t="array" ref="GW205">SUMPRODUCT((GW$2:GW$126&gt;=18)*(GW$2:GW$126&lt;=22)*(GW$2:GW$126&lt;&gt;""))</f>
        <v>0</v>
      </c>
      <c r="GX205" s="87" cm="1">
        <f t="array" ref="GX205">SUMPRODUCT((GX$2:GX$126&gt;=18)*(GX$2:GX$126&lt;=22)*(GX$2:GX$126&lt;&gt;""))</f>
        <v>0</v>
      </c>
    </row>
    <row r="206" spans="1:206" x14ac:dyDescent="0.2">
      <c r="A206" s="84"/>
      <c r="B206" s="84" t="s">
        <v>257</v>
      </c>
      <c r="W206" s="87" cm="1">
        <f t="array" ref="W206">SUMPRODUCT((W$2:W$126&gt;=23)*(W$2:W$126&lt;=27)*(W$2:W$126&lt;&gt;""))</f>
        <v>3</v>
      </c>
      <c r="X206" s="87" cm="1">
        <f t="array" ref="X206">SUMPRODUCT((X$2:X$126&gt;=23)*(X$2:X$126&lt;=27)*(X$2:X$126&lt;&gt;""))</f>
        <v>5</v>
      </c>
      <c r="Y206" s="87" cm="1">
        <f t="array" ref="Y206">SUMPRODUCT((Y$2:Y$126&gt;=23)*(Y$2:Y$126&lt;=27)*(Y$2:Y$126&lt;&gt;""))</f>
        <v>7</v>
      </c>
      <c r="Z206" s="87" cm="1">
        <f t="array" ref="Z206">SUMPRODUCT((Z$2:Z$126&gt;=23)*(Z$2:Z$126&lt;=27)*(Z$2:Z$126&lt;&gt;""))</f>
        <v>8</v>
      </c>
      <c r="AA206" s="87" cm="1">
        <f t="array" ref="AA206">SUMPRODUCT((AA$2:AA$126&gt;=23)*(AA$2:AA$126&lt;=27)*(AA$2:AA$126&lt;&gt;""))</f>
        <v>10</v>
      </c>
      <c r="AB206" s="87" cm="1">
        <f t="array" ref="AB206">SUMPRODUCT((AB$2:AB$126&gt;=23)*(AB$2:AB$126&lt;=27)*(AB$2:AB$126&lt;&gt;""))</f>
        <v>18</v>
      </c>
      <c r="AC206" s="87" cm="1">
        <f t="array" ref="AC206">SUMPRODUCT((AC$2:AC$126&gt;=23)*(AC$2:AC$126&lt;=27)*(AC$2:AC$126&lt;&gt;""))</f>
        <v>16</v>
      </c>
      <c r="AD206" s="87" cm="1">
        <f t="array" ref="AD206">SUMPRODUCT((AD$2:AD$126&gt;=23)*(AD$2:AD$126&lt;=27)*(AD$2:AD$126&lt;&gt;""))</f>
        <v>12</v>
      </c>
      <c r="AE206" s="87" cm="1">
        <f t="array" ref="AE206">SUMPRODUCT((AE$2:AE$126&gt;=23)*(AE$2:AE$126&lt;=27)*(AE$2:AE$126&lt;&gt;""))</f>
        <v>9</v>
      </c>
      <c r="AF206" s="87" cm="1">
        <f t="array" ref="AF206">SUMPRODUCT((AF$2:AF$126&gt;=23)*(AF$2:AF$126&lt;=27)*(AF$2:AF$126&lt;&gt;""))</f>
        <v>15</v>
      </c>
      <c r="AG206" s="87" cm="1">
        <f t="array" ref="AG206">SUMPRODUCT((AG$2:AG$126&gt;=23)*(AG$2:AG$126&lt;=27)*(AG$2:AG$126&lt;&gt;""))</f>
        <v>9</v>
      </c>
      <c r="AH206" s="87" cm="1">
        <f t="array" ref="AH206">SUMPRODUCT((AH$2:AH$126&gt;=23)*(AH$2:AH$126&lt;=27)*(AH$2:AH$126&lt;&gt;""))</f>
        <v>11</v>
      </c>
      <c r="AI206" s="87" cm="1">
        <f t="array" ref="AI206">SUMPRODUCT((AI$2:AI$126&gt;=23)*(AI$2:AI$126&lt;=27)*(AI$2:AI$126&lt;&gt;""))</f>
        <v>14</v>
      </c>
      <c r="AJ206" s="87" cm="1">
        <f t="array" ref="AJ206">SUMPRODUCT((AJ$2:AJ$126&gt;=23)*(AJ$2:AJ$126&lt;=27)*(AJ$2:AJ$126&lt;&gt;""))</f>
        <v>16</v>
      </c>
      <c r="AK206" s="87" cm="1">
        <f t="array" ref="AK206">SUMPRODUCT((AK$2:AK$126&gt;=23)*(AK$2:AK$126&lt;=27)*(AK$2:AK$126&lt;&gt;""))</f>
        <v>8</v>
      </c>
      <c r="AL206" s="87" cm="1">
        <f t="array" ref="AL206">SUMPRODUCT((AL$2:AL$126&gt;=23)*(AL$2:AL$126&lt;=27)*(AL$2:AL$126&lt;&gt;""))</f>
        <v>10</v>
      </c>
      <c r="AM206" s="87" cm="1">
        <f t="array" ref="AM206">SUMPRODUCT((AM$2:AM$126&gt;=23)*(AM$2:AM$126&lt;=27)*(AM$2:AM$126&lt;&gt;""))</f>
        <v>6</v>
      </c>
      <c r="AN206" s="87" cm="1">
        <f t="array" ref="AN206">SUMPRODUCT((AN$2:AN$126&gt;=23)*(AN$2:AN$126&lt;=27)*(AN$2:AN$126&lt;&gt;""))</f>
        <v>8</v>
      </c>
      <c r="AO206" s="87" cm="1">
        <f t="array" ref="AO206">SUMPRODUCT((AO$2:AO$126&gt;=23)*(AO$2:AO$126&lt;=27)*(AO$2:AO$126&lt;&gt;""))</f>
        <v>8</v>
      </c>
      <c r="AP206" s="87" cm="1">
        <f t="array" ref="AP206">SUMPRODUCT((AP$2:AP$126&gt;=23)*(AP$2:AP$126&lt;=27)*(AP$2:AP$126&lt;&gt;""))</f>
        <v>9</v>
      </c>
      <c r="AQ206" s="87" cm="1">
        <f t="array" ref="AQ206">SUMPRODUCT((AQ$2:AQ$126&gt;=23)*(AQ$2:AQ$126&lt;=27)*(AQ$2:AQ$126&lt;&gt;""))</f>
        <v>7</v>
      </c>
      <c r="AR206" s="87" cm="1">
        <f t="array" ref="AR206">SUMPRODUCT((AR$2:AR$126&gt;=23)*(AR$2:AR$126&lt;=27)*(AR$2:AR$126&lt;&gt;""))</f>
        <v>7</v>
      </c>
      <c r="AS206" s="87" cm="1">
        <f t="array" ref="AS206">SUMPRODUCT((AS$2:AS$126&gt;=23)*(AS$2:AS$126&lt;=27)*(AS$2:AS$126&lt;&gt;""))</f>
        <v>4</v>
      </c>
      <c r="AT206" s="87" cm="1">
        <f t="array" ref="AT206">SUMPRODUCT((AT$2:AT$126&gt;=23)*(AT$2:AT$126&lt;=27)*(AT$2:AT$126&lt;&gt;""))</f>
        <v>3</v>
      </c>
      <c r="AU206" s="87" cm="1">
        <f t="array" ref="AU206">SUMPRODUCT((AU$2:AU$126&gt;=23)*(AU$2:AU$126&lt;=27)*(AU$2:AU$126&lt;&gt;""))</f>
        <v>4</v>
      </c>
      <c r="AV206" s="87" cm="1">
        <f t="array" ref="AV206">SUMPRODUCT((AV$2:AV$126&gt;=23)*(AV$2:AV$126&lt;=27)*(AV$2:AV$126&lt;&gt;""))</f>
        <v>6</v>
      </c>
      <c r="AW206" s="87" cm="1">
        <f t="array" ref="AW206">SUMPRODUCT((AW$2:AW$126&gt;=23)*(AW$2:AW$126&lt;=27)*(AW$2:AW$126&lt;&gt;""))</f>
        <v>4</v>
      </c>
      <c r="AX206" s="87" cm="1">
        <f t="array" ref="AX206">SUMPRODUCT((AX$2:AX$126&gt;=23)*(AX$2:AX$126&lt;=27)*(AX$2:AX$126&lt;&gt;""))</f>
        <v>4</v>
      </c>
      <c r="AY206" s="87" cm="1">
        <f t="array" ref="AY206">SUMPRODUCT((AY$2:AY$126&gt;=23)*(AY$2:AY$126&lt;=27)*(AY$2:AY$126&lt;&gt;""))</f>
        <v>5</v>
      </c>
      <c r="AZ206" s="87" cm="1">
        <f t="array" ref="AZ206">SUMPRODUCT((AZ$2:AZ$126&gt;=23)*(AZ$2:AZ$126&lt;=27)*(AZ$2:AZ$126&lt;&gt;""))</f>
        <v>2</v>
      </c>
      <c r="BA206" s="87" cm="1">
        <f t="array" ref="BA206">SUMPRODUCT((BA$2:BA$126&gt;=23)*(BA$2:BA$126&lt;=27)*(BA$2:BA$126&lt;&gt;""))</f>
        <v>1</v>
      </c>
      <c r="BB206" s="87" cm="1">
        <f t="array" ref="BB206">SUMPRODUCT((BB$2:BB$126&gt;=23)*(BB$2:BB$126&lt;=27)*(BB$2:BB$126&lt;&gt;""))</f>
        <v>0</v>
      </c>
      <c r="BC206" s="87" cm="1">
        <f t="array" ref="BC206">SUMPRODUCT((BC$2:BC$126&gt;=23)*(BC$2:BC$126&lt;=27)*(BC$2:BC$126&lt;&gt;""))</f>
        <v>1</v>
      </c>
      <c r="BD206" s="87" cm="1">
        <f t="array" ref="BD206">SUMPRODUCT((BD$2:BD$126&gt;=23)*(BD$2:BD$126&lt;=27)*(BD$2:BD$126&lt;&gt;""))</f>
        <v>1</v>
      </c>
      <c r="BE206" s="87" cm="1">
        <f t="array" ref="BE206">SUMPRODUCT((BE$2:BE$126&gt;=23)*(BE$2:BE$126&lt;=27)*(BE$2:BE$126&lt;&gt;""))</f>
        <v>1</v>
      </c>
      <c r="BF206" s="87" cm="1">
        <f t="array" ref="BF206">SUMPRODUCT((BF$2:BF$126&gt;=23)*(BF$2:BF$126&lt;=27)*(BF$2:BF$126&lt;&gt;""))</f>
        <v>1</v>
      </c>
      <c r="BG206" s="87" cm="1">
        <f t="array" ref="BG206">SUMPRODUCT((BG$2:BG$126&gt;=23)*(BG$2:BG$126&lt;=27)*(BG$2:BG$126&lt;&gt;""))</f>
        <v>1</v>
      </c>
      <c r="BH206" s="87" cm="1">
        <f t="array" ref="BH206">SUMPRODUCT((BH$2:BH$126&gt;=23)*(BH$2:BH$126&lt;=27)*(BH$2:BH$126&lt;&gt;""))</f>
        <v>0</v>
      </c>
      <c r="BI206" s="87" cm="1">
        <f t="array" ref="BI206">SUMPRODUCT((BI$2:BI$126&gt;=23)*(BI$2:BI$126&lt;=27)*(BI$2:BI$126&lt;&gt;""))</f>
        <v>0</v>
      </c>
      <c r="BJ206" s="87" cm="1">
        <f t="array" ref="BJ206">SUMPRODUCT((BJ$2:BJ$126&gt;=23)*(BJ$2:BJ$126&lt;=27)*(BJ$2:BJ$126&lt;&gt;""))</f>
        <v>0</v>
      </c>
      <c r="BK206" s="87" cm="1">
        <f t="array" ref="BK206">SUMPRODUCT((BK$2:BK$126&gt;=23)*(BK$2:BK$126&lt;=27)*(BK$2:BK$126&lt;&gt;""))</f>
        <v>0</v>
      </c>
      <c r="BL206" s="87" cm="1">
        <f t="array" ref="BL206">SUMPRODUCT((BL$2:BL$126&gt;=23)*(BL$2:BL$126&lt;=27)*(BL$2:BL$126&lt;&gt;""))</f>
        <v>0</v>
      </c>
      <c r="BM206" s="87" cm="1">
        <f t="array" ref="BM206">SUMPRODUCT((BM$2:BM$126&gt;=23)*(BM$2:BM$126&lt;=27)*(BM$2:BM$126&lt;&gt;""))</f>
        <v>0</v>
      </c>
      <c r="BN206" s="87" cm="1">
        <f t="array" ref="BN206">SUMPRODUCT((BN$2:BN$126&gt;=23)*(BN$2:BN$126&lt;=27)*(BN$2:BN$126&lt;&gt;""))</f>
        <v>0</v>
      </c>
      <c r="BO206" s="87" cm="1">
        <f t="array" ref="BO206">SUMPRODUCT((BO$2:BO$126&gt;=23)*(BO$2:BO$126&lt;=27)*(BO$2:BO$126&lt;&gt;""))</f>
        <v>0</v>
      </c>
      <c r="BP206" s="87" cm="1">
        <f t="array" ref="BP206">SUMPRODUCT((BP$2:BP$126&gt;=23)*(BP$2:BP$126&lt;=27)*(BP$2:BP$126&lt;&gt;""))</f>
        <v>0</v>
      </c>
      <c r="BQ206" s="87" cm="1">
        <f t="array" ref="BQ206">SUMPRODUCT((BQ$2:BQ$126&gt;=23)*(BQ$2:BQ$126&lt;=27)*(BQ$2:BQ$126&lt;&gt;""))</f>
        <v>1</v>
      </c>
      <c r="BR206" s="87" cm="1">
        <f t="array" ref="BR206">SUMPRODUCT((BR$2:BR$126&gt;=23)*(BR$2:BR$126&lt;=27)*(BR$2:BR$126&lt;&gt;""))</f>
        <v>1</v>
      </c>
      <c r="BS206" s="87" cm="1">
        <f t="array" ref="BS206">SUMPRODUCT((BS$2:BS$126&gt;=23)*(BS$2:BS$126&lt;=27)*(BS$2:BS$126&lt;&gt;""))</f>
        <v>1</v>
      </c>
      <c r="BT206" s="87" cm="1">
        <f t="array" ref="BT206">SUMPRODUCT((BT$2:BT$126&gt;=23)*(BT$2:BT$126&lt;=27)*(BT$2:BT$126&lt;&gt;""))</f>
        <v>3</v>
      </c>
      <c r="BU206" s="87" cm="1">
        <f t="array" ref="BU206">SUMPRODUCT((BU$2:BU$126&gt;=23)*(BU$2:BU$126&lt;=27)*(BU$2:BU$126&lt;&gt;""))</f>
        <v>5</v>
      </c>
      <c r="BV206" s="87" cm="1">
        <f t="array" ref="BV206">SUMPRODUCT((BV$2:BV$126&gt;=23)*(BV$2:BV$126&lt;=27)*(BV$2:BV$126&lt;&gt;""))</f>
        <v>7</v>
      </c>
      <c r="BW206" s="87" cm="1">
        <f t="array" ref="BW206">SUMPRODUCT((BW$2:BW$126&gt;=23)*(BW$2:BW$126&lt;=27)*(BW$2:BW$126&lt;&gt;""))</f>
        <v>13</v>
      </c>
      <c r="BX206" s="87" cm="1">
        <f t="array" ref="BX206">SUMPRODUCT((BX$2:BX$126&gt;=23)*(BX$2:BX$126&lt;=27)*(BX$2:BX$126&lt;&gt;""))</f>
        <v>21</v>
      </c>
      <c r="BY206" s="87" cm="1">
        <f t="array" ref="BY206">SUMPRODUCT((BY$2:BY$126&gt;=23)*(BY$2:BY$126&lt;=27)*(BY$2:BY$126&lt;&gt;""))</f>
        <v>22</v>
      </c>
      <c r="BZ206" s="87" cm="1">
        <f t="array" ref="BZ206">SUMPRODUCT((BZ$2:BZ$126&gt;=23)*(BZ$2:BZ$126&lt;=27)*(BZ$2:BZ$126&lt;&gt;""))</f>
        <v>20</v>
      </c>
      <c r="CA206" s="87" cm="1">
        <f t="array" ref="CA206">SUMPRODUCT((CA$2:CA$126&gt;=23)*(CA$2:CA$126&lt;=27)*(CA$2:CA$126&lt;&gt;""))</f>
        <v>21</v>
      </c>
      <c r="CB206" s="87" cm="1">
        <f t="array" ref="CB206">SUMPRODUCT((CB$2:CB$126&gt;=23)*(CB$2:CB$126&lt;=27)*(CB$2:CB$126&lt;&gt;""))</f>
        <v>21</v>
      </c>
      <c r="CC206" s="87" cm="1">
        <f t="array" ref="CC206">SUMPRODUCT((CC$2:CC$126&gt;=23)*(CC$2:CC$126&lt;=27)*(CC$2:CC$126&lt;&gt;""))</f>
        <v>24</v>
      </c>
      <c r="CD206" s="87" cm="1">
        <f t="array" ref="CD206">SUMPRODUCT((CD$2:CD$126&gt;=23)*(CD$2:CD$126&lt;=27)*(CD$2:CD$126&lt;&gt;""))</f>
        <v>30</v>
      </c>
      <c r="CE206" s="87" cm="1">
        <f t="array" ref="CE206">SUMPRODUCT((CE$2:CE$126&gt;=23)*(CE$2:CE$126&lt;=27)*(CE$2:CE$126&lt;&gt;""))</f>
        <v>33</v>
      </c>
      <c r="CF206" s="87" cm="1">
        <f t="array" ref="CF206">SUMPRODUCT((CF$2:CF$126&gt;=23)*(CF$2:CF$126&lt;=27)*(CF$2:CF$126&lt;&gt;""))</f>
        <v>33</v>
      </c>
      <c r="CG206" s="87" cm="1">
        <f t="array" ref="CG206">SUMPRODUCT((CG$2:CG$126&gt;=23)*(CG$2:CG$126&lt;=27)*(CG$2:CG$126&lt;&gt;""))</f>
        <v>27</v>
      </c>
      <c r="CH206" s="87" cm="1">
        <f t="array" ref="CH206">SUMPRODUCT((CH$2:CH$126&gt;=23)*(CH$2:CH$126&lt;=27)*(CH$2:CH$126&lt;&gt;""))</f>
        <v>23</v>
      </c>
      <c r="CI206" s="87" cm="1">
        <f t="array" ref="CI206">SUMPRODUCT((CI$2:CI$126&gt;=23)*(CI$2:CI$126&lt;=27)*(CI$2:CI$126&lt;&gt;""))</f>
        <v>20</v>
      </c>
      <c r="CJ206" s="87" cm="1">
        <f t="array" ref="CJ206">SUMPRODUCT((CJ$2:CJ$126&gt;=23)*(CJ$2:CJ$126&lt;=27)*(CJ$2:CJ$126&lt;&gt;""))</f>
        <v>27</v>
      </c>
      <c r="CK206" s="87" cm="1">
        <f t="array" ref="CK206">SUMPRODUCT((CK$2:CK$126&gt;=23)*(CK$2:CK$126&lt;=27)*(CK$2:CK$126&lt;&gt;""))</f>
        <v>25</v>
      </c>
      <c r="CL206" s="87" cm="1">
        <f t="array" ref="CL206">SUMPRODUCT((CL$2:CL$126&gt;=23)*(CL$2:CL$126&lt;=27)*(CL$2:CL$126&lt;&gt;""))</f>
        <v>32</v>
      </c>
      <c r="CM206" s="87" cm="1">
        <f t="array" ref="CM206">SUMPRODUCT((CM$2:CM$126&gt;=23)*(CM$2:CM$126&lt;=27)*(CM$2:CM$126&lt;&gt;""))</f>
        <v>25</v>
      </c>
      <c r="CN206" s="87" cm="1">
        <f t="array" ref="CN206">SUMPRODUCT((CN$2:CN$126&gt;=23)*(CN$2:CN$126&lt;=27)*(CN$2:CN$126&lt;&gt;""))</f>
        <v>19</v>
      </c>
      <c r="CO206" s="87" cm="1">
        <f t="array" ref="CO206">SUMPRODUCT((CO$2:CO$126&gt;=23)*(CO$2:CO$126&lt;=27)*(CO$2:CO$126&lt;&gt;""))</f>
        <v>9</v>
      </c>
      <c r="CP206" s="87" cm="1">
        <f t="array" ref="CP206">SUMPRODUCT((CP$2:CP$126&gt;=23)*(CP$2:CP$126&lt;=27)*(CP$2:CP$126&lt;&gt;""))</f>
        <v>7</v>
      </c>
      <c r="CQ206" s="87" cm="1">
        <f t="array" ref="CQ206">SUMPRODUCT((CQ$2:CQ$126&gt;=23)*(CQ$2:CQ$126&lt;=27)*(CQ$2:CQ$126&lt;&gt;""))</f>
        <v>0</v>
      </c>
      <c r="CR206" s="87" cm="1">
        <f t="array" ref="CR206">SUMPRODUCT((CR$2:CR$126&gt;=23)*(CR$2:CR$126&lt;=27)*(CR$2:CR$126&lt;&gt;""))</f>
        <v>0</v>
      </c>
      <c r="CS206" s="87" cm="1">
        <f t="array" ref="CS206">SUMPRODUCT((CS$2:CS$126&gt;=23)*(CS$2:CS$126&lt;=27)*(CS$2:CS$126&lt;&gt;""))</f>
        <v>0</v>
      </c>
      <c r="CT206" s="87" cm="1">
        <f t="array" ref="CT206">SUMPRODUCT((CT$2:CT$126&gt;=23)*(CT$2:CT$126&lt;=27)*(CT$2:CT$126&lt;&gt;""))</f>
        <v>0</v>
      </c>
      <c r="CU206" s="87" cm="1">
        <f t="array" ref="CU206">SUMPRODUCT((CU$2:CU$126&gt;=23)*(CU$2:CU$126&lt;=27)*(CU$2:CU$126&lt;&gt;""))</f>
        <v>0</v>
      </c>
      <c r="CV206" s="87" cm="1">
        <f t="array" ref="CV206">SUMPRODUCT((CV$2:CV$126&gt;=23)*(CV$2:CV$126&lt;=27)*(CV$2:CV$126&lt;&gt;""))</f>
        <v>0</v>
      </c>
      <c r="CW206" s="87" cm="1">
        <f t="array" ref="CW206">SUMPRODUCT((CW$2:CW$126&gt;=23)*(CW$2:CW$126&lt;=27)*(CW$2:CW$126&lt;&gt;""))</f>
        <v>0</v>
      </c>
      <c r="CX206" s="87" cm="1">
        <f t="array" ref="CX206">SUMPRODUCT((CX$2:CX$126&gt;=23)*(CX$2:CX$126&lt;=27)*(CX$2:CX$126&lt;&gt;""))</f>
        <v>0</v>
      </c>
      <c r="CY206" s="87" cm="1">
        <f t="array" ref="CY206">SUMPRODUCT((CY$2:CY$126&gt;=23)*(CY$2:CY$126&lt;=27)*(CY$2:CY$126&lt;&gt;""))</f>
        <v>0</v>
      </c>
      <c r="CZ206" s="87" cm="1">
        <f t="array" ref="CZ206">SUMPRODUCT((CZ$2:CZ$126&gt;=23)*(CZ$2:CZ$126&lt;=27)*(CZ$2:CZ$126&lt;&gt;""))</f>
        <v>0</v>
      </c>
      <c r="DA206" s="87" cm="1">
        <f t="array" ref="DA206">SUMPRODUCT((DA$2:DA$126&gt;=23)*(DA$2:DA$126&lt;=27)*(DA$2:DA$126&lt;&gt;""))</f>
        <v>0</v>
      </c>
      <c r="DB206" s="87" cm="1">
        <f t="array" ref="DB206">SUMPRODUCT((DB$2:DB$126&gt;=23)*(DB$2:DB$126&lt;=27)*(DB$2:DB$126&lt;&gt;""))</f>
        <v>0</v>
      </c>
      <c r="DC206" s="87" cm="1">
        <f t="array" ref="DC206">SUMPRODUCT((DC$2:DC$126&gt;=23)*(DC$2:DC$126&lt;=27)*(DC$2:DC$126&lt;&gt;""))</f>
        <v>0</v>
      </c>
      <c r="DD206" s="87" cm="1">
        <f t="array" ref="DD206">SUMPRODUCT((DD$2:DD$126&gt;=23)*(DD$2:DD$126&lt;=27)*(DD$2:DD$126&lt;&gt;""))</f>
        <v>0</v>
      </c>
      <c r="DE206" s="87" cm="1">
        <f t="array" ref="DE206">SUMPRODUCT((DE$2:DE$126&gt;=23)*(DE$2:DE$126&lt;=27)*(DE$2:DE$126&lt;&gt;""))</f>
        <v>0</v>
      </c>
      <c r="DF206" s="87" cm="1">
        <f t="array" ref="DF206">SUMPRODUCT((DF$2:DF$126&gt;=23)*(DF$2:DF$126&lt;=27)*(DF$2:DF$126&lt;&gt;""))</f>
        <v>0</v>
      </c>
      <c r="DG206" s="87" cm="1">
        <f t="array" ref="DG206">SUMPRODUCT((DG$2:DG$126&gt;=23)*(DG$2:DG$126&lt;=27)*(DG$2:DG$126&lt;&gt;""))</f>
        <v>0</v>
      </c>
      <c r="DH206" s="87" cm="1">
        <f t="array" ref="DH206">SUMPRODUCT((DH$2:DH$126&gt;=23)*(DH$2:DH$126&lt;=27)*(DH$2:DH$126&lt;&gt;""))</f>
        <v>0</v>
      </c>
      <c r="DI206" s="87" cm="1">
        <f t="array" ref="DI206">SUMPRODUCT((DI$2:DI$126&gt;=23)*(DI$2:DI$126&lt;=27)*(DI$2:DI$126&lt;&gt;""))</f>
        <v>0</v>
      </c>
      <c r="DJ206" s="87" cm="1">
        <f t="array" ref="DJ206">SUMPRODUCT((DJ$2:DJ$126&gt;=23)*(DJ$2:DJ$126&lt;=27)*(DJ$2:DJ$126&lt;&gt;""))</f>
        <v>0</v>
      </c>
      <c r="DK206" s="87" cm="1">
        <f t="array" ref="DK206">SUMPRODUCT((DK$2:DK$126&gt;=23)*(DK$2:DK$126&lt;=27)*(DK$2:DK$126&lt;&gt;""))</f>
        <v>0</v>
      </c>
      <c r="DL206" s="87" cm="1">
        <f t="array" ref="DL206">SUMPRODUCT((DL$2:DL$126&gt;=23)*(DL$2:DL$126&lt;=27)*(DL$2:DL$126&lt;&gt;""))</f>
        <v>0</v>
      </c>
      <c r="DM206" s="87" cm="1">
        <f t="array" ref="DM206">SUMPRODUCT((DM$2:DM$126&gt;=23)*(DM$2:DM$126&lt;=27)*(DM$2:DM$126&lt;&gt;""))</f>
        <v>0</v>
      </c>
      <c r="DN206" s="87" cm="1">
        <f t="array" ref="DN206">SUMPRODUCT((DN$2:DN$126&gt;=23)*(DN$2:DN$126&lt;=27)*(DN$2:DN$126&lt;&gt;""))</f>
        <v>0</v>
      </c>
      <c r="DO206" s="87" cm="1">
        <f t="array" ref="DO206">SUMPRODUCT((DO$2:DO$126&gt;=23)*(DO$2:DO$126&lt;=27)*(DO$2:DO$126&lt;&gt;""))</f>
        <v>0</v>
      </c>
      <c r="DP206" s="87" cm="1">
        <f t="array" ref="DP206">SUMPRODUCT((DP$2:DP$126&gt;=23)*(DP$2:DP$126&lt;=27)*(DP$2:DP$126&lt;&gt;""))</f>
        <v>0</v>
      </c>
      <c r="DQ206" s="87" cm="1">
        <f t="array" ref="DQ206">SUMPRODUCT((DQ$2:DQ$126&gt;=23)*(DQ$2:DQ$126&lt;=27)*(DQ$2:DQ$126&lt;&gt;""))</f>
        <v>0</v>
      </c>
      <c r="DR206" s="87" cm="1">
        <f t="array" ref="DR206">SUMPRODUCT((DR$2:DR$126&gt;=23)*(DR$2:DR$126&lt;=27)*(DR$2:DR$126&lt;&gt;""))</f>
        <v>0</v>
      </c>
      <c r="DS206" s="87" cm="1">
        <f t="array" ref="DS206">SUMPRODUCT((DS$2:DS$126&gt;=23)*(DS$2:DS$126&lt;=27)*(DS$2:DS$126&lt;&gt;""))</f>
        <v>0</v>
      </c>
      <c r="DT206" s="87" cm="1">
        <f t="array" ref="DT206">SUMPRODUCT((DT$2:DT$126&gt;=23)*(DT$2:DT$126&lt;=27)*(DT$2:DT$126&lt;&gt;""))</f>
        <v>0</v>
      </c>
      <c r="DU206" s="87" cm="1">
        <f t="array" ref="DU206">SUMPRODUCT((DU$2:DU$126&gt;=23)*(DU$2:DU$126&lt;=27)*(DU$2:DU$126&lt;&gt;""))</f>
        <v>0</v>
      </c>
      <c r="DV206" s="87" cm="1">
        <f t="array" ref="DV206">SUMPRODUCT((DV$2:DV$126&gt;=23)*(DV$2:DV$126&lt;=27)*(DV$2:DV$126&lt;&gt;""))</f>
        <v>0</v>
      </c>
      <c r="DW206" s="87" cm="1">
        <f t="array" ref="DW206">SUMPRODUCT((DW$2:DW$126&gt;=23)*(DW$2:DW$126&lt;=27)*(DW$2:DW$126&lt;&gt;""))</f>
        <v>0</v>
      </c>
      <c r="DX206" s="87" cm="1">
        <f t="array" ref="DX206">SUMPRODUCT((DX$2:DX$126&gt;=23)*(DX$2:DX$126&lt;=27)*(DX$2:DX$126&lt;&gt;""))</f>
        <v>0</v>
      </c>
      <c r="DY206" s="87" cm="1">
        <f t="array" ref="DY206">SUMPRODUCT((DY$2:DY$126&gt;=23)*(DY$2:DY$126&lt;=27)*(DY$2:DY$126&lt;&gt;""))</f>
        <v>0</v>
      </c>
      <c r="DZ206" s="87" cm="1">
        <f t="array" ref="DZ206">SUMPRODUCT((DZ$2:DZ$126&gt;=23)*(DZ$2:DZ$126&lt;=27)*(DZ$2:DZ$126&lt;&gt;""))</f>
        <v>0</v>
      </c>
      <c r="EA206" s="87" cm="1">
        <f t="array" ref="EA206">SUMPRODUCT((EA$2:EA$126&gt;=23)*(EA$2:EA$126&lt;=27)*(EA$2:EA$126&lt;&gt;""))</f>
        <v>0</v>
      </c>
      <c r="EB206" s="87" cm="1">
        <f t="array" ref="EB206">SUMPRODUCT((EB$2:EB$126&gt;=23)*(EB$2:EB$126&lt;=27)*(EB$2:EB$126&lt;&gt;""))</f>
        <v>0</v>
      </c>
      <c r="EC206" s="87" cm="1">
        <f t="array" ref="EC206">SUMPRODUCT((EC$2:EC$126&gt;=23)*(EC$2:EC$126&lt;=27)*(EC$2:EC$126&lt;&gt;""))</f>
        <v>0</v>
      </c>
      <c r="ED206" s="87" cm="1">
        <f t="array" ref="ED206">SUMPRODUCT((ED$2:ED$126&gt;=23)*(ED$2:ED$126&lt;=27)*(ED$2:ED$126&lt;&gt;""))</f>
        <v>0</v>
      </c>
      <c r="EE206" s="87" cm="1">
        <f t="array" ref="EE206">SUMPRODUCT((EE$2:EE$126&gt;=23)*(EE$2:EE$126&lt;=27)*(EE$2:EE$126&lt;&gt;""))</f>
        <v>0</v>
      </c>
      <c r="EF206" s="87" cm="1">
        <f t="array" ref="EF206">SUMPRODUCT((EF$2:EF$126&gt;=23)*(EF$2:EF$126&lt;=27)*(EF$2:EF$126&lt;&gt;""))</f>
        <v>0</v>
      </c>
      <c r="EG206" s="87" cm="1">
        <f t="array" ref="EG206">SUMPRODUCT((EG$2:EG$126&gt;=23)*(EG$2:EG$126&lt;=27)*(EG$2:EG$126&lt;&gt;""))</f>
        <v>0</v>
      </c>
      <c r="EH206" s="87" cm="1">
        <f t="array" ref="EH206">SUMPRODUCT((EH$2:EH$126&gt;=23)*(EH$2:EH$126&lt;=27)*(EH$2:EH$126&lt;&gt;""))</f>
        <v>0</v>
      </c>
      <c r="EI206" s="87" cm="1">
        <f t="array" ref="EI206">SUMPRODUCT((EI$2:EI$126&gt;=23)*(EI$2:EI$126&lt;=27)*(EI$2:EI$126&lt;&gt;""))</f>
        <v>0</v>
      </c>
      <c r="EJ206" s="87" cm="1">
        <f t="array" ref="EJ206">SUMPRODUCT((EJ$2:EJ$126&gt;=23)*(EJ$2:EJ$126&lt;=27)*(EJ$2:EJ$126&lt;&gt;""))</f>
        <v>0</v>
      </c>
      <c r="EK206" s="87" cm="1">
        <f t="array" ref="EK206">SUMPRODUCT((EK$2:EK$126&gt;=23)*(EK$2:EK$126&lt;=27)*(EK$2:EK$126&lt;&gt;""))</f>
        <v>0</v>
      </c>
      <c r="EL206" s="87" cm="1">
        <f t="array" ref="EL206">SUMPRODUCT((EL$2:EL$126&gt;=23)*(EL$2:EL$126&lt;=27)*(EL$2:EL$126&lt;&gt;""))</f>
        <v>0</v>
      </c>
      <c r="EM206" s="87" cm="1">
        <f t="array" ref="EM206">SUMPRODUCT((EM$2:EM$126&gt;=23)*(EM$2:EM$126&lt;=27)*(EM$2:EM$126&lt;&gt;""))</f>
        <v>0</v>
      </c>
      <c r="EN206" s="87" cm="1">
        <f t="array" ref="EN206">SUMPRODUCT((EN$2:EN$126&gt;=23)*(EN$2:EN$126&lt;=27)*(EN$2:EN$126&lt;&gt;""))</f>
        <v>0</v>
      </c>
      <c r="EO206" s="87" cm="1">
        <f t="array" ref="EO206">SUMPRODUCT((EO$2:EO$126&gt;=23)*(EO$2:EO$126&lt;=27)*(EO$2:EO$126&lt;&gt;""))</f>
        <v>0</v>
      </c>
      <c r="EP206" s="87" cm="1">
        <f t="array" ref="EP206">SUMPRODUCT((EP$2:EP$126&gt;=23)*(EP$2:EP$126&lt;=27)*(EP$2:EP$126&lt;&gt;""))</f>
        <v>0</v>
      </c>
      <c r="EQ206" s="87" cm="1">
        <f t="array" ref="EQ206">SUMPRODUCT((EQ$2:EQ$126&gt;=23)*(EQ$2:EQ$126&lt;=27)*(EQ$2:EQ$126&lt;&gt;""))</f>
        <v>0</v>
      </c>
      <c r="ER206" s="87" cm="1">
        <f t="array" ref="ER206">SUMPRODUCT((ER$2:ER$126&gt;=23)*(ER$2:ER$126&lt;=27)*(ER$2:ER$126&lt;&gt;""))</f>
        <v>0</v>
      </c>
      <c r="ES206" s="87" cm="1">
        <f t="array" ref="ES206">SUMPRODUCT((ES$2:ES$126&gt;=23)*(ES$2:ES$126&lt;=27)*(ES$2:ES$126&lt;&gt;""))</f>
        <v>0</v>
      </c>
      <c r="ET206" s="87" cm="1">
        <f t="array" ref="ET206">SUMPRODUCT((ET$2:ET$126&gt;=23)*(ET$2:ET$126&lt;=27)*(ET$2:ET$126&lt;&gt;""))</f>
        <v>0</v>
      </c>
      <c r="EU206" s="87" cm="1">
        <f t="array" ref="EU206">SUMPRODUCT((EU$2:EU$126&gt;=23)*(EU$2:EU$126&lt;=27)*(EU$2:EU$126&lt;&gt;""))</f>
        <v>0</v>
      </c>
      <c r="EV206" s="87" cm="1">
        <f t="array" ref="EV206">SUMPRODUCT((EV$2:EV$126&gt;=23)*(EV$2:EV$126&lt;=27)*(EV$2:EV$126&lt;&gt;""))</f>
        <v>0</v>
      </c>
      <c r="EW206" s="87" cm="1">
        <f t="array" ref="EW206">SUMPRODUCT((EW$2:EW$126&gt;=23)*(EW$2:EW$126&lt;=27)*(EW$2:EW$126&lt;&gt;""))</f>
        <v>0</v>
      </c>
      <c r="EX206" s="87" cm="1">
        <f t="array" ref="EX206">SUMPRODUCT((EX$2:EX$126&gt;=23)*(EX$2:EX$126&lt;=27)*(EX$2:EX$126&lt;&gt;""))</f>
        <v>0</v>
      </c>
      <c r="EY206" s="87" cm="1">
        <f t="array" ref="EY206">SUMPRODUCT((EY$2:EY$126&gt;=23)*(EY$2:EY$126&lt;=27)*(EY$2:EY$126&lt;&gt;""))</f>
        <v>0</v>
      </c>
      <c r="EZ206" s="87" cm="1">
        <f t="array" ref="EZ206">SUMPRODUCT((EZ$2:EZ$126&gt;=23)*(EZ$2:EZ$126&lt;=27)*(EZ$2:EZ$126&lt;&gt;""))</f>
        <v>0</v>
      </c>
      <c r="FA206" s="87" cm="1">
        <f t="array" ref="FA206">SUMPRODUCT((FA$2:FA$126&gt;=23)*(FA$2:FA$126&lt;=27)*(FA$2:FA$126&lt;&gt;""))</f>
        <v>0</v>
      </c>
      <c r="FB206" s="87" cm="1">
        <f t="array" ref="FB206">SUMPRODUCT((FB$2:FB$126&gt;=23)*(FB$2:FB$126&lt;=27)*(FB$2:FB$126&lt;&gt;""))</f>
        <v>0</v>
      </c>
      <c r="FC206" s="87" cm="1">
        <f t="array" ref="FC206">SUMPRODUCT((FC$2:FC$126&gt;=23)*(FC$2:FC$126&lt;=27)*(FC$2:FC$126&lt;&gt;""))</f>
        <v>0</v>
      </c>
      <c r="FD206" s="87" cm="1">
        <f t="array" ref="FD206">SUMPRODUCT((FD$2:FD$126&gt;=23)*(FD$2:FD$126&lt;=27)*(FD$2:FD$126&lt;&gt;""))</f>
        <v>0</v>
      </c>
      <c r="FE206" s="87" cm="1">
        <f t="array" ref="FE206">SUMPRODUCT((FE$2:FE$126&gt;=23)*(FE$2:FE$126&lt;=27)*(FE$2:FE$126&lt;&gt;""))</f>
        <v>0</v>
      </c>
      <c r="FF206" s="87" cm="1">
        <f t="array" ref="FF206">SUMPRODUCT((FF$2:FF$126&gt;=23)*(FF$2:FF$126&lt;=27)*(FF$2:FF$126&lt;&gt;""))</f>
        <v>0</v>
      </c>
      <c r="FG206" s="87" cm="1">
        <f t="array" ref="FG206">SUMPRODUCT((FG$2:FG$126&gt;=23)*(FG$2:FG$126&lt;=27)*(FG$2:FG$126&lt;&gt;""))</f>
        <v>0</v>
      </c>
      <c r="FH206" s="87" cm="1">
        <f t="array" ref="FH206">SUMPRODUCT((FH$2:FH$126&gt;=23)*(FH$2:FH$126&lt;=27)*(FH$2:FH$126&lt;&gt;""))</f>
        <v>0</v>
      </c>
      <c r="FI206" s="87" cm="1">
        <f t="array" ref="FI206">SUMPRODUCT((FI$2:FI$126&gt;=23)*(FI$2:FI$126&lt;=27)*(FI$2:FI$126&lt;&gt;""))</f>
        <v>0</v>
      </c>
      <c r="FJ206" s="87" cm="1">
        <f t="array" ref="FJ206">SUMPRODUCT((FJ$2:FJ$126&gt;=23)*(FJ$2:FJ$126&lt;=27)*(FJ$2:FJ$126&lt;&gt;""))</f>
        <v>0</v>
      </c>
      <c r="FK206" s="87" cm="1">
        <f t="array" ref="FK206">SUMPRODUCT((FK$2:FK$126&gt;=23)*(FK$2:FK$126&lt;=27)*(FK$2:FK$126&lt;&gt;""))</f>
        <v>0</v>
      </c>
      <c r="FL206" s="87" cm="1">
        <f t="array" ref="FL206">SUMPRODUCT((FL$2:FL$126&gt;=23)*(FL$2:FL$126&lt;=27)*(FL$2:FL$126&lt;&gt;""))</f>
        <v>0</v>
      </c>
      <c r="FM206" s="87" cm="1">
        <f t="array" ref="FM206">SUMPRODUCT((FM$2:FM$126&gt;=23)*(FM$2:FM$126&lt;=27)*(FM$2:FM$126&lt;&gt;""))</f>
        <v>0</v>
      </c>
      <c r="FN206" s="87" cm="1">
        <f t="array" ref="FN206">SUMPRODUCT((FN$2:FN$126&gt;=23)*(FN$2:FN$126&lt;=27)*(FN$2:FN$126&lt;&gt;""))</f>
        <v>0</v>
      </c>
      <c r="FO206" s="87" cm="1">
        <f t="array" ref="FO206">SUMPRODUCT((FO$2:FO$126&gt;=23)*(FO$2:FO$126&lt;=27)*(FO$2:FO$126&lt;&gt;""))</f>
        <v>0</v>
      </c>
      <c r="FP206" s="87" cm="1">
        <f t="array" ref="FP206">SUMPRODUCT((FP$2:FP$126&gt;=23)*(FP$2:FP$126&lt;=27)*(FP$2:FP$126&lt;&gt;""))</f>
        <v>0</v>
      </c>
      <c r="FQ206" s="87" cm="1">
        <f t="array" ref="FQ206">SUMPRODUCT((FQ$2:FQ$126&gt;=23)*(FQ$2:FQ$126&lt;=27)*(FQ$2:FQ$126&lt;&gt;""))</f>
        <v>0</v>
      </c>
      <c r="FR206" s="87" cm="1">
        <f t="array" ref="FR206">SUMPRODUCT((FR$2:FR$126&gt;=23)*(FR$2:FR$126&lt;=27)*(FR$2:FR$126&lt;&gt;""))</f>
        <v>0</v>
      </c>
      <c r="FS206" s="87" cm="1">
        <f t="array" ref="FS206">SUMPRODUCT((FS$2:FS$126&gt;=23)*(FS$2:FS$126&lt;=27)*(FS$2:FS$126&lt;&gt;""))</f>
        <v>0</v>
      </c>
      <c r="FT206" s="87" cm="1">
        <f t="array" ref="FT206">SUMPRODUCT((FT$2:FT$126&gt;=23)*(FT$2:FT$126&lt;=27)*(FT$2:FT$126&lt;&gt;""))</f>
        <v>0</v>
      </c>
      <c r="FU206" s="87" cm="1">
        <f t="array" ref="FU206">SUMPRODUCT((FU$2:FU$126&gt;=23)*(FU$2:FU$126&lt;=27)*(FU$2:FU$126&lt;&gt;""))</f>
        <v>0</v>
      </c>
      <c r="FV206" s="87" cm="1">
        <f t="array" ref="FV206">SUMPRODUCT((FV$2:FV$126&gt;=23)*(FV$2:FV$126&lt;=27)*(FV$2:FV$126&lt;&gt;""))</f>
        <v>0</v>
      </c>
      <c r="FW206" s="87" cm="1">
        <f t="array" ref="FW206">SUMPRODUCT((FW$2:FW$126&gt;=23)*(FW$2:FW$126&lt;=27)*(FW$2:FW$126&lt;&gt;""))</f>
        <v>0</v>
      </c>
      <c r="FX206" s="87" cm="1">
        <f t="array" ref="FX206">SUMPRODUCT((FX$2:FX$126&gt;=23)*(FX$2:FX$126&lt;=27)*(FX$2:FX$126&lt;&gt;""))</f>
        <v>0</v>
      </c>
      <c r="FY206" s="87" cm="1">
        <f t="array" ref="FY206">SUMPRODUCT((FY$2:FY$126&gt;=23)*(FY$2:FY$126&lt;=27)*(FY$2:FY$126&lt;&gt;""))</f>
        <v>0</v>
      </c>
      <c r="FZ206" s="87" cm="1">
        <f t="array" ref="FZ206">SUMPRODUCT((FZ$2:FZ$126&gt;=23)*(FZ$2:FZ$126&lt;=27)*(FZ$2:FZ$126&lt;&gt;""))</f>
        <v>0</v>
      </c>
      <c r="GA206" s="87" cm="1">
        <f t="array" ref="GA206">SUMPRODUCT((GA$2:GA$126&gt;=23)*(GA$2:GA$126&lt;=27)*(GA$2:GA$126&lt;&gt;""))</f>
        <v>0</v>
      </c>
      <c r="GB206" s="87" cm="1">
        <f t="array" ref="GB206">SUMPRODUCT((GB$2:GB$126&gt;=23)*(GB$2:GB$126&lt;=27)*(GB$2:GB$126&lt;&gt;""))</f>
        <v>0</v>
      </c>
      <c r="GC206" s="87" cm="1">
        <f t="array" ref="GC206">SUMPRODUCT((GC$2:GC$126&gt;=23)*(GC$2:GC$126&lt;=27)*(GC$2:GC$126&lt;&gt;""))</f>
        <v>0</v>
      </c>
      <c r="GD206" s="87" cm="1">
        <f t="array" ref="GD206">SUMPRODUCT((GD$2:GD$126&gt;=23)*(GD$2:GD$126&lt;=27)*(GD$2:GD$126&lt;&gt;""))</f>
        <v>0</v>
      </c>
      <c r="GE206" s="87" cm="1">
        <f t="array" ref="GE206">SUMPRODUCT((GE$2:GE$126&gt;=23)*(GE$2:GE$126&lt;=27)*(GE$2:GE$126&lt;&gt;""))</f>
        <v>0</v>
      </c>
      <c r="GF206" s="87" cm="1">
        <f t="array" ref="GF206">SUMPRODUCT((GF$2:GF$126&gt;=23)*(GF$2:GF$126&lt;=27)*(GF$2:GF$126&lt;&gt;""))</f>
        <v>0</v>
      </c>
      <c r="GG206" s="87" cm="1">
        <f t="array" ref="GG206">SUMPRODUCT((GG$2:GG$126&gt;=23)*(GG$2:GG$126&lt;=27)*(GG$2:GG$126&lt;&gt;""))</f>
        <v>0</v>
      </c>
      <c r="GH206" s="87" cm="1">
        <f t="array" ref="GH206">SUMPRODUCT((GH$2:GH$126&gt;=23)*(GH$2:GH$126&lt;=27)*(GH$2:GH$126&lt;&gt;""))</f>
        <v>0</v>
      </c>
      <c r="GI206" s="87" cm="1">
        <f t="array" ref="GI206">SUMPRODUCT((GI$2:GI$126&gt;=23)*(GI$2:GI$126&lt;=27)*(GI$2:GI$126&lt;&gt;""))</f>
        <v>0</v>
      </c>
      <c r="GJ206" s="87" cm="1">
        <f t="array" ref="GJ206">SUMPRODUCT((GJ$2:GJ$126&gt;=23)*(GJ$2:GJ$126&lt;=27)*(GJ$2:GJ$126&lt;&gt;""))</f>
        <v>0</v>
      </c>
      <c r="GK206" s="87" cm="1">
        <f t="array" ref="GK206">SUMPRODUCT((GK$2:GK$126&gt;=23)*(GK$2:GK$126&lt;=27)*(GK$2:GK$126&lt;&gt;""))</f>
        <v>0</v>
      </c>
      <c r="GL206" s="87" cm="1">
        <f t="array" ref="GL206">SUMPRODUCT((GL$2:GL$126&gt;=23)*(GL$2:GL$126&lt;=27)*(GL$2:GL$126&lt;&gt;""))</f>
        <v>0</v>
      </c>
      <c r="GM206" s="87" cm="1">
        <f t="array" ref="GM206">SUMPRODUCT((GM$2:GM$126&gt;=23)*(GM$2:GM$126&lt;=27)*(GM$2:GM$126&lt;&gt;""))</f>
        <v>0</v>
      </c>
      <c r="GN206" s="87" cm="1">
        <f t="array" ref="GN206">SUMPRODUCT((GN$2:GN$126&gt;=23)*(GN$2:GN$126&lt;=27)*(GN$2:GN$126&lt;&gt;""))</f>
        <v>0</v>
      </c>
      <c r="GO206" s="87" cm="1">
        <f t="array" ref="GO206">SUMPRODUCT((GO$2:GO$126&gt;=23)*(GO$2:GO$126&lt;=27)*(GO$2:GO$126&lt;&gt;""))</f>
        <v>0</v>
      </c>
      <c r="GP206" s="87" cm="1">
        <f t="array" ref="GP206">SUMPRODUCT((GP$2:GP$126&gt;=23)*(GP$2:GP$126&lt;=27)*(GP$2:GP$126&lt;&gt;""))</f>
        <v>0</v>
      </c>
      <c r="GQ206" s="87" cm="1">
        <f t="array" ref="GQ206">SUMPRODUCT((GQ$2:GQ$126&gt;=23)*(GQ$2:GQ$126&lt;=27)*(GQ$2:GQ$126&lt;&gt;""))</f>
        <v>0</v>
      </c>
      <c r="GR206" s="87" cm="1">
        <f t="array" ref="GR206">SUMPRODUCT((GR$2:GR$126&gt;=23)*(GR$2:GR$126&lt;=27)*(GR$2:GR$126&lt;&gt;""))</f>
        <v>0</v>
      </c>
      <c r="GS206" s="87" cm="1">
        <f t="array" ref="GS206">SUMPRODUCT((GS$2:GS$126&gt;=23)*(GS$2:GS$126&lt;=27)*(GS$2:GS$126&lt;&gt;""))</f>
        <v>0</v>
      </c>
      <c r="GT206" s="87" cm="1">
        <f t="array" ref="GT206">SUMPRODUCT((GT$2:GT$126&gt;=23)*(GT$2:GT$126&lt;=27)*(GT$2:GT$126&lt;&gt;""))</f>
        <v>0</v>
      </c>
      <c r="GU206" s="87" cm="1">
        <f t="array" ref="GU206">SUMPRODUCT((GU$2:GU$126&gt;=23)*(GU$2:GU$126&lt;=27)*(GU$2:GU$126&lt;&gt;""))</f>
        <v>0</v>
      </c>
      <c r="GV206" s="87" cm="1">
        <f t="array" ref="GV206">SUMPRODUCT((GV$2:GV$126&gt;=23)*(GV$2:GV$126&lt;=27)*(GV$2:GV$126&lt;&gt;""))</f>
        <v>0</v>
      </c>
      <c r="GW206" s="87" cm="1">
        <f t="array" ref="GW206">SUMPRODUCT((GW$2:GW$126&gt;=23)*(GW$2:GW$126&lt;=27)*(GW$2:GW$126&lt;&gt;""))</f>
        <v>0</v>
      </c>
      <c r="GX206" s="87" cm="1">
        <f t="array" ref="GX206">SUMPRODUCT((GX$2:GX$126&gt;=23)*(GX$2:GX$126&lt;=27)*(GX$2:GX$126&lt;&gt;""))</f>
        <v>0</v>
      </c>
    </row>
    <row r="207" spans="1:206" x14ac:dyDescent="0.2">
      <c r="A207" s="84"/>
      <c r="B207" s="84" t="s">
        <v>259</v>
      </c>
      <c r="W207" s="87" cm="1">
        <f t="array" ref="W207">SUMPRODUCT((W$2:W$126&gt;=28)*(W$2:W$126&lt;&gt;""))</f>
        <v>12</v>
      </c>
      <c r="X207" s="87" cm="1">
        <f t="array" ref="X207">SUMPRODUCT((X$2:X$126&gt;=28)*(X$2:X$126&lt;&gt;""))</f>
        <v>12</v>
      </c>
      <c r="Y207" s="87" cm="1">
        <f t="array" ref="Y207">SUMPRODUCT((Y$2:Y$126&gt;=28)*(Y$2:Y$126&lt;&gt;""))</f>
        <v>14</v>
      </c>
      <c r="Z207" s="87" cm="1">
        <f t="array" ref="Z207">SUMPRODUCT((Z$2:Z$126&gt;=28)*(Z$2:Z$126&lt;&gt;""))</f>
        <v>15</v>
      </c>
      <c r="AA207" s="87" cm="1">
        <f t="array" ref="AA207">SUMPRODUCT((AA$2:AA$126&gt;=28)*(AA$2:AA$126&lt;&gt;""))</f>
        <v>15</v>
      </c>
      <c r="AB207" s="87" cm="1">
        <f t="array" ref="AB207">SUMPRODUCT((AB$2:AB$126&gt;=28)*(AB$2:AB$126&lt;&gt;""))</f>
        <v>13</v>
      </c>
      <c r="AC207" s="87" cm="1">
        <f t="array" ref="AC207">SUMPRODUCT((AC$2:AC$126&gt;=28)*(AC$2:AC$126&lt;&gt;""))</f>
        <v>11</v>
      </c>
      <c r="AD207" s="87" cm="1">
        <f t="array" ref="AD207">SUMPRODUCT((AD$2:AD$126&gt;=28)*(AD$2:AD$126&lt;&gt;""))</f>
        <v>14</v>
      </c>
      <c r="AE207" s="87" cm="1">
        <f t="array" ref="AE207">SUMPRODUCT((AE$2:AE$126&gt;=28)*(AE$2:AE$126&lt;&gt;""))</f>
        <v>13</v>
      </c>
      <c r="AF207" s="87" cm="1">
        <f t="array" ref="AF207">SUMPRODUCT((AF$2:AF$126&gt;=28)*(AF$2:AF$126&lt;&gt;""))</f>
        <v>13</v>
      </c>
      <c r="AG207" s="87" cm="1">
        <f t="array" ref="AG207">SUMPRODUCT((AG$2:AG$126&gt;=28)*(AG$2:AG$126&lt;&gt;""))</f>
        <v>16</v>
      </c>
      <c r="AH207" s="87" cm="1">
        <f t="array" ref="AH207">SUMPRODUCT((AH$2:AH$126&gt;=28)*(AH$2:AH$126&lt;&gt;""))</f>
        <v>14</v>
      </c>
      <c r="AI207" s="87" cm="1">
        <f t="array" ref="AI207">SUMPRODUCT((AI$2:AI$126&gt;=28)*(AI$2:AI$126&lt;&gt;""))</f>
        <v>12</v>
      </c>
      <c r="AJ207" s="87" cm="1">
        <f t="array" ref="AJ207">SUMPRODUCT((AJ$2:AJ$126&gt;=28)*(AJ$2:AJ$126&lt;&gt;""))</f>
        <v>11</v>
      </c>
      <c r="AK207" s="87" cm="1">
        <f t="array" ref="AK207">SUMPRODUCT((AK$2:AK$126&gt;=28)*(AK$2:AK$126&lt;&gt;""))</f>
        <v>14</v>
      </c>
      <c r="AL207" s="87" cm="1">
        <f t="array" ref="AL207">SUMPRODUCT((AL$2:AL$126&gt;=28)*(AL$2:AL$126&lt;&gt;""))</f>
        <v>14</v>
      </c>
      <c r="AM207" s="87" cm="1">
        <f t="array" ref="AM207">SUMPRODUCT((AM$2:AM$126&gt;=28)*(AM$2:AM$126&lt;&gt;""))</f>
        <v>16</v>
      </c>
      <c r="AN207" s="87" cm="1">
        <f t="array" ref="AN207">SUMPRODUCT((AN$2:AN$126&gt;=28)*(AN$2:AN$126&lt;&gt;""))</f>
        <v>16</v>
      </c>
      <c r="AO207" s="87" cm="1">
        <f t="array" ref="AO207">SUMPRODUCT((AO$2:AO$126&gt;=28)*(AO$2:AO$126&lt;&gt;""))</f>
        <v>18</v>
      </c>
      <c r="AP207" s="87" cm="1">
        <f t="array" ref="AP207">SUMPRODUCT((AP$2:AP$126&gt;=28)*(AP$2:AP$126&lt;&gt;""))</f>
        <v>17</v>
      </c>
      <c r="AQ207" s="87" cm="1">
        <f t="array" ref="AQ207">SUMPRODUCT((AQ$2:AQ$126&gt;=28)*(AQ$2:AQ$126&lt;&gt;""))</f>
        <v>18</v>
      </c>
      <c r="AR207" s="87" cm="1">
        <f t="array" ref="AR207">SUMPRODUCT((AR$2:AR$126&gt;=28)*(AR$2:AR$126&lt;&gt;""))</f>
        <v>15</v>
      </c>
      <c r="AS207" s="87" cm="1">
        <f t="array" ref="AS207">SUMPRODUCT((AS$2:AS$126&gt;=28)*(AS$2:AS$126&lt;&gt;""))</f>
        <v>13</v>
      </c>
      <c r="AT207" s="87" cm="1">
        <f t="array" ref="AT207">SUMPRODUCT((AT$2:AT$126&gt;=28)*(AT$2:AT$126&lt;&gt;""))</f>
        <v>14</v>
      </c>
      <c r="AU207" s="87" cm="1">
        <f t="array" ref="AU207">SUMPRODUCT((AU$2:AU$126&gt;=28)*(AU$2:AU$126&lt;&gt;""))</f>
        <v>13</v>
      </c>
      <c r="AV207" s="87" cm="1">
        <f t="array" ref="AV207">SUMPRODUCT((AV$2:AV$126&gt;=28)*(AV$2:AV$126&lt;&gt;""))</f>
        <v>13</v>
      </c>
      <c r="AW207" s="87" cm="1">
        <f t="array" ref="AW207">SUMPRODUCT((AW$2:AW$126&gt;=28)*(AW$2:AW$126&lt;&gt;""))</f>
        <v>8</v>
      </c>
      <c r="AX207" s="87" cm="1">
        <f t="array" ref="AX207">SUMPRODUCT((AX$2:AX$126&gt;=28)*(AX$2:AX$126&lt;&gt;""))</f>
        <v>7</v>
      </c>
      <c r="AY207" s="87" cm="1">
        <f t="array" ref="AY207">SUMPRODUCT((AY$2:AY$126&gt;=28)*(AY$2:AY$126&lt;&gt;""))</f>
        <v>6</v>
      </c>
      <c r="AZ207" s="87" cm="1">
        <f t="array" ref="AZ207">SUMPRODUCT((AZ$2:AZ$126&gt;=28)*(AZ$2:AZ$126&lt;&gt;""))</f>
        <v>8</v>
      </c>
      <c r="BA207" s="87" cm="1">
        <f t="array" ref="BA207">SUMPRODUCT((BA$2:BA$126&gt;=28)*(BA$2:BA$126&lt;&gt;""))</f>
        <v>7</v>
      </c>
      <c r="BB207" s="87" cm="1">
        <f t="array" ref="BB207">SUMPRODUCT((BB$2:BB$126&gt;=28)*(BB$2:BB$126&lt;&gt;""))</f>
        <v>8</v>
      </c>
      <c r="BC207" s="87" cm="1">
        <f t="array" ref="BC207">SUMPRODUCT((BC$2:BC$126&gt;=28)*(BC$2:BC$126&lt;&gt;""))</f>
        <v>8</v>
      </c>
      <c r="BD207" s="87" cm="1">
        <f t="array" ref="BD207">SUMPRODUCT((BD$2:BD$126&gt;=28)*(BD$2:BD$126&lt;&gt;""))</f>
        <v>8</v>
      </c>
      <c r="BE207" s="87" cm="1">
        <f t="array" ref="BE207">SUMPRODUCT((BE$2:BE$126&gt;=28)*(BE$2:BE$126&lt;&gt;""))</f>
        <v>6</v>
      </c>
      <c r="BF207" s="87" cm="1">
        <f t="array" ref="BF207">SUMPRODUCT((BF$2:BF$126&gt;=28)*(BF$2:BF$126&lt;&gt;""))</f>
        <v>5</v>
      </c>
      <c r="BG207" s="87" cm="1">
        <f t="array" ref="BG207">SUMPRODUCT((BG$2:BG$126&gt;=28)*(BG$2:BG$126&lt;&gt;""))</f>
        <v>4</v>
      </c>
      <c r="BH207" s="87" cm="1">
        <f t="array" ref="BH207">SUMPRODUCT((BH$2:BH$126&gt;=28)*(BH$2:BH$126&lt;&gt;""))</f>
        <v>5</v>
      </c>
      <c r="BI207" s="87" cm="1">
        <f t="array" ref="BI207">SUMPRODUCT((BI$2:BI$126&gt;=28)*(BI$2:BI$126&lt;&gt;""))</f>
        <v>4</v>
      </c>
      <c r="BJ207" s="87" cm="1">
        <f t="array" ref="BJ207">SUMPRODUCT((BJ$2:BJ$126&gt;=28)*(BJ$2:BJ$126&lt;&gt;""))</f>
        <v>4</v>
      </c>
      <c r="BK207" s="87" cm="1">
        <f t="array" ref="BK207">SUMPRODUCT((BK$2:BK$126&gt;=28)*(BK$2:BK$126&lt;&gt;""))</f>
        <v>4</v>
      </c>
      <c r="BL207" s="87" cm="1">
        <f t="array" ref="BL207">SUMPRODUCT((BL$2:BL$126&gt;=28)*(BL$2:BL$126&lt;&gt;""))</f>
        <v>4</v>
      </c>
      <c r="BM207" s="87" cm="1">
        <f t="array" ref="BM207">SUMPRODUCT((BM$2:BM$126&gt;=28)*(BM$2:BM$126&lt;&gt;""))</f>
        <v>0</v>
      </c>
      <c r="BN207" s="87" cm="1">
        <f t="array" ref="BN207">SUMPRODUCT((BN$2:BN$126&gt;=28)*(BN$2:BN$126&lt;&gt;""))</f>
        <v>0</v>
      </c>
      <c r="BO207" s="87" cm="1">
        <f t="array" ref="BO207">SUMPRODUCT((BO$2:BO$126&gt;=28)*(BO$2:BO$126&lt;&gt;""))</f>
        <v>0</v>
      </c>
      <c r="BP207" s="87" cm="1">
        <f t="array" ref="BP207">SUMPRODUCT((BP$2:BP$126&gt;=28)*(BP$2:BP$126&lt;&gt;""))</f>
        <v>0</v>
      </c>
      <c r="BQ207" s="87" cm="1">
        <f t="array" ref="BQ207">SUMPRODUCT((BQ$2:BQ$126&gt;=28)*(BQ$2:BQ$126&lt;&gt;""))</f>
        <v>0</v>
      </c>
      <c r="BR207" s="87" cm="1">
        <f t="array" ref="BR207">SUMPRODUCT((BR$2:BR$126&gt;=28)*(BR$2:BR$126&lt;&gt;""))</f>
        <v>0</v>
      </c>
      <c r="BS207" s="87" cm="1">
        <f t="array" ref="BS207">SUMPRODUCT((BS$2:BS$126&gt;=28)*(BS$2:BS$126&lt;&gt;""))</f>
        <v>0</v>
      </c>
      <c r="BT207" s="87" cm="1">
        <f t="array" ref="BT207">SUMPRODUCT((BT$2:BT$126&gt;=28)*(BT$2:BT$126&lt;&gt;""))</f>
        <v>0</v>
      </c>
      <c r="BU207" s="87" cm="1">
        <f t="array" ref="BU207">SUMPRODUCT((BU$2:BU$126&gt;=28)*(BU$2:BU$126&lt;&gt;""))</f>
        <v>0</v>
      </c>
      <c r="BV207" s="87" cm="1">
        <f t="array" ref="BV207">SUMPRODUCT((BV$2:BV$126&gt;=28)*(BV$2:BV$126&lt;&gt;""))</f>
        <v>1</v>
      </c>
      <c r="BW207" s="87" cm="1">
        <f t="array" ref="BW207">SUMPRODUCT((BW$2:BW$126&gt;=28)*(BW$2:BW$126&lt;&gt;""))</f>
        <v>1</v>
      </c>
      <c r="BX207" s="87" cm="1">
        <f t="array" ref="BX207">SUMPRODUCT((BX$2:BX$126&gt;=28)*(BX$2:BX$126&lt;&gt;""))</f>
        <v>1</v>
      </c>
      <c r="BY207" s="87" cm="1">
        <f t="array" ref="BY207">SUMPRODUCT((BY$2:BY$126&gt;=28)*(BY$2:BY$126&lt;&gt;""))</f>
        <v>3</v>
      </c>
      <c r="BZ207" s="87" cm="1">
        <f t="array" ref="BZ207">SUMPRODUCT((BZ$2:BZ$126&gt;=28)*(BZ$2:BZ$126&lt;&gt;""))</f>
        <v>5</v>
      </c>
      <c r="CA207" s="87" cm="1">
        <f t="array" ref="CA207">SUMPRODUCT((CA$2:CA$126&gt;=28)*(CA$2:CA$126&lt;&gt;""))</f>
        <v>8</v>
      </c>
      <c r="CB207" s="87" cm="1">
        <f t="array" ref="CB207">SUMPRODUCT((CB$2:CB$126&gt;=28)*(CB$2:CB$126&lt;&gt;""))</f>
        <v>14</v>
      </c>
      <c r="CC207" s="87" cm="1">
        <f t="array" ref="CC207">SUMPRODUCT((CC$2:CC$126&gt;=28)*(CC$2:CC$126&lt;&gt;""))</f>
        <v>22</v>
      </c>
      <c r="CD207" s="87" cm="1">
        <f t="array" ref="CD207">SUMPRODUCT((CD$2:CD$126&gt;=28)*(CD$2:CD$126&lt;&gt;""))</f>
        <v>25</v>
      </c>
      <c r="CE207" s="87" cm="1">
        <f t="array" ref="CE207">SUMPRODUCT((CE$2:CE$126&gt;=28)*(CE$2:CE$126&lt;&gt;""))</f>
        <v>25</v>
      </c>
      <c r="CF207" s="87" cm="1">
        <f t="array" ref="CF207">SUMPRODUCT((CF$2:CF$126&gt;=28)*(CF$2:CF$126&lt;&gt;""))</f>
        <v>29</v>
      </c>
      <c r="CG207" s="87" cm="1">
        <f t="array" ref="CG207">SUMPRODUCT((CG$2:CG$126&gt;=28)*(CG$2:CG$126&lt;&gt;""))</f>
        <v>35</v>
      </c>
      <c r="CH207" s="87" cm="1">
        <f t="array" ref="CH207">SUMPRODUCT((CH$2:CH$126&gt;=28)*(CH$2:CH$126&lt;&gt;""))</f>
        <v>46</v>
      </c>
      <c r="CI207" s="87" cm="1">
        <f t="array" ref="CI207">SUMPRODUCT((CI$2:CI$126&gt;=28)*(CI$2:CI$126&lt;&gt;""))</f>
        <v>55</v>
      </c>
      <c r="CJ207" s="87" cm="1">
        <f t="array" ref="CJ207">SUMPRODUCT((CJ$2:CJ$126&gt;=28)*(CJ$2:CJ$126&lt;&gt;""))</f>
        <v>58</v>
      </c>
      <c r="CK207" s="87" cm="1">
        <f t="array" ref="CK207">SUMPRODUCT((CK$2:CK$126&gt;=28)*(CK$2:CK$126&lt;&gt;""))</f>
        <v>62</v>
      </c>
      <c r="CL207" s="87" cm="1">
        <f t="array" ref="CL207">SUMPRODUCT((CL$2:CL$126&gt;=28)*(CL$2:CL$126&lt;&gt;""))</f>
        <v>62</v>
      </c>
      <c r="CM207" s="87" cm="1">
        <f t="array" ref="CM207">SUMPRODUCT((CM$2:CM$126&gt;=28)*(CM$2:CM$126&lt;&gt;""))</f>
        <v>69</v>
      </c>
      <c r="CN207" s="87" cm="1">
        <f t="array" ref="CN207">SUMPRODUCT((CN$2:CN$126&gt;=28)*(CN$2:CN$126&lt;&gt;""))</f>
        <v>75</v>
      </c>
      <c r="CO207" s="87" cm="1">
        <f t="array" ref="CO207">SUMPRODUCT((CO$2:CO$126&gt;=28)*(CO$2:CO$126&lt;&gt;""))</f>
        <v>85</v>
      </c>
      <c r="CP207" s="87" cm="1">
        <f t="array" ref="CP207">SUMPRODUCT((CP$2:CP$126&gt;=28)*(CP$2:CP$126&lt;&gt;""))</f>
        <v>87</v>
      </c>
      <c r="CQ207" s="87" cm="1">
        <f t="array" ref="CQ207">SUMPRODUCT((CQ$2:CQ$126&gt;=28)*(CQ$2:CQ$126&lt;&gt;""))</f>
        <v>94</v>
      </c>
      <c r="CR207" s="87" cm="1">
        <f t="array" ref="CR207">SUMPRODUCT((CR$2:CR$126&gt;=28)*(CR$2:CR$126&lt;&gt;""))</f>
        <v>94</v>
      </c>
      <c r="CS207" s="87" cm="1">
        <f t="array" ref="CS207">SUMPRODUCT((CS$2:CS$126&gt;=28)*(CS$2:CS$126&lt;&gt;""))</f>
        <v>94</v>
      </c>
      <c r="CT207" s="87" cm="1">
        <f t="array" ref="CT207">SUMPRODUCT((CT$2:CT$126&gt;=28)*(CT$2:CT$126&lt;&gt;""))</f>
        <v>94</v>
      </c>
      <c r="CU207" s="87" cm="1">
        <f t="array" ref="CU207">SUMPRODUCT((CU$2:CU$126&gt;=28)*(CU$2:CU$126&lt;&gt;""))</f>
        <v>94</v>
      </c>
      <c r="CV207" s="87" cm="1">
        <f t="array" ref="CV207">SUMPRODUCT((CV$2:CV$126&gt;=28)*(CV$2:CV$126&lt;&gt;""))</f>
        <v>94</v>
      </c>
      <c r="CW207" s="87" cm="1">
        <f t="array" ref="CW207">SUMPRODUCT((CW$2:CW$126&gt;=28)*(CW$2:CW$126&lt;&gt;""))</f>
        <v>94</v>
      </c>
      <c r="CX207" s="87" cm="1">
        <f t="array" ref="CX207">SUMPRODUCT((CX$2:CX$126&gt;=28)*(CX$2:CX$126&lt;&gt;""))</f>
        <v>94</v>
      </c>
      <c r="CY207" s="87" cm="1">
        <f t="array" ref="CY207">SUMPRODUCT((CY$2:CY$126&gt;=28)*(CY$2:CY$126&lt;&gt;""))</f>
        <v>94</v>
      </c>
      <c r="CZ207" s="87" cm="1">
        <f t="array" ref="CZ207">SUMPRODUCT((CZ$2:CZ$126&gt;=28)*(CZ$2:CZ$126&lt;&gt;""))</f>
        <v>94</v>
      </c>
      <c r="DA207" s="87" cm="1">
        <f t="array" ref="DA207">SUMPRODUCT((DA$2:DA$126&gt;=28)*(DA$2:DA$126&lt;&gt;""))</f>
        <v>94</v>
      </c>
      <c r="DB207" s="87" cm="1">
        <f t="array" ref="DB207">SUMPRODUCT((DB$2:DB$126&gt;=28)*(DB$2:DB$126&lt;&gt;""))</f>
        <v>94</v>
      </c>
      <c r="DC207" s="87" cm="1">
        <f t="array" ref="DC207">SUMPRODUCT((DC$2:DC$126&gt;=28)*(DC$2:DC$126&lt;&gt;""))</f>
        <v>94</v>
      </c>
      <c r="DD207" s="87" cm="1">
        <f t="array" ref="DD207">SUMPRODUCT((DD$2:DD$126&gt;=28)*(DD$2:DD$126&lt;&gt;""))</f>
        <v>94</v>
      </c>
      <c r="DE207" s="87" cm="1">
        <f t="array" ref="DE207">SUMPRODUCT((DE$2:DE$126&gt;=28)*(DE$2:DE$126&lt;&gt;""))</f>
        <v>94</v>
      </c>
      <c r="DF207" s="87" cm="1">
        <f t="array" ref="DF207">SUMPRODUCT((DF$2:DF$126&gt;=28)*(DF$2:DF$126&lt;&gt;""))</f>
        <v>94</v>
      </c>
      <c r="DG207" s="87" cm="1">
        <f t="array" ref="DG207">SUMPRODUCT((DG$2:DG$126&gt;=28)*(DG$2:DG$126&lt;&gt;""))</f>
        <v>94</v>
      </c>
      <c r="DH207" s="87" cm="1">
        <f t="array" ref="DH207">SUMPRODUCT((DH$2:DH$126&gt;=28)*(DH$2:DH$126&lt;&gt;""))</f>
        <v>94</v>
      </c>
      <c r="DI207" s="87" cm="1">
        <f t="array" ref="DI207">SUMPRODUCT((DI$2:DI$126&gt;=28)*(DI$2:DI$126&lt;&gt;""))</f>
        <v>94</v>
      </c>
      <c r="DJ207" s="87" cm="1">
        <f t="array" ref="DJ207">SUMPRODUCT((DJ$2:DJ$126&gt;=28)*(DJ$2:DJ$126&lt;&gt;""))</f>
        <v>94</v>
      </c>
      <c r="DK207" s="87" cm="1">
        <f t="array" ref="DK207">SUMPRODUCT((DK$2:DK$126&gt;=28)*(DK$2:DK$126&lt;&gt;""))</f>
        <v>94</v>
      </c>
      <c r="DL207" s="87" cm="1">
        <f t="array" ref="DL207">SUMPRODUCT((DL$2:DL$126&gt;=28)*(DL$2:DL$126&lt;&gt;""))</f>
        <v>94</v>
      </c>
      <c r="DM207" s="87" cm="1">
        <f t="array" ref="DM207">SUMPRODUCT((DM$2:DM$126&gt;=28)*(DM$2:DM$126&lt;&gt;""))</f>
        <v>94</v>
      </c>
      <c r="DN207" s="87" cm="1">
        <f t="array" ref="DN207">SUMPRODUCT((DN$2:DN$126&gt;=28)*(DN$2:DN$126&lt;&gt;""))</f>
        <v>94</v>
      </c>
      <c r="DO207" s="87" cm="1">
        <f t="array" ref="DO207">SUMPRODUCT((DO$2:DO$126&gt;=28)*(DO$2:DO$126&lt;&gt;""))</f>
        <v>94</v>
      </c>
      <c r="DP207" s="87" cm="1">
        <f t="array" ref="DP207">SUMPRODUCT((DP$2:DP$126&gt;=28)*(DP$2:DP$126&lt;&gt;""))</f>
        <v>94</v>
      </c>
      <c r="DQ207" s="87" cm="1">
        <f t="array" ref="DQ207">SUMPRODUCT((DQ$2:DQ$126&gt;=28)*(DQ$2:DQ$126&lt;&gt;""))</f>
        <v>94</v>
      </c>
      <c r="DR207" s="87" cm="1">
        <f t="array" ref="DR207">SUMPRODUCT((DR$2:DR$126&gt;=28)*(DR$2:DR$126&lt;&gt;""))</f>
        <v>94</v>
      </c>
      <c r="DS207" s="87" cm="1">
        <f t="array" ref="DS207">SUMPRODUCT((DS$2:DS$126&gt;=28)*(DS$2:DS$126&lt;&gt;""))</f>
        <v>94</v>
      </c>
      <c r="DT207" s="87" cm="1">
        <f t="array" ref="DT207">SUMPRODUCT((DT$2:DT$126&gt;=28)*(DT$2:DT$126&lt;&gt;""))</f>
        <v>94</v>
      </c>
      <c r="DU207" s="87" cm="1">
        <f t="array" ref="DU207">SUMPRODUCT((DU$2:DU$126&gt;=28)*(DU$2:DU$126&lt;&gt;""))</f>
        <v>94</v>
      </c>
      <c r="DV207" s="87" cm="1">
        <f t="array" ref="DV207">SUMPRODUCT((DV$2:DV$126&gt;=28)*(DV$2:DV$126&lt;&gt;""))</f>
        <v>94</v>
      </c>
      <c r="DW207" s="87" cm="1">
        <f t="array" ref="DW207">SUMPRODUCT((DW$2:DW$126&gt;=28)*(DW$2:DW$126&lt;&gt;""))</f>
        <v>94</v>
      </c>
      <c r="DX207" s="87" cm="1">
        <f t="array" ref="DX207">SUMPRODUCT((DX$2:DX$126&gt;=28)*(DX$2:DX$126&lt;&gt;""))</f>
        <v>94</v>
      </c>
      <c r="DY207" s="87" cm="1">
        <f t="array" ref="DY207">SUMPRODUCT((DY$2:DY$126&gt;=28)*(DY$2:DY$126&lt;&gt;""))</f>
        <v>94</v>
      </c>
      <c r="DZ207" s="87" cm="1">
        <f t="array" ref="DZ207">SUMPRODUCT((DZ$2:DZ$126&gt;=28)*(DZ$2:DZ$126&lt;&gt;""))</f>
        <v>94</v>
      </c>
      <c r="EA207" s="87" cm="1">
        <f t="array" ref="EA207">SUMPRODUCT((EA$2:EA$126&gt;=28)*(EA$2:EA$126&lt;&gt;""))</f>
        <v>94</v>
      </c>
      <c r="EB207" s="87" cm="1">
        <f t="array" ref="EB207">SUMPRODUCT((EB$2:EB$126&gt;=28)*(EB$2:EB$126&lt;&gt;""))</f>
        <v>94</v>
      </c>
      <c r="EC207" s="87" cm="1">
        <f t="array" ref="EC207">SUMPRODUCT((EC$2:EC$126&gt;=28)*(EC$2:EC$126&lt;&gt;""))</f>
        <v>94</v>
      </c>
      <c r="ED207" s="87" cm="1">
        <f t="array" ref="ED207">SUMPRODUCT((ED$2:ED$126&gt;=28)*(ED$2:ED$126&lt;&gt;""))</f>
        <v>94</v>
      </c>
      <c r="EE207" s="87" cm="1">
        <f t="array" ref="EE207">SUMPRODUCT((EE$2:EE$126&gt;=28)*(EE$2:EE$126&lt;&gt;""))</f>
        <v>94</v>
      </c>
      <c r="EF207" s="87" cm="1">
        <f t="array" ref="EF207">SUMPRODUCT((EF$2:EF$126&gt;=28)*(EF$2:EF$126&lt;&gt;""))</f>
        <v>94</v>
      </c>
      <c r="EG207" s="87" cm="1">
        <f t="array" ref="EG207">SUMPRODUCT((EG$2:EG$126&gt;=28)*(EG$2:EG$126&lt;&gt;""))</f>
        <v>94</v>
      </c>
      <c r="EH207" s="87" cm="1">
        <f t="array" ref="EH207">SUMPRODUCT((EH$2:EH$126&gt;=28)*(EH$2:EH$126&lt;&gt;""))</f>
        <v>94</v>
      </c>
      <c r="EI207" s="87" cm="1">
        <f t="array" ref="EI207">SUMPRODUCT((EI$2:EI$126&gt;=28)*(EI$2:EI$126&lt;&gt;""))</f>
        <v>94</v>
      </c>
      <c r="EJ207" s="87" cm="1">
        <f t="array" ref="EJ207">SUMPRODUCT((EJ$2:EJ$126&gt;=28)*(EJ$2:EJ$126&lt;&gt;""))</f>
        <v>94</v>
      </c>
      <c r="EK207" s="87" cm="1">
        <f t="array" ref="EK207">SUMPRODUCT((EK$2:EK$126&gt;=28)*(EK$2:EK$126&lt;&gt;""))</f>
        <v>94</v>
      </c>
      <c r="EL207" s="87" cm="1">
        <f t="array" ref="EL207">SUMPRODUCT((EL$2:EL$126&gt;=28)*(EL$2:EL$126&lt;&gt;""))</f>
        <v>94</v>
      </c>
      <c r="EM207" s="87" cm="1">
        <f t="array" ref="EM207">SUMPRODUCT((EM$2:EM$126&gt;=28)*(EM$2:EM$126&lt;&gt;""))</f>
        <v>94</v>
      </c>
      <c r="EN207" s="87" cm="1">
        <f t="array" ref="EN207">SUMPRODUCT((EN$2:EN$126&gt;=28)*(EN$2:EN$126&lt;&gt;""))</f>
        <v>94</v>
      </c>
      <c r="EO207" s="87" cm="1">
        <f t="array" ref="EO207">SUMPRODUCT((EO$2:EO$126&gt;=28)*(EO$2:EO$126&lt;&gt;""))</f>
        <v>94</v>
      </c>
      <c r="EP207" s="87" cm="1">
        <f t="array" ref="EP207">SUMPRODUCT((EP$2:EP$126&gt;=28)*(EP$2:EP$126&lt;&gt;""))</f>
        <v>94</v>
      </c>
      <c r="EQ207" s="87" cm="1">
        <f t="array" ref="EQ207">SUMPRODUCT((EQ$2:EQ$126&gt;=28)*(EQ$2:EQ$126&lt;&gt;""))</f>
        <v>94</v>
      </c>
      <c r="ER207" s="87" cm="1">
        <f t="array" ref="ER207">SUMPRODUCT((ER$2:ER$126&gt;=28)*(ER$2:ER$126&lt;&gt;""))</f>
        <v>94</v>
      </c>
      <c r="ES207" s="87" cm="1">
        <f t="array" ref="ES207">SUMPRODUCT((ES$2:ES$126&gt;=28)*(ES$2:ES$126&lt;&gt;""))</f>
        <v>94</v>
      </c>
      <c r="ET207" s="87" cm="1">
        <f t="array" ref="ET207">SUMPRODUCT((ET$2:ET$126&gt;=28)*(ET$2:ET$126&lt;&gt;""))</f>
        <v>94</v>
      </c>
      <c r="EU207" s="87" cm="1">
        <f t="array" ref="EU207">SUMPRODUCT((EU$2:EU$126&gt;=28)*(EU$2:EU$126&lt;&gt;""))</f>
        <v>94</v>
      </c>
      <c r="EV207" s="87" cm="1">
        <f t="array" ref="EV207">SUMPRODUCT((EV$2:EV$126&gt;=28)*(EV$2:EV$126&lt;&gt;""))</f>
        <v>94</v>
      </c>
      <c r="EW207" s="87" cm="1">
        <f t="array" ref="EW207">SUMPRODUCT((EW$2:EW$126&gt;=28)*(EW$2:EW$126&lt;&gt;""))</f>
        <v>94</v>
      </c>
      <c r="EX207" s="87" cm="1">
        <f t="array" ref="EX207">SUMPRODUCT((EX$2:EX$126&gt;=28)*(EX$2:EX$126&lt;&gt;""))</f>
        <v>94</v>
      </c>
      <c r="EY207" s="87" cm="1">
        <f t="array" ref="EY207">SUMPRODUCT((EY$2:EY$126&gt;=28)*(EY$2:EY$126&lt;&gt;""))</f>
        <v>94</v>
      </c>
      <c r="EZ207" s="87" cm="1">
        <f t="array" ref="EZ207">SUMPRODUCT((EZ$2:EZ$126&gt;=28)*(EZ$2:EZ$126&lt;&gt;""))</f>
        <v>94</v>
      </c>
      <c r="FA207" s="87" cm="1">
        <f t="array" ref="FA207">SUMPRODUCT((FA$2:FA$126&gt;=28)*(FA$2:FA$126&lt;&gt;""))</f>
        <v>94</v>
      </c>
      <c r="FB207" s="87" cm="1">
        <f t="array" ref="FB207">SUMPRODUCT((FB$2:FB$126&gt;=28)*(FB$2:FB$126&lt;&gt;""))</f>
        <v>94</v>
      </c>
      <c r="FC207" s="87" cm="1">
        <f t="array" ref="FC207">SUMPRODUCT((FC$2:FC$126&gt;=28)*(FC$2:FC$126&lt;&gt;""))</f>
        <v>94</v>
      </c>
      <c r="FD207" s="87" cm="1">
        <f t="array" ref="FD207">SUMPRODUCT((FD$2:FD$126&gt;=28)*(FD$2:FD$126&lt;&gt;""))</f>
        <v>94</v>
      </c>
      <c r="FE207" s="87" cm="1">
        <f t="array" ref="FE207">SUMPRODUCT((FE$2:FE$126&gt;=28)*(FE$2:FE$126&lt;&gt;""))</f>
        <v>94</v>
      </c>
      <c r="FF207" s="87" cm="1">
        <f t="array" ref="FF207">SUMPRODUCT((FF$2:FF$126&gt;=28)*(FF$2:FF$126&lt;&gt;""))</f>
        <v>94</v>
      </c>
      <c r="FG207" s="87" cm="1">
        <f t="array" ref="FG207">SUMPRODUCT((FG$2:FG$126&gt;=28)*(FG$2:FG$126&lt;&gt;""))</f>
        <v>94</v>
      </c>
      <c r="FH207" s="87" cm="1">
        <f t="array" ref="FH207">SUMPRODUCT((FH$2:FH$126&gt;=28)*(FH$2:FH$126&lt;&gt;""))</f>
        <v>94</v>
      </c>
      <c r="FI207" s="87" cm="1">
        <f t="array" ref="FI207">SUMPRODUCT((FI$2:FI$126&gt;=28)*(FI$2:FI$126&lt;&gt;""))</f>
        <v>94</v>
      </c>
      <c r="FJ207" s="87" cm="1">
        <f t="array" ref="FJ207">SUMPRODUCT((FJ$2:FJ$126&gt;=28)*(FJ$2:FJ$126&lt;&gt;""))</f>
        <v>94</v>
      </c>
      <c r="FK207" s="87" cm="1">
        <f t="array" ref="FK207">SUMPRODUCT((FK$2:FK$126&gt;=28)*(FK$2:FK$126&lt;&gt;""))</f>
        <v>94</v>
      </c>
      <c r="FL207" s="87" cm="1">
        <f t="array" ref="FL207">SUMPRODUCT((FL$2:FL$126&gt;=28)*(FL$2:FL$126&lt;&gt;""))</f>
        <v>94</v>
      </c>
      <c r="FM207" s="87" cm="1">
        <f t="array" ref="FM207">SUMPRODUCT((FM$2:FM$126&gt;=28)*(FM$2:FM$126&lt;&gt;""))</f>
        <v>94</v>
      </c>
      <c r="FN207" s="87" cm="1">
        <f t="array" ref="FN207">SUMPRODUCT((FN$2:FN$126&gt;=28)*(FN$2:FN$126&lt;&gt;""))</f>
        <v>94</v>
      </c>
      <c r="FO207" s="87" cm="1">
        <f t="array" ref="FO207">SUMPRODUCT((FO$2:FO$126&gt;=28)*(FO$2:FO$126&lt;&gt;""))</f>
        <v>94</v>
      </c>
      <c r="FP207" s="87" cm="1">
        <f t="array" ref="FP207">SUMPRODUCT((FP$2:FP$126&gt;=28)*(FP$2:FP$126&lt;&gt;""))</f>
        <v>94</v>
      </c>
      <c r="FQ207" s="87" cm="1">
        <f t="array" ref="FQ207">SUMPRODUCT((FQ$2:FQ$126&gt;=28)*(FQ$2:FQ$126&lt;&gt;""))</f>
        <v>94</v>
      </c>
      <c r="FR207" s="87" cm="1">
        <f t="array" ref="FR207">SUMPRODUCT((FR$2:FR$126&gt;=28)*(FR$2:FR$126&lt;&gt;""))</f>
        <v>94</v>
      </c>
      <c r="FS207" s="87" cm="1">
        <f t="array" ref="FS207">SUMPRODUCT((FS$2:FS$126&gt;=28)*(FS$2:FS$126&lt;&gt;""))</f>
        <v>94</v>
      </c>
      <c r="FT207" s="87" cm="1">
        <f t="array" ref="FT207">SUMPRODUCT((FT$2:FT$126&gt;=28)*(FT$2:FT$126&lt;&gt;""))</f>
        <v>94</v>
      </c>
      <c r="FU207" s="87" cm="1">
        <f t="array" ref="FU207">SUMPRODUCT((FU$2:FU$126&gt;=28)*(FU$2:FU$126&lt;&gt;""))</f>
        <v>94</v>
      </c>
      <c r="FV207" s="87" cm="1">
        <f t="array" ref="FV207">SUMPRODUCT((FV$2:FV$126&gt;=28)*(FV$2:FV$126&lt;&gt;""))</f>
        <v>94</v>
      </c>
      <c r="FW207" s="87" cm="1">
        <f t="array" ref="FW207">SUMPRODUCT((FW$2:FW$126&gt;=28)*(FW$2:FW$126&lt;&gt;""))</f>
        <v>94</v>
      </c>
      <c r="FX207" s="87" cm="1">
        <f t="array" ref="FX207">SUMPRODUCT((FX$2:FX$126&gt;=28)*(FX$2:FX$126&lt;&gt;""))</f>
        <v>94</v>
      </c>
      <c r="FY207" s="87" cm="1">
        <f t="array" ref="FY207">SUMPRODUCT((FY$2:FY$126&gt;=28)*(FY$2:FY$126&lt;&gt;""))</f>
        <v>94</v>
      </c>
      <c r="FZ207" s="87" cm="1">
        <f t="array" ref="FZ207">SUMPRODUCT((FZ$2:FZ$126&gt;=28)*(FZ$2:FZ$126&lt;&gt;""))</f>
        <v>94</v>
      </c>
      <c r="GA207" s="87" cm="1">
        <f t="array" ref="GA207">SUMPRODUCT((GA$2:GA$126&gt;=28)*(GA$2:GA$126&lt;&gt;""))</f>
        <v>94</v>
      </c>
      <c r="GB207" s="87" cm="1">
        <f t="array" ref="GB207">SUMPRODUCT((GB$2:GB$126&gt;=28)*(GB$2:GB$126&lt;&gt;""))</f>
        <v>94</v>
      </c>
      <c r="GC207" s="87" cm="1">
        <f t="array" ref="GC207">SUMPRODUCT((GC$2:GC$126&gt;=28)*(GC$2:GC$126&lt;&gt;""))</f>
        <v>94</v>
      </c>
      <c r="GD207" s="87" cm="1">
        <f t="array" ref="GD207">SUMPRODUCT((GD$2:GD$126&gt;=28)*(GD$2:GD$126&lt;&gt;""))</f>
        <v>94</v>
      </c>
      <c r="GE207" s="87" cm="1">
        <f t="array" ref="GE207">SUMPRODUCT((GE$2:GE$126&gt;=28)*(GE$2:GE$126&lt;&gt;""))</f>
        <v>94</v>
      </c>
      <c r="GF207" s="87" cm="1">
        <f t="array" ref="GF207">SUMPRODUCT((GF$2:GF$126&gt;=28)*(GF$2:GF$126&lt;&gt;""))</f>
        <v>94</v>
      </c>
      <c r="GG207" s="87" cm="1">
        <f t="array" ref="GG207">SUMPRODUCT((GG$2:GG$126&gt;=28)*(GG$2:GG$126&lt;&gt;""))</f>
        <v>94</v>
      </c>
      <c r="GH207" s="87" cm="1">
        <f t="array" ref="GH207">SUMPRODUCT((GH$2:GH$126&gt;=28)*(GH$2:GH$126&lt;&gt;""))</f>
        <v>94</v>
      </c>
      <c r="GI207" s="87" cm="1">
        <f t="array" ref="GI207">SUMPRODUCT((GI$2:GI$126&gt;=28)*(GI$2:GI$126&lt;&gt;""))</f>
        <v>94</v>
      </c>
      <c r="GJ207" s="87" cm="1">
        <f t="array" ref="GJ207">SUMPRODUCT((GJ$2:GJ$126&gt;=28)*(GJ$2:GJ$126&lt;&gt;""))</f>
        <v>94</v>
      </c>
      <c r="GK207" s="87" cm="1">
        <f t="array" ref="GK207">SUMPRODUCT((GK$2:GK$126&gt;=28)*(GK$2:GK$126&lt;&gt;""))</f>
        <v>94</v>
      </c>
      <c r="GL207" s="87" cm="1">
        <f t="array" ref="GL207">SUMPRODUCT((GL$2:GL$126&gt;=28)*(GL$2:GL$126&lt;&gt;""))</f>
        <v>94</v>
      </c>
      <c r="GM207" s="87" cm="1">
        <f t="array" ref="GM207">SUMPRODUCT((GM$2:GM$126&gt;=28)*(GM$2:GM$126&lt;&gt;""))</f>
        <v>94</v>
      </c>
      <c r="GN207" s="87" cm="1">
        <f t="array" ref="GN207">SUMPRODUCT((GN$2:GN$126&gt;=28)*(GN$2:GN$126&lt;&gt;""))</f>
        <v>94</v>
      </c>
      <c r="GO207" s="87" cm="1">
        <f t="array" ref="GO207">SUMPRODUCT((GO$2:GO$126&gt;=28)*(GO$2:GO$126&lt;&gt;""))</f>
        <v>94</v>
      </c>
      <c r="GP207" s="87" cm="1">
        <f t="array" ref="GP207">SUMPRODUCT((GP$2:GP$126&gt;=28)*(GP$2:GP$126&lt;&gt;""))</f>
        <v>94</v>
      </c>
      <c r="GQ207" s="87" cm="1">
        <f t="array" ref="GQ207">SUMPRODUCT((GQ$2:GQ$126&gt;=28)*(GQ$2:GQ$126&lt;&gt;""))</f>
        <v>94</v>
      </c>
      <c r="GR207" s="87" cm="1">
        <f t="array" ref="GR207">SUMPRODUCT((GR$2:GR$126&gt;=28)*(GR$2:GR$126&lt;&gt;""))</f>
        <v>94</v>
      </c>
      <c r="GS207" s="87" cm="1">
        <f t="array" ref="GS207">SUMPRODUCT((GS$2:GS$126&gt;=28)*(GS$2:GS$126&lt;&gt;""))</f>
        <v>94</v>
      </c>
      <c r="GT207" s="87" cm="1">
        <f t="array" ref="GT207">SUMPRODUCT((GT$2:GT$126&gt;=28)*(GT$2:GT$126&lt;&gt;""))</f>
        <v>94</v>
      </c>
      <c r="GU207" s="87" cm="1">
        <f t="array" ref="GU207">SUMPRODUCT((GU$2:GU$126&gt;=28)*(GU$2:GU$126&lt;&gt;""))</f>
        <v>94</v>
      </c>
      <c r="GV207" s="87" cm="1">
        <f t="array" ref="GV207">SUMPRODUCT((GV$2:GV$126&gt;=28)*(GV$2:GV$126&lt;&gt;""))</f>
        <v>94</v>
      </c>
      <c r="GW207" s="87" cm="1">
        <f t="array" ref="GW207">SUMPRODUCT((GW$2:GW$126&gt;=28)*(GW$2:GW$126&lt;&gt;""))</f>
        <v>94</v>
      </c>
      <c r="GX207" s="87" cm="1">
        <f t="array" ref="GX207">SUMPRODUCT((GX$2:GX$126&gt;=28)*(GX$2:GX$126&lt;&gt;""))</f>
        <v>94</v>
      </c>
    </row>
    <row r="208" spans="1:206" s="102" customFormat="1" x14ac:dyDescent="0.2">
      <c r="A208" s="101"/>
      <c r="B208" s="101" t="s">
        <v>274</v>
      </c>
      <c r="W208" s="104">
        <f>SUM(W203:W207)</f>
        <v>85</v>
      </c>
      <c r="X208" s="104">
        <f t="shared" ref="X208:CI208" si="259">SUM(X203:X207)</f>
        <v>89</v>
      </c>
      <c r="Y208" s="104">
        <f t="shared" si="259"/>
        <v>91</v>
      </c>
      <c r="Z208" s="104">
        <f t="shared" si="259"/>
        <v>94</v>
      </c>
      <c r="AA208" s="104">
        <f t="shared" si="259"/>
        <v>94</v>
      </c>
      <c r="AB208" s="104">
        <f t="shared" si="259"/>
        <v>94</v>
      </c>
      <c r="AC208" s="104">
        <f t="shared" si="259"/>
        <v>94</v>
      </c>
      <c r="AD208" s="104">
        <f t="shared" si="259"/>
        <v>94</v>
      </c>
      <c r="AE208" s="104">
        <f t="shared" si="259"/>
        <v>94</v>
      </c>
      <c r="AF208" s="104">
        <f t="shared" si="259"/>
        <v>94</v>
      </c>
      <c r="AG208" s="104">
        <f t="shared" si="259"/>
        <v>94</v>
      </c>
      <c r="AH208" s="104">
        <f t="shared" si="259"/>
        <v>94</v>
      </c>
      <c r="AI208" s="104">
        <f t="shared" si="259"/>
        <v>94</v>
      </c>
      <c r="AJ208" s="104">
        <f t="shared" si="259"/>
        <v>94</v>
      </c>
      <c r="AK208" s="104">
        <f t="shared" si="259"/>
        <v>94</v>
      </c>
      <c r="AL208" s="104">
        <f t="shared" si="259"/>
        <v>94</v>
      </c>
      <c r="AM208" s="104">
        <f t="shared" si="259"/>
        <v>94</v>
      </c>
      <c r="AN208" s="104">
        <f t="shared" si="259"/>
        <v>94</v>
      </c>
      <c r="AO208" s="104">
        <f t="shared" si="259"/>
        <v>94</v>
      </c>
      <c r="AP208" s="104">
        <f t="shared" si="259"/>
        <v>94</v>
      </c>
      <c r="AQ208" s="104">
        <f t="shared" si="259"/>
        <v>94</v>
      </c>
      <c r="AR208" s="104">
        <f t="shared" si="259"/>
        <v>94</v>
      </c>
      <c r="AS208" s="104">
        <f t="shared" si="259"/>
        <v>94</v>
      </c>
      <c r="AT208" s="104">
        <f t="shared" si="259"/>
        <v>94</v>
      </c>
      <c r="AU208" s="104">
        <f t="shared" si="259"/>
        <v>94</v>
      </c>
      <c r="AV208" s="104">
        <f t="shared" si="259"/>
        <v>94</v>
      </c>
      <c r="AW208" s="104">
        <f t="shared" si="259"/>
        <v>94</v>
      </c>
      <c r="AX208" s="104">
        <f t="shared" si="259"/>
        <v>94</v>
      </c>
      <c r="AY208" s="104">
        <f t="shared" si="259"/>
        <v>94</v>
      </c>
      <c r="AZ208" s="104">
        <f t="shared" si="259"/>
        <v>94</v>
      </c>
      <c r="BA208" s="104">
        <f t="shared" si="259"/>
        <v>94</v>
      </c>
      <c r="BB208" s="104">
        <f t="shared" si="259"/>
        <v>94</v>
      </c>
      <c r="BC208" s="104">
        <f t="shared" si="259"/>
        <v>94</v>
      </c>
      <c r="BD208" s="104">
        <f t="shared" si="259"/>
        <v>94</v>
      </c>
      <c r="BE208" s="104">
        <f t="shared" si="259"/>
        <v>94</v>
      </c>
      <c r="BF208" s="104">
        <f t="shared" si="259"/>
        <v>94</v>
      </c>
      <c r="BG208" s="104">
        <f t="shared" si="259"/>
        <v>94</v>
      </c>
      <c r="BH208" s="104">
        <f t="shared" si="259"/>
        <v>94</v>
      </c>
      <c r="BI208" s="104">
        <f t="shared" si="259"/>
        <v>94</v>
      </c>
      <c r="BJ208" s="104">
        <f t="shared" si="259"/>
        <v>94</v>
      </c>
      <c r="BK208" s="104">
        <f t="shared" si="259"/>
        <v>94</v>
      </c>
      <c r="BL208" s="104">
        <f t="shared" si="259"/>
        <v>94</v>
      </c>
      <c r="BM208" s="104">
        <f t="shared" si="259"/>
        <v>94</v>
      </c>
      <c r="BN208" s="104">
        <f t="shared" si="259"/>
        <v>94</v>
      </c>
      <c r="BO208" s="104">
        <f t="shared" si="259"/>
        <v>94</v>
      </c>
      <c r="BP208" s="104">
        <f t="shared" si="259"/>
        <v>94</v>
      </c>
      <c r="BQ208" s="104">
        <f t="shared" si="259"/>
        <v>94</v>
      </c>
      <c r="BR208" s="104">
        <f t="shared" si="259"/>
        <v>94</v>
      </c>
      <c r="BS208" s="104">
        <f t="shared" si="259"/>
        <v>94</v>
      </c>
      <c r="BT208" s="104">
        <f t="shared" si="259"/>
        <v>94</v>
      </c>
      <c r="BU208" s="104">
        <f t="shared" si="259"/>
        <v>94</v>
      </c>
      <c r="BV208" s="104">
        <f t="shared" si="259"/>
        <v>94</v>
      </c>
      <c r="BW208" s="104">
        <f t="shared" si="259"/>
        <v>94</v>
      </c>
      <c r="BX208" s="104">
        <f t="shared" si="259"/>
        <v>94</v>
      </c>
      <c r="BY208" s="104">
        <f t="shared" si="259"/>
        <v>94</v>
      </c>
      <c r="BZ208" s="104">
        <f t="shared" si="259"/>
        <v>94</v>
      </c>
      <c r="CA208" s="104">
        <f t="shared" si="259"/>
        <v>94</v>
      </c>
      <c r="CB208" s="104">
        <f t="shared" si="259"/>
        <v>94</v>
      </c>
      <c r="CC208" s="104">
        <f t="shared" si="259"/>
        <v>94</v>
      </c>
      <c r="CD208" s="104">
        <f t="shared" si="259"/>
        <v>94</v>
      </c>
      <c r="CE208" s="104">
        <f t="shared" si="259"/>
        <v>94</v>
      </c>
      <c r="CF208" s="104">
        <f t="shared" si="259"/>
        <v>94</v>
      </c>
      <c r="CG208" s="104">
        <f t="shared" si="259"/>
        <v>94</v>
      </c>
      <c r="CH208" s="104">
        <f t="shared" si="259"/>
        <v>94</v>
      </c>
      <c r="CI208" s="104">
        <f t="shared" si="259"/>
        <v>94</v>
      </c>
      <c r="CJ208" s="104">
        <f t="shared" ref="CJ208:EU208" si="260">SUM(CJ203:CJ207)</f>
        <v>94</v>
      </c>
      <c r="CK208" s="104">
        <f t="shared" si="260"/>
        <v>94</v>
      </c>
      <c r="CL208" s="104">
        <f t="shared" si="260"/>
        <v>94</v>
      </c>
      <c r="CM208" s="104">
        <f t="shared" si="260"/>
        <v>94</v>
      </c>
      <c r="CN208" s="104">
        <f t="shared" si="260"/>
        <v>94</v>
      </c>
      <c r="CO208" s="104">
        <f t="shared" si="260"/>
        <v>94</v>
      </c>
      <c r="CP208" s="104">
        <f t="shared" si="260"/>
        <v>94</v>
      </c>
      <c r="CQ208" s="104">
        <f t="shared" si="260"/>
        <v>94</v>
      </c>
      <c r="CR208" s="104">
        <f t="shared" si="260"/>
        <v>94</v>
      </c>
      <c r="CS208" s="104">
        <f t="shared" si="260"/>
        <v>94</v>
      </c>
      <c r="CT208" s="104">
        <f t="shared" si="260"/>
        <v>94</v>
      </c>
      <c r="CU208" s="104">
        <f t="shared" si="260"/>
        <v>94</v>
      </c>
      <c r="CV208" s="104">
        <f t="shared" si="260"/>
        <v>94</v>
      </c>
      <c r="CW208" s="104">
        <f t="shared" si="260"/>
        <v>94</v>
      </c>
      <c r="CX208" s="104">
        <f t="shared" si="260"/>
        <v>94</v>
      </c>
      <c r="CY208" s="104">
        <f t="shared" si="260"/>
        <v>94</v>
      </c>
      <c r="CZ208" s="104">
        <f t="shared" si="260"/>
        <v>94</v>
      </c>
      <c r="DA208" s="104">
        <f t="shared" si="260"/>
        <v>94</v>
      </c>
      <c r="DB208" s="104">
        <f t="shared" si="260"/>
        <v>94</v>
      </c>
      <c r="DC208" s="104">
        <f t="shared" si="260"/>
        <v>94</v>
      </c>
      <c r="DD208" s="104">
        <f t="shared" si="260"/>
        <v>94</v>
      </c>
      <c r="DE208" s="104">
        <f t="shared" si="260"/>
        <v>94</v>
      </c>
      <c r="DF208" s="104">
        <f t="shared" si="260"/>
        <v>94</v>
      </c>
      <c r="DG208" s="104">
        <f t="shared" si="260"/>
        <v>94</v>
      </c>
      <c r="DH208" s="104">
        <f t="shared" si="260"/>
        <v>94</v>
      </c>
      <c r="DI208" s="104">
        <f t="shared" si="260"/>
        <v>94</v>
      </c>
      <c r="DJ208" s="104">
        <f t="shared" si="260"/>
        <v>94</v>
      </c>
      <c r="DK208" s="104">
        <f t="shared" si="260"/>
        <v>94</v>
      </c>
      <c r="DL208" s="104">
        <f t="shared" si="260"/>
        <v>94</v>
      </c>
      <c r="DM208" s="104">
        <f t="shared" si="260"/>
        <v>94</v>
      </c>
      <c r="DN208" s="104">
        <f t="shared" si="260"/>
        <v>94</v>
      </c>
      <c r="DO208" s="104">
        <f t="shared" si="260"/>
        <v>94</v>
      </c>
      <c r="DP208" s="104">
        <f t="shared" si="260"/>
        <v>94</v>
      </c>
      <c r="DQ208" s="104">
        <f t="shared" si="260"/>
        <v>94</v>
      </c>
      <c r="DR208" s="104">
        <f t="shared" si="260"/>
        <v>94</v>
      </c>
      <c r="DS208" s="104">
        <f t="shared" si="260"/>
        <v>94</v>
      </c>
      <c r="DT208" s="104">
        <f t="shared" si="260"/>
        <v>94</v>
      </c>
      <c r="DU208" s="104">
        <f t="shared" si="260"/>
        <v>94</v>
      </c>
      <c r="DV208" s="104">
        <f t="shared" si="260"/>
        <v>94</v>
      </c>
      <c r="DW208" s="104">
        <f t="shared" si="260"/>
        <v>94</v>
      </c>
      <c r="DX208" s="104">
        <f t="shared" si="260"/>
        <v>94</v>
      </c>
      <c r="DY208" s="104">
        <f t="shared" si="260"/>
        <v>94</v>
      </c>
      <c r="DZ208" s="104">
        <f t="shared" si="260"/>
        <v>94</v>
      </c>
      <c r="EA208" s="104">
        <f t="shared" si="260"/>
        <v>94</v>
      </c>
      <c r="EB208" s="104">
        <f t="shared" si="260"/>
        <v>94</v>
      </c>
      <c r="EC208" s="104">
        <f t="shared" si="260"/>
        <v>94</v>
      </c>
      <c r="ED208" s="104">
        <f t="shared" si="260"/>
        <v>94</v>
      </c>
      <c r="EE208" s="104">
        <f t="shared" si="260"/>
        <v>94</v>
      </c>
      <c r="EF208" s="104">
        <f t="shared" si="260"/>
        <v>94</v>
      </c>
      <c r="EG208" s="104">
        <f t="shared" si="260"/>
        <v>94</v>
      </c>
      <c r="EH208" s="104">
        <f t="shared" si="260"/>
        <v>94</v>
      </c>
      <c r="EI208" s="104">
        <f t="shared" si="260"/>
        <v>94</v>
      </c>
      <c r="EJ208" s="104">
        <f t="shared" si="260"/>
        <v>94</v>
      </c>
      <c r="EK208" s="104">
        <f t="shared" si="260"/>
        <v>94</v>
      </c>
      <c r="EL208" s="104">
        <f t="shared" si="260"/>
        <v>94</v>
      </c>
      <c r="EM208" s="104">
        <f t="shared" si="260"/>
        <v>94</v>
      </c>
      <c r="EN208" s="104">
        <f t="shared" si="260"/>
        <v>94</v>
      </c>
      <c r="EO208" s="104">
        <f t="shared" si="260"/>
        <v>94</v>
      </c>
      <c r="EP208" s="104">
        <f t="shared" si="260"/>
        <v>94</v>
      </c>
      <c r="EQ208" s="104">
        <f t="shared" si="260"/>
        <v>94</v>
      </c>
      <c r="ER208" s="104">
        <f t="shared" si="260"/>
        <v>94</v>
      </c>
      <c r="ES208" s="104">
        <f t="shared" si="260"/>
        <v>94</v>
      </c>
      <c r="ET208" s="104">
        <f t="shared" si="260"/>
        <v>94</v>
      </c>
      <c r="EU208" s="104">
        <f t="shared" si="260"/>
        <v>94</v>
      </c>
      <c r="EV208" s="104">
        <f t="shared" ref="EV208:GX208" si="261">SUM(EV203:EV207)</f>
        <v>94</v>
      </c>
      <c r="EW208" s="104">
        <f t="shared" si="261"/>
        <v>94</v>
      </c>
      <c r="EX208" s="104">
        <f t="shared" si="261"/>
        <v>94</v>
      </c>
      <c r="EY208" s="104">
        <f t="shared" si="261"/>
        <v>94</v>
      </c>
      <c r="EZ208" s="104">
        <f t="shared" si="261"/>
        <v>94</v>
      </c>
      <c r="FA208" s="104">
        <f t="shared" si="261"/>
        <v>94</v>
      </c>
      <c r="FB208" s="104">
        <f t="shared" si="261"/>
        <v>94</v>
      </c>
      <c r="FC208" s="104">
        <f t="shared" si="261"/>
        <v>94</v>
      </c>
      <c r="FD208" s="104">
        <f t="shared" si="261"/>
        <v>94</v>
      </c>
      <c r="FE208" s="104">
        <f t="shared" si="261"/>
        <v>94</v>
      </c>
      <c r="FF208" s="104">
        <f t="shared" si="261"/>
        <v>94</v>
      </c>
      <c r="FG208" s="104">
        <f t="shared" si="261"/>
        <v>94</v>
      </c>
      <c r="FH208" s="104">
        <f t="shared" si="261"/>
        <v>94</v>
      </c>
      <c r="FI208" s="104">
        <f t="shared" si="261"/>
        <v>94</v>
      </c>
      <c r="FJ208" s="104">
        <f t="shared" si="261"/>
        <v>94</v>
      </c>
      <c r="FK208" s="104">
        <f t="shared" si="261"/>
        <v>94</v>
      </c>
      <c r="FL208" s="104">
        <f t="shared" si="261"/>
        <v>94</v>
      </c>
      <c r="FM208" s="104">
        <f t="shared" si="261"/>
        <v>94</v>
      </c>
      <c r="FN208" s="104">
        <f t="shared" si="261"/>
        <v>94</v>
      </c>
      <c r="FO208" s="104">
        <f t="shared" si="261"/>
        <v>94</v>
      </c>
      <c r="FP208" s="104">
        <f t="shared" si="261"/>
        <v>94</v>
      </c>
      <c r="FQ208" s="104">
        <f t="shared" si="261"/>
        <v>94</v>
      </c>
      <c r="FR208" s="104">
        <f t="shared" si="261"/>
        <v>94</v>
      </c>
      <c r="FS208" s="104">
        <f t="shared" si="261"/>
        <v>94</v>
      </c>
      <c r="FT208" s="104">
        <f t="shared" si="261"/>
        <v>94</v>
      </c>
      <c r="FU208" s="104">
        <f t="shared" si="261"/>
        <v>94</v>
      </c>
      <c r="FV208" s="104">
        <f t="shared" si="261"/>
        <v>94</v>
      </c>
      <c r="FW208" s="104">
        <f t="shared" si="261"/>
        <v>94</v>
      </c>
      <c r="FX208" s="104">
        <f t="shared" si="261"/>
        <v>94</v>
      </c>
      <c r="FY208" s="104">
        <f t="shared" si="261"/>
        <v>94</v>
      </c>
      <c r="FZ208" s="104">
        <f t="shared" si="261"/>
        <v>94</v>
      </c>
      <c r="GA208" s="104">
        <f t="shared" si="261"/>
        <v>94</v>
      </c>
      <c r="GB208" s="104">
        <f t="shared" si="261"/>
        <v>94</v>
      </c>
      <c r="GC208" s="104">
        <f t="shared" si="261"/>
        <v>94</v>
      </c>
      <c r="GD208" s="104">
        <f t="shared" si="261"/>
        <v>94</v>
      </c>
      <c r="GE208" s="104">
        <f t="shared" si="261"/>
        <v>94</v>
      </c>
      <c r="GF208" s="104">
        <f t="shared" si="261"/>
        <v>94</v>
      </c>
      <c r="GG208" s="104">
        <f t="shared" si="261"/>
        <v>94</v>
      </c>
      <c r="GH208" s="104">
        <f t="shared" si="261"/>
        <v>94</v>
      </c>
      <c r="GI208" s="104">
        <f t="shared" si="261"/>
        <v>94</v>
      </c>
      <c r="GJ208" s="104">
        <f t="shared" si="261"/>
        <v>94</v>
      </c>
      <c r="GK208" s="104">
        <f t="shared" si="261"/>
        <v>94</v>
      </c>
      <c r="GL208" s="104">
        <f t="shared" si="261"/>
        <v>94</v>
      </c>
      <c r="GM208" s="104">
        <f t="shared" si="261"/>
        <v>94</v>
      </c>
      <c r="GN208" s="104">
        <f t="shared" si="261"/>
        <v>94</v>
      </c>
      <c r="GO208" s="104">
        <f t="shared" si="261"/>
        <v>94</v>
      </c>
      <c r="GP208" s="104">
        <f t="shared" si="261"/>
        <v>94</v>
      </c>
      <c r="GQ208" s="104">
        <f t="shared" si="261"/>
        <v>94</v>
      </c>
      <c r="GR208" s="104">
        <f t="shared" si="261"/>
        <v>94</v>
      </c>
      <c r="GS208" s="104">
        <f t="shared" si="261"/>
        <v>94</v>
      </c>
      <c r="GT208" s="104">
        <f t="shared" si="261"/>
        <v>94</v>
      </c>
      <c r="GU208" s="104">
        <f t="shared" si="261"/>
        <v>94</v>
      </c>
      <c r="GV208" s="104">
        <f t="shared" si="261"/>
        <v>94</v>
      </c>
      <c r="GW208" s="104">
        <f t="shared" si="261"/>
        <v>94</v>
      </c>
      <c r="GX208" s="104">
        <f t="shared" si="261"/>
        <v>94</v>
      </c>
    </row>
    <row r="209" spans="1:206" x14ac:dyDescent="0.2">
      <c r="A209" s="89" t="s">
        <v>9</v>
      </c>
      <c r="B209" s="84" t="s">
        <v>11</v>
      </c>
      <c r="W209" s="80">
        <f>IF(W$202=0,"",W197/W$202)</f>
        <v>0.45567870406876848</v>
      </c>
      <c r="X209" s="80">
        <f t="shared" ref="X209:CI209" si="262">IF(X$202=0,"",X197/X$202)</f>
        <v>0.44119862376790031</v>
      </c>
      <c r="Y209" s="80">
        <f t="shared" si="262"/>
        <v>0.40531988485484122</v>
      </c>
      <c r="Z209" s="80">
        <f t="shared" si="262"/>
        <v>0.37497592192282175</v>
      </c>
      <c r="AA209" s="80">
        <f t="shared" si="262"/>
        <v>0.37497592192282175</v>
      </c>
      <c r="AB209" s="80">
        <f t="shared" si="262"/>
        <v>0.37139738458575011</v>
      </c>
      <c r="AC209" s="80">
        <f t="shared" si="262"/>
        <v>0.37868715621856469</v>
      </c>
      <c r="AD209" s="80">
        <f t="shared" si="262"/>
        <v>0.31898636645763329</v>
      </c>
      <c r="AE209" s="80">
        <f t="shared" si="262"/>
        <v>0.3346531686749567</v>
      </c>
      <c r="AF209" s="80">
        <f t="shared" si="262"/>
        <v>0.34785009524217197</v>
      </c>
      <c r="AG209" s="80">
        <f t="shared" si="262"/>
        <v>0.38294630053720863</v>
      </c>
      <c r="AH209" s="80">
        <f t="shared" si="262"/>
        <v>0.42049097874708385</v>
      </c>
      <c r="AI209" s="80">
        <f t="shared" si="262"/>
        <v>0.42518673886522695</v>
      </c>
      <c r="AJ209" s="80">
        <f t="shared" si="262"/>
        <v>0.45694839800526504</v>
      </c>
      <c r="AK209" s="80">
        <f t="shared" si="262"/>
        <v>0.48911242856837095</v>
      </c>
      <c r="AL209" s="80">
        <f t="shared" si="262"/>
        <v>0.47198167925860929</v>
      </c>
      <c r="AM209" s="80">
        <f t="shared" si="262"/>
        <v>0.51103739057851583</v>
      </c>
      <c r="AN209" s="80">
        <f t="shared" si="262"/>
        <v>0.54218693148984443</v>
      </c>
      <c r="AO209" s="80">
        <f t="shared" si="262"/>
        <v>0.51805320719988013</v>
      </c>
      <c r="AP209" s="80">
        <f t="shared" si="262"/>
        <v>0.49335873124585317</v>
      </c>
      <c r="AQ209" s="80">
        <f t="shared" si="262"/>
        <v>0.52041606917364047</v>
      </c>
      <c r="AR209" s="80">
        <f t="shared" si="262"/>
        <v>0.57040429766924217</v>
      </c>
      <c r="AS209" s="80">
        <f t="shared" si="262"/>
        <v>0.64370010487340279</v>
      </c>
      <c r="AT209" s="80">
        <f t="shared" si="262"/>
        <v>0.65045480812447831</v>
      </c>
      <c r="AU209" s="80">
        <f t="shared" si="262"/>
        <v>0.61614622348736181</v>
      </c>
      <c r="AV209" s="80">
        <f t="shared" si="262"/>
        <v>0.58326734156625226</v>
      </c>
      <c r="AW209" s="80">
        <f t="shared" si="262"/>
        <v>0.63012220961838927</v>
      </c>
      <c r="AX209" s="80">
        <f t="shared" si="262"/>
        <v>0.58592128073967853</v>
      </c>
      <c r="AY209" s="80">
        <f t="shared" si="262"/>
        <v>0.63580249555893242</v>
      </c>
      <c r="AZ209" s="80">
        <f t="shared" si="262"/>
        <v>0.61672837788669388</v>
      </c>
      <c r="BA209" s="80">
        <f t="shared" si="262"/>
        <v>0.7134302163816536</v>
      </c>
      <c r="BB209" s="80">
        <f t="shared" si="262"/>
        <v>0.74329987372386186</v>
      </c>
      <c r="BC209" s="80">
        <f t="shared" si="262"/>
        <v>0.7376880765361814</v>
      </c>
      <c r="BD209" s="80">
        <f t="shared" si="262"/>
        <v>0.76308456220705001</v>
      </c>
      <c r="BE209" s="80">
        <f t="shared" si="262"/>
        <v>0.71408085953384859</v>
      </c>
      <c r="BF209" s="80">
        <f t="shared" si="262"/>
        <v>0.72832652012927268</v>
      </c>
      <c r="BG209" s="80">
        <f t="shared" si="262"/>
        <v>0.75246880551334461</v>
      </c>
      <c r="BH209" s="80">
        <f t="shared" si="262"/>
        <v>0.73650664554930123</v>
      </c>
      <c r="BI209" s="80">
        <f t="shared" si="262"/>
        <v>0.75866703764741139</v>
      </c>
      <c r="BJ209" s="80">
        <f t="shared" si="262"/>
        <v>0.66449500246131465</v>
      </c>
      <c r="BK209" s="80">
        <f t="shared" si="262"/>
        <v>0.69176208719474364</v>
      </c>
      <c r="BL209" s="80">
        <f t="shared" si="262"/>
        <v>0.69216017807075736</v>
      </c>
      <c r="BM209" s="80">
        <f t="shared" si="262"/>
        <v>0.72910557969308476</v>
      </c>
      <c r="BN209" s="80">
        <f t="shared" si="262"/>
        <v>0.65524902082486147</v>
      </c>
      <c r="BO209" s="80">
        <f t="shared" si="262"/>
        <v>0.71925604092202988</v>
      </c>
      <c r="BP209" s="80">
        <f t="shared" si="262"/>
        <v>0.71925604092202977</v>
      </c>
      <c r="BQ209" s="80">
        <f t="shared" si="262"/>
        <v>0.66438798878496674</v>
      </c>
      <c r="BR209" s="80">
        <f t="shared" si="262"/>
        <v>0.61333818461999445</v>
      </c>
      <c r="BS209" s="80">
        <f t="shared" si="262"/>
        <v>0.50783554138218878</v>
      </c>
      <c r="BT209" s="80">
        <f t="shared" si="262"/>
        <v>0.42218607538043351</v>
      </c>
      <c r="BU209" s="80">
        <f t="shared" si="262"/>
        <v>0.39592919975172819</v>
      </c>
      <c r="BV209" s="80">
        <f t="shared" si="262"/>
        <v>0.37376880765361803</v>
      </c>
      <c r="BW209" s="80">
        <f t="shared" si="262"/>
        <v>0.37376880765361814</v>
      </c>
      <c r="BX209" s="80">
        <f t="shared" si="262"/>
        <v>0.31290370909402221</v>
      </c>
      <c r="BY209" s="80">
        <f t="shared" si="262"/>
        <v>0.2147507651477859</v>
      </c>
      <c r="BZ209" s="80">
        <f t="shared" si="262"/>
        <v>0.12132782569612396</v>
      </c>
      <c r="CA209" s="80">
        <f t="shared" si="262"/>
        <v>9.3876677439376749E-2</v>
      </c>
      <c r="CB209" s="80">
        <f t="shared" si="262"/>
        <v>0</v>
      </c>
      <c r="CC209" s="80">
        <f t="shared" si="262"/>
        <v>0</v>
      </c>
      <c r="CD209" s="80">
        <f t="shared" si="262"/>
        <v>0</v>
      </c>
      <c r="CE209" s="80">
        <f t="shared" si="262"/>
        <v>0</v>
      </c>
      <c r="CF209" s="80">
        <f t="shared" si="262"/>
        <v>0</v>
      </c>
      <c r="CG209" s="80">
        <f t="shared" si="262"/>
        <v>0</v>
      </c>
      <c r="CH209" s="80">
        <f t="shared" si="262"/>
        <v>0</v>
      </c>
      <c r="CI209" s="80">
        <f t="shared" si="262"/>
        <v>0</v>
      </c>
      <c r="CJ209" s="80">
        <f t="shared" ref="CJ209:EU209" si="263">IF(CJ$202=0,"",CJ197/CJ$202)</f>
        <v>0</v>
      </c>
      <c r="CK209" s="80">
        <f t="shared" si="263"/>
        <v>0</v>
      </c>
      <c r="CL209" s="80">
        <f t="shared" si="263"/>
        <v>0</v>
      </c>
      <c r="CM209" s="80">
        <f t="shared" si="263"/>
        <v>0</v>
      </c>
      <c r="CN209" s="80">
        <f t="shared" si="263"/>
        <v>0</v>
      </c>
      <c r="CO209" s="80">
        <f t="shared" si="263"/>
        <v>0</v>
      </c>
      <c r="CP209" s="80">
        <f t="shared" si="263"/>
        <v>0</v>
      </c>
      <c r="CQ209" s="80">
        <f t="shared" si="263"/>
        <v>0</v>
      </c>
      <c r="CR209" s="80">
        <f t="shared" si="263"/>
        <v>0</v>
      </c>
      <c r="CS209" s="80">
        <f t="shared" si="263"/>
        <v>0</v>
      </c>
      <c r="CT209" s="80">
        <f t="shared" si="263"/>
        <v>0</v>
      </c>
      <c r="CU209" s="80">
        <f t="shared" si="263"/>
        <v>0</v>
      </c>
      <c r="CV209" s="80">
        <f t="shared" si="263"/>
        <v>0</v>
      </c>
      <c r="CW209" s="80">
        <f t="shared" si="263"/>
        <v>0</v>
      </c>
      <c r="CX209" s="80">
        <f t="shared" si="263"/>
        <v>0</v>
      </c>
      <c r="CY209" s="80">
        <f t="shared" si="263"/>
        <v>0</v>
      </c>
      <c r="CZ209" s="80">
        <f t="shared" si="263"/>
        <v>0</v>
      </c>
      <c r="DA209" s="80">
        <f t="shared" si="263"/>
        <v>0</v>
      </c>
      <c r="DB209" s="80">
        <f t="shared" si="263"/>
        <v>0</v>
      </c>
      <c r="DC209" s="80">
        <f t="shared" si="263"/>
        <v>0</v>
      </c>
      <c r="DD209" s="80">
        <f t="shared" si="263"/>
        <v>0</v>
      </c>
      <c r="DE209" s="80">
        <f t="shared" si="263"/>
        <v>0</v>
      </c>
      <c r="DF209" s="80">
        <f t="shared" si="263"/>
        <v>0</v>
      </c>
      <c r="DG209" s="80">
        <f t="shared" si="263"/>
        <v>0</v>
      </c>
      <c r="DH209" s="80">
        <f t="shared" si="263"/>
        <v>0</v>
      </c>
      <c r="DI209" s="80">
        <f t="shared" si="263"/>
        <v>0</v>
      </c>
      <c r="DJ209" s="80">
        <f t="shared" si="263"/>
        <v>0</v>
      </c>
      <c r="DK209" s="80">
        <f t="shared" si="263"/>
        <v>0</v>
      </c>
      <c r="DL209" s="80">
        <f t="shared" si="263"/>
        <v>0</v>
      </c>
      <c r="DM209" s="80">
        <f t="shared" si="263"/>
        <v>0</v>
      </c>
      <c r="DN209" s="80">
        <f t="shared" si="263"/>
        <v>0</v>
      </c>
      <c r="DO209" s="80">
        <f t="shared" si="263"/>
        <v>0</v>
      </c>
      <c r="DP209" s="80">
        <f t="shared" si="263"/>
        <v>0</v>
      </c>
      <c r="DQ209" s="80">
        <f t="shared" si="263"/>
        <v>0</v>
      </c>
      <c r="DR209" s="80">
        <f t="shared" si="263"/>
        <v>0</v>
      </c>
      <c r="DS209" s="80">
        <f t="shared" si="263"/>
        <v>0</v>
      </c>
      <c r="DT209" s="80">
        <f t="shared" si="263"/>
        <v>0</v>
      </c>
      <c r="DU209" s="80">
        <f t="shared" si="263"/>
        <v>0</v>
      </c>
      <c r="DV209" s="80">
        <f t="shared" si="263"/>
        <v>0</v>
      </c>
      <c r="DW209" s="80">
        <f t="shared" si="263"/>
        <v>0</v>
      </c>
      <c r="DX209" s="80">
        <f t="shared" si="263"/>
        <v>0</v>
      </c>
      <c r="DY209" s="80">
        <f t="shared" si="263"/>
        <v>0</v>
      </c>
      <c r="DZ209" s="80">
        <f t="shared" si="263"/>
        <v>0</v>
      </c>
      <c r="EA209" s="80">
        <f t="shared" si="263"/>
        <v>0</v>
      </c>
      <c r="EB209" s="80">
        <f t="shared" si="263"/>
        <v>0</v>
      </c>
      <c r="EC209" s="80">
        <f t="shared" si="263"/>
        <v>0</v>
      </c>
      <c r="ED209" s="80">
        <f t="shared" si="263"/>
        <v>0</v>
      </c>
      <c r="EE209" s="80">
        <f t="shared" si="263"/>
        <v>0</v>
      </c>
      <c r="EF209" s="80">
        <f t="shared" si="263"/>
        <v>0</v>
      </c>
      <c r="EG209" s="80">
        <f t="shared" si="263"/>
        <v>0</v>
      </c>
      <c r="EH209" s="80">
        <f t="shared" si="263"/>
        <v>0</v>
      </c>
      <c r="EI209" s="80">
        <f t="shared" si="263"/>
        <v>0</v>
      </c>
      <c r="EJ209" s="80">
        <f t="shared" si="263"/>
        <v>0</v>
      </c>
      <c r="EK209" s="80">
        <f t="shared" si="263"/>
        <v>0</v>
      </c>
      <c r="EL209" s="80">
        <f t="shared" si="263"/>
        <v>0</v>
      </c>
      <c r="EM209" s="80">
        <f t="shared" si="263"/>
        <v>0</v>
      </c>
      <c r="EN209" s="80">
        <f t="shared" si="263"/>
        <v>0</v>
      </c>
      <c r="EO209" s="80">
        <f t="shared" si="263"/>
        <v>0</v>
      </c>
      <c r="EP209" s="80">
        <f t="shared" si="263"/>
        <v>0</v>
      </c>
      <c r="EQ209" s="80">
        <f t="shared" si="263"/>
        <v>0</v>
      </c>
      <c r="ER209" s="80">
        <f t="shared" si="263"/>
        <v>0</v>
      </c>
      <c r="ES209" s="80">
        <f t="shared" si="263"/>
        <v>0</v>
      </c>
      <c r="ET209" s="80">
        <f t="shared" si="263"/>
        <v>0</v>
      </c>
      <c r="EU209" s="80">
        <f t="shared" si="263"/>
        <v>0</v>
      </c>
      <c r="EV209" s="80">
        <f t="shared" ref="EV209:GX209" si="264">IF(EV$202=0,"",EV197/EV$202)</f>
        <v>0</v>
      </c>
      <c r="EW209" s="80">
        <f t="shared" si="264"/>
        <v>0</v>
      </c>
      <c r="EX209" s="80">
        <f t="shared" si="264"/>
        <v>0</v>
      </c>
      <c r="EY209" s="80">
        <f t="shared" si="264"/>
        <v>0</v>
      </c>
      <c r="EZ209" s="80">
        <f t="shared" si="264"/>
        <v>0</v>
      </c>
      <c r="FA209" s="80">
        <f t="shared" si="264"/>
        <v>0</v>
      </c>
      <c r="FB209" s="80">
        <f t="shared" si="264"/>
        <v>0</v>
      </c>
      <c r="FC209" s="80">
        <f t="shared" si="264"/>
        <v>0</v>
      </c>
      <c r="FD209" s="80">
        <f t="shared" si="264"/>
        <v>0</v>
      </c>
      <c r="FE209" s="80">
        <f t="shared" si="264"/>
        <v>0</v>
      </c>
      <c r="FF209" s="80">
        <f t="shared" si="264"/>
        <v>0</v>
      </c>
      <c r="FG209" s="80">
        <f t="shared" si="264"/>
        <v>0</v>
      </c>
      <c r="FH209" s="80">
        <f t="shared" si="264"/>
        <v>0</v>
      </c>
      <c r="FI209" s="80">
        <f t="shared" si="264"/>
        <v>0</v>
      </c>
      <c r="FJ209" s="80">
        <f t="shared" si="264"/>
        <v>0</v>
      </c>
      <c r="FK209" s="80">
        <f t="shared" si="264"/>
        <v>0</v>
      </c>
      <c r="FL209" s="80">
        <f t="shared" si="264"/>
        <v>0</v>
      </c>
      <c r="FM209" s="80">
        <f t="shared" si="264"/>
        <v>0</v>
      </c>
      <c r="FN209" s="80">
        <f t="shared" si="264"/>
        <v>0</v>
      </c>
      <c r="FO209" s="80">
        <f t="shared" si="264"/>
        <v>0</v>
      </c>
      <c r="FP209" s="80">
        <f t="shared" si="264"/>
        <v>0</v>
      </c>
      <c r="FQ209" s="80">
        <f t="shared" si="264"/>
        <v>0</v>
      </c>
      <c r="FR209" s="80">
        <f t="shared" si="264"/>
        <v>0</v>
      </c>
      <c r="FS209" s="80">
        <f t="shared" si="264"/>
        <v>0</v>
      </c>
      <c r="FT209" s="80">
        <f t="shared" si="264"/>
        <v>0</v>
      </c>
      <c r="FU209" s="80">
        <f t="shared" si="264"/>
        <v>0</v>
      </c>
      <c r="FV209" s="80">
        <f t="shared" si="264"/>
        <v>0</v>
      </c>
      <c r="FW209" s="80">
        <f t="shared" si="264"/>
        <v>0</v>
      </c>
      <c r="FX209" s="80">
        <f t="shared" si="264"/>
        <v>0</v>
      </c>
      <c r="FY209" s="80">
        <f t="shared" si="264"/>
        <v>0</v>
      </c>
      <c r="FZ209" s="80">
        <f t="shared" si="264"/>
        <v>0</v>
      </c>
      <c r="GA209" s="80">
        <f t="shared" si="264"/>
        <v>0</v>
      </c>
      <c r="GB209" s="80">
        <f t="shared" si="264"/>
        <v>0</v>
      </c>
      <c r="GC209" s="80">
        <f t="shared" si="264"/>
        <v>0</v>
      </c>
      <c r="GD209" s="80">
        <f t="shared" si="264"/>
        <v>0</v>
      </c>
      <c r="GE209" s="80">
        <f t="shared" si="264"/>
        <v>0</v>
      </c>
      <c r="GF209" s="80">
        <f t="shared" si="264"/>
        <v>0</v>
      </c>
      <c r="GG209" s="80">
        <f t="shared" si="264"/>
        <v>0</v>
      </c>
      <c r="GH209" s="80">
        <f t="shared" si="264"/>
        <v>0</v>
      </c>
      <c r="GI209" s="80">
        <f t="shared" si="264"/>
        <v>0</v>
      </c>
      <c r="GJ209" s="80">
        <f t="shared" si="264"/>
        <v>0</v>
      </c>
      <c r="GK209" s="80">
        <f t="shared" si="264"/>
        <v>0</v>
      </c>
      <c r="GL209" s="80">
        <f t="shared" si="264"/>
        <v>0</v>
      </c>
      <c r="GM209" s="80">
        <f t="shared" si="264"/>
        <v>0</v>
      </c>
      <c r="GN209" s="80">
        <f t="shared" si="264"/>
        <v>0</v>
      </c>
      <c r="GO209" s="80">
        <f t="shared" si="264"/>
        <v>0</v>
      </c>
      <c r="GP209" s="80">
        <f t="shared" si="264"/>
        <v>0</v>
      </c>
      <c r="GQ209" s="80">
        <f t="shared" si="264"/>
        <v>0</v>
      </c>
      <c r="GR209" s="80">
        <f t="shared" si="264"/>
        <v>0</v>
      </c>
      <c r="GS209" s="80">
        <f t="shared" si="264"/>
        <v>0</v>
      </c>
      <c r="GT209" s="80">
        <f t="shared" si="264"/>
        <v>0</v>
      </c>
      <c r="GU209" s="80">
        <f t="shared" si="264"/>
        <v>0</v>
      </c>
      <c r="GV209" s="80">
        <f t="shared" si="264"/>
        <v>0</v>
      </c>
      <c r="GW209" s="80">
        <f t="shared" si="264"/>
        <v>0</v>
      </c>
      <c r="GX209" s="80">
        <f t="shared" si="264"/>
        <v>0</v>
      </c>
    </row>
    <row r="210" spans="1:206" x14ac:dyDescent="0.2">
      <c r="A210" s="84"/>
      <c r="B210" s="84" t="s">
        <v>255</v>
      </c>
      <c r="W210" s="80">
        <f>IF(W$202=0,"",W198/W$202)</f>
        <v>0.13167642606465055</v>
      </c>
      <c r="X210" s="80">
        <f t="shared" ref="X210:CI210" si="265">IF(X$202=0,"",X198/X$202)</f>
        <v>0.16464571322298679</v>
      </c>
      <c r="Y210" s="80">
        <f t="shared" si="265"/>
        <v>0.21633008278847657</v>
      </c>
      <c r="Z210" s="80">
        <f t="shared" si="265"/>
        <v>0.26214070158166214</v>
      </c>
      <c r="AA210" s="80">
        <f t="shared" si="265"/>
        <v>0.16568285426877555</v>
      </c>
      <c r="AB210" s="80">
        <f t="shared" si="265"/>
        <v>0.17405560430623032</v>
      </c>
      <c r="AC210" s="80">
        <f t="shared" si="265"/>
        <v>0.15548659118635358</v>
      </c>
      <c r="AD210" s="80">
        <f t="shared" si="265"/>
        <v>0.16169766496158205</v>
      </c>
      <c r="AE210" s="80">
        <f t="shared" si="265"/>
        <v>0.14724225756051626</v>
      </c>
      <c r="AF210" s="80">
        <f t="shared" si="265"/>
        <v>0.152006506431522</v>
      </c>
      <c r="AG210" s="80">
        <f t="shared" si="265"/>
        <v>0.14395051687605678</v>
      </c>
      <c r="AH210" s="80">
        <f t="shared" si="265"/>
        <v>0.15991695738715414</v>
      </c>
      <c r="AI210" s="80">
        <f t="shared" si="265"/>
        <v>0.12598506089078185</v>
      </c>
      <c r="AJ210" s="80">
        <f t="shared" si="265"/>
        <v>0.10714209275945469</v>
      </c>
      <c r="AK210" s="80">
        <f t="shared" si="265"/>
        <v>0.12664854568413844</v>
      </c>
      <c r="AL210" s="80">
        <f t="shared" si="265"/>
        <v>0.14545298889198041</v>
      </c>
      <c r="AM210" s="80">
        <f t="shared" si="265"/>
        <v>0.14734927123686406</v>
      </c>
      <c r="AN210" s="80">
        <f t="shared" si="265"/>
        <v>0.13614707959677247</v>
      </c>
      <c r="AO210" s="80">
        <f t="shared" si="265"/>
        <v>0.14472529589281508</v>
      </c>
      <c r="AP210" s="80">
        <f t="shared" si="265"/>
        <v>0.13377993707595828</v>
      </c>
      <c r="AQ210" s="80">
        <f t="shared" si="265"/>
        <v>9.7733450334952815E-2</v>
      </c>
      <c r="AR210" s="80">
        <f t="shared" si="265"/>
        <v>9.752798407636494E-2</v>
      </c>
      <c r="AS210" s="80">
        <f t="shared" si="265"/>
        <v>0.10548552104959011</v>
      </c>
      <c r="AT210" s="80">
        <f t="shared" si="265"/>
        <v>0.10685529610684243</v>
      </c>
      <c r="AU210" s="80">
        <f t="shared" si="265"/>
        <v>0.16108126618581856</v>
      </c>
      <c r="AV210" s="80">
        <f t="shared" si="265"/>
        <v>0.19396014810692805</v>
      </c>
      <c r="AW210" s="80">
        <f t="shared" si="265"/>
        <v>0.19121203689831562</v>
      </c>
      <c r="AX210" s="80">
        <f t="shared" si="265"/>
        <v>0.2554544870834492</v>
      </c>
      <c r="AY210" s="80">
        <f t="shared" si="265"/>
        <v>0.23569548188258457</v>
      </c>
      <c r="AZ210" s="80">
        <f t="shared" si="265"/>
        <v>0.25049333304796356</v>
      </c>
      <c r="BA210" s="80">
        <f t="shared" si="265"/>
        <v>0.19874579971320336</v>
      </c>
      <c r="BB210" s="80">
        <f t="shared" si="265"/>
        <v>0.1613509406502151</v>
      </c>
      <c r="BC210" s="80">
        <f t="shared" si="265"/>
        <v>0.11669627378378954</v>
      </c>
      <c r="BD210" s="80">
        <f t="shared" si="265"/>
        <v>0.1211523232669135</v>
      </c>
      <c r="BE210" s="80">
        <f t="shared" si="265"/>
        <v>0.15454059028743877</v>
      </c>
      <c r="BF210" s="80">
        <f t="shared" si="265"/>
        <v>0.17225349399653272</v>
      </c>
      <c r="BG210" s="80">
        <f t="shared" si="265"/>
        <v>0.17981722064079786</v>
      </c>
      <c r="BH210" s="80">
        <f t="shared" si="265"/>
        <v>0.21433127153650236</v>
      </c>
      <c r="BI210" s="80">
        <f t="shared" si="265"/>
        <v>0.17334075294822676</v>
      </c>
      <c r="BJ210" s="80">
        <f t="shared" si="265"/>
        <v>0.23733065085717955</v>
      </c>
      <c r="BK210" s="80">
        <f t="shared" si="265"/>
        <v>0.20656635918070326</v>
      </c>
      <c r="BL210" s="80">
        <f t="shared" si="265"/>
        <v>0.19812083984333195</v>
      </c>
      <c r="BM210" s="80">
        <f t="shared" si="265"/>
        <v>0.19891702159535984</v>
      </c>
      <c r="BN210" s="80">
        <f t="shared" si="265"/>
        <v>0.30022472872033046</v>
      </c>
      <c r="BO210" s="80">
        <f t="shared" si="265"/>
        <v>0.2353444770241637</v>
      </c>
      <c r="BP210" s="80">
        <f t="shared" si="265"/>
        <v>0.21121931382830722</v>
      </c>
      <c r="BQ210" s="80">
        <f t="shared" si="265"/>
        <v>0.22155255441645444</v>
      </c>
      <c r="BR210" s="80">
        <f t="shared" si="265"/>
        <v>0.21612482075209213</v>
      </c>
      <c r="BS210" s="80">
        <f t="shared" si="265"/>
        <v>0.24129015688204949</v>
      </c>
      <c r="BT210" s="80">
        <f t="shared" si="265"/>
        <v>0.2970699655415962</v>
      </c>
      <c r="BU210" s="80">
        <f t="shared" si="265"/>
        <v>0.32332684117030158</v>
      </c>
      <c r="BV210" s="80">
        <f t="shared" si="265"/>
        <v>0.2906191811313486</v>
      </c>
      <c r="BW210" s="80">
        <f t="shared" si="265"/>
        <v>0.23956937696637637</v>
      </c>
      <c r="BX210" s="80">
        <f t="shared" si="265"/>
        <v>0.19493183228816646</v>
      </c>
      <c r="BY210" s="80">
        <f t="shared" si="265"/>
        <v>0.20743531023264772</v>
      </c>
      <c r="BZ210" s="80">
        <f t="shared" si="265"/>
        <v>0.27460137405560425</v>
      </c>
      <c r="CA210" s="80">
        <f t="shared" si="265"/>
        <v>0.27989213021424131</v>
      </c>
      <c r="CB210" s="80">
        <f t="shared" si="265"/>
        <v>0.37376880765361803</v>
      </c>
      <c r="CC210" s="80">
        <f t="shared" si="265"/>
        <v>0.31290370909402221</v>
      </c>
      <c r="CD210" s="80">
        <f t="shared" si="265"/>
        <v>0.2147507651477859</v>
      </c>
      <c r="CE210" s="80">
        <f t="shared" si="265"/>
        <v>0.12132782569612396</v>
      </c>
      <c r="CF210" s="80">
        <f t="shared" si="265"/>
        <v>9.3876677439376749E-2</v>
      </c>
      <c r="CG210" s="80">
        <f t="shared" si="265"/>
        <v>0</v>
      </c>
      <c r="CH210" s="80">
        <f t="shared" si="265"/>
        <v>0</v>
      </c>
      <c r="CI210" s="80">
        <f t="shared" si="265"/>
        <v>0</v>
      </c>
      <c r="CJ210" s="80">
        <f t="shared" ref="CJ210:EU210" si="266">IF(CJ$202=0,"",CJ198/CJ$202)</f>
        <v>0</v>
      </c>
      <c r="CK210" s="80">
        <f t="shared" si="266"/>
        <v>0</v>
      </c>
      <c r="CL210" s="80">
        <f t="shared" si="266"/>
        <v>0</v>
      </c>
      <c r="CM210" s="80">
        <f t="shared" si="266"/>
        <v>0</v>
      </c>
      <c r="CN210" s="80">
        <f t="shared" si="266"/>
        <v>0</v>
      </c>
      <c r="CO210" s="80">
        <f t="shared" si="266"/>
        <v>0</v>
      </c>
      <c r="CP210" s="80">
        <f t="shared" si="266"/>
        <v>0</v>
      </c>
      <c r="CQ210" s="80">
        <f t="shared" si="266"/>
        <v>0</v>
      </c>
      <c r="CR210" s="80">
        <f t="shared" si="266"/>
        <v>0</v>
      </c>
      <c r="CS210" s="80">
        <f t="shared" si="266"/>
        <v>0</v>
      </c>
      <c r="CT210" s="80">
        <f t="shared" si="266"/>
        <v>0</v>
      </c>
      <c r="CU210" s="80">
        <f t="shared" si="266"/>
        <v>0</v>
      </c>
      <c r="CV210" s="80">
        <f t="shared" si="266"/>
        <v>0</v>
      </c>
      <c r="CW210" s="80">
        <f t="shared" si="266"/>
        <v>0</v>
      </c>
      <c r="CX210" s="80">
        <f t="shared" si="266"/>
        <v>0</v>
      </c>
      <c r="CY210" s="80">
        <f t="shared" si="266"/>
        <v>0</v>
      </c>
      <c r="CZ210" s="80">
        <f t="shared" si="266"/>
        <v>0</v>
      </c>
      <c r="DA210" s="80">
        <f t="shared" si="266"/>
        <v>0</v>
      </c>
      <c r="DB210" s="80">
        <f t="shared" si="266"/>
        <v>0</v>
      </c>
      <c r="DC210" s="80">
        <f t="shared" si="266"/>
        <v>0</v>
      </c>
      <c r="DD210" s="80">
        <f t="shared" si="266"/>
        <v>0</v>
      </c>
      <c r="DE210" s="80">
        <f t="shared" si="266"/>
        <v>0</v>
      </c>
      <c r="DF210" s="80">
        <f t="shared" si="266"/>
        <v>0</v>
      </c>
      <c r="DG210" s="80">
        <f t="shared" si="266"/>
        <v>0</v>
      </c>
      <c r="DH210" s="80">
        <f t="shared" si="266"/>
        <v>0</v>
      </c>
      <c r="DI210" s="80">
        <f t="shared" si="266"/>
        <v>0</v>
      </c>
      <c r="DJ210" s="80">
        <f t="shared" si="266"/>
        <v>0</v>
      </c>
      <c r="DK210" s="80">
        <f t="shared" si="266"/>
        <v>0</v>
      </c>
      <c r="DL210" s="80">
        <f t="shared" si="266"/>
        <v>0</v>
      </c>
      <c r="DM210" s="80">
        <f t="shared" si="266"/>
        <v>0</v>
      </c>
      <c r="DN210" s="80">
        <f t="shared" si="266"/>
        <v>0</v>
      </c>
      <c r="DO210" s="80">
        <f t="shared" si="266"/>
        <v>0</v>
      </c>
      <c r="DP210" s="80">
        <f t="shared" si="266"/>
        <v>0</v>
      </c>
      <c r="DQ210" s="80">
        <f t="shared" si="266"/>
        <v>0</v>
      </c>
      <c r="DR210" s="80">
        <f t="shared" si="266"/>
        <v>0</v>
      </c>
      <c r="DS210" s="80">
        <f t="shared" si="266"/>
        <v>0</v>
      </c>
      <c r="DT210" s="80">
        <f t="shared" si="266"/>
        <v>0</v>
      </c>
      <c r="DU210" s="80">
        <f t="shared" si="266"/>
        <v>0</v>
      </c>
      <c r="DV210" s="80">
        <f t="shared" si="266"/>
        <v>0</v>
      </c>
      <c r="DW210" s="80">
        <f t="shared" si="266"/>
        <v>0</v>
      </c>
      <c r="DX210" s="80">
        <f t="shared" si="266"/>
        <v>0</v>
      </c>
      <c r="DY210" s="80">
        <f t="shared" si="266"/>
        <v>0</v>
      </c>
      <c r="DZ210" s="80">
        <f t="shared" si="266"/>
        <v>0</v>
      </c>
      <c r="EA210" s="80">
        <f t="shared" si="266"/>
        <v>0</v>
      </c>
      <c r="EB210" s="80">
        <f t="shared" si="266"/>
        <v>0</v>
      </c>
      <c r="EC210" s="80">
        <f t="shared" si="266"/>
        <v>0</v>
      </c>
      <c r="ED210" s="80">
        <f t="shared" si="266"/>
        <v>0</v>
      </c>
      <c r="EE210" s="80">
        <f t="shared" si="266"/>
        <v>0</v>
      </c>
      <c r="EF210" s="80">
        <f t="shared" si="266"/>
        <v>0</v>
      </c>
      <c r="EG210" s="80">
        <f t="shared" si="266"/>
        <v>0</v>
      </c>
      <c r="EH210" s="80">
        <f t="shared" si="266"/>
        <v>0</v>
      </c>
      <c r="EI210" s="80">
        <f t="shared" si="266"/>
        <v>0</v>
      </c>
      <c r="EJ210" s="80">
        <f t="shared" si="266"/>
        <v>0</v>
      </c>
      <c r="EK210" s="80">
        <f t="shared" si="266"/>
        <v>0</v>
      </c>
      <c r="EL210" s="80">
        <f t="shared" si="266"/>
        <v>0</v>
      </c>
      <c r="EM210" s="80">
        <f t="shared" si="266"/>
        <v>0</v>
      </c>
      <c r="EN210" s="80">
        <f t="shared" si="266"/>
        <v>0</v>
      </c>
      <c r="EO210" s="80">
        <f t="shared" si="266"/>
        <v>0</v>
      </c>
      <c r="EP210" s="80">
        <f t="shared" si="266"/>
        <v>0</v>
      </c>
      <c r="EQ210" s="80">
        <f t="shared" si="266"/>
        <v>0</v>
      </c>
      <c r="ER210" s="80">
        <f t="shared" si="266"/>
        <v>0</v>
      </c>
      <c r="ES210" s="80">
        <f t="shared" si="266"/>
        <v>0</v>
      </c>
      <c r="ET210" s="80">
        <f t="shared" si="266"/>
        <v>0</v>
      </c>
      <c r="EU210" s="80">
        <f t="shared" si="266"/>
        <v>0</v>
      </c>
      <c r="EV210" s="80">
        <f t="shared" ref="EV210:GX210" si="267">IF(EV$202=0,"",EV198/EV$202)</f>
        <v>0</v>
      </c>
      <c r="EW210" s="80">
        <f t="shared" si="267"/>
        <v>0</v>
      </c>
      <c r="EX210" s="80">
        <f t="shared" si="267"/>
        <v>0</v>
      </c>
      <c r="EY210" s="80">
        <f t="shared" si="267"/>
        <v>0</v>
      </c>
      <c r="EZ210" s="80">
        <f t="shared" si="267"/>
        <v>0</v>
      </c>
      <c r="FA210" s="80">
        <f t="shared" si="267"/>
        <v>0</v>
      </c>
      <c r="FB210" s="80">
        <f t="shared" si="267"/>
        <v>0</v>
      </c>
      <c r="FC210" s="80">
        <f t="shared" si="267"/>
        <v>0</v>
      </c>
      <c r="FD210" s="80">
        <f t="shared" si="267"/>
        <v>0</v>
      </c>
      <c r="FE210" s="80">
        <f t="shared" si="267"/>
        <v>0</v>
      </c>
      <c r="FF210" s="80">
        <f t="shared" si="267"/>
        <v>0</v>
      </c>
      <c r="FG210" s="80">
        <f t="shared" si="267"/>
        <v>0</v>
      </c>
      <c r="FH210" s="80">
        <f t="shared" si="267"/>
        <v>0</v>
      </c>
      <c r="FI210" s="80">
        <f t="shared" si="267"/>
        <v>0</v>
      </c>
      <c r="FJ210" s="80">
        <f t="shared" si="267"/>
        <v>0</v>
      </c>
      <c r="FK210" s="80">
        <f t="shared" si="267"/>
        <v>0</v>
      </c>
      <c r="FL210" s="80">
        <f t="shared" si="267"/>
        <v>0</v>
      </c>
      <c r="FM210" s="80">
        <f t="shared" si="267"/>
        <v>0</v>
      </c>
      <c r="FN210" s="80">
        <f t="shared" si="267"/>
        <v>0</v>
      </c>
      <c r="FO210" s="80">
        <f t="shared" si="267"/>
        <v>0</v>
      </c>
      <c r="FP210" s="80">
        <f t="shared" si="267"/>
        <v>0</v>
      </c>
      <c r="FQ210" s="80">
        <f t="shared" si="267"/>
        <v>0</v>
      </c>
      <c r="FR210" s="80">
        <f t="shared" si="267"/>
        <v>0</v>
      </c>
      <c r="FS210" s="80">
        <f t="shared" si="267"/>
        <v>0</v>
      </c>
      <c r="FT210" s="80">
        <f t="shared" si="267"/>
        <v>0</v>
      </c>
      <c r="FU210" s="80">
        <f t="shared" si="267"/>
        <v>0</v>
      </c>
      <c r="FV210" s="80">
        <f t="shared" si="267"/>
        <v>0</v>
      </c>
      <c r="FW210" s="80">
        <f t="shared" si="267"/>
        <v>0</v>
      </c>
      <c r="FX210" s="80">
        <f t="shared" si="267"/>
        <v>0</v>
      </c>
      <c r="FY210" s="80">
        <f t="shared" si="267"/>
        <v>0</v>
      </c>
      <c r="FZ210" s="80">
        <f t="shared" si="267"/>
        <v>0</v>
      </c>
      <c r="GA210" s="80">
        <f t="shared" si="267"/>
        <v>0</v>
      </c>
      <c r="GB210" s="80">
        <f t="shared" si="267"/>
        <v>0</v>
      </c>
      <c r="GC210" s="80">
        <f t="shared" si="267"/>
        <v>0</v>
      </c>
      <c r="GD210" s="80">
        <f t="shared" si="267"/>
        <v>0</v>
      </c>
      <c r="GE210" s="80">
        <f t="shared" si="267"/>
        <v>0</v>
      </c>
      <c r="GF210" s="80">
        <f t="shared" si="267"/>
        <v>0</v>
      </c>
      <c r="GG210" s="80">
        <f t="shared" si="267"/>
        <v>0</v>
      </c>
      <c r="GH210" s="80">
        <f t="shared" si="267"/>
        <v>0</v>
      </c>
      <c r="GI210" s="80">
        <f t="shared" si="267"/>
        <v>0</v>
      </c>
      <c r="GJ210" s="80">
        <f t="shared" si="267"/>
        <v>0</v>
      </c>
      <c r="GK210" s="80">
        <f t="shared" si="267"/>
        <v>0</v>
      </c>
      <c r="GL210" s="80">
        <f t="shared" si="267"/>
        <v>0</v>
      </c>
      <c r="GM210" s="80">
        <f t="shared" si="267"/>
        <v>0</v>
      </c>
      <c r="GN210" s="80">
        <f t="shared" si="267"/>
        <v>0</v>
      </c>
      <c r="GO210" s="80">
        <f t="shared" si="267"/>
        <v>0</v>
      </c>
      <c r="GP210" s="80">
        <f t="shared" si="267"/>
        <v>0</v>
      </c>
      <c r="GQ210" s="80">
        <f t="shared" si="267"/>
        <v>0</v>
      </c>
      <c r="GR210" s="80">
        <f t="shared" si="267"/>
        <v>0</v>
      </c>
      <c r="GS210" s="80">
        <f t="shared" si="267"/>
        <v>0</v>
      </c>
      <c r="GT210" s="80">
        <f t="shared" si="267"/>
        <v>0</v>
      </c>
      <c r="GU210" s="80">
        <f t="shared" si="267"/>
        <v>0</v>
      </c>
      <c r="GV210" s="80">
        <f t="shared" si="267"/>
        <v>0</v>
      </c>
      <c r="GW210" s="80">
        <f t="shared" si="267"/>
        <v>0</v>
      </c>
      <c r="GX210" s="80">
        <f t="shared" si="267"/>
        <v>0</v>
      </c>
    </row>
    <row r="211" spans="1:206" x14ac:dyDescent="0.2">
      <c r="A211" s="84"/>
      <c r="B211" s="84" t="s">
        <v>256</v>
      </c>
      <c r="W211" s="80">
        <f>IF(W$202=0,"",W199/W$202)</f>
        <v>0.26140584006269385</v>
      </c>
      <c r="X211" s="80">
        <f t="shared" ref="X211:CI211" si="268">IF(X$202=0,"",X199/X$202)</f>
        <v>0.20739724753580063</v>
      </c>
      <c r="Y211" s="80">
        <f t="shared" si="268"/>
        <v>0.14950572378550869</v>
      </c>
      <c r="Z211" s="80">
        <f t="shared" si="268"/>
        <v>0.12213256854225969</v>
      </c>
      <c r="AA211" s="80">
        <f t="shared" si="268"/>
        <v>0.19993151124713737</v>
      </c>
      <c r="AB211" s="80">
        <f t="shared" si="268"/>
        <v>0.11579735890246773</v>
      </c>
      <c r="AC211" s="80">
        <f t="shared" si="268"/>
        <v>0.15158273227318447</v>
      </c>
      <c r="AD211" s="80">
        <f t="shared" si="268"/>
        <v>0.20748667679729466</v>
      </c>
      <c r="AE211" s="80">
        <f t="shared" si="268"/>
        <v>0.25634056032360936</v>
      </c>
      <c r="AF211" s="80">
        <f t="shared" si="268"/>
        <v>0.15988271301072279</v>
      </c>
      <c r="AG211" s="80">
        <f t="shared" si="268"/>
        <v>0.16825546304817754</v>
      </c>
      <c r="AH211" s="80">
        <f t="shared" si="268"/>
        <v>0.13971277529268245</v>
      </c>
      <c r="AI211" s="80">
        <f t="shared" si="268"/>
        <v>0.14154056888470348</v>
      </c>
      <c r="AJ211" s="80">
        <f t="shared" si="268"/>
        <v>0.12394323994606508</v>
      </c>
      <c r="AK211" s="80">
        <f t="shared" si="268"/>
        <v>0.12870748881707081</v>
      </c>
      <c r="AL211" s="80">
        <f t="shared" si="268"/>
        <v>0.11630246345482952</v>
      </c>
      <c r="AM211" s="80">
        <f t="shared" si="268"/>
        <v>0.10311409798172205</v>
      </c>
      <c r="AN211" s="80">
        <f t="shared" si="268"/>
        <v>6.5620786336493819E-2</v>
      </c>
      <c r="AO211" s="80">
        <f t="shared" si="268"/>
        <v>6.400702009716841E-2</v>
      </c>
      <c r="AP211" s="80">
        <f t="shared" si="268"/>
        <v>0.10049440318472699</v>
      </c>
      <c r="AQ211" s="80">
        <f t="shared" si="268"/>
        <v>0.13554352246217069</v>
      </c>
      <c r="AR211" s="80">
        <f t="shared" si="268"/>
        <v>0.12708088093658365</v>
      </c>
      <c r="AS211" s="80">
        <f t="shared" si="268"/>
        <v>0.10305845087002116</v>
      </c>
      <c r="AT211" s="80">
        <f t="shared" si="268"/>
        <v>9.493397256169335E-2</v>
      </c>
      <c r="AU211" s="80">
        <f t="shared" si="268"/>
        <v>8.495173683196712E-2</v>
      </c>
      <c r="AV211" s="80">
        <f t="shared" si="268"/>
        <v>4.6491021552554412E-2</v>
      </c>
      <c r="AW211" s="80">
        <f t="shared" si="268"/>
        <v>7.9309975814909131E-2</v>
      </c>
      <c r="AX211" s="80">
        <f t="shared" si="268"/>
        <v>6.4358024955589302E-2</v>
      </c>
      <c r="AY211" s="80">
        <f t="shared" si="268"/>
        <v>3.3028701067996484E-2</v>
      </c>
      <c r="AZ211" s="80">
        <f t="shared" si="268"/>
        <v>4.4581897566509009E-2</v>
      </c>
      <c r="BA211" s="80">
        <f t="shared" si="268"/>
        <v>1.3779080966547523E-2</v>
      </c>
      <c r="BB211" s="80">
        <f t="shared" si="268"/>
        <v>2.1304282687327439E-2</v>
      </c>
      <c r="BC211" s="80">
        <f t="shared" si="268"/>
        <v>6.2397534404896947E-2</v>
      </c>
      <c r="BD211" s="80">
        <f t="shared" si="268"/>
        <v>3.2544999250904261E-2</v>
      </c>
      <c r="BE211" s="80">
        <f t="shared" si="268"/>
        <v>7.1900348864584906E-2</v>
      </c>
      <c r="BF211" s="80">
        <f t="shared" si="268"/>
        <v>4.4706033431072496E-2</v>
      </c>
      <c r="BG211" s="80">
        <f t="shared" si="268"/>
        <v>1.8551890931661066E-2</v>
      </c>
      <c r="BH211" s="80">
        <f t="shared" si="268"/>
        <v>0</v>
      </c>
      <c r="BI211" s="80">
        <f t="shared" si="268"/>
        <v>2.647946407550885E-2</v>
      </c>
      <c r="BJ211" s="80">
        <f t="shared" si="268"/>
        <v>5.6661601352652871E-2</v>
      </c>
      <c r="BK211" s="80">
        <f t="shared" si="268"/>
        <v>6.0158808295700188E-2</v>
      </c>
      <c r="BL211" s="80">
        <f t="shared" si="268"/>
        <v>6.8206236757057531E-2</v>
      </c>
      <c r="BM211" s="80">
        <f t="shared" si="268"/>
        <v>7.1977398711555313E-2</v>
      </c>
      <c r="BN211" s="80">
        <f t="shared" si="268"/>
        <v>4.4526250454808118E-2</v>
      </c>
      <c r="BO211" s="80">
        <f t="shared" si="268"/>
        <v>4.5399482053806478E-2</v>
      </c>
      <c r="BP211" s="80">
        <f t="shared" si="268"/>
        <v>6.9524645249662897E-2</v>
      </c>
      <c r="BQ211" s="80">
        <f t="shared" si="268"/>
        <v>9.6547738801018759E-2</v>
      </c>
      <c r="BR211" s="80">
        <f t="shared" si="268"/>
        <v>0.15302527663035337</v>
      </c>
      <c r="BS211" s="80">
        <f t="shared" si="268"/>
        <v>0.23336258373820182</v>
      </c>
      <c r="BT211" s="80">
        <f t="shared" si="268"/>
        <v>0.2353444770241637</v>
      </c>
      <c r="BU211" s="80">
        <f t="shared" si="268"/>
        <v>0.21121931382830728</v>
      </c>
      <c r="BV211" s="80">
        <f t="shared" si="268"/>
        <v>0.22155255441645444</v>
      </c>
      <c r="BW211" s="80">
        <f t="shared" si="268"/>
        <v>0.21612482075209213</v>
      </c>
      <c r="BX211" s="80">
        <f t="shared" si="268"/>
        <v>0.24129015688204949</v>
      </c>
      <c r="BY211" s="80">
        <f t="shared" si="268"/>
        <v>0.2970699655415962</v>
      </c>
      <c r="BZ211" s="80">
        <f t="shared" si="268"/>
        <v>0.32332684117030158</v>
      </c>
      <c r="CA211" s="80">
        <f t="shared" si="268"/>
        <v>0.2906191811313486</v>
      </c>
      <c r="CB211" s="80">
        <f t="shared" si="268"/>
        <v>0.23956937696637631</v>
      </c>
      <c r="CC211" s="80">
        <f t="shared" si="268"/>
        <v>0.19493183228816646</v>
      </c>
      <c r="CD211" s="80">
        <f t="shared" si="268"/>
        <v>0.20743531023264772</v>
      </c>
      <c r="CE211" s="80">
        <f t="shared" si="268"/>
        <v>0.27460137405560425</v>
      </c>
      <c r="CF211" s="80">
        <f t="shared" si="268"/>
        <v>0.27989213021424131</v>
      </c>
      <c r="CG211" s="80">
        <f t="shared" si="268"/>
        <v>0.37376880765361814</v>
      </c>
      <c r="CH211" s="80">
        <f t="shared" si="268"/>
        <v>0.31290370909402221</v>
      </c>
      <c r="CI211" s="80">
        <f t="shared" si="268"/>
        <v>0.21475076514778585</v>
      </c>
      <c r="CJ211" s="80">
        <f t="shared" ref="CJ211:EU211" si="269">IF(CJ$202=0,"",CJ199/CJ$202)</f>
        <v>0.12132782569612394</v>
      </c>
      <c r="CK211" s="80">
        <f t="shared" si="269"/>
        <v>9.3876677439376735E-2</v>
      </c>
      <c r="CL211" s="80">
        <f t="shared" si="269"/>
        <v>0</v>
      </c>
      <c r="CM211" s="80">
        <f t="shared" si="269"/>
        <v>0</v>
      </c>
      <c r="CN211" s="80">
        <f t="shared" si="269"/>
        <v>0</v>
      </c>
      <c r="CO211" s="80">
        <f t="shared" si="269"/>
        <v>0</v>
      </c>
      <c r="CP211" s="80">
        <f t="shared" si="269"/>
        <v>0</v>
      </c>
      <c r="CQ211" s="80">
        <f t="shared" si="269"/>
        <v>0</v>
      </c>
      <c r="CR211" s="80">
        <f t="shared" si="269"/>
        <v>0</v>
      </c>
      <c r="CS211" s="80">
        <f t="shared" si="269"/>
        <v>0</v>
      </c>
      <c r="CT211" s="80">
        <f t="shared" si="269"/>
        <v>0</v>
      </c>
      <c r="CU211" s="80">
        <f t="shared" si="269"/>
        <v>0</v>
      </c>
      <c r="CV211" s="80">
        <f t="shared" si="269"/>
        <v>0</v>
      </c>
      <c r="CW211" s="80">
        <f t="shared" si="269"/>
        <v>0</v>
      </c>
      <c r="CX211" s="80">
        <f t="shared" si="269"/>
        <v>0</v>
      </c>
      <c r="CY211" s="80">
        <f t="shared" si="269"/>
        <v>0</v>
      </c>
      <c r="CZ211" s="80">
        <f t="shared" si="269"/>
        <v>0</v>
      </c>
      <c r="DA211" s="80">
        <f t="shared" si="269"/>
        <v>0</v>
      </c>
      <c r="DB211" s="80">
        <f t="shared" si="269"/>
        <v>0</v>
      </c>
      <c r="DC211" s="80">
        <f t="shared" si="269"/>
        <v>0</v>
      </c>
      <c r="DD211" s="80">
        <f t="shared" si="269"/>
        <v>0</v>
      </c>
      <c r="DE211" s="80">
        <f t="shared" si="269"/>
        <v>0</v>
      </c>
      <c r="DF211" s="80">
        <f t="shared" si="269"/>
        <v>0</v>
      </c>
      <c r="DG211" s="80">
        <f t="shared" si="269"/>
        <v>0</v>
      </c>
      <c r="DH211" s="80">
        <f t="shared" si="269"/>
        <v>0</v>
      </c>
      <c r="DI211" s="80">
        <f t="shared" si="269"/>
        <v>0</v>
      </c>
      <c r="DJ211" s="80">
        <f t="shared" si="269"/>
        <v>0</v>
      </c>
      <c r="DK211" s="80">
        <f t="shared" si="269"/>
        <v>0</v>
      </c>
      <c r="DL211" s="80">
        <f t="shared" si="269"/>
        <v>0</v>
      </c>
      <c r="DM211" s="80">
        <f t="shared" si="269"/>
        <v>0</v>
      </c>
      <c r="DN211" s="80">
        <f t="shared" si="269"/>
        <v>0</v>
      </c>
      <c r="DO211" s="80">
        <f t="shared" si="269"/>
        <v>0</v>
      </c>
      <c r="DP211" s="80">
        <f t="shared" si="269"/>
        <v>0</v>
      </c>
      <c r="DQ211" s="80">
        <f t="shared" si="269"/>
        <v>0</v>
      </c>
      <c r="DR211" s="80">
        <f t="shared" si="269"/>
        <v>0</v>
      </c>
      <c r="DS211" s="80">
        <f t="shared" si="269"/>
        <v>0</v>
      </c>
      <c r="DT211" s="80">
        <f t="shared" si="269"/>
        <v>0</v>
      </c>
      <c r="DU211" s="80">
        <f t="shared" si="269"/>
        <v>0</v>
      </c>
      <c r="DV211" s="80">
        <f t="shared" si="269"/>
        <v>0</v>
      </c>
      <c r="DW211" s="80">
        <f t="shared" si="269"/>
        <v>0</v>
      </c>
      <c r="DX211" s="80">
        <f t="shared" si="269"/>
        <v>0</v>
      </c>
      <c r="DY211" s="80">
        <f t="shared" si="269"/>
        <v>0</v>
      </c>
      <c r="DZ211" s="80">
        <f t="shared" si="269"/>
        <v>0</v>
      </c>
      <c r="EA211" s="80">
        <f t="shared" si="269"/>
        <v>0</v>
      </c>
      <c r="EB211" s="80">
        <f t="shared" si="269"/>
        <v>0</v>
      </c>
      <c r="EC211" s="80">
        <f t="shared" si="269"/>
        <v>0</v>
      </c>
      <c r="ED211" s="80">
        <f t="shared" si="269"/>
        <v>0</v>
      </c>
      <c r="EE211" s="80">
        <f t="shared" si="269"/>
        <v>0</v>
      </c>
      <c r="EF211" s="80">
        <f t="shared" si="269"/>
        <v>0</v>
      </c>
      <c r="EG211" s="80">
        <f t="shared" si="269"/>
        <v>0</v>
      </c>
      <c r="EH211" s="80">
        <f t="shared" si="269"/>
        <v>0</v>
      </c>
      <c r="EI211" s="80">
        <f t="shared" si="269"/>
        <v>0</v>
      </c>
      <c r="EJ211" s="80">
        <f t="shared" si="269"/>
        <v>0</v>
      </c>
      <c r="EK211" s="80">
        <f t="shared" si="269"/>
        <v>0</v>
      </c>
      <c r="EL211" s="80">
        <f t="shared" si="269"/>
        <v>0</v>
      </c>
      <c r="EM211" s="80">
        <f t="shared" si="269"/>
        <v>0</v>
      </c>
      <c r="EN211" s="80">
        <f t="shared" si="269"/>
        <v>0</v>
      </c>
      <c r="EO211" s="80">
        <f t="shared" si="269"/>
        <v>0</v>
      </c>
      <c r="EP211" s="80">
        <f t="shared" si="269"/>
        <v>0</v>
      </c>
      <c r="EQ211" s="80">
        <f t="shared" si="269"/>
        <v>0</v>
      </c>
      <c r="ER211" s="80">
        <f t="shared" si="269"/>
        <v>0</v>
      </c>
      <c r="ES211" s="80">
        <f t="shared" si="269"/>
        <v>0</v>
      </c>
      <c r="ET211" s="80">
        <f t="shared" si="269"/>
        <v>0</v>
      </c>
      <c r="EU211" s="80">
        <f t="shared" si="269"/>
        <v>0</v>
      </c>
      <c r="EV211" s="80">
        <f t="shared" ref="EV211:GX211" si="270">IF(EV$202=0,"",EV199/EV$202)</f>
        <v>0</v>
      </c>
      <c r="EW211" s="80">
        <f t="shared" si="270"/>
        <v>0</v>
      </c>
      <c r="EX211" s="80">
        <f t="shared" si="270"/>
        <v>0</v>
      </c>
      <c r="EY211" s="80">
        <f t="shared" si="270"/>
        <v>0</v>
      </c>
      <c r="EZ211" s="80">
        <f t="shared" si="270"/>
        <v>0</v>
      </c>
      <c r="FA211" s="80">
        <f t="shared" si="270"/>
        <v>0</v>
      </c>
      <c r="FB211" s="80">
        <f t="shared" si="270"/>
        <v>0</v>
      </c>
      <c r="FC211" s="80">
        <f t="shared" si="270"/>
        <v>0</v>
      </c>
      <c r="FD211" s="80">
        <f t="shared" si="270"/>
        <v>0</v>
      </c>
      <c r="FE211" s="80">
        <f t="shared" si="270"/>
        <v>0</v>
      </c>
      <c r="FF211" s="80">
        <f t="shared" si="270"/>
        <v>0</v>
      </c>
      <c r="FG211" s="80">
        <f t="shared" si="270"/>
        <v>0</v>
      </c>
      <c r="FH211" s="80">
        <f t="shared" si="270"/>
        <v>0</v>
      </c>
      <c r="FI211" s="80">
        <f t="shared" si="270"/>
        <v>0</v>
      </c>
      <c r="FJ211" s="80">
        <f t="shared" si="270"/>
        <v>0</v>
      </c>
      <c r="FK211" s="80">
        <f t="shared" si="270"/>
        <v>0</v>
      </c>
      <c r="FL211" s="80">
        <f t="shared" si="270"/>
        <v>0</v>
      </c>
      <c r="FM211" s="80">
        <f t="shared" si="270"/>
        <v>0</v>
      </c>
      <c r="FN211" s="80">
        <f t="shared" si="270"/>
        <v>0</v>
      </c>
      <c r="FO211" s="80">
        <f t="shared" si="270"/>
        <v>0</v>
      </c>
      <c r="FP211" s="80">
        <f t="shared" si="270"/>
        <v>0</v>
      </c>
      <c r="FQ211" s="80">
        <f t="shared" si="270"/>
        <v>0</v>
      </c>
      <c r="FR211" s="80">
        <f t="shared" si="270"/>
        <v>0</v>
      </c>
      <c r="FS211" s="80">
        <f t="shared" si="270"/>
        <v>0</v>
      </c>
      <c r="FT211" s="80">
        <f t="shared" si="270"/>
        <v>0</v>
      </c>
      <c r="FU211" s="80">
        <f t="shared" si="270"/>
        <v>0</v>
      </c>
      <c r="FV211" s="80">
        <f t="shared" si="270"/>
        <v>0</v>
      </c>
      <c r="FW211" s="80">
        <f t="shared" si="270"/>
        <v>0</v>
      </c>
      <c r="FX211" s="80">
        <f t="shared" si="270"/>
        <v>0</v>
      </c>
      <c r="FY211" s="80">
        <f t="shared" si="270"/>
        <v>0</v>
      </c>
      <c r="FZ211" s="80">
        <f t="shared" si="270"/>
        <v>0</v>
      </c>
      <c r="GA211" s="80">
        <f t="shared" si="270"/>
        <v>0</v>
      </c>
      <c r="GB211" s="80">
        <f t="shared" si="270"/>
        <v>0</v>
      </c>
      <c r="GC211" s="80">
        <f t="shared" si="270"/>
        <v>0</v>
      </c>
      <c r="GD211" s="80">
        <f t="shared" si="270"/>
        <v>0</v>
      </c>
      <c r="GE211" s="80">
        <f t="shared" si="270"/>
        <v>0</v>
      </c>
      <c r="GF211" s="80">
        <f t="shared" si="270"/>
        <v>0</v>
      </c>
      <c r="GG211" s="80">
        <f t="shared" si="270"/>
        <v>0</v>
      </c>
      <c r="GH211" s="80">
        <f t="shared" si="270"/>
        <v>0</v>
      </c>
      <c r="GI211" s="80">
        <f t="shared" si="270"/>
        <v>0</v>
      </c>
      <c r="GJ211" s="80">
        <f t="shared" si="270"/>
        <v>0</v>
      </c>
      <c r="GK211" s="80">
        <f t="shared" si="270"/>
        <v>0</v>
      </c>
      <c r="GL211" s="80">
        <f t="shared" si="270"/>
        <v>0</v>
      </c>
      <c r="GM211" s="80">
        <f t="shared" si="270"/>
        <v>0</v>
      </c>
      <c r="GN211" s="80">
        <f t="shared" si="270"/>
        <v>0</v>
      </c>
      <c r="GO211" s="80">
        <f t="shared" si="270"/>
        <v>0</v>
      </c>
      <c r="GP211" s="80">
        <f t="shared" si="270"/>
        <v>0</v>
      </c>
      <c r="GQ211" s="80">
        <f t="shared" si="270"/>
        <v>0</v>
      </c>
      <c r="GR211" s="80">
        <f t="shared" si="270"/>
        <v>0</v>
      </c>
      <c r="GS211" s="80">
        <f t="shared" si="270"/>
        <v>0</v>
      </c>
      <c r="GT211" s="80">
        <f t="shared" si="270"/>
        <v>0</v>
      </c>
      <c r="GU211" s="80">
        <f t="shared" si="270"/>
        <v>0</v>
      </c>
      <c r="GV211" s="80">
        <f t="shared" si="270"/>
        <v>0</v>
      </c>
      <c r="GW211" s="80">
        <f t="shared" si="270"/>
        <v>0</v>
      </c>
      <c r="GX211" s="80">
        <f t="shared" si="270"/>
        <v>0</v>
      </c>
    </row>
    <row r="212" spans="1:206" x14ac:dyDescent="0.2">
      <c r="A212" s="84"/>
      <c r="B212" s="84" t="s">
        <v>257</v>
      </c>
      <c r="W212" s="80">
        <f>IF(W$202=0,"",W200/W$202)</f>
        <v>2.915650569744406E-2</v>
      </c>
      <c r="X212" s="80">
        <f t="shared" ref="X212:CI212" si="271">IF(X$202=0,"",X200/X$202)</f>
        <v>7.0145992188952941E-2</v>
      </c>
      <c r="Y212" s="80">
        <f t="shared" si="271"/>
        <v>0.10522839354651552</v>
      </c>
      <c r="Z212" s="80">
        <f t="shared" si="271"/>
        <v>0.10774993044111036</v>
      </c>
      <c r="AA212" s="80">
        <f t="shared" si="271"/>
        <v>0.12640883504911926</v>
      </c>
      <c r="AB212" s="80">
        <f t="shared" si="271"/>
        <v>0.2298824989833701</v>
      </c>
      <c r="AC212" s="80">
        <f t="shared" si="271"/>
        <v>0.19094236243391904</v>
      </c>
      <c r="AD212" s="80">
        <f t="shared" si="271"/>
        <v>0.14339404575904799</v>
      </c>
      <c r="AE212" s="80">
        <f t="shared" si="271"/>
        <v>0.1148641996447146</v>
      </c>
      <c r="AF212" s="80">
        <f t="shared" si="271"/>
        <v>0.19075829891060081</v>
      </c>
      <c r="AG212" s="80">
        <f t="shared" si="271"/>
        <v>0.11579735890246773</v>
      </c>
      <c r="AH212" s="80">
        <f t="shared" si="271"/>
        <v>0.11391391819874581</v>
      </c>
      <c r="AI212" s="80">
        <f t="shared" si="271"/>
        <v>0.16521199409284509</v>
      </c>
      <c r="AJ212" s="80">
        <f t="shared" si="271"/>
        <v>0.17459923378207737</v>
      </c>
      <c r="AK212" s="80">
        <f t="shared" si="271"/>
        <v>9.1064358024955591E-2</v>
      </c>
      <c r="AL212" s="80">
        <f t="shared" si="271"/>
        <v>9.9437108062410393E-2</v>
      </c>
      <c r="AM212" s="80">
        <f t="shared" si="271"/>
        <v>6.3651734691693593E-2</v>
      </c>
      <c r="AN212" s="80">
        <f t="shared" si="271"/>
        <v>7.1497977441517035E-2</v>
      </c>
      <c r="AO212" s="80">
        <f t="shared" si="271"/>
        <v>7.4173319350212957E-2</v>
      </c>
      <c r="AP212" s="80">
        <f t="shared" si="271"/>
        <v>7.8937568221218668E-2</v>
      </c>
      <c r="AQ212" s="80">
        <f t="shared" si="271"/>
        <v>5.4636902596151789E-2</v>
      </c>
      <c r="AR212" s="80">
        <f t="shared" si="271"/>
        <v>6.9593134002525522E-2</v>
      </c>
      <c r="AS212" s="80">
        <f t="shared" si="271"/>
        <v>4.03013505125955E-2</v>
      </c>
      <c r="AT212" s="80">
        <f t="shared" si="271"/>
        <v>3.2215397127752919E-2</v>
      </c>
      <c r="AU212" s="80">
        <f t="shared" si="271"/>
        <v>4.2544357168846178E-2</v>
      </c>
      <c r="AV212" s="80">
        <f t="shared" si="271"/>
        <v>8.1005072448258872E-2</v>
      </c>
      <c r="AW212" s="80">
        <f t="shared" si="271"/>
        <v>4.0472572394752056E-2</v>
      </c>
      <c r="AX212" s="80">
        <f t="shared" si="271"/>
        <v>4.0472572394752042E-2</v>
      </c>
      <c r="AY212" s="80">
        <f t="shared" si="271"/>
        <v>4.7749502386404984E-2</v>
      </c>
      <c r="AZ212" s="80">
        <f t="shared" si="271"/>
        <v>2.5379363482653086E-2</v>
      </c>
      <c r="BA212" s="80">
        <f t="shared" si="271"/>
        <v>1.7246324080217451E-2</v>
      </c>
      <c r="BB212" s="80">
        <f t="shared" si="271"/>
        <v>0</v>
      </c>
      <c r="BC212" s="80">
        <f t="shared" si="271"/>
        <v>9.1732123365366094E-3</v>
      </c>
      <c r="BD212" s="80">
        <f t="shared" si="271"/>
        <v>9.1732123365366076E-3</v>
      </c>
      <c r="BE212" s="80">
        <f t="shared" si="271"/>
        <v>9.1732123365366111E-3</v>
      </c>
      <c r="BF212" s="80">
        <f t="shared" si="271"/>
        <v>9.1732123365366094E-3</v>
      </c>
      <c r="BG212" s="80">
        <f t="shared" si="271"/>
        <v>9.1732123365366094E-3</v>
      </c>
      <c r="BH212" s="80">
        <f t="shared" si="271"/>
        <v>0</v>
      </c>
      <c r="BI212" s="80">
        <f t="shared" si="271"/>
        <v>0</v>
      </c>
      <c r="BJ212" s="80">
        <f t="shared" si="271"/>
        <v>0</v>
      </c>
      <c r="BK212" s="80">
        <f t="shared" si="271"/>
        <v>0</v>
      </c>
      <c r="BL212" s="80">
        <f t="shared" si="271"/>
        <v>0</v>
      </c>
      <c r="BM212" s="80">
        <f t="shared" si="271"/>
        <v>0</v>
      </c>
      <c r="BN212" s="80">
        <f t="shared" si="271"/>
        <v>0</v>
      </c>
      <c r="BO212" s="80">
        <f t="shared" si="271"/>
        <v>0</v>
      </c>
      <c r="BP212" s="80">
        <f t="shared" si="271"/>
        <v>0</v>
      </c>
      <c r="BQ212" s="80">
        <f t="shared" si="271"/>
        <v>1.7511717997560086E-2</v>
      </c>
      <c r="BR212" s="80">
        <f t="shared" si="271"/>
        <v>1.751171799756009E-2</v>
      </c>
      <c r="BS212" s="80">
        <f t="shared" si="271"/>
        <v>1.751171799756009E-2</v>
      </c>
      <c r="BT212" s="80">
        <f t="shared" si="271"/>
        <v>4.5399482053806478E-2</v>
      </c>
      <c r="BU212" s="80">
        <f t="shared" si="271"/>
        <v>6.9524645249662911E-2</v>
      </c>
      <c r="BV212" s="80">
        <f t="shared" si="271"/>
        <v>9.6547738801018759E-2</v>
      </c>
      <c r="BW212" s="80">
        <f t="shared" si="271"/>
        <v>0.15302527663035337</v>
      </c>
      <c r="BX212" s="80">
        <f t="shared" si="271"/>
        <v>0.23336258373820182</v>
      </c>
      <c r="BY212" s="80">
        <f t="shared" si="271"/>
        <v>0.2353444770241637</v>
      </c>
      <c r="BZ212" s="80">
        <f t="shared" si="271"/>
        <v>0.21121931382830728</v>
      </c>
      <c r="CA212" s="80">
        <f t="shared" si="271"/>
        <v>0.22155255441645444</v>
      </c>
      <c r="CB212" s="80">
        <f t="shared" si="271"/>
        <v>0.21612482075209211</v>
      </c>
      <c r="CC212" s="80">
        <f t="shared" si="271"/>
        <v>0.24129015688204949</v>
      </c>
      <c r="CD212" s="80">
        <f t="shared" si="271"/>
        <v>0.2970699655415962</v>
      </c>
      <c r="CE212" s="80">
        <f t="shared" si="271"/>
        <v>0.32332684117030158</v>
      </c>
      <c r="CF212" s="80">
        <f t="shared" si="271"/>
        <v>0.2906191811313486</v>
      </c>
      <c r="CG212" s="80">
        <f t="shared" si="271"/>
        <v>0.23956937696637637</v>
      </c>
      <c r="CH212" s="80">
        <f t="shared" si="271"/>
        <v>0.19493183228816646</v>
      </c>
      <c r="CI212" s="80">
        <f t="shared" si="271"/>
        <v>0.20743531023264766</v>
      </c>
      <c r="CJ212" s="80">
        <f t="shared" ref="CJ212:EU212" si="272">IF(CJ$202=0,"",CJ200/CJ$202)</f>
        <v>0.2746013740556042</v>
      </c>
      <c r="CK212" s="80">
        <f t="shared" si="272"/>
        <v>0.27989213021424125</v>
      </c>
      <c r="CL212" s="80">
        <f t="shared" si="272"/>
        <v>0.37376880765361797</v>
      </c>
      <c r="CM212" s="80">
        <f t="shared" si="272"/>
        <v>0.3129037090940221</v>
      </c>
      <c r="CN212" s="80">
        <f t="shared" si="272"/>
        <v>0.21475076514778585</v>
      </c>
      <c r="CO212" s="80">
        <f t="shared" si="272"/>
        <v>0.12132782569612394</v>
      </c>
      <c r="CP212" s="80">
        <f t="shared" si="272"/>
        <v>9.3876677439376735E-2</v>
      </c>
      <c r="CQ212" s="80">
        <f t="shared" si="272"/>
        <v>0</v>
      </c>
      <c r="CR212" s="80">
        <f t="shared" si="272"/>
        <v>0</v>
      </c>
      <c r="CS212" s="80">
        <f t="shared" si="272"/>
        <v>0</v>
      </c>
      <c r="CT212" s="80">
        <f t="shared" si="272"/>
        <v>0</v>
      </c>
      <c r="CU212" s="80">
        <f t="shared" si="272"/>
        <v>0</v>
      </c>
      <c r="CV212" s="80">
        <f t="shared" si="272"/>
        <v>0</v>
      </c>
      <c r="CW212" s="80">
        <f t="shared" si="272"/>
        <v>0</v>
      </c>
      <c r="CX212" s="80">
        <f t="shared" si="272"/>
        <v>0</v>
      </c>
      <c r="CY212" s="80">
        <f t="shared" si="272"/>
        <v>0</v>
      </c>
      <c r="CZ212" s="80">
        <f t="shared" si="272"/>
        <v>0</v>
      </c>
      <c r="DA212" s="80">
        <f t="shared" si="272"/>
        <v>0</v>
      </c>
      <c r="DB212" s="80">
        <f t="shared" si="272"/>
        <v>0</v>
      </c>
      <c r="DC212" s="80">
        <f t="shared" si="272"/>
        <v>0</v>
      </c>
      <c r="DD212" s="80">
        <f t="shared" si="272"/>
        <v>0</v>
      </c>
      <c r="DE212" s="80">
        <f t="shared" si="272"/>
        <v>0</v>
      </c>
      <c r="DF212" s="80">
        <f t="shared" si="272"/>
        <v>0</v>
      </c>
      <c r="DG212" s="80">
        <f t="shared" si="272"/>
        <v>0</v>
      </c>
      <c r="DH212" s="80">
        <f t="shared" si="272"/>
        <v>0</v>
      </c>
      <c r="DI212" s="80">
        <f t="shared" si="272"/>
        <v>0</v>
      </c>
      <c r="DJ212" s="80">
        <f t="shared" si="272"/>
        <v>0</v>
      </c>
      <c r="DK212" s="80">
        <f t="shared" si="272"/>
        <v>0</v>
      </c>
      <c r="DL212" s="80">
        <f t="shared" si="272"/>
        <v>0</v>
      </c>
      <c r="DM212" s="80">
        <f t="shared" si="272"/>
        <v>0</v>
      </c>
      <c r="DN212" s="80">
        <f t="shared" si="272"/>
        <v>0</v>
      </c>
      <c r="DO212" s="80">
        <f t="shared" si="272"/>
        <v>0</v>
      </c>
      <c r="DP212" s="80">
        <f t="shared" si="272"/>
        <v>0</v>
      </c>
      <c r="DQ212" s="80">
        <f t="shared" si="272"/>
        <v>0</v>
      </c>
      <c r="DR212" s="80">
        <f t="shared" si="272"/>
        <v>0</v>
      </c>
      <c r="DS212" s="80">
        <f t="shared" si="272"/>
        <v>0</v>
      </c>
      <c r="DT212" s="80">
        <f t="shared" si="272"/>
        <v>0</v>
      </c>
      <c r="DU212" s="80">
        <f t="shared" si="272"/>
        <v>0</v>
      </c>
      <c r="DV212" s="80">
        <f t="shared" si="272"/>
        <v>0</v>
      </c>
      <c r="DW212" s="80">
        <f t="shared" si="272"/>
        <v>0</v>
      </c>
      <c r="DX212" s="80">
        <f t="shared" si="272"/>
        <v>0</v>
      </c>
      <c r="DY212" s="80">
        <f t="shared" si="272"/>
        <v>0</v>
      </c>
      <c r="DZ212" s="80">
        <f t="shared" si="272"/>
        <v>0</v>
      </c>
      <c r="EA212" s="80">
        <f t="shared" si="272"/>
        <v>0</v>
      </c>
      <c r="EB212" s="80">
        <f t="shared" si="272"/>
        <v>0</v>
      </c>
      <c r="EC212" s="80">
        <f t="shared" si="272"/>
        <v>0</v>
      </c>
      <c r="ED212" s="80">
        <f t="shared" si="272"/>
        <v>0</v>
      </c>
      <c r="EE212" s="80">
        <f t="shared" si="272"/>
        <v>0</v>
      </c>
      <c r="EF212" s="80">
        <f t="shared" si="272"/>
        <v>0</v>
      </c>
      <c r="EG212" s="80">
        <f t="shared" si="272"/>
        <v>0</v>
      </c>
      <c r="EH212" s="80">
        <f t="shared" si="272"/>
        <v>0</v>
      </c>
      <c r="EI212" s="80">
        <f t="shared" si="272"/>
        <v>0</v>
      </c>
      <c r="EJ212" s="80">
        <f t="shared" si="272"/>
        <v>0</v>
      </c>
      <c r="EK212" s="80">
        <f t="shared" si="272"/>
        <v>0</v>
      </c>
      <c r="EL212" s="80">
        <f t="shared" si="272"/>
        <v>0</v>
      </c>
      <c r="EM212" s="80">
        <f t="shared" si="272"/>
        <v>0</v>
      </c>
      <c r="EN212" s="80">
        <f t="shared" si="272"/>
        <v>0</v>
      </c>
      <c r="EO212" s="80">
        <f t="shared" si="272"/>
        <v>0</v>
      </c>
      <c r="EP212" s="80">
        <f t="shared" si="272"/>
        <v>0</v>
      </c>
      <c r="EQ212" s="80">
        <f t="shared" si="272"/>
        <v>0</v>
      </c>
      <c r="ER212" s="80">
        <f t="shared" si="272"/>
        <v>0</v>
      </c>
      <c r="ES212" s="80">
        <f t="shared" si="272"/>
        <v>0</v>
      </c>
      <c r="ET212" s="80">
        <f t="shared" si="272"/>
        <v>0</v>
      </c>
      <c r="EU212" s="80">
        <f t="shared" si="272"/>
        <v>0</v>
      </c>
      <c r="EV212" s="80">
        <f t="shared" ref="EV212:GX212" si="273">IF(EV$202=0,"",EV200/EV$202)</f>
        <v>0</v>
      </c>
      <c r="EW212" s="80">
        <f t="shared" si="273"/>
        <v>0</v>
      </c>
      <c r="EX212" s="80">
        <f t="shared" si="273"/>
        <v>0</v>
      </c>
      <c r="EY212" s="80">
        <f t="shared" si="273"/>
        <v>0</v>
      </c>
      <c r="EZ212" s="80">
        <f t="shared" si="273"/>
        <v>0</v>
      </c>
      <c r="FA212" s="80">
        <f t="shared" si="273"/>
        <v>0</v>
      </c>
      <c r="FB212" s="80">
        <f t="shared" si="273"/>
        <v>0</v>
      </c>
      <c r="FC212" s="80">
        <f t="shared" si="273"/>
        <v>0</v>
      </c>
      <c r="FD212" s="80">
        <f t="shared" si="273"/>
        <v>0</v>
      </c>
      <c r="FE212" s="80">
        <f t="shared" si="273"/>
        <v>0</v>
      </c>
      <c r="FF212" s="80">
        <f t="shared" si="273"/>
        <v>0</v>
      </c>
      <c r="FG212" s="80">
        <f t="shared" si="273"/>
        <v>0</v>
      </c>
      <c r="FH212" s="80">
        <f t="shared" si="273"/>
        <v>0</v>
      </c>
      <c r="FI212" s="80">
        <f t="shared" si="273"/>
        <v>0</v>
      </c>
      <c r="FJ212" s="80">
        <f t="shared" si="273"/>
        <v>0</v>
      </c>
      <c r="FK212" s="80">
        <f t="shared" si="273"/>
        <v>0</v>
      </c>
      <c r="FL212" s="80">
        <f t="shared" si="273"/>
        <v>0</v>
      </c>
      <c r="FM212" s="80">
        <f t="shared" si="273"/>
        <v>0</v>
      </c>
      <c r="FN212" s="80">
        <f t="shared" si="273"/>
        <v>0</v>
      </c>
      <c r="FO212" s="80">
        <f t="shared" si="273"/>
        <v>0</v>
      </c>
      <c r="FP212" s="80">
        <f t="shared" si="273"/>
        <v>0</v>
      </c>
      <c r="FQ212" s="80">
        <f t="shared" si="273"/>
        <v>0</v>
      </c>
      <c r="FR212" s="80">
        <f t="shared" si="273"/>
        <v>0</v>
      </c>
      <c r="FS212" s="80">
        <f t="shared" si="273"/>
        <v>0</v>
      </c>
      <c r="FT212" s="80">
        <f t="shared" si="273"/>
        <v>0</v>
      </c>
      <c r="FU212" s="80">
        <f t="shared" si="273"/>
        <v>0</v>
      </c>
      <c r="FV212" s="80">
        <f t="shared" si="273"/>
        <v>0</v>
      </c>
      <c r="FW212" s="80">
        <f t="shared" si="273"/>
        <v>0</v>
      </c>
      <c r="FX212" s="80">
        <f t="shared" si="273"/>
        <v>0</v>
      </c>
      <c r="FY212" s="80">
        <f t="shared" si="273"/>
        <v>0</v>
      </c>
      <c r="FZ212" s="80">
        <f t="shared" si="273"/>
        <v>0</v>
      </c>
      <c r="GA212" s="80">
        <f t="shared" si="273"/>
        <v>0</v>
      </c>
      <c r="GB212" s="80">
        <f t="shared" si="273"/>
        <v>0</v>
      </c>
      <c r="GC212" s="80">
        <f t="shared" si="273"/>
        <v>0</v>
      </c>
      <c r="GD212" s="80">
        <f t="shared" si="273"/>
        <v>0</v>
      </c>
      <c r="GE212" s="80">
        <f t="shared" si="273"/>
        <v>0</v>
      </c>
      <c r="GF212" s="80">
        <f t="shared" si="273"/>
        <v>0</v>
      </c>
      <c r="GG212" s="80">
        <f t="shared" si="273"/>
        <v>0</v>
      </c>
      <c r="GH212" s="80">
        <f t="shared" si="273"/>
        <v>0</v>
      </c>
      <c r="GI212" s="80">
        <f t="shared" si="273"/>
        <v>0</v>
      </c>
      <c r="GJ212" s="80">
        <f t="shared" si="273"/>
        <v>0</v>
      </c>
      <c r="GK212" s="80">
        <f t="shared" si="273"/>
        <v>0</v>
      </c>
      <c r="GL212" s="80">
        <f t="shared" si="273"/>
        <v>0</v>
      </c>
      <c r="GM212" s="80">
        <f t="shared" si="273"/>
        <v>0</v>
      </c>
      <c r="GN212" s="80">
        <f t="shared" si="273"/>
        <v>0</v>
      </c>
      <c r="GO212" s="80">
        <f t="shared" si="273"/>
        <v>0</v>
      </c>
      <c r="GP212" s="80">
        <f t="shared" si="273"/>
        <v>0</v>
      </c>
      <c r="GQ212" s="80">
        <f t="shared" si="273"/>
        <v>0</v>
      </c>
      <c r="GR212" s="80">
        <f t="shared" si="273"/>
        <v>0</v>
      </c>
      <c r="GS212" s="80">
        <f t="shared" si="273"/>
        <v>0</v>
      </c>
      <c r="GT212" s="80">
        <f t="shared" si="273"/>
        <v>0</v>
      </c>
      <c r="GU212" s="80">
        <f t="shared" si="273"/>
        <v>0</v>
      </c>
      <c r="GV212" s="80">
        <f t="shared" si="273"/>
        <v>0</v>
      </c>
      <c r="GW212" s="80">
        <f t="shared" si="273"/>
        <v>0</v>
      </c>
      <c r="GX212" s="80">
        <f t="shared" si="273"/>
        <v>0</v>
      </c>
    </row>
    <row r="213" spans="1:206" x14ac:dyDescent="0.2">
      <c r="A213" s="84"/>
      <c r="B213" s="84" t="s">
        <v>259</v>
      </c>
      <c r="W213" s="80">
        <f>IF(W$202=0,"",W201/W$202)</f>
        <v>0.12208252410644316</v>
      </c>
      <c r="X213" s="80">
        <f t="shared" ref="X213:CI213" si="274">IF(X$202=0,"",X201/X$202)</f>
        <v>0.11661242328435929</v>
      </c>
      <c r="Y213" s="80">
        <f t="shared" si="274"/>
        <v>0.12361591502465803</v>
      </c>
      <c r="Z213" s="80">
        <f t="shared" si="274"/>
        <v>0.13300087751214604</v>
      </c>
      <c r="AA213" s="80">
        <f t="shared" si="274"/>
        <v>0.13300087751214604</v>
      </c>
      <c r="AB213" s="80">
        <f t="shared" si="274"/>
        <v>0.10886715322218178</v>
      </c>
      <c r="AC213" s="80">
        <f t="shared" si="274"/>
        <v>0.12330115788797803</v>
      </c>
      <c r="AD213" s="80">
        <f t="shared" si="274"/>
        <v>0.16843524602444188</v>
      </c>
      <c r="AE213" s="80">
        <f t="shared" si="274"/>
        <v>0.14689981379620315</v>
      </c>
      <c r="AF213" s="80">
        <f t="shared" si="274"/>
        <v>0.14950238640498256</v>
      </c>
      <c r="AG213" s="80">
        <f t="shared" si="274"/>
        <v>0.18905036063608927</v>
      </c>
      <c r="AH213" s="80">
        <f t="shared" si="274"/>
        <v>0.16596537037433387</v>
      </c>
      <c r="AI213" s="80">
        <f t="shared" si="274"/>
        <v>0.14207563726644265</v>
      </c>
      <c r="AJ213" s="80">
        <f t="shared" si="274"/>
        <v>0.1373670355071378</v>
      </c>
      <c r="AK213" s="80">
        <f t="shared" si="274"/>
        <v>0.16446717890546411</v>
      </c>
      <c r="AL213" s="80">
        <f t="shared" si="274"/>
        <v>0.16682576033217048</v>
      </c>
      <c r="AM213" s="80">
        <f t="shared" si="274"/>
        <v>0.17484750551120434</v>
      </c>
      <c r="AN213" s="80">
        <f t="shared" si="274"/>
        <v>0.18454722513537236</v>
      </c>
      <c r="AO213" s="80">
        <f t="shared" si="274"/>
        <v>0.1990411574599234</v>
      </c>
      <c r="AP213" s="80">
        <f t="shared" si="274"/>
        <v>0.19342936027224281</v>
      </c>
      <c r="AQ213" s="80">
        <f t="shared" si="274"/>
        <v>0.19167005543308441</v>
      </c>
      <c r="AR213" s="80">
        <f t="shared" si="274"/>
        <v>0.13539370331528369</v>
      </c>
      <c r="AS213" s="80">
        <f t="shared" si="274"/>
        <v>0.10745457269439032</v>
      </c>
      <c r="AT213" s="80">
        <f t="shared" si="274"/>
        <v>0.11554052607923287</v>
      </c>
      <c r="AU213" s="80">
        <f t="shared" si="274"/>
        <v>9.5276416326006447E-2</v>
      </c>
      <c r="AV213" s="80">
        <f t="shared" si="274"/>
        <v>9.5276416326006447E-2</v>
      </c>
      <c r="AW213" s="80">
        <f t="shared" si="274"/>
        <v>5.8883205273633971E-2</v>
      </c>
      <c r="AX213" s="80">
        <f t="shared" si="274"/>
        <v>5.3793634826530816E-2</v>
      </c>
      <c r="AY213" s="80">
        <f t="shared" si="274"/>
        <v>4.7723819104081501E-2</v>
      </c>
      <c r="AZ213" s="80">
        <f t="shared" si="274"/>
        <v>6.2817028016180484E-2</v>
      </c>
      <c r="BA213" s="80">
        <f t="shared" si="274"/>
        <v>5.67985788583781E-2</v>
      </c>
      <c r="BB213" s="80">
        <f t="shared" si="274"/>
        <v>7.4044902938595544E-2</v>
      </c>
      <c r="BC213" s="80">
        <f t="shared" si="274"/>
        <v>7.4044902938595544E-2</v>
      </c>
      <c r="BD213" s="80">
        <f t="shared" si="274"/>
        <v>7.404490293859553E-2</v>
      </c>
      <c r="BE213" s="80">
        <f t="shared" si="274"/>
        <v>5.030498897759135E-2</v>
      </c>
      <c r="BF213" s="80">
        <f t="shared" si="274"/>
        <v>4.5540740106585625E-2</v>
      </c>
      <c r="BG213" s="80">
        <f t="shared" si="274"/>
        <v>3.9988870577659832E-2</v>
      </c>
      <c r="BH213" s="80">
        <f t="shared" si="274"/>
        <v>4.9162082914196444E-2</v>
      </c>
      <c r="BI213" s="80">
        <f t="shared" si="274"/>
        <v>4.1512745328853032E-2</v>
      </c>
      <c r="BJ213" s="80">
        <f t="shared" si="274"/>
        <v>4.1512745328853032E-2</v>
      </c>
      <c r="BK213" s="80">
        <f t="shared" si="274"/>
        <v>4.1512745328853032E-2</v>
      </c>
      <c r="BL213" s="80">
        <f t="shared" si="274"/>
        <v>4.1512745328853025E-2</v>
      </c>
      <c r="BM213" s="80">
        <f t="shared" si="274"/>
        <v>0</v>
      </c>
      <c r="BN213" s="80">
        <f t="shared" si="274"/>
        <v>0</v>
      </c>
      <c r="BO213" s="80">
        <f t="shared" si="274"/>
        <v>0</v>
      </c>
      <c r="BP213" s="80">
        <f t="shared" si="274"/>
        <v>0</v>
      </c>
      <c r="BQ213" s="80">
        <f t="shared" si="274"/>
        <v>0</v>
      </c>
      <c r="BR213" s="80">
        <f t="shared" si="274"/>
        <v>0</v>
      </c>
      <c r="BS213" s="80">
        <f t="shared" si="274"/>
        <v>0</v>
      </c>
      <c r="BT213" s="80">
        <f t="shared" si="274"/>
        <v>0</v>
      </c>
      <c r="BU213" s="80">
        <f t="shared" si="274"/>
        <v>0</v>
      </c>
      <c r="BV213" s="80">
        <f t="shared" si="274"/>
        <v>1.7511717997560086E-2</v>
      </c>
      <c r="BW213" s="80">
        <f t="shared" si="274"/>
        <v>1.751171799756009E-2</v>
      </c>
      <c r="BX213" s="80">
        <f t="shared" si="274"/>
        <v>1.751171799756009E-2</v>
      </c>
      <c r="BY213" s="80">
        <f t="shared" si="274"/>
        <v>4.5399482053806478E-2</v>
      </c>
      <c r="BZ213" s="80">
        <f t="shared" si="274"/>
        <v>6.9524645249662911E-2</v>
      </c>
      <c r="CA213" s="80">
        <f t="shared" si="274"/>
        <v>0.11405945679857885</v>
      </c>
      <c r="CB213" s="80">
        <f t="shared" si="274"/>
        <v>0.17053699462791341</v>
      </c>
      <c r="CC213" s="80">
        <f t="shared" si="274"/>
        <v>0.25087430173576186</v>
      </c>
      <c r="CD213" s="80">
        <f t="shared" si="274"/>
        <v>0.28074395907797023</v>
      </c>
      <c r="CE213" s="80">
        <f t="shared" si="274"/>
        <v>0.28074395907797023</v>
      </c>
      <c r="CF213" s="80">
        <f t="shared" si="274"/>
        <v>0.33561201121503331</v>
      </c>
      <c r="CG213" s="80">
        <f t="shared" si="274"/>
        <v>0.3866618153800056</v>
      </c>
      <c r="CH213" s="80">
        <f t="shared" si="274"/>
        <v>0.49216445861781144</v>
      </c>
      <c r="CI213" s="80">
        <f t="shared" si="274"/>
        <v>0.57781392461956638</v>
      </c>
      <c r="CJ213" s="80">
        <f t="shared" ref="CJ213:EU213" si="275">IF(CJ$202=0,"",CJ201/CJ$202)</f>
        <v>0.60407080024827176</v>
      </c>
      <c r="CK213" s="80">
        <f t="shared" si="275"/>
        <v>0.62623119234638203</v>
      </c>
      <c r="CL213" s="80">
        <f t="shared" si="275"/>
        <v>0.62623119234638203</v>
      </c>
      <c r="CM213" s="80">
        <f t="shared" si="275"/>
        <v>0.6870962909059779</v>
      </c>
      <c r="CN213" s="80">
        <f t="shared" si="275"/>
        <v>0.7852492348522141</v>
      </c>
      <c r="CO213" s="80">
        <f t="shared" si="275"/>
        <v>0.87867217430387601</v>
      </c>
      <c r="CP213" s="80">
        <f t="shared" si="275"/>
        <v>0.90612332256062333</v>
      </c>
      <c r="CQ213" s="80">
        <f t="shared" si="275"/>
        <v>1</v>
      </c>
      <c r="CR213" s="80">
        <f t="shared" si="275"/>
        <v>1</v>
      </c>
      <c r="CS213" s="80">
        <f t="shared" si="275"/>
        <v>1</v>
      </c>
      <c r="CT213" s="80">
        <f t="shared" si="275"/>
        <v>1</v>
      </c>
      <c r="CU213" s="80">
        <f t="shared" si="275"/>
        <v>1</v>
      </c>
      <c r="CV213" s="80">
        <f t="shared" si="275"/>
        <v>1</v>
      </c>
      <c r="CW213" s="80">
        <f t="shared" si="275"/>
        <v>1</v>
      </c>
      <c r="CX213" s="80">
        <f t="shared" si="275"/>
        <v>1</v>
      </c>
      <c r="CY213" s="80">
        <f t="shared" si="275"/>
        <v>1</v>
      </c>
      <c r="CZ213" s="80">
        <f t="shared" si="275"/>
        <v>1</v>
      </c>
      <c r="DA213" s="80">
        <f t="shared" si="275"/>
        <v>1</v>
      </c>
      <c r="DB213" s="80">
        <f t="shared" si="275"/>
        <v>1</v>
      </c>
      <c r="DC213" s="80">
        <f t="shared" si="275"/>
        <v>1</v>
      </c>
      <c r="DD213" s="80">
        <f t="shared" si="275"/>
        <v>1</v>
      </c>
      <c r="DE213" s="80">
        <f t="shared" si="275"/>
        <v>1</v>
      </c>
      <c r="DF213" s="80">
        <f t="shared" si="275"/>
        <v>1</v>
      </c>
      <c r="DG213" s="80">
        <f t="shared" si="275"/>
        <v>1</v>
      </c>
      <c r="DH213" s="80">
        <f t="shared" si="275"/>
        <v>1</v>
      </c>
      <c r="DI213" s="80">
        <f t="shared" si="275"/>
        <v>1</v>
      </c>
      <c r="DJ213" s="80">
        <f t="shared" si="275"/>
        <v>1</v>
      </c>
      <c r="DK213" s="80">
        <f t="shared" si="275"/>
        <v>1</v>
      </c>
      <c r="DL213" s="80">
        <f t="shared" si="275"/>
        <v>1</v>
      </c>
      <c r="DM213" s="80">
        <f t="shared" si="275"/>
        <v>1</v>
      </c>
      <c r="DN213" s="80">
        <f t="shared" si="275"/>
        <v>1</v>
      </c>
      <c r="DO213" s="80">
        <f t="shared" si="275"/>
        <v>1</v>
      </c>
      <c r="DP213" s="80">
        <f t="shared" si="275"/>
        <v>1</v>
      </c>
      <c r="DQ213" s="80">
        <f t="shared" si="275"/>
        <v>1</v>
      </c>
      <c r="DR213" s="80">
        <f t="shared" si="275"/>
        <v>1</v>
      </c>
      <c r="DS213" s="80">
        <f t="shared" si="275"/>
        <v>1</v>
      </c>
      <c r="DT213" s="80">
        <f t="shared" si="275"/>
        <v>1</v>
      </c>
      <c r="DU213" s="80">
        <f t="shared" si="275"/>
        <v>1</v>
      </c>
      <c r="DV213" s="80">
        <f t="shared" si="275"/>
        <v>1</v>
      </c>
      <c r="DW213" s="80">
        <f t="shared" si="275"/>
        <v>1</v>
      </c>
      <c r="DX213" s="80">
        <f t="shared" si="275"/>
        <v>1</v>
      </c>
      <c r="DY213" s="80">
        <f t="shared" si="275"/>
        <v>1</v>
      </c>
      <c r="DZ213" s="80">
        <f t="shared" si="275"/>
        <v>1</v>
      </c>
      <c r="EA213" s="80">
        <f t="shared" si="275"/>
        <v>1</v>
      </c>
      <c r="EB213" s="80">
        <f t="shared" si="275"/>
        <v>1</v>
      </c>
      <c r="EC213" s="80">
        <f t="shared" si="275"/>
        <v>1</v>
      </c>
      <c r="ED213" s="80">
        <f t="shared" si="275"/>
        <v>1</v>
      </c>
      <c r="EE213" s="80">
        <f t="shared" si="275"/>
        <v>1</v>
      </c>
      <c r="EF213" s="80">
        <f t="shared" si="275"/>
        <v>1</v>
      </c>
      <c r="EG213" s="80">
        <f t="shared" si="275"/>
        <v>1</v>
      </c>
      <c r="EH213" s="80">
        <f t="shared" si="275"/>
        <v>1</v>
      </c>
      <c r="EI213" s="80">
        <f t="shared" si="275"/>
        <v>1</v>
      </c>
      <c r="EJ213" s="80">
        <f t="shared" si="275"/>
        <v>1</v>
      </c>
      <c r="EK213" s="80">
        <f t="shared" si="275"/>
        <v>1</v>
      </c>
      <c r="EL213" s="80">
        <f t="shared" si="275"/>
        <v>1</v>
      </c>
      <c r="EM213" s="80">
        <f t="shared" si="275"/>
        <v>1</v>
      </c>
      <c r="EN213" s="80">
        <f t="shared" si="275"/>
        <v>1</v>
      </c>
      <c r="EO213" s="80">
        <f t="shared" si="275"/>
        <v>1</v>
      </c>
      <c r="EP213" s="80">
        <f t="shared" si="275"/>
        <v>1</v>
      </c>
      <c r="EQ213" s="80">
        <f t="shared" si="275"/>
        <v>1</v>
      </c>
      <c r="ER213" s="80">
        <f t="shared" si="275"/>
        <v>1</v>
      </c>
      <c r="ES213" s="80">
        <f t="shared" si="275"/>
        <v>1</v>
      </c>
      <c r="ET213" s="80">
        <f t="shared" si="275"/>
        <v>1</v>
      </c>
      <c r="EU213" s="80">
        <f t="shared" si="275"/>
        <v>1</v>
      </c>
      <c r="EV213" s="80">
        <f t="shared" ref="EV213:GX213" si="276">IF(EV$202=0,"",EV201/EV$202)</f>
        <v>1</v>
      </c>
      <c r="EW213" s="80">
        <f t="shared" si="276"/>
        <v>1</v>
      </c>
      <c r="EX213" s="80">
        <f t="shared" si="276"/>
        <v>1</v>
      </c>
      <c r="EY213" s="80">
        <f t="shared" si="276"/>
        <v>1</v>
      </c>
      <c r="EZ213" s="80">
        <f t="shared" si="276"/>
        <v>1</v>
      </c>
      <c r="FA213" s="80">
        <f t="shared" si="276"/>
        <v>1</v>
      </c>
      <c r="FB213" s="80">
        <f t="shared" si="276"/>
        <v>1</v>
      </c>
      <c r="FC213" s="80">
        <f t="shared" si="276"/>
        <v>1</v>
      </c>
      <c r="FD213" s="80">
        <f t="shared" si="276"/>
        <v>1</v>
      </c>
      <c r="FE213" s="80">
        <f t="shared" si="276"/>
        <v>1</v>
      </c>
      <c r="FF213" s="80">
        <f t="shared" si="276"/>
        <v>1</v>
      </c>
      <c r="FG213" s="80">
        <f t="shared" si="276"/>
        <v>1</v>
      </c>
      <c r="FH213" s="80">
        <f t="shared" si="276"/>
        <v>1</v>
      </c>
      <c r="FI213" s="80">
        <f t="shared" si="276"/>
        <v>1</v>
      </c>
      <c r="FJ213" s="80">
        <f t="shared" si="276"/>
        <v>1</v>
      </c>
      <c r="FK213" s="80">
        <f t="shared" si="276"/>
        <v>1</v>
      </c>
      <c r="FL213" s="80">
        <f t="shared" si="276"/>
        <v>1</v>
      </c>
      <c r="FM213" s="80">
        <f t="shared" si="276"/>
        <v>1</v>
      </c>
      <c r="FN213" s="80">
        <f t="shared" si="276"/>
        <v>1</v>
      </c>
      <c r="FO213" s="80">
        <f t="shared" si="276"/>
        <v>1</v>
      </c>
      <c r="FP213" s="80">
        <f t="shared" si="276"/>
        <v>1</v>
      </c>
      <c r="FQ213" s="80">
        <f t="shared" si="276"/>
        <v>1</v>
      </c>
      <c r="FR213" s="80">
        <f t="shared" si="276"/>
        <v>1</v>
      </c>
      <c r="FS213" s="80">
        <f t="shared" si="276"/>
        <v>1</v>
      </c>
      <c r="FT213" s="80">
        <f t="shared" si="276"/>
        <v>1</v>
      </c>
      <c r="FU213" s="80">
        <f t="shared" si="276"/>
        <v>1</v>
      </c>
      <c r="FV213" s="80">
        <f t="shared" si="276"/>
        <v>1</v>
      </c>
      <c r="FW213" s="80">
        <f t="shared" si="276"/>
        <v>1</v>
      </c>
      <c r="FX213" s="80">
        <f t="shared" si="276"/>
        <v>1</v>
      </c>
      <c r="FY213" s="80">
        <f t="shared" si="276"/>
        <v>1</v>
      </c>
      <c r="FZ213" s="80">
        <f t="shared" si="276"/>
        <v>1</v>
      </c>
      <c r="GA213" s="80">
        <f t="shared" si="276"/>
        <v>1</v>
      </c>
      <c r="GB213" s="80">
        <f t="shared" si="276"/>
        <v>1</v>
      </c>
      <c r="GC213" s="80">
        <f t="shared" si="276"/>
        <v>1</v>
      </c>
      <c r="GD213" s="80">
        <f t="shared" si="276"/>
        <v>1</v>
      </c>
      <c r="GE213" s="80">
        <f t="shared" si="276"/>
        <v>1</v>
      </c>
      <c r="GF213" s="80">
        <f t="shared" si="276"/>
        <v>1</v>
      </c>
      <c r="GG213" s="80">
        <f t="shared" si="276"/>
        <v>1</v>
      </c>
      <c r="GH213" s="80">
        <f t="shared" si="276"/>
        <v>1</v>
      </c>
      <c r="GI213" s="80">
        <f t="shared" si="276"/>
        <v>1</v>
      </c>
      <c r="GJ213" s="80">
        <f t="shared" si="276"/>
        <v>1</v>
      </c>
      <c r="GK213" s="80">
        <f t="shared" si="276"/>
        <v>1</v>
      </c>
      <c r="GL213" s="80">
        <f t="shared" si="276"/>
        <v>1</v>
      </c>
      <c r="GM213" s="80">
        <f t="shared" si="276"/>
        <v>1</v>
      </c>
      <c r="GN213" s="80">
        <f t="shared" si="276"/>
        <v>1</v>
      </c>
      <c r="GO213" s="80">
        <f t="shared" si="276"/>
        <v>1</v>
      </c>
      <c r="GP213" s="80">
        <f t="shared" si="276"/>
        <v>1</v>
      </c>
      <c r="GQ213" s="80">
        <f t="shared" si="276"/>
        <v>1</v>
      </c>
      <c r="GR213" s="80">
        <f t="shared" si="276"/>
        <v>1</v>
      </c>
      <c r="GS213" s="80">
        <f t="shared" si="276"/>
        <v>1</v>
      </c>
      <c r="GT213" s="80">
        <f t="shared" si="276"/>
        <v>1</v>
      </c>
      <c r="GU213" s="80">
        <f t="shared" si="276"/>
        <v>1</v>
      </c>
      <c r="GV213" s="80">
        <f t="shared" si="276"/>
        <v>1</v>
      </c>
      <c r="GW213" s="80">
        <f t="shared" si="276"/>
        <v>1</v>
      </c>
      <c r="GX213" s="80">
        <f t="shared" si="276"/>
        <v>1</v>
      </c>
    </row>
    <row r="214" spans="1:206" x14ac:dyDescent="0.2">
      <c r="A214" s="89" t="s">
        <v>275</v>
      </c>
      <c r="B214" s="84" t="s">
        <v>276</v>
      </c>
      <c r="W214" s="88" cm="1">
        <f t="array" ref="W214">IF(W$208=0,"",SUMPRODUCT(IFERROR(W$2:W$126+0,0))/W$208)</f>
        <v>14.223529411764705</v>
      </c>
      <c r="X214" s="88" cm="1">
        <f t="array" ref="X214">IF(X$208=0,"",SUMPRODUCT(IFERROR(X$2:X$126+0,0))/X$208)</f>
        <v>14.640449438202246</v>
      </c>
      <c r="Y214" s="88" cm="1">
        <f t="array" ref="Y214">IF(Y$208=0,"",SUMPRODUCT(IFERROR(Y$2:Y$126+0,0))/Y$208)</f>
        <v>15.351648351648352</v>
      </c>
      <c r="Z214" s="88" cm="1">
        <f t="array" ref="Z214">IF(Z$208=0,"",SUMPRODUCT(IFERROR(Z$2:Z$126+0,0))/Z$208)</f>
        <v>15.861702127659575</v>
      </c>
      <c r="AA214" s="88" cm="1">
        <f t="array" ref="AA214">IF(AA$208=0,"",SUMPRODUCT(IFERROR(AA$2:AA$126+0,0))/AA$208)</f>
        <v>16.861702127659573</v>
      </c>
      <c r="AB214" s="88" cm="1">
        <f t="array" ref="AB214">IF(AB$208=0,"",SUMPRODUCT(IFERROR(AB$2:AB$126+0,0))/AB$208)</f>
        <v>17.01063829787234</v>
      </c>
      <c r="AC214" s="88" cm="1">
        <f t="array" ref="AC214">IF(AC$208=0,"",SUMPRODUCT(IFERROR(AC$2:AC$126+0,0))/AC$208)</f>
        <v>16.148936170212767</v>
      </c>
      <c r="AD214" s="88" cm="1">
        <f t="array" ref="AD214">IF(AD$208=0,"",SUMPRODUCT(IFERROR(AD$2:AD$126+0,0))/AD$208)</f>
        <v>16.797872340425531</v>
      </c>
      <c r="AE214" s="88" cm="1">
        <f t="array" ref="AE214">IF(AE$208=0,"",SUMPRODUCT(IFERROR(AE$2:AE$126+0,0))/AE$208)</f>
        <v>16.308510638297872</v>
      </c>
      <c r="AF214" s="88" cm="1">
        <f t="array" ref="AF214">IF(AF$208=0,"",SUMPRODUCT(IFERROR(AF$2:AF$126+0,0))/AF$208)</f>
        <v>16.648936170212767</v>
      </c>
      <c r="AG214" s="88" cm="1">
        <f t="array" ref="AG214">IF(AG$208=0,"",SUMPRODUCT(IFERROR(AG$2:AG$126+0,0))/AG$208)</f>
        <v>16.212765957446809</v>
      </c>
      <c r="AH214" s="88" cm="1">
        <f t="array" ref="AH214">IF(AH$208=0,"",SUMPRODUCT(IFERROR(AH$2:AH$126+0,0))/AH$208)</f>
        <v>15.585106382978724</v>
      </c>
      <c r="AI214" s="88" cm="1">
        <f t="array" ref="AI214">IF(AI$208=0,"",SUMPRODUCT(IFERROR(AI$2:AI$126+0,0))/AI$208)</f>
        <v>15.425531914893616</v>
      </c>
      <c r="AJ214" s="88" cm="1">
        <f t="array" ref="AJ214">IF(AJ$208=0,"",SUMPRODUCT(IFERROR(AJ$2:AJ$126+0,0))/AJ$208)</f>
        <v>15.361702127659575</v>
      </c>
      <c r="AK214" s="88" cm="1">
        <f t="array" ref="AK214">IF(AK$208=0,"",SUMPRODUCT(IFERROR(AK$2:AK$126+0,0))/AK$208)</f>
        <v>14.74468085106383</v>
      </c>
      <c r="AL214" s="88" cm="1">
        <f t="array" ref="AL214">IF(AL$208=0,"",SUMPRODUCT(IFERROR(AL$2:AL$126+0,0))/AL$208)</f>
        <v>15.138297872340425</v>
      </c>
      <c r="AM214" s="88" cm="1">
        <f t="array" ref="AM214">IF(AM$208=0,"",SUMPRODUCT(IFERROR(AM$2:AM$126+0,0))/AM$208)</f>
        <v>14.51063829787234</v>
      </c>
      <c r="AN214" s="88" cm="1">
        <f t="array" ref="AN214">IF(AN$208=0,"",SUMPRODUCT(IFERROR(AN$2:AN$126+0,0))/AN$208)</f>
        <v>14.457446808510639</v>
      </c>
      <c r="AO214" s="88" cm="1">
        <f t="array" ref="AO214">IF(AO$208=0,"",SUMPRODUCT(IFERROR(AO$2:AO$126+0,0))/AO$208)</f>
        <v>15.457446808510639</v>
      </c>
      <c r="AP214" s="88" cm="1">
        <f t="array" ref="AP214">IF(AP$208=0,"",SUMPRODUCT(IFERROR(AP$2:AP$126+0,0))/AP$208)</f>
        <v>16.106382978723403</v>
      </c>
      <c r="AQ214" s="88" cm="1">
        <f t="array" ref="AQ214">IF(AQ$208=0,"",SUMPRODUCT(IFERROR(AQ$2:AQ$126+0,0))/AQ$208)</f>
        <v>16.340425531914892</v>
      </c>
      <c r="AR214" s="88" cm="1">
        <f t="array" ref="AR214">IF(AR$208=0,"",SUMPRODUCT(IFERROR(AR$2:AR$126+0,0))/AR$208)</f>
        <v>14.446808510638299</v>
      </c>
      <c r="AS214" s="88" cm="1">
        <f t="array" ref="AS214">IF(AS$208=0,"",SUMPRODUCT(IFERROR(AS$2:AS$126+0,0))/AS$208)</f>
        <v>12.574468085106384</v>
      </c>
      <c r="AT214" s="88" cm="1">
        <f t="array" ref="AT214">IF(AT$208=0,"",SUMPRODUCT(IFERROR(AT$2:AT$126+0,0))/AT$208)</f>
        <v>12.670212765957446</v>
      </c>
      <c r="AU214" s="88" cm="1">
        <f t="array" ref="AU214">IF(AU$208=0,"",SUMPRODUCT(IFERROR(AU$2:AU$126+0,0))/AU$208)</f>
        <v>12.627659574468085</v>
      </c>
      <c r="AV214" s="88" cm="1">
        <f t="array" ref="AV214">IF(AV$208=0,"",SUMPRODUCT(IFERROR(AV$2:AV$126+0,0))/AV$208)</f>
        <v>13.627659574468085</v>
      </c>
      <c r="AW214" s="88" cm="1">
        <f t="array" ref="AW214">IF(AW$208=0,"",SUMPRODUCT(IFERROR(AW$2:AW$126+0,0))/AW$208)</f>
        <v>11.148936170212766</v>
      </c>
      <c r="AX214" s="88" cm="1">
        <f t="array" ref="AX214">IF(AX$208=0,"",SUMPRODUCT(IFERROR(AX$2:AX$126+0,0))/AX$208)</f>
        <v>11.319148936170214</v>
      </c>
      <c r="AY214" s="88" cm="1">
        <f t="array" ref="AY214">IF(AY$208=0,"",SUMPRODUCT(IFERROR(AY$2:AY$126+0,0))/AY$208)</f>
        <v>11.117021276595745</v>
      </c>
      <c r="AZ214" s="88" cm="1">
        <f t="array" ref="AZ214">IF(AZ$208=0,"",SUMPRODUCT(IFERROR(AZ$2:AZ$126+0,0))/AZ$208)</f>
        <v>10.680851063829786</v>
      </c>
      <c r="BA214" s="88" cm="1">
        <f t="array" ref="BA214">IF(BA$208=0,"",SUMPRODUCT(IFERROR(BA$2:BA$126+0,0))/BA$208)</f>
        <v>9.4574468085106389</v>
      </c>
      <c r="BB214" s="88" cm="1">
        <f t="array" ref="BB214">IF(BB$208=0,"",SUMPRODUCT(IFERROR(BB$2:BB$126+0,0))/BB$208)</f>
        <v>9.9255319148936163</v>
      </c>
      <c r="BC214" s="88" cm="1">
        <f t="array" ref="BC214">IF(BC$208=0,"",SUMPRODUCT(IFERROR(BC$2:BC$126+0,0))/BC$208)</f>
        <v>10.925531914893616</v>
      </c>
      <c r="BD214" s="88" cm="1">
        <f t="array" ref="BD214">IF(BD$208=0,"",SUMPRODUCT(IFERROR(BD$2:BD$126+0,0))/BD$208)</f>
        <v>11.159574468085106</v>
      </c>
      <c r="BE214" s="88" cm="1">
        <f t="array" ref="BE214">IF(BE$208=0,"",SUMPRODUCT(IFERROR(BE$2:BE$126+0,0))/BE$208)</f>
        <v>10.457446808510639</v>
      </c>
      <c r="BF214" s="88" cm="1">
        <f t="array" ref="BF214">IF(BF$208=0,"",SUMPRODUCT(IFERROR(BF$2:BF$126+0,0))/BF$208)</f>
        <v>9.2553191489361701</v>
      </c>
      <c r="BG214" s="88" cm="1">
        <f t="array" ref="BG214">IF(BG$208=0,"",SUMPRODUCT(IFERROR(BG$2:BG$126+0,0))/BG$208)</f>
        <v>8.5</v>
      </c>
      <c r="BH214" s="88" cm="1">
        <f t="array" ref="BH214">IF(BH$208=0,"",SUMPRODUCT(IFERROR(BH$2:BH$126+0,0))/BH$208)</f>
        <v>8.9468085106382986</v>
      </c>
      <c r="BI214" s="88" cm="1">
        <f t="array" ref="BI214">IF(BI$208=0,"",SUMPRODUCT(IFERROR(BI$2:BI$126+0,0))/BI$208)</f>
        <v>8.9787234042553195</v>
      </c>
      <c r="BJ214" s="88" cm="1">
        <f t="array" ref="BJ214">IF(BJ$208=0,"",SUMPRODUCT(IFERROR(BJ$2:BJ$126+0,0))/BJ$208)</f>
        <v>9.9787234042553195</v>
      </c>
      <c r="BK214" s="88" cm="1">
        <f t="array" ref="BK214">IF(BK$208=0,"",SUMPRODUCT(IFERROR(BK$2:BK$126+0,0))/BK$208)</f>
        <v>9.6914893617021285</v>
      </c>
      <c r="BL214" s="88" cm="1">
        <f t="array" ref="BL214">IF(BL$208=0,"",SUMPRODUCT(IFERROR(BL$2:BL$126+0,0))/BL$208)</f>
        <v>9.6382978723404253</v>
      </c>
      <c r="BM214" s="88" cm="1">
        <f t="array" ref="BM214">IF(BM$208=0,"",SUMPRODUCT(IFERROR(BM$2:BM$126+0,0))/BM$208)</f>
        <v>7.8723404255319149</v>
      </c>
      <c r="BN214" s="88" cm="1">
        <f t="array" ref="BN214">IF(BN$208=0,"",SUMPRODUCT(IFERROR(BN$2:BN$126+0,0))/BN$208)</f>
        <v>8.4574468085106389</v>
      </c>
      <c r="BO214" s="88" cm="1">
        <f t="array" ref="BO214">IF(BO$208=0,"",SUMPRODUCT(IFERROR(BO$2:BO$126+0,0))/BO$208)</f>
        <v>8.1702127659574462</v>
      </c>
      <c r="BP214" s="88" cm="1">
        <f t="array" ref="BP214">IF(BP$208=0,"",SUMPRODUCT(IFERROR(BP$2:BP$126+0,0))/BP$208)</f>
        <v>9.1702127659574462</v>
      </c>
      <c r="BQ214" s="88" cm="1">
        <f t="array" ref="BQ214">IF(BQ$208=0,"",SUMPRODUCT(IFERROR(BQ$2:BQ$126+0,0))/BQ$208)</f>
        <v>10.170212765957446</v>
      </c>
      <c r="BR214" s="88" cm="1">
        <f t="array" ref="BR214">IF(BR$208=0,"",SUMPRODUCT(IFERROR(BR$2:BR$126+0,0))/BR$208)</f>
        <v>11.170212765957446</v>
      </c>
      <c r="BS214" s="88" cm="1">
        <f t="array" ref="BS214">IF(BS$208=0,"",SUMPRODUCT(IFERROR(BS$2:BS$126+0,0))/BS$208)</f>
        <v>12.170212765957446</v>
      </c>
      <c r="BT214" s="88" cm="1">
        <f t="array" ref="BT214">IF(BT$208=0,"",SUMPRODUCT(IFERROR(BT$2:BT$126+0,0))/BT$208)</f>
        <v>13.170212765957446</v>
      </c>
      <c r="BU214" s="88" cm="1">
        <f t="array" ref="BU214">IF(BU$208=0,"",SUMPRODUCT(IFERROR(BU$2:BU$126+0,0))/BU$208)</f>
        <v>14.170212765957446</v>
      </c>
      <c r="BV214" s="88" cm="1">
        <f t="array" ref="BV214">IF(BV$208=0,"",SUMPRODUCT(IFERROR(BV$2:BV$126+0,0))/BV$208)</f>
        <v>15.170212765957446</v>
      </c>
      <c r="BW214" s="88" cm="1">
        <f t="array" ref="BW214">IF(BW$208=0,"",SUMPRODUCT(IFERROR(BW$2:BW$126+0,0))/BW$208)</f>
        <v>16.170212765957448</v>
      </c>
      <c r="BX214" s="88" cm="1">
        <f t="array" ref="BX214">IF(BX$208=0,"",SUMPRODUCT(IFERROR(BX$2:BX$126+0,0))/BX$208)</f>
        <v>17.170212765957448</v>
      </c>
      <c r="BY214" s="88" cm="1">
        <f t="array" ref="BY214">IF(BY$208=0,"",SUMPRODUCT(IFERROR(BY$2:BY$126+0,0))/BY$208)</f>
        <v>18.170212765957448</v>
      </c>
      <c r="BZ214" s="88" cm="1">
        <f t="array" ref="BZ214">IF(BZ$208=0,"",SUMPRODUCT(IFERROR(BZ$2:BZ$126+0,0))/BZ$208)</f>
        <v>19.170212765957448</v>
      </c>
      <c r="CA214" s="88" cm="1">
        <f t="array" ref="CA214">IF(CA$208=0,"",SUMPRODUCT(IFERROR(CA$2:CA$126+0,0))/CA$208)</f>
        <v>20.170212765957448</v>
      </c>
      <c r="CB214" s="88" cm="1">
        <f t="array" ref="CB214">IF(CB$208=0,"",SUMPRODUCT(IFERROR(CB$2:CB$126+0,0))/CB$208)</f>
        <v>21.170212765957448</v>
      </c>
      <c r="CC214" s="88" cm="1">
        <f t="array" ref="CC214">IF(CC$208=0,"",SUMPRODUCT(IFERROR(CC$2:CC$126+0,0))/CC$208)</f>
        <v>22.170212765957448</v>
      </c>
      <c r="CD214" s="88" cm="1">
        <f t="array" ref="CD214">IF(CD$208=0,"",SUMPRODUCT(IFERROR(CD$2:CD$126+0,0))/CD$208)</f>
        <v>23.170212765957448</v>
      </c>
      <c r="CE214" s="88" cm="1">
        <f t="array" ref="CE214">IF(CE$208=0,"",SUMPRODUCT(IFERROR(CE$2:CE$126+0,0))/CE$208)</f>
        <v>24.170212765957448</v>
      </c>
      <c r="CF214" s="88" cm="1">
        <f t="array" ref="CF214">IF(CF$208=0,"",SUMPRODUCT(IFERROR(CF$2:CF$126+0,0))/CF$208)</f>
        <v>25.170212765957448</v>
      </c>
      <c r="CG214" s="88" cm="1">
        <f t="array" ref="CG214">IF(CG$208=0,"",SUMPRODUCT(IFERROR(CG$2:CG$126+0,0))/CG$208)</f>
        <v>26.170212765957448</v>
      </c>
      <c r="CH214" s="88" cm="1">
        <f t="array" ref="CH214">IF(CH$208=0,"",SUMPRODUCT(IFERROR(CH$2:CH$126+0,0))/CH$208)</f>
        <v>27.170212765957448</v>
      </c>
      <c r="CI214" s="88" cm="1">
        <f t="array" ref="CI214">IF(CI$208=0,"",SUMPRODUCT(IFERROR(CI$2:CI$126+0,0))/CI$208)</f>
        <v>28.170212765957448</v>
      </c>
      <c r="CJ214" s="88" cm="1">
        <f t="array" ref="CJ214">IF(CJ$208=0,"",SUMPRODUCT(IFERROR(CJ$2:CJ$126+0,0))/CJ$208)</f>
        <v>29.170212765957448</v>
      </c>
      <c r="CK214" s="88" cm="1">
        <f t="array" ref="CK214">IF(CK$208=0,"",SUMPRODUCT(IFERROR(CK$2:CK$126+0,0))/CK$208)</f>
        <v>30.170212765957448</v>
      </c>
      <c r="CL214" s="88" cm="1">
        <f t="array" ref="CL214">IF(CL$208=0,"",SUMPRODUCT(IFERROR(CL$2:CL$126+0,0))/CL$208)</f>
        <v>31.170212765957448</v>
      </c>
      <c r="CM214" s="88" cm="1">
        <f t="array" ref="CM214">IF(CM$208=0,"",SUMPRODUCT(IFERROR(CM$2:CM$126+0,0))/CM$208)</f>
        <v>32.170212765957444</v>
      </c>
      <c r="CN214" s="88" cm="1">
        <f t="array" ref="CN214">IF(CN$208=0,"",SUMPRODUCT(IFERROR(CN$2:CN$126+0,0))/CN$208)</f>
        <v>33.170212765957444</v>
      </c>
      <c r="CO214" s="88" cm="1">
        <f t="array" ref="CO214">IF(CO$208=0,"",SUMPRODUCT(IFERROR(CO$2:CO$126+0,0))/CO$208)</f>
        <v>34.170212765957444</v>
      </c>
      <c r="CP214" s="88" cm="1">
        <f t="array" ref="CP214">IF(CP$208=0,"",SUMPRODUCT(IFERROR(CP$2:CP$126+0,0))/CP$208)</f>
        <v>35.170212765957444</v>
      </c>
      <c r="CQ214" s="88" cm="1">
        <f t="array" ref="CQ214">IF(CQ$208=0,"",SUMPRODUCT(IFERROR(CQ$2:CQ$126+0,0))/CQ$208)</f>
        <v>36.170212765957444</v>
      </c>
      <c r="CR214" s="88" cm="1">
        <f t="array" ref="CR214">IF(CR$208=0,"",SUMPRODUCT(IFERROR(CR$2:CR$126+0,0))/CR$208)</f>
        <v>37.170212765957444</v>
      </c>
      <c r="CS214" s="88" cm="1">
        <f t="array" ref="CS214">IF(CS$208=0,"",SUMPRODUCT(IFERROR(CS$2:CS$126+0,0))/CS$208)</f>
        <v>38.170212765957444</v>
      </c>
      <c r="CT214" s="88" cm="1">
        <f t="array" ref="CT214">IF(CT$208=0,"",SUMPRODUCT(IFERROR(CT$2:CT$126+0,0))/CT$208)</f>
        <v>39.170212765957444</v>
      </c>
      <c r="CU214" s="88" cm="1">
        <f t="array" ref="CU214">IF(CU$208=0,"",SUMPRODUCT(IFERROR(CU$2:CU$126+0,0))/CU$208)</f>
        <v>40.170212765957444</v>
      </c>
      <c r="CV214" s="88" cm="1">
        <f t="array" ref="CV214">IF(CV$208=0,"",SUMPRODUCT(IFERROR(CV$2:CV$126+0,0))/CV$208)</f>
        <v>41.170212765957444</v>
      </c>
      <c r="CW214" s="88" cm="1">
        <f t="array" ref="CW214">IF(CW$208=0,"",SUMPRODUCT(IFERROR(CW$2:CW$126+0,0))/CW$208)</f>
        <v>42.170212765957444</v>
      </c>
      <c r="CX214" s="88" cm="1">
        <f t="array" ref="CX214">IF(CX$208=0,"",SUMPRODUCT(IFERROR(CX$2:CX$126+0,0))/CX$208)</f>
        <v>43.170212765957444</v>
      </c>
      <c r="CY214" s="88" cm="1">
        <f t="array" ref="CY214">IF(CY$208=0,"",SUMPRODUCT(IFERROR(CY$2:CY$126+0,0))/CY$208)</f>
        <v>44.170212765957444</v>
      </c>
      <c r="CZ214" s="88" cm="1">
        <f t="array" ref="CZ214">IF(CZ$208=0,"",SUMPRODUCT(IFERROR(CZ$2:CZ$126+0,0))/CZ$208)</f>
        <v>45.170212765957444</v>
      </c>
      <c r="DA214" s="88" cm="1">
        <f t="array" ref="DA214">IF(DA$208=0,"",SUMPRODUCT(IFERROR(DA$2:DA$126+0,0))/DA$208)</f>
        <v>46.170212765957444</v>
      </c>
      <c r="DB214" s="88" cm="1">
        <f t="array" ref="DB214">IF(DB$208=0,"",SUMPRODUCT(IFERROR(DB$2:DB$126+0,0))/DB$208)</f>
        <v>47.170212765957444</v>
      </c>
      <c r="DC214" s="88" cm="1">
        <f t="array" ref="DC214">IF(DC$208=0,"",SUMPRODUCT(IFERROR(DC$2:DC$126+0,0))/DC$208)</f>
        <v>48.170212765957444</v>
      </c>
      <c r="DD214" s="88" cm="1">
        <f t="array" ref="DD214">IF(DD$208=0,"",SUMPRODUCT(IFERROR(DD$2:DD$126+0,0))/DD$208)</f>
        <v>49.170212765957444</v>
      </c>
      <c r="DE214" s="88" cm="1">
        <f t="array" ref="DE214">IF(DE$208=0,"",SUMPRODUCT(IFERROR(DE$2:DE$126+0,0))/DE$208)</f>
        <v>50.170212765957444</v>
      </c>
      <c r="DF214" s="88" cm="1">
        <f t="array" ref="DF214">IF(DF$208=0,"",SUMPRODUCT(IFERROR(DF$2:DF$126+0,0))/DF$208)</f>
        <v>51.170212765957444</v>
      </c>
      <c r="DG214" s="88" cm="1">
        <f t="array" ref="DG214">IF(DG$208=0,"",SUMPRODUCT(IFERROR(DG$2:DG$126+0,0))/DG$208)</f>
        <v>52.170212765957444</v>
      </c>
      <c r="DH214" s="88" cm="1">
        <f t="array" ref="DH214">IF(DH$208=0,"",SUMPRODUCT(IFERROR(DH$2:DH$126+0,0))/DH$208)</f>
        <v>53.170212765957444</v>
      </c>
      <c r="DI214" s="88" cm="1">
        <f t="array" ref="DI214">IF(DI$208=0,"",SUMPRODUCT(IFERROR(DI$2:DI$126+0,0))/DI$208)</f>
        <v>54.170212765957444</v>
      </c>
      <c r="DJ214" s="88" cm="1">
        <f t="array" ref="DJ214">IF(DJ$208=0,"",SUMPRODUCT(IFERROR(DJ$2:DJ$126+0,0))/DJ$208)</f>
        <v>55.170212765957444</v>
      </c>
      <c r="DK214" s="88" cm="1">
        <f t="array" ref="DK214">IF(DK$208=0,"",SUMPRODUCT(IFERROR(DK$2:DK$126+0,0))/DK$208)</f>
        <v>56.170212765957444</v>
      </c>
      <c r="DL214" s="88" cm="1">
        <f t="array" ref="DL214">IF(DL$208=0,"",SUMPRODUCT(IFERROR(DL$2:DL$126+0,0))/DL$208)</f>
        <v>57.170212765957444</v>
      </c>
      <c r="DM214" s="88" cm="1">
        <f t="array" ref="DM214">IF(DM$208=0,"",SUMPRODUCT(IFERROR(DM$2:DM$126+0,0))/DM$208)</f>
        <v>58.170212765957444</v>
      </c>
      <c r="DN214" s="88" cm="1">
        <f t="array" ref="DN214">IF(DN$208=0,"",SUMPRODUCT(IFERROR(DN$2:DN$126+0,0))/DN$208)</f>
        <v>59.170212765957444</v>
      </c>
      <c r="DO214" s="88" cm="1">
        <f t="array" ref="DO214">IF(DO$208=0,"",SUMPRODUCT(IFERROR(DO$2:DO$126+0,0))/DO$208)</f>
        <v>60.170212765957444</v>
      </c>
      <c r="DP214" s="88" cm="1">
        <f t="array" ref="DP214">IF(DP$208=0,"",SUMPRODUCT(IFERROR(DP$2:DP$126+0,0))/DP$208)</f>
        <v>61.170212765957444</v>
      </c>
      <c r="DQ214" s="88" cm="1">
        <f t="array" ref="DQ214">IF(DQ$208=0,"",SUMPRODUCT(IFERROR(DQ$2:DQ$126+0,0))/DQ$208)</f>
        <v>62.170212765957444</v>
      </c>
      <c r="DR214" s="88" cm="1">
        <f t="array" ref="DR214">IF(DR$208=0,"",SUMPRODUCT(IFERROR(DR$2:DR$126+0,0))/DR$208)</f>
        <v>63.170212765957444</v>
      </c>
      <c r="DS214" s="88" cm="1">
        <f t="array" ref="DS214">IF(DS$208=0,"",SUMPRODUCT(IFERROR(DS$2:DS$126+0,0))/DS$208)</f>
        <v>64.170212765957444</v>
      </c>
      <c r="DT214" s="88" cm="1">
        <f t="array" ref="DT214">IF(DT$208=0,"",SUMPRODUCT(IFERROR(DT$2:DT$126+0,0))/DT$208)</f>
        <v>65.170212765957444</v>
      </c>
      <c r="DU214" s="88" cm="1">
        <f t="array" ref="DU214">IF(DU$208=0,"",SUMPRODUCT(IFERROR(DU$2:DU$126+0,0))/DU$208)</f>
        <v>66.170212765957444</v>
      </c>
      <c r="DV214" s="88" cm="1">
        <f t="array" ref="DV214">IF(DV$208=0,"",SUMPRODUCT(IFERROR(DV$2:DV$126+0,0))/DV$208)</f>
        <v>67.170212765957444</v>
      </c>
      <c r="DW214" s="88" cm="1">
        <f t="array" ref="DW214">IF(DW$208=0,"",SUMPRODUCT(IFERROR(DW$2:DW$126+0,0))/DW$208)</f>
        <v>68.170212765957444</v>
      </c>
      <c r="DX214" s="88" cm="1">
        <f t="array" ref="DX214">IF(DX$208=0,"",SUMPRODUCT(IFERROR(DX$2:DX$126+0,0))/DX$208)</f>
        <v>69.170212765957444</v>
      </c>
      <c r="DY214" s="88" cm="1">
        <f t="array" ref="DY214">IF(DY$208=0,"",SUMPRODUCT(IFERROR(DY$2:DY$126+0,0))/DY$208)</f>
        <v>70.170212765957444</v>
      </c>
      <c r="DZ214" s="88" cm="1">
        <f t="array" ref="DZ214">IF(DZ$208=0,"",SUMPRODUCT(IFERROR(DZ$2:DZ$126+0,0))/DZ$208)</f>
        <v>71.170212765957444</v>
      </c>
      <c r="EA214" s="88" cm="1">
        <f t="array" ref="EA214">IF(EA$208=0,"",SUMPRODUCT(IFERROR(EA$2:EA$126+0,0))/EA$208)</f>
        <v>72.170212765957444</v>
      </c>
      <c r="EB214" s="88" cm="1">
        <f t="array" ref="EB214">IF(EB$208=0,"",SUMPRODUCT(IFERROR(EB$2:EB$126+0,0))/EB$208)</f>
        <v>73.170212765957444</v>
      </c>
      <c r="EC214" s="88" cm="1">
        <f t="array" ref="EC214">IF(EC$208=0,"",SUMPRODUCT(IFERROR(EC$2:EC$126+0,0))/EC$208)</f>
        <v>74.170212765957444</v>
      </c>
      <c r="ED214" s="88" cm="1">
        <f t="array" ref="ED214">IF(ED$208=0,"",SUMPRODUCT(IFERROR(ED$2:ED$126+0,0))/ED$208)</f>
        <v>75.170212765957444</v>
      </c>
      <c r="EE214" s="88" cm="1">
        <f t="array" ref="EE214">IF(EE$208=0,"",SUMPRODUCT(IFERROR(EE$2:EE$126+0,0))/EE$208)</f>
        <v>76.170212765957444</v>
      </c>
      <c r="EF214" s="88" cm="1">
        <f t="array" ref="EF214">IF(EF$208=0,"",SUMPRODUCT(IFERROR(EF$2:EF$126+0,0))/EF$208)</f>
        <v>77.170212765957444</v>
      </c>
      <c r="EG214" s="88" cm="1">
        <f t="array" ref="EG214">IF(EG$208=0,"",SUMPRODUCT(IFERROR(EG$2:EG$126+0,0))/EG$208)</f>
        <v>78.170212765957444</v>
      </c>
      <c r="EH214" s="88" cm="1">
        <f t="array" ref="EH214">IF(EH$208=0,"",SUMPRODUCT(IFERROR(EH$2:EH$126+0,0))/EH$208)</f>
        <v>79.170212765957444</v>
      </c>
      <c r="EI214" s="88" cm="1">
        <f t="array" ref="EI214">IF(EI$208=0,"",SUMPRODUCT(IFERROR(EI$2:EI$126+0,0))/EI$208)</f>
        <v>80.170212765957444</v>
      </c>
      <c r="EJ214" s="88" cm="1">
        <f t="array" ref="EJ214">IF(EJ$208=0,"",SUMPRODUCT(IFERROR(EJ$2:EJ$126+0,0))/EJ$208)</f>
        <v>81.170212765957444</v>
      </c>
      <c r="EK214" s="88" cm="1">
        <f t="array" ref="EK214">IF(EK$208=0,"",SUMPRODUCT(IFERROR(EK$2:EK$126+0,0))/EK$208)</f>
        <v>82.170212765957444</v>
      </c>
      <c r="EL214" s="88" cm="1">
        <f t="array" ref="EL214">IF(EL$208=0,"",SUMPRODUCT(IFERROR(EL$2:EL$126+0,0))/EL$208)</f>
        <v>83.170212765957444</v>
      </c>
      <c r="EM214" s="88" cm="1">
        <f t="array" ref="EM214">IF(EM$208=0,"",SUMPRODUCT(IFERROR(EM$2:EM$126+0,0))/EM$208)</f>
        <v>84.170212765957444</v>
      </c>
      <c r="EN214" s="88" cm="1">
        <f t="array" ref="EN214">IF(EN$208=0,"",SUMPRODUCT(IFERROR(EN$2:EN$126+0,0))/EN$208)</f>
        <v>85.170212765957444</v>
      </c>
      <c r="EO214" s="88" cm="1">
        <f t="array" ref="EO214">IF(EO$208=0,"",SUMPRODUCT(IFERROR(EO$2:EO$126+0,0))/EO$208)</f>
        <v>86.170212765957444</v>
      </c>
      <c r="EP214" s="88" cm="1">
        <f t="array" ref="EP214">IF(EP$208=0,"",SUMPRODUCT(IFERROR(EP$2:EP$126+0,0))/EP$208)</f>
        <v>87.170212765957444</v>
      </c>
      <c r="EQ214" s="88" cm="1">
        <f t="array" ref="EQ214">IF(EQ$208=0,"",SUMPRODUCT(IFERROR(EQ$2:EQ$126+0,0))/EQ$208)</f>
        <v>88.170212765957444</v>
      </c>
      <c r="ER214" s="88" cm="1">
        <f t="array" ref="ER214">IF(ER$208=0,"",SUMPRODUCT(IFERROR(ER$2:ER$126+0,0))/ER$208)</f>
        <v>89.170212765957444</v>
      </c>
      <c r="ES214" s="88" cm="1">
        <f t="array" ref="ES214">IF(ES$208=0,"",SUMPRODUCT(IFERROR(ES$2:ES$126+0,0))/ES$208)</f>
        <v>90.170212765957444</v>
      </c>
      <c r="ET214" s="88" cm="1">
        <f t="array" ref="ET214">IF(ET$208=0,"",SUMPRODUCT(IFERROR(ET$2:ET$126+0,0))/ET$208)</f>
        <v>91.170212765957444</v>
      </c>
      <c r="EU214" s="88" cm="1">
        <f t="array" ref="EU214">IF(EU$208=0,"",SUMPRODUCT(IFERROR(EU$2:EU$126+0,0))/EU$208)</f>
        <v>92.170212765957444</v>
      </c>
      <c r="EV214" s="88" cm="1">
        <f t="array" ref="EV214">IF(EV$208=0,"",SUMPRODUCT(IFERROR(EV$2:EV$126+0,0))/EV$208)</f>
        <v>93.170212765957444</v>
      </c>
      <c r="EW214" s="88" cm="1">
        <f t="array" ref="EW214">IF(EW$208=0,"",SUMPRODUCT(IFERROR(EW$2:EW$126+0,0))/EW$208)</f>
        <v>94.170212765957444</v>
      </c>
      <c r="EX214" s="88" cm="1">
        <f t="array" ref="EX214">IF(EX$208=0,"",SUMPRODUCT(IFERROR(EX$2:EX$126+0,0))/EX$208)</f>
        <v>95.170212765957444</v>
      </c>
      <c r="EY214" s="88" cm="1">
        <f t="array" ref="EY214">IF(EY$208=0,"",SUMPRODUCT(IFERROR(EY$2:EY$126+0,0))/EY$208)</f>
        <v>96.170212765957444</v>
      </c>
      <c r="EZ214" s="88" cm="1">
        <f t="array" ref="EZ214">IF(EZ$208=0,"",SUMPRODUCT(IFERROR(EZ$2:EZ$126+0,0))/EZ$208)</f>
        <v>97.170212765957444</v>
      </c>
      <c r="FA214" s="88" cm="1">
        <f t="array" ref="FA214">IF(FA$208=0,"",SUMPRODUCT(IFERROR(FA$2:FA$126+0,0))/FA$208)</f>
        <v>98.170212765957444</v>
      </c>
      <c r="FB214" s="88" cm="1">
        <f t="array" ref="FB214">IF(FB$208=0,"",SUMPRODUCT(IFERROR(FB$2:FB$126+0,0))/FB$208)</f>
        <v>99.170212765957444</v>
      </c>
      <c r="FC214" s="88" cm="1">
        <f t="array" ref="FC214">IF(FC$208=0,"",SUMPRODUCT(IFERROR(FC$2:FC$126+0,0))/FC$208)</f>
        <v>100.17021276595744</v>
      </c>
      <c r="FD214" s="88" cm="1">
        <f t="array" ref="FD214">IF(FD$208=0,"",SUMPRODUCT(IFERROR(FD$2:FD$126+0,0))/FD$208)</f>
        <v>101.17021276595744</v>
      </c>
      <c r="FE214" s="88" cm="1">
        <f t="array" ref="FE214">IF(FE$208=0,"",SUMPRODUCT(IFERROR(FE$2:FE$126+0,0))/FE$208)</f>
        <v>102.17021276595744</v>
      </c>
      <c r="FF214" s="88" cm="1">
        <f t="array" ref="FF214">IF(FF$208=0,"",SUMPRODUCT(IFERROR(FF$2:FF$126+0,0))/FF$208)</f>
        <v>103.17021276595744</v>
      </c>
      <c r="FG214" s="88" cm="1">
        <f t="array" ref="FG214">IF(FG$208=0,"",SUMPRODUCT(IFERROR(FG$2:FG$126+0,0))/FG$208)</f>
        <v>104.17021276595744</v>
      </c>
      <c r="FH214" s="88" cm="1">
        <f t="array" ref="FH214">IF(FH$208=0,"",SUMPRODUCT(IFERROR(FH$2:FH$126+0,0))/FH$208)</f>
        <v>105.17021276595744</v>
      </c>
      <c r="FI214" s="88" cm="1">
        <f t="array" ref="FI214">IF(FI$208=0,"",SUMPRODUCT(IFERROR(FI$2:FI$126+0,0))/FI$208)</f>
        <v>106.17021276595744</v>
      </c>
      <c r="FJ214" s="88" cm="1">
        <f t="array" ref="FJ214">IF(FJ$208=0,"",SUMPRODUCT(IFERROR(FJ$2:FJ$126+0,0))/FJ$208)</f>
        <v>107.17021276595744</v>
      </c>
      <c r="FK214" s="88" cm="1">
        <f t="array" ref="FK214">IF(FK$208=0,"",SUMPRODUCT(IFERROR(FK$2:FK$126+0,0))/FK$208)</f>
        <v>108.17021276595744</v>
      </c>
      <c r="FL214" s="88" cm="1">
        <f t="array" ref="FL214">IF(FL$208=0,"",SUMPRODUCT(IFERROR(FL$2:FL$126+0,0))/FL$208)</f>
        <v>109.17021276595744</v>
      </c>
      <c r="FM214" s="88" cm="1">
        <f t="array" ref="FM214">IF(FM$208=0,"",SUMPRODUCT(IFERROR(FM$2:FM$126+0,0))/FM$208)</f>
        <v>110.17021276595744</v>
      </c>
      <c r="FN214" s="88" cm="1">
        <f t="array" ref="FN214">IF(FN$208=0,"",SUMPRODUCT(IFERROR(FN$2:FN$126+0,0))/FN$208)</f>
        <v>111.17021276595744</v>
      </c>
      <c r="FO214" s="88" cm="1">
        <f t="array" ref="FO214">IF(FO$208=0,"",SUMPRODUCT(IFERROR(FO$2:FO$126+0,0))/FO$208)</f>
        <v>112.17021276595744</v>
      </c>
      <c r="FP214" s="88" cm="1">
        <f t="array" ref="FP214">IF(FP$208=0,"",SUMPRODUCT(IFERROR(FP$2:FP$126+0,0))/FP$208)</f>
        <v>113.17021276595744</v>
      </c>
      <c r="FQ214" s="88" cm="1">
        <f t="array" ref="FQ214">IF(FQ$208=0,"",SUMPRODUCT(IFERROR(FQ$2:FQ$126+0,0))/FQ$208)</f>
        <v>114.17021276595744</v>
      </c>
      <c r="FR214" s="88" cm="1">
        <f t="array" ref="FR214">IF(FR$208=0,"",SUMPRODUCT(IFERROR(FR$2:FR$126+0,0))/FR$208)</f>
        <v>115.17021276595744</v>
      </c>
      <c r="FS214" s="88" cm="1">
        <f t="array" ref="FS214">IF(FS$208=0,"",SUMPRODUCT(IFERROR(FS$2:FS$126+0,0))/FS$208)</f>
        <v>116.17021276595744</v>
      </c>
      <c r="FT214" s="88" cm="1">
        <f t="array" ref="FT214">IF(FT$208=0,"",SUMPRODUCT(IFERROR(FT$2:FT$126+0,0))/FT$208)</f>
        <v>117.17021276595744</v>
      </c>
      <c r="FU214" s="88" cm="1">
        <f t="array" ref="FU214">IF(FU$208=0,"",SUMPRODUCT(IFERROR(FU$2:FU$126+0,0))/FU$208)</f>
        <v>118.17021276595744</v>
      </c>
      <c r="FV214" s="88" cm="1">
        <f t="array" ref="FV214">IF(FV$208=0,"",SUMPRODUCT(IFERROR(FV$2:FV$126+0,0))/FV$208)</f>
        <v>119.17021276595744</v>
      </c>
      <c r="FW214" s="88" cm="1">
        <f t="array" ref="FW214">IF(FW$208=0,"",SUMPRODUCT(IFERROR(FW$2:FW$126+0,0))/FW$208)</f>
        <v>120.17021276595744</v>
      </c>
      <c r="FX214" s="88" cm="1">
        <f t="array" ref="FX214">IF(FX$208=0,"",SUMPRODUCT(IFERROR(FX$2:FX$126+0,0))/FX$208)</f>
        <v>121.17021276595744</v>
      </c>
      <c r="FY214" s="88" cm="1">
        <f t="array" ref="FY214">IF(FY$208=0,"",SUMPRODUCT(IFERROR(FY$2:FY$126+0,0))/FY$208)</f>
        <v>122.17021276595744</v>
      </c>
      <c r="FZ214" s="88" cm="1">
        <f t="array" ref="FZ214">IF(FZ$208=0,"",SUMPRODUCT(IFERROR(FZ$2:FZ$126+0,0))/FZ$208)</f>
        <v>123.17021276595744</v>
      </c>
      <c r="GA214" s="88" cm="1">
        <f t="array" ref="GA214">IF(GA$208=0,"",SUMPRODUCT(IFERROR(GA$2:GA$126+0,0))/GA$208)</f>
        <v>124.17021276595744</v>
      </c>
      <c r="GB214" s="88" cm="1">
        <f t="array" ref="GB214">IF(GB$208=0,"",SUMPRODUCT(IFERROR(GB$2:GB$126+0,0))/GB$208)</f>
        <v>125.17021276595744</v>
      </c>
      <c r="GC214" s="88" cm="1">
        <f t="array" ref="GC214">IF(GC$208=0,"",SUMPRODUCT(IFERROR(GC$2:GC$126+0,0))/GC$208)</f>
        <v>126.17021276595744</v>
      </c>
      <c r="GD214" s="88" cm="1">
        <f t="array" ref="GD214">IF(GD$208=0,"",SUMPRODUCT(IFERROR(GD$2:GD$126+0,0))/GD$208)</f>
        <v>127.17021276595744</v>
      </c>
      <c r="GE214" s="88" cm="1">
        <f t="array" ref="GE214">IF(GE$208=0,"",SUMPRODUCT(IFERROR(GE$2:GE$126+0,0))/GE$208)</f>
        <v>128.17021276595744</v>
      </c>
      <c r="GF214" s="88" cm="1">
        <f t="array" ref="GF214">IF(GF$208=0,"",SUMPRODUCT(IFERROR(GF$2:GF$126+0,0))/GF$208)</f>
        <v>129.17021276595744</v>
      </c>
      <c r="GG214" s="88" cm="1">
        <f t="array" ref="GG214">IF(GG$208=0,"",SUMPRODUCT(IFERROR(GG$2:GG$126+0,0))/GG$208)</f>
        <v>130.17021276595744</v>
      </c>
      <c r="GH214" s="88" cm="1">
        <f t="array" ref="GH214">IF(GH$208=0,"",SUMPRODUCT(IFERROR(GH$2:GH$126+0,0))/GH$208)</f>
        <v>131.17021276595744</v>
      </c>
      <c r="GI214" s="88" cm="1">
        <f t="array" ref="GI214">IF(GI$208=0,"",SUMPRODUCT(IFERROR(GI$2:GI$126+0,0))/GI$208)</f>
        <v>132.17021276595744</v>
      </c>
      <c r="GJ214" s="88" cm="1">
        <f t="array" ref="GJ214">IF(GJ$208=0,"",SUMPRODUCT(IFERROR(GJ$2:GJ$126+0,0))/GJ$208)</f>
        <v>133.17021276595744</v>
      </c>
      <c r="GK214" s="88" cm="1">
        <f t="array" ref="GK214">IF(GK$208=0,"",SUMPRODUCT(IFERROR(GK$2:GK$126+0,0))/GK$208)</f>
        <v>134.17021276595744</v>
      </c>
      <c r="GL214" s="88" cm="1">
        <f t="array" ref="GL214">IF(GL$208=0,"",SUMPRODUCT(IFERROR(GL$2:GL$126+0,0))/GL$208)</f>
        <v>135.17021276595744</v>
      </c>
      <c r="GM214" s="88" cm="1">
        <f t="array" ref="GM214">IF(GM$208=0,"",SUMPRODUCT(IFERROR(GM$2:GM$126+0,0))/GM$208)</f>
        <v>136.17021276595744</v>
      </c>
      <c r="GN214" s="88" cm="1">
        <f t="array" ref="GN214">IF(GN$208=0,"",SUMPRODUCT(IFERROR(GN$2:GN$126+0,0))/GN$208)</f>
        <v>137.17021276595744</v>
      </c>
      <c r="GO214" s="88" cm="1">
        <f t="array" ref="GO214">IF(GO$208=0,"",SUMPRODUCT(IFERROR(GO$2:GO$126+0,0))/GO$208)</f>
        <v>138.17021276595744</v>
      </c>
      <c r="GP214" s="88" cm="1">
        <f t="array" ref="GP214">IF(GP$208=0,"",SUMPRODUCT(IFERROR(GP$2:GP$126+0,0))/GP$208)</f>
        <v>139.17021276595744</v>
      </c>
      <c r="GQ214" s="88" cm="1">
        <f t="array" ref="GQ214">IF(GQ$208=0,"",SUMPRODUCT(IFERROR(GQ$2:GQ$126+0,0))/GQ$208)</f>
        <v>140.17021276595744</v>
      </c>
      <c r="GR214" s="88" cm="1">
        <f t="array" ref="GR214">IF(GR$208=0,"",SUMPRODUCT(IFERROR(GR$2:GR$126+0,0))/GR$208)</f>
        <v>141.17021276595744</v>
      </c>
      <c r="GS214" s="88" cm="1">
        <f t="array" ref="GS214">IF(GS$208=0,"",SUMPRODUCT(IFERROR(GS$2:GS$126+0,0))/GS$208)</f>
        <v>142.17021276595744</v>
      </c>
      <c r="GT214" s="88" cm="1">
        <f t="array" ref="GT214">IF(GT$208=0,"",SUMPRODUCT(IFERROR(GT$2:GT$126+0,0))/GT$208)</f>
        <v>143.17021276595744</v>
      </c>
      <c r="GU214" s="88" cm="1">
        <f t="array" ref="GU214">IF(GU$208=0,"",SUMPRODUCT(IFERROR(GU$2:GU$126+0,0))/GU$208)</f>
        <v>144.17021276595744</v>
      </c>
      <c r="GV214" s="88" cm="1">
        <f t="array" ref="GV214">IF(GV$208=0,"",SUMPRODUCT(IFERROR(GV$2:GV$126+0,0))/GV$208)</f>
        <v>145.17021276595744</v>
      </c>
      <c r="GW214" s="88" cm="1">
        <f t="array" ref="GW214">IF(GW$208=0,"",SUMPRODUCT(IFERROR(GW$2:GW$126+0,0))/GW$208)</f>
        <v>146.17021276595744</v>
      </c>
      <c r="GX214" s="88" cm="1">
        <f t="array" ref="GX214">IF(GX$208=0,"",SUMPRODUCT(IFERROR(GX$2:GX$126+0,0))/GX$208)</f>
        <v>147.17021276595744</v>
      </c>
    </row>
    <row r="215" spans="1:206" x14ac:dyDescent="0.2">
      <c r="A215" s="84"/>
      <c r="B215" s="84" t="s">
        <v>277</v>
      </c>
      <c r="W215" s="79" cm="1">
        <f t="array" ref="W215">SUMPRODUCT((W$2:W$126&gt;=0)*(W$2:W$126&lt;5)*(W$2:W$126&lt;&gt;"")*($J$2:$J$126))</f>
        <v>250.30000000000007</v>
      </c>
      <c r="X215" s="79" cm="1">
        <f t="array" ref="X215">SUMPRODUCT((X$2:X$126&gt;=0)*(X$2:X$126&lt;5)*(X$2:X$126&lt;&gt;"")*($J$2:$J$126))</f>
        <v>335.54</v>
      </c>
      <c r="Y215" s="79" cm="1">
        <f t="array" ref="Y215">SUMPRODUCT((Y$2:Y$126&gt;=0)*(Y$2:Y$126&lt;5)*(Y$2:Y$126&lt;&gt;"")*($J$2:$J$126))</f>
        <v>379.46999999999997</v>
      </c>
      <c r="Z215" s="79" cm="1">
        <f t="array" ref="Z215">SUMPRODUCT((Z$2:Z$126&gt;=0)*(Z$2:Z$126&lt;5)*(Z$2:Z$126&lt;&gt;"")*($J$2:$J$126))</f>
        <v>383.89999999999986</v>
      </c>
      <c r="AA215" s="79" cm="1">
        <f t="array" ref="AA215">SUMPRODUCT((AA$2:AA$126&gt;=0)*(AA$2:AA$126&lt;5)*(AA$2:AA$126&lt;&gt;"")*($J$2:$J$126))</f>
        <v>318.05999999999995</v>
      </c>
      <c r="AB215" s="79" cm="1">
        <f t="array" ref="AB215">SUMPRODUCT((AB$2:AB$126&gt;=0)*(AB$2:AB$126&lt;5)*(AB$2:AB$126&lt;&gt;"")*($J$2:$J$126))</f>
        <v>338.09999999999997</v>
      </c>
      <c r="AC215" s="79" cm="1">
        <f t="array" ref="AC215">SUMPRODUCT((AC$2:AC$126&gt;=0)*(AC$2:AC$126&lt;5)*(AC$2:AC$126&lt;&gt;"")*($J$2:$J$126))</f>
        <v>312.52999999999997</v>
      </c>
      <c r="AD215" s="79" cm="1">
        <f t="array" ref="AD215">SUMPRODUCT((AD$2:AD$126&gt;=0)*(AD$2:AD$126&lt;5)*(AD$2:AD$126&lt;&gt;"")*($J$2:$J$126))</f>
        <v>228.32</v>
      </c>
      <c r="AE215" s="79" cm="1">
        <f t="array" ref="AE215">SUMPRODUCT((AE$2:AE$126&gt;=0)*(AE$2:AE$126&lt;5)*(AE$2:AE$126&lt;&gt;"")*($J$2:$J$126))</f>
        <v>249.77999999999997</v>
      </c>
      <c r="AF215" s="79" cm="1">
        <f t="array" ref="AF215">SUMPRODUCT((AF$2:AF$126&gt;=0)*(AF$2:AF$126&lt;5)*(AF$2:AF$126&lt;&gt;"")*($J$2:$J$126))</f>
        <v>291.73999999999995</v>
      </c>
      <c r="AG215" s="79" cm="1">
        <f t="array" ref="AG215">SUMPRODUCT((AG$2:AG$126&gt;=0)*(AG$2:AG$126&lt;5)*(AG$2:AG$126&lt;&gt;"")*($J$2:$J$126))</f>
        <v>363.27000000000004</v>
      </c>
      <c r="AH215" s="79" cm="1">
        <f t="array" ref="AH215">SUMPRODUCT((AH$2:AH$126&gt;=0)*(AH$2:AH$126&lt;5)*(AH$2:AH$126&lt;&gt;"")*($J$2:$J$126))</f>
        <v>471.25</v>
      </c>
      <c r="AI215" s="79" cm="1">
        <f t="array" ref="AI215">SUMPRODUCT((AI$2:AI$126&gt;=0)*(AI$2:AI$126&lt;5)*(AI$2:AI$126&lt;&gt;"")*($J$2:$J$126))</f>
        <v>542.41999999999996</v>
      </c>
      <c r="AJ215" s="79" cm="1">
        <f t="array" ref="AJ215">SUMPRODUCT((AJ$2:AJ$126&gt;=0)*(AJ$2:AJ$126&lt;5)*(AJ$2:AJ$126&lt;&gt;"")*($J$2:$J$126))</f>
        <v>536</v>
      </c>
      <c r="AK215" s="79" cm="1">
        <f t="array" ref="AK215">SUMPRODUCT((AK$2:AK$126&gt;=0)*(AK$2:AK$126&lt;5)*(AK$2:AK$126&lt;&gt;"")*($J$2:$J$126))</f>
        <v>665.55000000000007</v>
      </c>
      <c r="AL215" s="79" cm="1">
        <f t="array" ref="AL215">SUMPRODUCT((AL$2:AL$126&gt;=0)*(AL$2:AL$126&lt;5)*(AL$2:AL$126&lt;&gt;"")*($J$2:$J$126))</f>
        <v>587.46999999999991</v>
      </c>
      <c r="AM215" s="79" cm="1">
        <f t="array" ref="AM215">SUMPRODUCT((AM$2:AM$126&gt;=0)*(AM$2:AM$126&lt;5)*(AM$2:AM$126&lt;&gt;"")*($J$2:$J$126))</f>
        <v>595.42999999999995</v>
      </c>
      <c r="AN215" s="79" cm="1">
        <f t="array" ref="AN215">SUMPRODUCT((AN$2:AN$126&gt;=0)*(AN$2:AN$126&lt;5)*(AN$2:AN$126&lt;&gt;"")*($J$2:$J$126))</f>
        <v>591.38999999999987</v>
      </c>
      <c r="AO215" s="79" cm="1">
        <f t="array" ref="AO215">SUMPRODUCT((AO$2:AO$126&gt;=0)*(AO$2:AO$126&lt;5)*(AO$2:AO$126&lt;&gt;"")*($J$2:$J$126))</f>
        <v>480.85</v>
      </c>
      <c r="AP215" s="79" cm="1">
        <f t="array" ref="AP215">SUMPRODUCT((AP$2:AP$126&gt;=0)*(AP$2:AP$126&lt;5)*(AP$2:AP$126&lt;&gt;"")*($J$2:$J$126))</f>
        <v>322.45000000000005</v>
      </c>
      <c r="AQ215" s="79" cm="1">
        <f t="array" ref="AQ215">SUMPRODUCT((AQ$2:AQ$126&gt;=0)*(AQ$2:AQ$126&lt;5)*(AQ$2:AQ$126&lt;&gt;"")*($J$2:$J$126))</f>
        <v>341.47</v>
      </c>
      <c r="AR215" s="79" cm="1">
        <f t="array" ref="AR215">SUMPRODUCT((AR$2:AR$126&gt;=0)*(AR$2:AR$126&lt;5)*(AR$2:AR$126&lt;&gt;"")*($J$2:$J$126))</f>
        <v>388.46999999999997</v>
      </c>
      <c r="AS215" s="79" cm="1">
        <f t="array" ref="AS215">SUMPRODUCT((AS$2:AS$126&gt;=0)*(AS$2:AS$126&lt;5)*(AS$2:AS$126&lt;&gt;"")*($J$2:$J$126))</f>
        <v>528.89</v>
      </c>
      <c r="AT215" s="79" cm="1">
        <f t="array" ref="AT215">SUMPRODUCT((AT$2:AT$126&gt;=0)*(AT$2:AT$126&lt;5)*(AT$2:AT$126&lt;&gt;"")*($J$2:$J$126))</f>
        <v>672.58</v>
      </c>
      <c r="AU215" s="79" cm="1">
        <f t="array" ref="AU215">SUMPRODUCT((AU$2:AU$126&gt;=0)*(AU$2:AU$126&lt;5)*(AU$2:AU$126&lt;&gt;"")*($J$2:$J$126))</f>
        <v>758.1</v>
      </c>
      <c r="AV215" s="79" cm="1">
        <f t="array" ref="AV215">SUMPRODUCT((AV$2:AV$126&gt;=0)*(AV$2:AV$126&lt;5)*(AV$2:AV$126&lt;&gt;"")*($J$2:$J$126))</f>
        <v>689.24999999999989</v>
      </c>
      <c r="AW215" s="79" cm="1">
        <f t="array" ref="AW215">SUMPRODUCT((AW$2:AW$126&gt;=0)*(AW$2:AW$126&lt;5)*(AW$2:AW$126&lt;&gt;"")*($J$2:$J$126))</f>
        <v>675.50999999999988</v>
      </c>
      <c r="AX215" s="79" cm="1">
        <f t="array" ref="AX215">SUMPRODUCT((AX$2:AX$126&gt;=0)*(AX$2:AX$126&lt;5)*(AX$2:AX$126&lt;&gt;"")*($J$2:$J$126))</f>
        <v>530.56999999999994</v>
      </c>
      <c r="AY215" s="79" cm="1">
        <f t="array" ref="AY215">SUMPRODUCT((AY$2:AY$126&gt;=0)*(AY$2:AY$126&lt;5)*(AY$2:AY$126&lt;&gt;"")*($J$2:$J$126))</f>
        <v>553.24</v>
      </c>
      <c r="AZ215" s="79" cm="1">
        <f t="array" ref="AZ215">SUMPRODUCT((AZ$2:AZ$126&gt;=0)*(AZ$2:AZ$126&lt;5)*(AZ$2:AZ$126&lt;&gt;"")*($J$2:$J$126))</f>
        <v>596.79</v>
      </c>
      <c r="BA215" s="79" cm="1">
        <f t="array" ref="BA215">SUMPRODUCT((BA$2:BA$126&gt;=0)*(BA$2:BA$126&lt;5)*(BA$2:BA$126&lt;&gt;"")*($J$2:$J$126))</f>
        <v>895.47</v>
      </c>
      <c r="BB215" s="79" cm="1">
        <f t="array" ref="BB215">SUMPRODUCT((BB$2:BB$126&gt;=0)*(BB$2:BB$126&lt;5)*(BB$2:BB$126&lt;&gt;"")*($J$2:$J$126))</f>
        <v>745.25000000000011</v>
      </c>
      <c r="BC215" s="79" cm="1">
        <f t="array" ref="BC215">SUMPRODUCT((BC$2:BC$126&gt;=0)*(BC$2:BC$126&lt;5)*(BC$2:BC$126&lt;&gt;"")*($J$2:$J$126))</f>
        <v>677.00000000000011</v>
      </c>
      <c r="BD215" s="79" cm="1">
        <f t="array" ref="BD215">SUMPRODUCT((BD$2:BD$126&gt;=0)*(BD$2:BD$126&lt;5)*(BD$2:BD$126&lt;&gt;"")*($J$2:$J$126))</f>
        <v>638.82000000000005</v>
      </c>
      <c r="BE215" s="79" cm="1">
        <f t="array" ref="BE215">SUMPRODUCT((BE$2:BE$126&gt;=0)*(BE$2:BE$126&lt;5)*(BE$2:BE$126&lt;&gt;"")*($J$2:$J$126))</f>
        <v>615.89999999999986</v>
      </c>
      <c r="BF215" s="79" cm="1">
        <f t="array" ref="BF215">SUMPRODUCT((BF$2:BF$126&gt;=0)*(BF$2:BF$126&lt;5)*(BF$2:BF$126&lt;&gt;"")*($J$2:$J$126))</f>
        <v>563.68999999999983</v>
      </c>
      <c r="BG215" s="79" cm="1">
        <f t="array" ref="BG215">SUMPRODUCT((BG$2:BG$126&gt;=0)*(BG$2:BG$126&lt;5)*(BG$2:BG$126&lt;&gt;"")*($J$2:$J$126))</f>
        <v>694</v>
      </c>
      <c r="BH215" s="79" cm="1">
        <f t="array" ref="BH215">SUMPRODUCT((BH$2:BH$126&gt;=0)*(BH$2:BH$126&lt;5)*(BH$2:BH$126&lt;&gt;"")*($J$2:$J$126))</f>
        <v>755.34</v>
      </c>
      <c r="BI215" s="79" cm="1">
        <f t="array" ref="BI215">SUMPRODUCT((BI$2:BI$126&gt;=0)*(BI$2:BI$126&lt;5)*(BI$2:BI$126&lt;&gt;"")*($J$2:$J$126))</f>
        <v>678.93000000000006</v>
      </c>
      <c r="BJ215" s="79" cm="1">
        <f t="array" ref="BJ215">SUMPRODUCT((BJ$2:BJ$126&gt;=0)*(BJ$2:BJ$126&lt;5)*(BJ$2:BJ$126&lt;&gt;"")*($J$2:$J$126))</f>
        <v>559.67000000000007</v>
      </c>
      <c r="BK215" s="79" cm="1">
        <f t="array" ref="BK215">SUMPRODUCT((BK$2:BK$126&gt;=0)*(BK$2:BK$126&lt;5)*(BK$2:BK$126&lt;&gt;"")*($J$2:$J$126))</f>
        <v>455.39</v>
      </c>
      <c r="BL215" s="79" cm="1">
        <f t="array" ref="BL215">SUMPRODUCT((BL$2:BL$126&gt;=0)*(BL$2:BL$126&lt;5)*(BL$2:BL$126&lt;&gt;"")*($J$2:$J$126))</f>
        <v>484.59999999999997</v>
      </c>
      <c r="BM215" s="79" cm="1">
        <f t="array" ref="BM215">SUMPRODUCT((BM$2:BM$126&gt;=0)*(BM$2:BM$126&lt;5)*(BM$2:BM$126&lt;&gt;"")*($J$2:$J$126))</f>
        <v>641.50999999999988</v>
      </c>
      <c r="BN215" s="79" cm="1">
        <f t="array" ref="BN215">SUMPRODUCT((BN$2:BN$126&gt;=0)*(BN$2:BN$126&lt;5)*(BN$2:BN$126&lt;&gt;"")*($J$2:$J$126))</f>
        <v>653.86999999999989</v>
      </c>
      <c r="BO215" s="79" cm="1">
        <f t="array" ref="BO215">SUMPRODUCT((BO$2:BO$126&gt;=0)*(BO$2:BO$126&lt;5)*(BO$2:BO$126&lt;&gt;"")*($J$2:$J$126))</f>
        <v>873.17999999999984</v>
      </c>
      <c r="BP215" s="79" cm="1">
        <f t="array" ref="BP215">SUMPRODUCT((BP$2:BP$126&gt;=0)*(BP$2:BP$126&lt;5)*(BP$2:BP$126&lt;&gt;"")*($J$2:$J$126))</f>
        <v>730.9899999999999</v>
      </c>
      <c r="BQ215" s="79" cm="1">
        <f t="array" ref="BQ215">SUMPRODUCT((BQ$2:BQ$126&gt;=0)*(BQ$2:BQ$126&lt;5)*(BQ$2:BQ$126&lt;&gt;"")*($J$2:$J$126))</f>
        <v>501.69000000000005</v>
      </c>
      <c r="BR215" s="79" cm="1">
        <f t="array" ref="BR215">SUMPRODUCT((BR$2:BR$126&gt;=0)*(BR$2:BR$126&lt;5)*(BR$2:BR$126&lt;&gt;"")*($J$2:$J$126))</f>
        <v>283.44</v>
      </c>
      <c r="BS215" s="79" cm="1">
        <f t="array" ref="BS215">SUMPRODUCT((BS$2:BS$126&gt;=0)*(BS$2:BS$126&lt;5)*(BS$2:BS$126&lt;&gt;"")*($J$2:$J$126))</f>
        <v>219.31</v>
      </c>
      <c r="BT215" s="79" cm="1">
        <f t="array" ref="BT215">SUMPRODUCT((BT$2:BT$126&gt;=0)*(BT$2:BT$126&lt;5)*(BT$2:BT$126&lt;&gt;"")*($J$2:$J$126))</f>
        <v>0</v>
      </c>
      <c r="BU215" s="79" cm="1">
        <f t="array" ref="BU215">SUMPRODUCT((BU$2:BU$126&gt;=0)*(BU$2:BU$126&lt;5)*(BU$2:BU$126&lt;&gt;"")*($J$2:$J$126))</f>
        <v>0</v>
      </c>
      <c r="BV215" s="79" cm="1">
        <f t="array" ref="BV215">SUMPRODUCT((BV$2:BV$126&gt;=0)*(BV$2:BV$126&lt;5)*(BV$2:BV$126&lt;&gt;"")*($J$2:$J$126))</f>
        <v>0</v>
      </c>
      <c r="BW215" s="79" cm="1">
        <f t="array" ref="BW215">SUMPRODUCT((BW$2:BW$126&gt;=0)*(BW$2:BW$126&lt;5)*(BW$2:BW$126&lt;&gt;"")*($J$2:$J$126))</f>
        <v>0</v>
      </c>
      <c r="BX215" s="79" cm="1">
        <f t="array" ref="BX215">SUMPRODUCT((BX$2:BX$126&gt;=0)*(BX$2:BX$126&lt;5)*(BX$2:BX$126&lt;&gt;"")*($J$2:$J$126))</f>
        <v>0</v>
      </c>
      <c r="BY215" s="79" cm="1">
        <f t="array" ref="BY215">SUMPRODUCT((BY$2:BY$126&gt;=0)*(BY$2:BY$126&lt;5)*(BY$2:BY$126&lt;&gt;"")*($J$2:$J$126))</f>
        <v>0</v>
      </c>
      <c r="BZ215" s="79" cm="1">
        <f t="array" ref="BZ215">SUMPRODUCT((BZ$2:BZ$126&gt;=0)*(BZ$2:BZ$126&lt;5)*(BZ$2:BZ$126&lt;&gt;"")*($J$2:$J$126))</f>
        <v>0</v>
      </c>
      <c r="CA215" s="79" cm="1">
        <f t="array" ref="CA215">SUMPRODUCT((CA$2:CA$126&gt;=0)*(CA$2:CA$126&lt;5)*(CA$2:CA$126&lt;&gt;"")*($J$2:$J$126))</f>
        <v>0</v>
      </c>
      <c r="CB215" s="79" cm="1">
        <f t="array" ref="CB215">SUMPRODUCT((CB$2:CB$126&gt;=0)*(CB$2:CB$126&lt;5)*(CB$2:CB$126&lt;&gt;"")*($J$2:$J$126))</f>
        <v>0</v>
      </c>
      <c r="CC215" s="79" cm="1">
        <f t="array" ref="CC215">SUMPRODUCT((CC$2:CC$126&gt;=0)*(CC$2:CC$126&lt;5)*(CC$2:CC$126&lt;&gt;"")*($J$2:$J$126))</f>
        <v>0</v>
      </c>
      <c r="CD215" s="79" cm="1">
        <f t="array" ref="CD215">SUMPRODUCT((CD$2:CD$126&gt;=0)*(CD$2:CD$126&lt;5)*(CD$2:CD$126&lt;&gt;"")*($J$2:$J$126))</f>
        <v>0</v>
      </c>
      <c r="CE215" s="79" cm="1">
        <f t="array" ref="CE215">SUMPRODUCT((CE$2:CE$126&gt;=0)*(CE$2:CE$126&lt;5)*(CE$2:CE$126&lt;&gt;"")*($J$2:$J$126))</f>
        <v>0</v>
      </c>
      <c r="CF215" s="79" cm="1">
        <f t="array" ref="CF215">SUMPRODUCT((CF$2:CF$126&gt;=0)*(CF$2:CF$126&lt;5)*(CF$2:CF$126&lt;&gt;"")*($J$2:$J$126))</f>
        <v>0</v>
      </c>
      <c r="CG215" s="79" cm="1">
        <f t="array" ref="CG215">SUMPRODUCT((CG$2:CG$126&gt;=0)*(CG$2:CG$126&lt;5)*(CG$2:CG$126&lt;&gt;"")*($J$2:$J$126))</f>
        <v>0</v>
      </c>
      <c r="CH215" s="79" cm="1">
        <f t="array" ref="CH215">SUMPRODUCT((CH$2:CH$126&gt;=0)*(CH$2:CH$126&lt;5)*(CH$2:CH$126&lt;&gt;"")*($J$2:$J$126))</f>
        <v>0</v>
      </c>
      <c r="CI215" s="79" cm="1">
        <f t="array" ref="CI215">SUMPRODUCT((CI$2:CI$126&gt;=0)*(CI$2:CI$126&lt;5)*(CI$2:CI$126&lt;&gt;"")*($J$2:$J$126))</f>
        <v>0</v>
      </c>
      <c r="CJ215" s="79" cm="1">
        <f t="array" ref="CJ215">SUMPRODUCT((CJ$2:CJ$126&gt;=0)*(CJ$2:CJ$126&lt;5)*(CJ$2:CJ$126&lt;&gt;"")*($J$2:$J$126))</f>
        <v>0</v>
      </c>
      <c r="CK215" s="79" cm="1">
        <f t="array" ref="CK215">SUMPRODUCT((CK$2:CK$126&gt;=0)*(CK$2:CK$126&lt;5)*(CK$2:CK$126&lt;&gt;"")*($J$2:$J$126))</f>
        <v>0</v>
      </c>
      <c r="CL215" s="79" cm="1">
        <f t="array" ref="CL215">SUMPRODUCT((CL$2:CL$126&gt;=0)*(CL$2:CL$126&lt;5)*(CL$2:CL$126&lt;&gt;"")*($J$2:$J$126))</f>
        <v>0</v>
      </c>
      <c r="CM215" s="79" cm="1">
        <f t="array" ref="CM215">SUMPRODUCT((CM$2:CM$126&gt;=0)*(CM$2:CM$126&lt;5)*(CM$2:CM$126&lt;&gt;"")*($J$2:$J$126))</f>
        <v>0</v>
      </c>
      <c r="CN215" s="79" cm="1">
        <f t="array" ref="CN215">SUMPRODUCT((CN$2:CN$126&gt;=0)*(CN$2:CN$126&lt;5)*(CN$2:CN$126&lt;&gt;"")*($J$2:$J$126))</f>
        <v>0</v>
      </c>
      <c r="CO215" s="79" cm="1">
        <f t="array" ref="CO215">SUMPRODUCT((CO$2:CO$126&gt;=0)*(CO$2:CO$126&lt;5)*(CO$2:CO$126&lt;&gt;"")*($J$2:$J$126))</f>
        <v>0</v>
      </c>
      <c r="CP215" s="79" cm="1">
        <f t="array" ref="CP215">SUMPRODUCT((CP$2:CP$126&gt;=0)*(CP$2:CP$126&lt;5)*(CP$2:CP$126&lt;&gt;"")*($J$2:$J$126))</f>
        <v>0</v>
      </c>
      <c r="CQ215" s="79" cm="1">
        <f t="array" ref="CQ215">SUMPRODUCT((CQ$2:CQ$126&gt;=0)*(CQ$2:CQ$126&lt;5)*(CQ$2:CQ$126&lt;&gt;"")*($J$2:$J$126))</f>
        <v>0</v>
      </c>
      <c r="CR215" s="79" cm="1">
        <f t="array" ref="CR215">SUMPRODUCT((CR$2:CR$126&gt;=0)*(CR$2:CR$126&lt;5)*(CR$2:CR$126&lt;&gt;"")*($J$2:$J$126))</f>
        <v>0</v>
      </c>
      <c r="CS215" s="79" cm="1">
        <f t="array" ref="CS215">SUMPRODUCT((CS$2:CS$126&gt;=0)*(CS$2:CS$126&lt;5)*(CS$2:CS$126&lt;&gt;"")*($J$2:$J$126))</f>
        <v>0</v>
      </c>
      <c r="CT215" s="79" cm="1">
        <f t="array" ref="CT215">SUMPRODUCT((CT$2:CT$126&gt;=0)*(CT$2:CT$126&lt;5)*(CT$2:CT$126&lt;&gt;"")*($J$2:$J$126))</f>
        <v>0</v>
      </c>
      <c r="CU215" s="79" cm="1">
        <f t="array" ref="CU215">SUMPRODUCT((CU$2:CU$126&gt;=0)*(CU$2:CU$126&lt;5)*(CU$2:CU$126&lt;&gt;"")*($J$2:$J$126))</f>
        <v>0</v>
      </c>
      <c r="CV215" s="79" cm="1">
        <f t="array" ref="CV215">SUMPRODUCT((CV$2:CV$126&gt;=0)*(CV$2:CV$126&lt;5)*(CV$2:CV$126&lt;&gt;"")*($J$2:$J$126))</f>
        <v>0</v>
      </c>
      <c r="CW215" s="79" cm="1">
        <f t="array" ref="CW215">SUMPRODUCT((CW$2:CW$126&gt;=0)*(CW$2:CW$126&lt;5)*(CW$2:CW$126&lt;&gt;"")*($J$2:$J$126))</f>
        <v>0</v>
      </c>
      <c r="CX215" s="79" cm="1">
        <f t="array" ref="CX215">SUMPRODUCT((CX$2:CX$126&gt;=0)*(CX$2:CX$126&lt;5)*(CX$2:CX$126&lt;&gt;"")*($J$2:$J$126))</f>
        <v>0</v>
      </c>
      <c r="CY215" s="79" cm="1">
        <f t="array" ref="CY215">SUMPRODUCT((CY$2:CY$126&gt;=0)*(CY$2:CY$126&lt;5)*(CY$2:CY$126&lt;&gt;"")*($J$2:$J$126))</f>
        <v>0</v>
      </c>
      <c r="CZ215" s="79" cm="1">
        <f t="array" ref="CZ215">SUMPRODUCT((CZ$2:CZ$126&gt;=0)*(CZ$2:CZ$126&lt;5)*(CZ$2:CZ$126&lt;&gt;"")*($J$2:$J$126))</f>
        <v>0</v>
      </c>
      <c r="DA215" s="79" cm="1">
        <f t="array" ref="DA215">SUMPRODUCT((DA$2:DA$126&gt;=0)*(DA$2:DA$126&lt;5)*(DA$2:DA$126&lt;&gt;"")*($J$2:$J$126))</f>
        <v>0</v>
      </c>
      <c r="DB215" s="79" cm="1">
        <f t="array" ref="DB215">SUMPRODUCT((DB$2:DB$126&gt;=0)*(DB$2:DB$126&lt;5)*(DB$2:DB$126&lt;&gt;"")*($J$2:$J$126))</f>
        <v>0</v>
      </c>
      <c r="DC215" s="79" cm="1">
        <f t="array" ref="DC215">SUMPRODUCT((DC$2:DC$126&gt;=0)*(DC$2:DC$126&lt;5)*(DC$2:DC$126&lt;&gt;"")*($J$2:$J$126))</f>
        <v>0</v>
      </c>
      <c r="DD215" s="79" cm="1">
        <f t="array" ref="DD215">SUMPRODUCT((DD$2:DD$126&gt;=0)*(DD$2:DD$126&lt;5)*(DD$2:DD$126&lt;&gt;"")*($J$2:$J$126))</f>
        <v>0</v>
      </c>
      <c r="DE215" s="79" cm="1">
        <f t="array" ref="DE215">SUMPRODUCT((DE$2:DE$126&gt;=0)*(DE$2:DE$126&lt;5)*(DE$2:DE$126&lt;&gt;"")*($J$2:$J$126))</f>
        <v>0</v>
      </c>
      <c r="DF215" s="79" cm="1">
        <f t="array" ref="DF215">SUMPRODUCT((DF$2:DF$126&gt;=0)*(DF$2:DF$126&lt;5)*(DF$2:DF$126&lt;&gt;"")*($J$2:$J$126))</f>
        <v>0</v>
      </c>
      <c r="DG215" s="79" cm="1">
        <f t="array" ref="DG215">SUMPRODUCT((DG$2:DG$126&gt;=0)*(DG$2:DG$126&lt;5)*(DG$2:DG$126&lt;&gt;"")*($J$2:$J$126))</f>
        <v>0</v>
      </c>
      <c r="DH215" s="79" cm="1">
        <f t="array" ref="DH215">SUMPRODUCT((DH$2:DH$126&gt;=0)*(DH$2:DH$126&lt;5)*(DH$2:DH$126&lt;&gt;"")*($J$2:$J$126))</f>
        <v>0</v>
      </c>
      <c r="DI215" s="79" cm="1">
        <f t="array" ref="DI215">SUMPRODUCT((DI$2:DI$126&gt;=0)*(DI$2:DI$126&lt;5)*(DI$2:DI$126&lt;&gt;"")*($J$2:$J$126))</f>
        <v>0</v>
      </c>
      <c r="DJ215" s="79" cm="1">
        <f t="array" ref="DJ215">SUMPRODUCT((DJ$2:DJ$126&gt;=0)*(DJ$2:DJ$126&lt;5)*(DJ$2:DJ$126&lt;&gt;"")*($J$2:$J$126))</f>
        <v>0</v>
      </c>
      <c r="DK215" s="79" cm="1">
        <f t="array" ref="DK215">SUMPRODUCT((DK$2:DK$126&gt;=0)*(DK$2:DK$126&lt;5)*(DK$2:DK$126&lt;&gt;"")*($J$2:$J$126))</f>
        <v>0</v>
      </c>
      <c r="DL215" s="79" cm="1">
        <f t="array" ref="DL215">SUMPRODUCT((DL$2:DL$126&gt;=0)*(DL$2:DL$126&lt;5)*(DL$2:DL$126&lt;&gt;"")*($J$2:$J$126))</f>
        <v>0</v>
      </c>
      <c r="DM215" s="79" cm="1">
        <f t="array" ref="DM215">SUMPRODUCT((DM$2:DM$126&gt;=0)*(DM$2:DM$126&lt;5)*(DM$2:DM$126&lt;&gt;"")*($J$2:$J$126))</f>
        <v>0</v>
      </c>
      <c r="DN215" s="79" cm="1">
        <f t="array" ref="DN215">SUMPRODUCT((DN$2:DN$126&gt;=0)*(DN$2:DN$126&lt;5)*(DN$2:DN$126&lt;&gt;"")*($J$2:$J$126))</f>
        <v>0</v>
      </c>
      <c r="DO215" s="79" cm="1">
        <f t="array" ref="DO215">SUMPRODUCT((DO$2:DO$126&gt;=0)*(DO$2:DO$126&lt;5)*(DO$2:DO$126&lt;&gt;"")*($J$2:$J$126))</f>
        <v>0</v>
      </c>
      <c r="DP215" s="79" cm="1">
        <f t="array" ref="DP215">SUMPRODUCT((DP$2:DP$126&gt;=0)*(DP$2:DP$126&lt;5)*(DP$2:DP$126&lt;&gt;"")*($J$2:$J$126))</f>
        <v>0</v>
      </c>
      <c r="DQ215" s="79" cm="1">
        <f t="array" ref="DQ215">SUMPRODUCT((DQ$2:DQ$126&gt;=0)*(DQ$2:DQ$126&lt;5)*(DQ$2:DQ$126&lt;&gt;"")*($J$2:$J$126))</f>
        <v>0</v>
      </c>
      <c r="DR215" s="79" cm="1">
        <f t="array" ref="DR215">SUMPRODUCT((DR$2:DR$126&gt;=0)*(DR$2:DR$126&lt;5)*(DR$2:DR$126&lt;&gt;"")*($J$2:$J$126))</f>
        <v>0</v>
      </c>
      <c r="DS215" s="79" cm="1">
        <f t="array" ref="DS215">SUMPRODUCT((DS$2:DS$126&gt;=0)*(DS$2:DS$126&lt;5)*(DS$2:DS$126&lt;&gt;"")*($J$2:$J$126))</f>
        <v>0</v>
      </c>
      <c r="DT215" s="79" cm="1">
        <f t="array" ref="DT215">SUMPRODUCT((DT$2:DT$126&gt;=0)*(DT$2:DT$126&lt;5)*(DT$2:DT$126&lt;&gt;"")*($J$2:$J$126))</f>
        <v>0</v>
      </c>
      <c r="DU215" s="79" cm="1">
        <f t="array" ref="DU215">SUMPRODUCT((DU$2:DU$126&gt;=0)*(DU$2:DU$126&lt;5)*(DU$2:DU$126&lt;&gt;"")*($J$2:$J$126))</f>
        <v>0</v>
      </c>
      <c r="DV215" s="79" cm="1">
        <f t="array" ref="DV215">SUMPRODUCT((DV$2:DV$126&gt;=0)*(DV$2:DV$126&lt;5)*(DV$2:DV$126&lt;&gt;"")*($J$2:$J$126))</f>
        <v>0</v>
      </c>
      <c r="DW215" s="79" cm="1">
        <f t="array" ref="DW215">SUMPRODUCT((DW$2:DW$126&gt;=0)*(DW$2:DW$126&lt;5)*(DW$2:DW$126&lt;&gt;"")*($J$2:$J$126))</f>
        <v>0</v>
      </c>
      <c r="DX215" s="79" cm="1">
        <f t="array" ref="DX215">SUMPRODUCT((DX$2:DX$126&gt;=0)*(DX$2:DX$126&lt;5)*(DX$2:DX$126&lt;&gt;"")*($J$2:$J$126))</f>
        <v>0</v>
      </c>
      <c r="DY215" s="79" cm="1">
        <f t="array" ref="DY215">SUMPRODUCT((DY$2:DY$126&gt;=0)*(DY$2:DY$126&lt;5)*(DY$2:DY$126&lt;&gt;"")*($J$2:$J$126))</f>
        <v>0</v>
      </c>
      <c r="DZ215" s="79" cm="1">
        <f t="array" ref="DZ215">SUMPRODUCT((DZ$2:DZ$126&gt;=0)*(DZ$2:DZ$126&lt;5)*(DZ$2:DZ$126&lt;&gt;"")*($J$2:$J$126))</f>
        <v>0</v>
      </c>
      <c r="EA215" s="79" cm="1">
        <f t="array" ref="EA215">SUMPRODUCT((EA$2:EA$126&gt;=0)*(EA$2:EA$126&lt;5)*(EA$2:EA$126&lt;&gt;"")*($J$2:$J$126))</f>
        <v>0</v>
      </c>
      <c r="EB215" s="79" cm="1">
        <f t="array" ref="EB215">SUMPRODUCT((EB$2:EB$126&gt;=0)*(EB$2:EB$126&lt;5)*(EB$2:EB$126&lt;&gt;"")*($J$2:$J$126))</f>
        <v>0</v>
      </c>
      <c r="EC215" s="79" cm="1">
        <f t="array" ref="EC215">SUMPRODUCT((EC$2:EC$126&gt;=0)*(EC$2:EC$126&lt;5)*(EC$2:EC$126&lt;&gt;"")*($J$2:$J$126))</f>
        <v>0</v>
      </c>
      <c r="ED215" s="79" cm="1">
        <f t="array" ref="ED215">SUMPRODUCT((ED$2:ED$126&gt;=0)*(ED$2:ED$126&lt;5)*(ED$2:ED$126&lt;&gt;"")*($J$2:$J$126))</f>
        <v>0</v>
      </c>
      <c r="EE215" s="79" cm="1">
        <f t="array" ref="EE215">SUMPRODUCT((EE$2:EE$126&gt;=0)*(EE$2:EE$126&lt;5)*(EE$2:EE$126&lt;&gt;"")*($J$2:$J$126))</f>
        <v>0</v>
      </c>
      <c r="EF215" s="79" cm="1">
        <f t="array" ref="EF215">SUMPRODUCT((EF$2:EF$126&gt;=0)*(EF$2:EF$126&lt;5)*(EF$2:EF$126&lt;&gt;"")*($J$2:$J$126))</f>
        <v>0</v>
      </c>
      <c r="EG215" s="79" cm="1">
        <f t="array" ref="EG215">SUMPRODUCT((EG$2:EG$126&gt;=0)*(EG$2:EG$126&lt;5)*(EG$2:EG$126&lt;&gt;"")*($J$2:$J$126))</f>
        <v>0</v>
      </c>
      <c r="EH215" s="79" cm="1">
        <f t="array" ref="EH215">SUMPRODUCT((EH$2:EH$126&gt;=0)*(EH$2:EH$126&lt;5)*(EH$2:EH$126&lt;&gt;"")*($J$2:$J$126))</f>
        <v>0</v>
      </c>
      <c r="EI215" s="79" cm="1">
        <f t="array" ref="EI215">SUMPRODUCT((EI$2:EI$126&gt;=0)*(EI$2:EI$126&lt;5)*(EI$2:EI$126&lt;&gt;"")*($J$2:$J$126))</f>
        <v>0</v>
      </c>
      <c r="EJ215" s="79" cm="1">
        <f t="array" ref="EJ215">SUMPRODUCT((EJ$2:EJ$126&gt;=0)*(EJ$2:EJ$126&lt;5)*(EJ$2:EJ$126&lt;&gt;"")*($J$2:$J$126))</f>
        <v>0</v>
      </c>
      <c r="EK215" s="79" cm="1">
        <f t="array" ref="EK215">SUMPRODUCT((EK$2:EK$126&gt;=0)*(EK$2:EK$126&lt;5)*(EK$2:EK$126&lt;&gt;"")*($J$2:$J$126))</f>
        <v>0</v>
      </c>
      <c r="EL215" s="79" cm="1">
        <f t="array" ref="EL215">SUMPRODUCT((EL$2:EL$126&gt;=0)*(EL$2:EL$126&lt;5)*(EL$2:EL$126&lt;&gt;"")*($J$2:$J$126))</f>
        <v>0</v>
      </c>
      <c r="EM215" s="79" cm="1">
        <f t="array" ref="EM215">SUMPRODUCT((EM$2:EM$126&gt;=0)*(EM$2:EM$126&lt;5)*(EM$2:EM$126&lt;&gt;"")*($J$2:$J$126))</f>
        <v>0</v>
      </c>
      <c r="EN215" s="79" cm="1">
        <f t="array" ref="EN215">SUMPRODUCT((EN$2:EN$126&gt;=0)*(EN$2:EN$126&lt;5)*(EN$2:EN$126&lt;&gt;"")*($J$2:$J$126))</f>
        <v>0</v>
      </c>
      <c r="EO215" s="79" cm="1">
        <f t="array" ref="EO215">SUMPRODUCT((EO$2:EO$126&gt;=0)*(EO$2:EO$126&lt;5)*(EO$2:EO$126&lt;&gt;"")*($J$2:$J$126))</f>
        <v>0</v>
      </c>
      <c r="EP215" s="79" cm="1">
        <f t="array" ref="EP215">SUMPRODUCT((EP$2:EP$126&gt;=0)*(EP$2:EP$126&lt;5)*(EP$2:EP$126&lt;&gt;"")*($J$2:$J$126))</f>
        <v>0</v>
      </c>
      <c r="EQ215" s="79" cm="1">
        <f t="array" ref="EQ215">SUMPRODUCT((EQ$2:EQ$126&gt;=0)*(EQ$2:EQ$126&lt;5)*(EQ$2:EQ$126&lt;&gt;"")*($J$2:$J$126))</f>
        <v>0</v>
      </c>
      <c r="ER215" s="79" cm="1">
        <f t="array" ref="ER215">SUMPRODUCT((ER$2:ER$126&gt;=0)*(ER$2:ER$126&lt;5)*(ER$2:ER$126&lt;&gt;"")*($J$2:$J$126))</f>
        <v>0</v>
      </c>
      <c r="ES215" s="79" cm="1">
        <f t="array" ref="ES215">SUMPRODUCT((ES$2:ES$126&gt;=0)*(ES$2:ES$126&lt;5)*(ES$2:ES$126&lt;&gt;"")*($J$2:$J$126))</f>
        <v>0</v>
      </c>
      <c r="ET215" s="79" cm="1">
        <f t="array" ref="ET215">SUMPRODUCT((ET$2:ET$126&gt;=0)*(ET$2:ET$126&lt;5)*(ET$2:ET$126&lt;&gt;"")*($J$2:$J$126))</f>
        <v>0</v>
      </c>
      <c r="EU215" s="79" cm="1">
        <f t="array" ref="EU215">SUMPRODUCT((EU$2:EU$126&gt;=0)*(EU$2:EU$126&lt;5)*(EU$2:EU$126&lt;&gt;"")*($J$2:$J$126))</f>
        <v>0</v>
      </c>
      <c r="EV215" s="79" cm="1">
        <f t="array" ref="EV215">SUMPRODUCT((EV$2:EV$126&gt;=0)*(EV$2:EV$126&lt;5)*(EV$2:EV$126&lt;&gt;"")*($J$2:$J$126))</f>
        <v>0</v>
      </c>
      <c r="EW215" s="79" cm="1">
        <f t="array" ref="EW215">SUMPRODUCT((EW$2:EW$126&gt;=0)*(EW$2:EW$126&lt;5)*(EW$2:EW$126&lt;&gt;"")*($J$2:$J$126))</f>
        <v>0</v>
      </c>
      <c r="EX215" s="79" cm="1">
        <f t="array" ref="EX215">SUMPRODUCT((EX$2:EX$126&gt;=0)*(EX$2:EX$126&lt;5)*(EX$2:EX$126&lt;&gt;"")*($J$2:$J$126))</f>
        <v>0</v>
      </c>
      <c r="EY215" s="79" cm="1">
        <f t="array" ref="EY215">SUMPRODUCT((EY$2:EY$126&gt;=0)*(EY$2:EY$126&lt;5)*(EY$2:EY$126&lt;&gt;"")*($J$2:$J$126))</f>
        <v>0</v>
      </c>
      <c r="EZ215" s="79" cm="1">
        <f t="array" ref="EZ215">SUMPRODUCT((EZ$2:EZ$126&gt;=0)*(EZ$2:EZ$126&lt;5)*(EZ$2:EZ$126&lt;&gt;"")*($J$2:$J$126))</f>
        <v>0</v>
      </c>
      <c r="FA215" s="79" cm="1">
        <f t="array" ref="FA215">SUMPRODUCT((FA$2:FA$126&gt;=0)*(FA$2:FA$126&lt;5)*(FA$2:FA$126&lt;&gt;"")*($J$2:$J$126))</f>
        <v>0</v>
      </c>
      <c r="FB215" s="79" cm="1">
        <f t="array" ref="FB215">SUMPRODUCT((FB$2:FB$126&gt;=0)*(FB$2:FB$126&lt;5)*(FB$2:FB$126&lt;&gt;"")*($J$2:$J$126))</f>
        <v>0</v>
      </c>
      <c r="FC215" s="79" cm="1">
        <f t="array" ref="FC215">SUMPRODUCT((FC$2:FC$126&gt;=0)*(FC$2:FC$126&lt;5)*(FC$2:FC$126&lt;&gt;"")*($J$2:$J$126))</f>
        <v>0</v>
      </c>
      <c r="FD215" s="79" cm="1">
        <f t="array" ref="FD215">SUMPRODUCT((FD$2:FD$126&gt;=0)*(FD$2:FD$126&lt;5)*(FD$2:FD$126&lt;&gt;"")*($J$2:$J$126))</f>
        <v>0</v>
      </c>
      <c r="FE215" s="79" cm="1">
        <f t="array" ref="FE215">SUMPRODUCT((FE$2:FE$126&gt;=0)*(FE$2:FE$126&lt;5)*(FE$2:FE$126&lt;&gt;"")*($J$2:$J$126))</f>
        <v>0</v>
      </c>
      <c r="FF215" s="79" cm="1">
        <f t="array" ref="FF215">SUMPRODUCT((FF$2:FF$126&gt;=0)*(FF$2:FF$126&lt;5)*(FF$2:FF$126&lt;&gt;"")*($J$2:$J$126))</f>
        <v>0</v>
      </c>
      <c r="FG215" s="79" cm="1">
        <f t="array" ref="FG215">SUMPRODUCT((FG$2:FG$126&gt;=0)*(FG$2:FG$126&lt;5)*(FG$2:FG$126&lt;&gt;"")*($J$2:$J$126))</f>
        <v>0</v>
      </c>
      <c r="FH215" s="79" cm="1">
        <f t="array" ref="FH215">SUMPRODUCT((FH$2:FH$126&gt;=0)*(FH$2:FH$126&lt;5)*(FH$2:FH$126&lt;&gt;"")*($J$2:$J$126))</f>
        <v>0</v>
      </c>
      <c r="FI215" s="79" cm="1">
        <f t="array" ref="FI215">SUMPRODUCT((FI$2:FI$126&gt;=0)*(FI$2:FI$126&lt;5)*(FI$2:FI$126&lt;&gt;"")*($J$2:$J$126))</f>
        <v>0</v>
      </c>
      <c r="FJ215" s="79" cm="1">
        <f t="array" ref="FJ215">SUMPRODUCT((FJ$2:FJ$126&gt;=0)*(FJ$2:FJ$126&lt;5)*(FJ$2:FJ$126&lt;&gt;"")*($J$2:$J$126))</f>
        <v>0</v>
      </c>
      <c r="FK215" s="79" cm="1">
        <f t="array" ref="FK215">SUMPRODUCT((FK$2:FK$126&gt;=0)*(FK$2:FK$126&lt;5)*(FK$2:FK$126&lt;&gt;"")*($J$2:$J$126))</f>
        <v>0</v>
      </c>
      <c r="FL215" s="79" cm="1">
        <f t="array" ref="FL215">SUMPRODUCT((FL$2:FL$126&gt;=0)*(FL$2:FL$126&lt;5)*(FL$2:FL$126&lt;&gt;"")*($J$2:$J$126))</f>
        <v>0</v>
      </c>
      <c r="FM215" s="79" cm="1">
        <f t="array" ref="FM215">SUMPRODUCT((FM$2:FM$126&gt;=0)*(FM$2:FM$126&lt;5)*(FM$2:FM$126&lt;&gt;"")*($J$2:$J$126))</f>
        <v>0</v>
      </c>
      <c r="FN215" s="79" cm="1">
        <f t="array" ref="FN215">SUMPRODUCT((FN$2:FN$126&gt;=0)*(FN$2:FN$126&lt;5)*(FN$2:FN$126&lt;&gt;"")*($J$2:$J$126))</f>
        <v>0</v>
      </c>
      <c r="FO215" s="79" cm="1">
        <f t="array" ref="FO215">SUMPRODUCT((FO$2:FO$126&gt;=0)*(FO$2:FO$126&lt;5)*(FO$2:FO$126&lt;&gt;"")*($J$2:$J$126))</f>
        <v>0</v>
      </c>
      <c r="FP215" s="79" cm="1">
        <f t="array" ref="FP215">SUMPRODUCT((FP$2:FP$126&gt;=0)*(FP$2:FP$126&lt;5)*(FP$2:FP$126&lt;&gt;"")*($J$2:$J$126))</f>
        <v>0</v>
      </c>
      <c r="FQ215" s="79" cm="1">
        <f t="array" ref="FQ215">SUMPRODUCT((FQ$2:FQ$126&gt;=0)*(FQ$2:FQ$126&lt;5)*(FQ$2:FQ$126&lt;&gt;"")*($J$2:$J$126))</f>
        <v>0</v>
      </c>
      <c r="FR215" s="79" cm="1">
        <f t="array" ref="FR215">SUMPRODUCT((FR$2:FR$126&gt;=0)*(FR$2:FR$126&lt;5)*(FR$2:FR$126&lt;&gt;"")*($J$2:$J$126))</f>
        <v>0</v>
      </c>
      <c r="FS215" s="79" cm="1">
        <f t="array" ref="FS215">SUMPRODUCT((FS$2:FS$126&gt;=0)*(FS$2:FS$126&lt;5)*(FS$2:FS$126&lt;&gt;"")*($J$2:$J$126))</f>
        <v>0</v>
      </c>
      <c r="FT215" s="79" cm="1">
        <f t="array" ref="FT215">SUMPRODUCT((FT$2:FT$126&gt;=0)*(FT$2:FT$126&lt;5)*(FT$2:FT$126&lt;&gt;"")*($J$2:$J$126))</f>
        <v>0</v>
      </c>
      <c r="FU215" s="79" cm="1">
        <f t="array" ref="FU215">SUMPRODUCT((FU$2:FU$126&gt;=0)*(FU$2:FU$126&lt;5)*(FU$2:FU$126&lt;&gt;"")*($J$2:$J$126))</f>
        <v>0</v>
      </c>
      <c r="FV215" s="79" cm="1">
        <f t="array" ref="FV215">SUMPRODUCT((FV$2:FV$126&gt;=0)*(FV$2:FV$126&lt;5)*(FV$2:FV$126&lt;&gt;"")*($J$2:$J$126))</f>
        <v>0</v>
      </c>
      <c r="FW215" s="79" cm="1">
        <f t="array" ref="FW215">SUMPRODUCT((FW$2:FW$126&gt;=0)*(FW$2:FW$126&lt;5)*(FW$2:FW$126&lt;&gt;"")*($J$2:$J$126))</f>
        <v>0</v>
      </c>
      <c r="FX215" s="79" cm="1">
        <f t="array" ref="FX215">SUMPRODUCT((FX$2:FX$126&gt;=0)*(FX$2:FX$126&lt;5)*(FX$2:FX$126&lt;&gt;"")*($J$2:$J$126))</f>
        <v>0</v>
      </c>
      <c r="FY215" s="79" cm="1">
        <f t="array" ref="FY215">SUMPRODUCT((FY$2:FY$126&gt;=0)*(FY$2:FY$126&lt;5)*(FY$2:FY$126&lt;&gt;"")*($J$2:$J$126))</f>
        <v>0</v>
      </c>
      <c r="FZ215" s="79" cm="1">
        <f t="array" ref="FZ215">SUMPRODUCT((FZ$2:FZ$126&gt;=0)*(FZ$2:FZ$126&lt;5)*(FZ$2:FZ$126&lt;&gt;"")*($J$2:$J$126))</f>
        <v>0</v>
      </c>
      <c r="GA215" s="79" cm="1">
        <f t="array" ref="GA215">SUMPRODUCT((GA$2:GA$126&gt;=0)*(GA$2:GA$126&lt;5)*(GA$2:GA$126&lt;&gt;"")*($J$2:$J$126))</f>
        <v>0</v>
      </c>
      <c r="GB215" s="79" cm="1">
        <f t="array" ref="GB215">SUMPRODUCT((GB$2:GB$126&gt;=0)*(GB$2:GB$126&lt;5)*(GB$2:GB$126&lt;&gt;"")*($J$2:$J$126))</f>
        <v>0</v>
      </c>
      <c r="GC215" s="79" cm="1">
        <f t="array" ref="GC215">SUMPRODUCT((GC$2:GC$126&gt;=0)*(GC$2:GC$126&lt;5)*(GC$2:GC$126&lt;&gt;"")*($J$2:$J$126))</f>
        <v>0</v>
      </c>
      <c r="GD215" s="79" cm="1">
        <f t="array" ref="GD215">SUMPRODUCT((GD$2:GD$126&gt;=0)*(GD$2:GD$126&lt;5)*(GD$2:GD$126&lt;&gt;"")*($J$2:$J$126))</f>
        <v>0</v>
      </c>
      <c r="GE215" s="79" cm="1">
        <f t="array" ref="GE215">SUMPRODUCT((GE$2:GE$126&gt;=0)*(GE$2:GE$126&lt;5)*(GE$2:GE$126&lt;&gt;"")*($J$2:$J$126))</f>
        <v>0</v>
      </c>
      <c r="GF215" s="79" cm="1">
        <f t="array" ref="GF215">SUMPRODUCT((GF$2:GF$126&gt;=0)*(GF$2:GF$126&lt;5)*(GF$2:GF$126&lt;&gt;"")*($J$2:$J$126))</f>
        <v>0</v>
      </c>
      <c r="GG215" s="79" cm="1">
        <f t="array" ref="GG215">SUMPRODUCT((GG$2:GG$126&gt;=0)*(GG$2:GG$126&lt;5)*(GG$2:GG$126&lt;&gt;"")*($J$2:$J$126))</f>
        <v>0</v>
      </c>
      <c r="GH215" s="79" cm="1">
        <f t="array" ref="GH215">SUMPRODUCT((GH$2:GH$126&gt;=0)*(GH$2:GH$126&lt;5)*(GH$2:GH$126&lt;&gt;"")*($J$2:$J$126))</f>
        <v>0</v>
      </c>
      <c r="GI215" s="79" cm="1">
        <f t="array" ref="GI215">SUMPRODUCT((GI$2:GI$126&gt;=0)*(GI$2:GI$126&lt;5)*(GI$2:GI$126&lt;&gt;"")*($J$2:$J$126))</f>
        <v>0</v>
      </c>
      <c r="GJ215" s="79" cm="1">
        <f t="array" ref="GJ215">SUMPRODUCT((GJ$2:GJ$126&gt;=0)*(GJ$2:GJ$126&lt;5)*(GJ$2:GJ$126&lt;&gt;"")*($J$2:$J$126))</f>
        <v>0</v>
      </c>
      <c r="GK215" s="79" cm="1">
        <f t="array" ref="GK215">SUMPRODUCT((GK$2:GK$126&gt;=0)*(GK$2:GK$126&lt;5)*(GK$2:GK$126&lt;&gt;"")*($J$2:$J$126))</f>
        <v>0</v>
      </c>
      <c r="GL215" s="79" cm="1">
        <f t="array" ref="GL215">SUMPRODUCT((GL$2:GL$126&gt;=0)*(GL$2:GL$126&lt;5)*(GL$2:GL$126&lt;&gt;"")*($J$2:$J$126))</f>
        <v>0</v>
      </c>
      <c r="GM215" s="79" cm="1">
        <f t="array" ref="GM215">SUMPRODUCT((GM$2:GM$126&gt;=0)*(GM$2:GM$126&lt;5)*(GM$2:GM$126&lt;&gt;"")*($J$2:$J$126))</f>
        <v>0</v>
      </c>
      <c r="GN215" s="79" cm="1">
        <f t="array" ref="GN215">SUMPRODUCT((GN$2:GN$126&gt;=0)*(GN$2:GN$126&lt;5)*(GN$2:GN$126&lt;&gt;"")*($J$2:$J$126))</f>
        <v>0</v>
      </c>
      <c r="GO215" s="79" cm="1">
        <f t="array" ref="GO215">SUMPRODUCT((GO$2:GO$126&gt;=0)*(GO$2:GO$126&lt;5)*(GO$2:GO$126&lt;&gt;"")*($J$2:$J$126))</f>
        <v>0</v>
      </c>
      <c r="GP215" s="79" cm="1">
        <f t="array" ref="GP215">SUMPRODUCT((GP$2:GP$126&gt;=0)*(GP$2:GP$126&lt;5)*(GP$2:GP$126&lt;&gt;"")*($J$2:$J$126))</f>
        <v>0</v>
      </c>
      <c r="GQ215" s="79" cm="1">
        <f t="array" ref="GQ215">SUMPRODUCT((GQ$2:GQ$126&gt;=0)*(GQ$2:GQ$126&lt;5)*(GQ$2:GQ$126&lt;&gt;"")*($J$2:$J$126))</f>
        <v>0</v>
      </c>
      <c r="GR215" s="79" cm="1">
        <f t="array" ref="GR215">SUMPRODUCT((GR$2:GR$126&gt;=0)*(GR$2:GR$126&lt;5)*(GR$2:GR$126&lt;&gt;"")*($J$2:$J$126))</f>
        <v>0</v>
      </c>
      <c r="GS215" s="79" cm="1">
        <f t="array" ref="GS215">SUMPRODUCT((GS$2:GS$126&gt;=0)*(GS$2:GS$126&lt;5)*(GS$2:GS$126&lt;&gt;"")*($J$2:$J$126))</f>
        <v>0</v>
      </c>
      <c r="GT215" s="79" cm="1">
        <f t="array" ref="GT215">SUMPRODUCT((GT$2:GT$126&gt;=0)*(GT$2:GT$126&lt;5)*(GT$2:GT$126&lt;&gt;"")*($J$2:$J$126))</f>
        <v>0</v>
      </c>
      <c r="GU215" s="79" cm="1">
        <f t="array" ref="GU215">SUMPRODUCT((GU$2:GU$126&gt;=0)*(GU$2:GU$126&lt;5)*(GU$2:GU$126&lt;&gt;"")*($J$2:$J$126))</f>
        <v>0</v>
      </c>
      <c r="GV215" s="79" cm="1">
        <f t="array" ref="GV215">SUMPRODUCT((GV$2:GV$126&gt;=0)*(GV$2:GV$126&lt;5)*(GV$2:GV$126&lt;&gt;"")*($J$2:$J$126))</f>
        <v>0</v>
      </c>
      <c r="GW215" s="79" cm="1">
        <f t="array" ref="GW215">SUMPRODUCT((GW$2:GW$126&gt;=0)*(GW$2:GW$126&lt;5)*(GW$2:GW$126&lt;&gt;"")*($J$2:$J$126))</f>
        <v>0</v>
      </c>
      <c r="GX215" s="79" cm="1">
        <f t="array" ref="GX215">SUMPRODUCT((GX$2:GX$126&gt;=0)*(GX$2:GX$126&lt;5)*(GX$2:GX$126&lt;&gt;"")*($J$2:$J$126))</f>
        <v>0</v>
      </c>
    </row>
    <row r="216" spans="1:206" x14ac:dyDescent="0.2">
      <c r="A216" s="86"/>
      <c r="B216" s="86" t="s">
        <v>278</v>
      </c>
      <c r="W216" s="87" cm="1">
        <f t="array" ref="W216">SUMPRODUCT((W$2:W$126&gt;=0)*(W$2:W$126&lt;5)*(W$2:W$126&lt;&gt;""))</f>
        <v>13</v>
      </c>
      <c r="X216" s="87" cm="1">
        <f t="array" ref="X216">SUMPRODUCT((X$2:X$126&gt;=0)*(X$2:X$126&lt;5)*(X$2:X$126&lt;&gt;""))</f>
        <v>16</v>
      </c>
      <c r="Y216" s="87" cm="1">
        <f t="array" ref="Y216">SUMPRODUCT((Y$2:Y$126&gt;=0)*(Y$2:Y$126&lt;5)*(Y$2:Y$126&lt;&gt;""))</f>
        <v>16</v>
      </c>
      <c r="Z216" s="87" cm="1">
        <f t="array" ref="Z216">SUMPRODUCT((Z$2:Z$126&gt;=0)*(Z$2:Z$126&lt;5)*(Z$2:Z$126&lt;&gt;""))</f>
        <v>15</v>
      </c>
      <c r="AA216" s="87" cm="1">
        <f t="array" ref="AA216">SUMPRODUCT((AA$2:AA$126&gt;=0)*(AA$2:AA$126&lt;5)*(AA$2:AA$126&lt;&gt;""))</f>
        <v>12</v>
      </c>
      <c r="AB216" s="87" cm="1">
        <f t="array" ref="AB216">SUMPRODUCT((AB$2:AB$126&gt;=0)*(AB$2:AB$126&lt;5)*(AB$2:AB$126&lt;&gt;""))</f>
        <v>11</v>
      </c>
      <c r="AC216" s="87" cm="1">
        <f t="array" ref="AC216">SUMPRODUCT((AC$2:AC$126&gt;=0)*(AC$2:AC$126&lt;5)*(AC$2:AC$126&lt;&gt;""))</f>
        <v>12</v>
      </c>
      <c r="AD216" s="87" cm="1">
        <f t="array" ref="AD216">SUMPRODUCT((AD$2:AD$126&gt;=0)*(AD$2:AD$126&lt;5)*(AD$2:AD$126&lt;&gt;""))</f>
        <v>11</v>
      </c>
      <c r="AE216" s="87" cm="1">
        <f t="array" ref="AE216">SUMPRODUCT((AE$2:AE$126&gt;=0)*(AE$2:AE$126&lt;5)*(AE$2:AE$126&lt;&gt;""))</f>
        <v>12</v>
      </c>
      <c r="AF216" s="87" cm="1">
        <f t="array" ref="AF216">SUMPRODUCT((AF$2:AF$126&gt;=0)*(AF$2:AF$126&lt;5)*(AF$2:AF$126&lt;&gt;""))</f>
        <v>14</v>
      </c>
      <c r="AG216" s="87" cm="1">
        <f t="array" ref="AG216">SUMPRODUCT((AG$2:AG$126&gt;=0)*(AG$2:AG$126&lt;5)*(AG$2:AG$126&lt;&gt;""))</f>
        <v>16</v>
      </c>
      <c r="AH216" s="87" cm="1">
        <f t="array" ref="AH216">SUMPRODUCT((AH$2:AH$126&gt;=0)*(AH$2:AH$126&lt;5)*(AH$2:AH$126&lt;&gt;""))</f>
        <v>16</v>
      </c>
      <c r="AI216" s="87" cm="1">
        <f t="array" ref="AI216">SUMPRODUCT((AI$2:AI$126&gt;=0)*(AI$2:AI$126&lt;5)*(AI$2:AI$126&lt;&gt;""))</f>
        <v>19</v>
      </c>
      <c r="AJ216" s="87" cm="1">
        <f t="array" ref="AJ216">SUMPRODUCT((AJ$2:AJ$126&gt;=0)*(AJ$2:AJ$126&lt;5)*(AJ$2:AJ$126&lt;&gt;""))</f>
        <v>19</v>
      </c>
      <c r="AK216" s="87" cm="1">
        <f t="array" ref="AK216">SUMPRODUCT((AK$2:AK$126&gt;=0)*(AK$2:AK$126&lt;5)*(AK$2:AK$126&lt;&gt;""))</f>
        <v>23</v>
      </c>
      <c r="AL216" s="87" cm="1">
        <f t="array" ref="AL216">SUMPRODUCT((AL$2:AL$126&gt;=0)*(AL$2:AL$126&lt;5)*(AL$2:AL$126&lt;&gt;""))</f>
        <v>21</v>
      </c>
      <c r="AM216" s="87" cm="1">
        <f t="array" ref="AM216">SUMPRODUCT((AM$2:AM$126&gt;=0)*(AM$2:AM$126&lt;5)*(AM$2:AM$126&lt;&gt;""))</f>
        <v>22</v>
      </c>
      <c r="AN216" s="87" cm="1">
        <f t="array" ref="AN216">SUMPRODUCT((AN$2:AN$126&gt;=0)*(AN$2:AN$126&lt;5)*(AN$2:AN$126&lt;&gt;""))</f>
        <v>22</v>
      </c>
      <c r="AO216" s="87" cm="1">
        <f t="array" ref="AO216">SUMPRODUCT((AO$2:AO$126&gt;=0)*(AO$2:AO$126&lt;5)*(AO$2:AO$126&lt;&gt;""))</f>
        <v>18</v>
      </c>
      <c r="AP216" s="87" cm="1">
        <f t="array" ref="AP216">SUMPRODUCT((AP$2:AP$126&gt;=0)*(AP$2:AP$126&lt;5)*(AP$2:AP$126&lt;&gt;""))</f>
        <v>13</v>
      </c>
      <c r="AQ216" s="87" cm="1">
        <f t="array" ref="AQ216">SUMPRODUCT((AQ$2:AQ$126&gt;=0)*(AQ$2:AQ$126&lt;5)*(AQ$2:AQ$126&lt;&gt;""))</f>
        <v>13</v>
      </c>
      <c r="AR216" s="87" cm="1">
        <f t="array" ref="AR216">SUMPRODUCT((AR$2:AR$126&gt;=0)*(AR$2:AR$126&lt;5)*(AR$2:AR$126&lt;&gt;""))</f>
        <v>18</v>
      </c>
      <c r="AS216" s="87" cm="1">
        <f t="array" ref="AS216">SUMPRODUCT((AS$2:AS$126&gt;=0)*(AS$2:AS$126&lt;5)*(AS$2:AS$126&lt;&gt;""))</f>
        <v>24</v>
      </c>
      <c r="AT216" s="87" cm="1">
        <f t="array" ref="AT216">SUMPRODUCT((AT$2:AT$126&gt;=0)*(AT$2:AT$126&lt;5)*(AT$2:AT$126&lt;&gt;""))</f>
        <v>29</v>
      </c>
      <c r="AU216" s="87" cm="1">
        <f t="array" ref="AU216">SUMPRODUCT((AU$2:AU$126&gt;=0)*(AU$2:AU$126&lt;5)*(AU$2:AU$126&lt;&gt;""))</f>
        <v>32</v>
      </c>
      <c r="AV216" s="87" cm="1">
        <f t="array" ref="AV216">SUMPRODUCT((AV$2:AV$126&gt;=0)*(AV$2:AV$126&lt;5)*(AV$2:AV$126&lt;&gt;""))</f>
        <v>30</v>
      </c>
      <c r="AW216" s="87" cm="1">
        <f t="array" ref="AW216">SUMPRODUCT((AW$2:AW$126&gt;=0)*(AW$2:AW$126&lt;5)*(AW$2:AW$126&lt;&gt;""))</f>
        <v>27</v>
      </c>
      <c r="AX216" s="87" cm="1">
        <f t="array" ref="AX216">SUMPRODUCT((AX$2:AX$126&gt;=0)*(AX$2:AX$126&lt;5)*(AX$2:AX$126&lt;&gt;""))</f>
        <v>20</v>
      </c>
      <c r="AY216" s="87" cm="1">
        <f t="array" ref="AY216">SUMPRODUCT((AY$2:AY$126&gt;=0)*(AY$2:AY$126&lt;5)*(AY$2:AY$126&lt;&gt;""))</f>
        <v>20</v>
      </c>
      <c r="AZ216" s="87" cm="1">
        <f t="array" ref="AZ216">SUMPRODUCT((AZ$2:AZ$126&gt;=0)*(AZ$2:AZ$126&lt;5)*(AZ$2:AZ$126&lt;&gt;""))</f>
        <v>23</v>
      </c>
      <c r="BA216" s="87" cm="1">
        <f t="array" ref="BA216">SUMPRODUCT((BA$2:BA$126&gt;=0)*(BA$2:BA$126&lt;5)*(BA$2:BA$126&lt;&gt;""))</f>
        <v>33</v>
      </c>
      <c r="BB216" s="87" cm="1">
        <f t="array" ref="BB216">SUMPRODUCT((BB$2:BB$126&gt;=0)*(BB$2:BB$126&lt;5)*(BB$2:BB$126&lt;&gt;""))</f>
        <v>28</v>
      </c>
      <c r="BC216" s="87" cm="1">
        <f t="array" ref="BC216">SUMPRODUCT((BC$2:BC$126&gt;=0)*(BC$2:BC$126&lt;5)*(BC$2:BC$126&lt;&gt;""))</f>
        <v>25</v>
      </c>
      <c r="BD216" s="87" cm="1">
        <f t="array" ref="BD216">SUMPRODUCT((BD$2:BD$126&gt;=0)*(BD$2:BD$126&lt;5)*(BD$2:BD$126&lt;&gt;""))</f>
        <v>24</v>
      </c>
      <c r="BE216" s="87" cm="1">
        <f t="array" ref="BE216">SUMPRODUCT((BE$2:BE$126&gt;=0)*(BE$2:BE$126&lt;5)*(BE$2:BE$126&lt;&gt;""))</f>
        <v>23</v>
      </c>
      <c r="BF216" s="87" cm="1">
        <f t="array" ref="BF216">SUMPRODUCT((BF$2:BF$126&gt;=0)*(BF$2:BF$126&lt;5)*(BF$2:BF$126&lt;&gt;""))</f>
        <v>24</v>
      </c>
      <c r="BG216" s="87" cm="1">
        <f t="array" ref="BG216">SUMPRODUCT((BG$2:BG$126&gt;=0)*(BG$2:BG$126&lt;5)*(BG$2:BG$126&lt;&gt;""))</f>
        <v>30</v>
      </c>
      <c r="BH216" s="87" cm="1">
        <f t="array" ref="BH216">SUMPRODUCT((BH$2:BH$126&gt;=0)*(BH$2:BH$126&lt;5)*(BH$2:BH$126&lt;&gt;""))</f>
        <v>33</v>
      </c>
      <c r="BI216" s="87" cm="1">
        <f t="array" ref="BI216">SUMPRODUCT((BI$2:BI$126&gt;=0)*(BI$2:BI$126&lt;5)*(BI$2:BI$126&lt;&gt;""))</f>
        <v>33</v>
      </c>
      <c r="BJ216" s="87" cm="1">
        <f t="array" ref="BJ216">SUMPRODUCT((BJ$2:BJ$126&gt;=0)*(BJ$2:BJ$126&lt;5)*(BJ$2:BJ$126&lt;&gt;""))</f>
        <v>27</v>
      </c>
      <c r="BK216" s="87" cm="1">
        <f t="array" ref="BK216">SUMPRODUCT((BK$2:BK$126&gt;=0)*(BK$2:BK$126&lt;5)*(BK$2:BK$126&lt;&gt;""))</f>
        <v>23</v>
      </c>
      <c r="BL216" s="87" cm="1">
        <f t="array" ref="BL216">SUMPRODUCT((BL$2:BL$126&gt;=0)*(BL$2:BL$126&lt;5)*(BL$2:BL$126&lt;&gt;""))</f>
        <v>20</v>
      </c>
      <c r="BM216" s="87" cm="1">
        <f t="array" ref="BM216">SUMPRODUCT((BM$2:BM$126&gt;=0)*(BM$2:BM$126&lt;5)*(BM$2:BM$126&lt;&gt;""))</f>
        <v>27</v>
      </c>
      <c r="BN216" s="87" cm="1">
        <f t="array" ref="BN216">SUMPRODUCT((BN$2:BN$126&gt;=0)*(BN$2:BN$126&lt;5)*(BN$2:BN$126&lt;&gt;""))</f>
        <v>25</v>
      </c>
      <c r="BO216" s="87" cm="1">
        <f t="array" ref="BO216">SUMPRODUCT((BO$2:BO$126&gt;=0)*(BO$2:BO$126&lt;5)*(BO$2:BO$126&lt;&gt;""))</f>
        <v>32</v>
      </c>
      <c r="BP216" s="87" cm="1">
        <f t="array" ref="BP216">SUMPRODUCT((BP$2:BP$126&gt;=0)*(BP$2:BP$126&lt;5)*(BP$2:BP$126&lt;&gt;""))</f>
        <v>25</v>
      </c>
      <c r="BQ216" s="87" cm="1">
        <f t="array" ref="BQ216">SUMPRODUCT((BQ$2:BQ$126&gt;=0)*(BQ$2:BQ$126&lt;5)*(BQ$2:BQ$126&lt;&gt;""))</f>
        <v>19</v>
      </c>
      <c r="BR216" s="87" cm="1">
        <f t="array" ref="BR216">SUMPRODUCT((BR$2:BR$126&gt;=0)*(BR$2:BR$126&lt;5)*(BR$2:BR$126&lt;&gt;""))</f>
        <v>9</v>
      </c>
      <c r="BS216" s="87" cm="1">
        <f t="array" ref="BS216">SUMPRODUCT((BS$2:BS$126&gt;=0)*(BS$2:BS$126&lt;5)*(BS$2:BS$126&lt;&gt;""))</f>
        <v>7</v>
      </c>
      <c r="BT216" s="87" cm="1">
        <f t="array" ref="BT216">SUMPRODUCT((BT$2:BT$126&gt;=0)*(BT$2:BT$126&lt;5)*(BT$2:BT$126&lt;&gt;""))</f>
        <v>0</v>
      </c>
      <c r="BU216" s="87" cm="1">
        <f t="array" ref="BU216">SUMPRODUCT((BU$2:BU$126&gt;=0)*(BU$2:BU$126&lt;5)*(BU$2:BU$126&lt;&gt;""))</f>
        <v>0</v>
      </c>
      <c r="BV216" s="87" cm="1">
        <f t="array" ref="BV216">SUMPRODUCT((BV$2:BV$126&gt;=0)*(BV$2:BV$126&lt;5)*(BV$2:BV$126&lt;&gt;""))</f>
        <v>0</v>
      </c>
      <c r="BW216" s="87" cm="1">
        <f t="array" ref="BW216">SUMPRODUCT((BW$2:BW$126&gt;=0)*(BW$2:BW$126&lt;5)*(BW$2:BW$126&lt;&gt;""))</f>
        <v>0</v>
      </c>
      <c r="BX216" s="87" cm="1">
        <f t="array" ref="BX216">SUMPRODUCT((BX$2:BX$126&gt;=0)*(BX$2:BX$126&lt;5)*(BX$2:BX$126&lt;&gt;""))</f>
        <v>0</v>
      </c>
      <c r="BY216" s="87" cm="1">
        <f t="array" ref="BY216">SUMPRODUCT((BY$2:BY$126&gt;=0)*(BY$2:BY$126&lt;5)*(BY$2:BY$126&lt;&gt;""))</f>
        <v>0</v>
      </c>
      <c r="BZ216" s="87" cm="1">
        <f t="array" ref="BZ216">SUMPRODUCT((BZ$2:BZ$126&gt;=0)*(BZ$2:BZ$126&lt;5)*(BZ$2:BZ$126&lt;&gt;""))</f>
        <v>0</v>
      </c>
      <c r="CA216" s="87" cm="1">
        <f t="array" ref="CA216">SUMPRODUCT((CA$2:CA$126&gt;=0)*(CA$2:CA$126&lt;5)*(CA$2:CA$126&lt;&gt;""))</f>
        <v>0</v>
      </c>
      <c r="CB216" s="87" cm="1">
        <f t="array" ref="CB216">SUMPRODUCT((CB$2:CB$126&gt;=0)*(CB$2:CB$126&lt;5)*(CB$2:CB$126&lt;&gt;""))</f>
        <v>0</v>
      </c>
      <c r="CC216" s="87" cm="1">
        <f t="array" ref="CC216">SUMPRODUCT((CC$2:CC$126&gt;=0)*(CC$2:CC$126&lt;5)*(CC$2:CC$126&lt;&gt;""))</f>
        <v>0</v>
      </c>
      <c r="CD216" s="87" cm="1">
        <f t="array" ref="CD216">SUMPRODUCT((CD$2:CD$126&gt;=0)*(CD$2:CD$126&lt;5)*(CD$2:CD$126&lt;&gt;""))</f>
        <v>0</v>
      </c>
      <c r="CE216" s="87" cm="1">
        <f t="array" ref="CE216">SUMPRODUCT((CE$2:CE$126&gt;=0)*(CE$2:CE$126&lt;5)*(CE$2:CE$126&lt;&gt;""))</f>
        <v>0</v>
      </c>
      <c r="CF216" s="87" cm="1">
        <f t="array" ref="CF216">SUMPRODUCT((CF$2:CF$126&gt;=0)*(CF$2:CF$126&lt;5)*(CF$2:CF$126&lt;&gt;""))</f>
        <v>0</v>
      </c>
      <c r="CG216" s="87" cm="1">
        <f t="array" ref="CG216">SUMPRODUCT((CG$2:CG$126&gt;=0)*(CG$2:CG$126&lt;5)*(CG$2:CG$126&lt;&gt;""))</f>
        <v>0</v>
      </c>
      <c r="CH216" s="87" cm="1">
        <f t="array" ref="CH216">SUMPRODUCT((CH$2:CH$126&gt;=0)*(CH$2:CH$126&lt;5)*(CH$2:CH$126&lt;&gt;""))</f>
        <v>0</v>
      </c>
      <c r="CI216" s="87" cm="1">
        <f t="array" ref="CI216">SUMPRODUCT((CI$2:CI$126&gt;=0)*(CI$2:CI$126&lt;5)*(CI$2:CI$126&lt;&gt;""))</f>
        <v>0</v>
      </c>
      <c r="CJ216" s="87" cm="1">
        <f t="array" ref="CJ216">SUMPRODUCT((CJ$2:CJ$126&gt;=0)*(CJ$2:CJ$126&lt;5)*(CJ$2:CJ$126&lt;&gt;""))</f>
        <v>0</v>
      </c>
      <c r="CK216" s="87" cm="1">
        <f t="array" ref="CK216">SUMPRODUCT((CK$2:CK$126&gt;=0)*(CK$2:CK$126&lt;5)*(CK$2:CK$126&lt;&gt;""))</f>
        <v>0</v>
      </c>
      <c r="CL216" s="87" cm="1">
        <f t="array" ref="CL216">SUMPRODUCT((CL$2:CL$126&gt;=0)*(CL$2:CL$126&lt;5)*(CL$2:CL$126&lt;&gt;""))</f>
        <v>0</v>
      </c>
      <c r="CM216" s="87" cm="1">
        <f t="array" ref="CM216">SUMPRODUCT((CM$2:CM$126&gt;=0)*(CM$2:CM$126&lt;5)*(CM$2:CM$126&lt;&gt;""))</f>
        <v>0</v>
      </c>
      <c r="CN216" s="87" cm="1">
        <f t="array" ref="CN216">SUMPRODUCT((CN$2:CN$126&gt;=0)*(CN$2:CN$126&lt;5)*(CN$2:CN$126&lt;&gt;""))</f>
        <v>0</v>
      </c>
      <c r="CO216" s="87" cm="1">
        <f t="array" ref="CO216">SUMPRODUCT((CO$2:CO$126&gt;=0)*(CO$2:CO$126&lt;5)*(CO$2:CO$126&lt;&gt;""))</f>
        <v>0</v>
      </c>
      <c r="CP216" s="87" cm="1">
        <f t="array" ref="CP216">SUMPRODUCT((CP$2:CP$126&gt;=0)*(CP$2:CP$126&lt;5)*(CP$2:CP$126&lt;&gt;""))</f>
        <v>0</v>
      </c>
      <c r="CQ216" s="87" cm="1">
        <f t="array" ref="CQ216">SUMPRODUCT((CQ$2:CQ$126&gt;=0)*(CQ$2:CQ$126&lt;5)*(CQ$2:CQ$126&lt;&gt;""))</f>
        <v>0</v>
      </c>
      <c r="CR216" s="87" cm="1">
        <f t="array" ref="CR216">SUMPRODUCT((CR$2:CR$126&gt;=0)*(CR$2:CR$126&lt;5)*(CR$2:CR$126&lt;&gt;""))</f>
        <v>0</v>
      </c>
      <c r="CS216" s="87" cm="1">
        <f t="array" ref="CS216">SUMPRODUCT((CS$2:CS$126&gt;=0)*(CS$2:CS$126&lt;5)*(CS$2:CS$126&lt;&gt;""))</f>
        <v>0</v>
      </c>
      <c r="CT216" s="87" cm="1">
        <f t="array" ref="CT216">SUMPRODUCT((CT$2:CT$126&gt;=0)*(CT$2:CT$126&lt;5)*(CT$2:CT$126&lt;&gt;""))</f>
        <v>0</v>
      </c>
      <c r="CU216" s="87" cm="1">
        <f t="array" ref="CU216">SUMPRODUCT((CU$2:CU$126&gt;=0)*(CU$2:CU$126&lt;5)*(CU$2:CU$126&lt;&gt;""))</f>
        <v>0</v>
      </c>
      <c r="CV216" s="87" cm="1">
        <f t="array" ref="CV216">SUMPRODUCT((CV$2:CV$126&gt;=0)*(CV$2:CV$126&lt;5)*(CV$2:CV$126&lt;&gt;""))</f>
        <v>0</v>
      </c>
      <c r="CW216" s="87" cm="1">
        <f t="array" ref="CW216">SUMPRODUCT((CW$2:CW$126&gt;=0)*(CW$2:CW$126&lt;5)*(CW$2:CW$126&lt;&gt;""))</f>
        <v>0</v>
      </c>
      <c r="CX216" s="87" cm="1">
        <f t="array" ref="CX216">SUMPRODUCT((CX$2:CX$126&gt;=0)*(CX$2:CX$126&lt;5)*(CX$2:CX$126&lt;&gt;""))</f>
        <v>0</v>
      </c>
      <c r="CY216" s="87" cm="1">
        <f t="array" ref="CY216">SUMPRODUCT((CY$2:CY$126&gt;=0)*(CY$2:CY$126&lt;5)*(CY$2:CY$126&lt;&gt;""))</f>
        <v>0</v>
      </c>
      <c r="CZ216" s="87" cm="1">
        <f t="array" ref="CZ216">SUMPRODUCT((CZ$2:CZ$126&gt;=0)*(CZ$2:CZ$126&lt;5)*(CZ$2:CZ$126&lt;&gt;""))</f>
        <v>0</v>
      </c>
      <c r="DA216" s="87" cm="1">
        <f t="array" ref="DA216">SUMPRODUCT((DA$2:DA$126&gt;=0)*(DA$2:DA$126&lt;5)*(DA$2:DA$126&lt;&gt;""))</f>
        <v>0</v>
      </c>
      <c r="DB216" s="87" cm="1">
        <f t="array" ref="DB216">SUMPRODUCT((DB$2:DB$126&gt;=0)*(DB$2:DB$126&lt;5)*(DB$2:DB$126&lt;&gt;""))</f>
        <v>0</v>
      </c>
      <c r="DC216" s="87" cm="1">
        <f t="array" ref="DC216">SUMPRODUCT((DC$2:DC$126&gt;=0)*(DC$2:DC$126&lt;5)*(DC$2:DC$126&lt;&gt;""))</f>
        <v>0</v>
      </c>
      <c r="DD216" s="87" cm="1">
        <f t="array" ref="DD216">SUMPRODUCT((DD$2:DD$126&gt;=0)*(DD$2:DD$126&lt;5)*(DD$2:DD$126&lt;&gt;""))</f>
        <v>0</v>
      </c>
      <c r="DE216" s="87" cm="1">
        <f t="array" ref="DE216">SUMPRODUCT((DE$2:DE$126&gt;=0)*(DE$2:DE$126&lt;5)*(DE$2:DE$126&lt;&gt;""))</f>
        <v>0</v>
      </c>
      <c r="DF216" s="87" cm="1">
        <f t="array" ref="DF216">SUMPRODUCT((DF$2:DF$126&gt;=0)*(DF$2:DF$126&lt;5)*(DF$2:DF$126&lt;&gt;""))</f>
        <v>0</v>
      </c>
      <c r="DG216" s="87" cm="1">
        <f t="array" ref="DG216">SUMPRODUCT((DG$2:DG$126&gt;=0)*(DG$2:DG$126&lt;5)*(DG$2:DG$126&lt;&gt;""))</f>
        <v>0</v>
      </c>
      <c r="DH216" s="87" cm="1">
        <f t="array" ref="DH216">SUMPRODUCT((DH$2:DH$126&gt;=0)*(DH$2:DH$126&lt;5)*(DH$2:DH$126&lt;&gt;""))</f>
        <v>0</v>
      </c>
      <c r="DI216" s="87" cm="1">
        <f t="array" ref="DI216">SUMPRODUCT((DI$2:DI$126&gt;=0)*(DI$2:DI$126&lt;5)*(DI$2:DI$126&lt;&gt;""))</f>
        <v>0</v>
      </c>
      <c r="DJ216" s="87" cm="1">
        <f t="array" ref="DJ216">SUMPRODUCT((DJ$2:DJ$126&gt;=0)*(DJ$2:DJ$126&lt;5)*(DJ$2:DJ$126&lt;&gt;""))</f>
        <v>0</v>
      </c>
      <c r="DK216" s="87" cm="1">
        <f t="array" ref="DK216">SUMPRODUCT((DK$2:DK$126&gt;=0)*(DK$2:DK$126&lt;5)*(DK$2:DK$126&lt;&gt;""))</f>
        <v>0</v>
      </c>
      <c r="DL216" s="87" cm="1">
        <f t="array" ref="DL216">SUMPRODUCT((DL$2:DL$126&gt;=0)*(DL$2:DL$126&lt;5)*(DL$2:DL$126&lt;&gt;""))</f>
        <v>0</v>
      </c>
      <c r="DM216" s="87" cm="1">
        <f t="array" ref="DM216">SUMPRODUCT((DM$2:DM$126&gt;=0)*(DM$2:DM$126&lt;5)*(DM$2:DM$126&lt;&gt;""))</f>
        <v>0</v>
      </c>
      <c r="DN216" s="87" cm="1">
        <f t="array" ref="DN216">SUMPRODUCT((DN$2:DN$126&gt;=0)*(DN$2:DN$126&lt;5)*(DN$2:DN$126&lt;&gt;""))</f>
        <v>0</v>
      </c>
      <c r="DO216" s="87" cm="1">
        <f t="array" ref="DO216">SUMPRODUCT((DO$2:DO$126&gt;=0)*(DO$2:DO$126&lt;5)*(DO$2:DO$126&lt;&gt;""))</f>
        <v>0</v>
      </c>
      <c r="DP216" s="87" cm="1">
        <f t="array" ref="DP216">SUMPRODUCT((DP$2:DP$126&gt;=0)*(DP$2:DP$126&lt;5)*(DP$2:DP$126&lt;&gt;""))</f>
        <v>0</v>
      </c>
      <c r="DQ216" s="87" cm="1">
        <f t="array" ref="DQ216">SUMPRODUCT((DQ$2:DQ$126&gt;=0)*(DQ$2:DQ$126&lt;5)*(DQ$2:DQ$126&lt;&gt;""))</f>
        <v>0</v>
      </c>
      <c r="DR216" s="87" cm="1">
        <f t="array" ref="DR216">SUMPRODUCT((DR$2:DR$126&gt;=0)*(DR$2:DR$126&lt;5)*(DR$2:DR$126&lt;&gt;""))</f>
        <v>0</v>
      </c>
      <c r="DS216" s="87" cm="1">
        <f t="array" ref="DS216">SUMPRODUCT((DS$2:DS$126&gt;=0)*(DS$2:DS$126&lt;5)*(DS$2:DS$126&lt;&gt;""))</f>
        <v>0</v>
      </c>
      <c r="DT216" s="87" cm="1">
        <f t="array" ref="DT216">SUMPRODUCT((DT$2:DT$126&gt;=0)*(DT$2:DT$126&lt;5)*(DT$2:DT$126&lt;&gt;""))</f>
        <v>0</v>
      </c>
      <c r="DU216" s="87" cm="1">
        <f t="array" ref="DU216">SUMPRODUCT((DU$2:DU$126&gt;=0)*(DU$2:DU$126&lt;5)*(DU$2:DU$126&lt;&gt;""))</f>
        <v>0</v>
      </c>
      <c r="DV216" s="87" cm="1">
        <f t="array" ref="DV216">SUMPRODUCT((DV$2:DV$126&gt;=0)*(DV$2:DV$126&lt;5)*(DV$2:DV$126&lt;&gt;""))</f>
        <v>0</v>
      </c>
      <c r="DW216" s="87" cm="1">
        <f t="array" ref="DW216">SUMPRODUCT((DW$2:DW$126&gt;=0)*(DW$2:DW$126&lt;5)*(DW$2:DW$126&lt;&gt;""))</f>
        <v>0</v>
      </c>
      <c r="DX216" s="87" cm="1">
        <f t="array" ref="DX216">SUMPRODUCT((DX$2:DX$126&gt;=0)*(DX$2:DX$126&lt;5)*(DX$2:DX$126&lt;&gt;""))</f>
        <v>0</v>
      </c>
      <c r="DY216" s="87" cm="1">
        <f t="array" ref="DY216">SUMPRODUCT((DY$2:DY$126&gt;=0)*(DY$2:DY$126&lt;5)*(DY$2:DY$126&lt;&gt;""))</f>
        <v>0</v>
      </c>
      <c r="DZ216" s="87" cm="1">
        <f t="array" ref="DZ216">SUMPRODUCT((DZ$2:DZ$126&gt;=0)*(DZ$2:DZ$126&lt;5)*(DZ$2:DZ$126&lt;&gt;""))</f>
        <v>0</v>
      </c>
      <c r="EA216" s="87" cm="1">
        <f t="array" ref="EA216">SUMPRODUCT((EA$2:EA$126&gt;=0)*(EA$2:EA$126&lt;5)*(EA$2:EA$126&lt;&gt;""))</f>
        <v>0</v>
      </c>
      <c r="EB216" s="87" cm="1">
        <f t="array" ref="EB216">SUMPRODUCT((EB$2:EB$126&gt;=0)*(EB$2:EB$126&lt;5)*(EB$2:EB$126&lt;&gt;""))</f>
        <v>0</v>
      </c>
      <c r="EC216" s="87" cm="1">
        <f t="array" ref="EC216">SUMPRODUCT((EC$2:EC$126&gt;=0)*(EC$2:EC$126&lt;5)*(EC$2:EC$126&lt;&gt;""))</f>
        <v>0</v>
      </c>
      <c r="ED216" s="87" cm="1">
        <f t="array" ref="ED216">SUMPRODUCT((ED$2:ED$126&gt;=0)*(ED$2:ED$126&lt;5)*(ED$2:ED$126&lt;&gt;""))</f>
        <v>0</v>
      </c>
      <c r="EE216" s="87" cm="1">
        <f t="array" ref="EE216">SUMPRODUCT((EE$2:EE$126&gt;=0)*(EE$2:EE$126&lt;5)*(EE$2:EE$126&lt;&gt;""))</f>
        <v>0</v>
      </c>
      <c r="EF216" s="87" cm="1">
        <f t="array" ref="EF216">SUMPRODUCT((EF$2:EF$126&gt;=0)*(EF$2:EF$126&lt;5)*(EF$2:EF$126&lt;&gt;""))</f>
        <v>0</v>
      </c>
      <c r="EG216" s="87" cm="1">
        <f t="array" ref="EG216">SUMPRODUCT((EG$2:EG$126&gt;=0)*(EG$2:EG$126&lt;5)*(EG$2:EG$126&lt;&gt;""))</f>
        <v>0</v>
      </c>
      <c r="EH216" s="87" cm="1">
        <f t="array" ref="EH216">SUMPRODUCT((EH$2:EH$126&gt;=0)*(EH$2:EH$126&lt;5)*(EH$2:EH$126&lt;&gt;""))</f>
        <v>0</v>
      </c>
      <c r="EI216" s="87" cm="1">
        <f t="array" ref="EI216">SUMPRODUCT((EI$2:EI$126&gt;=0)*(EI$2:EI$126&lt;5)*(EI$2:EI$126&lt;&gt;""))</f>
        <v>0</v>
      </c>
      <c r="EJ216" s="87" cm="1">
        <f t="array" ref="EJ216">SUMPRODUCT((EJ$2:EJ$126&gt;=0)*(EJ$2:EJ$126&lt;5)*(EJ$2:EJ$126&lt;&gt;""))</f>
        <v>0</v>
      </c>
      <c r="EK216" s="87" cm="1">
        <f t="array" ref="EK216">SUMPRODUCT((EK$2:EK$126&gt;=0)*(EK$2:EK$126&lt;5)*(EK$2:EK$126&lt;&gt;""))</f>
        <v>0</v>
      </c>
      <c r="EL216" s="87" cm="1">
        <f t="array" ref="EL216">SUMPRODUCT((EL$2:EL$126&gt;=0)*(EL$2:EL$126&lt;5)*(EL$2:EL$126&lt;&gt;""))</f>
        <v>0</v>
      </c>
      <c r="EM216" s="87" cm="1">
        <f t="array" ref="EM216">SUMPRODUCT((EM$2:EM$126&gt;=0)*(EM$2:EM$126&lt;5)*(EM$2:EM$126&lt;&gt;""))</f>
        <v>0</v>
      </c>
      <c r="EN216" s="87" cm="1">
        <f t="array" ref="EN216">SUMPRODUCT((EN$2:EN$126&gt;=0)*(EN$2:EN$126&lt;5)*(EN$2:EN$126&lt;&gt;""))</f>
        <v>0</v>
      </c>
      <c r="EO216" s="87" cm="1">
        <f t="array" ref="EO216">SUMPRODUCT((EO$2:EO$126&gt;=0)*(EO$2:EO$126&lt;5)*(EO$2:EO$126&lt;&gt;""))</f>
        <v>0</v>
      </c>
      <c r="EP216" s="87" cm="1">
        <f t="array" ref="EP216">SUMPRODUCT((EP$2:EP$126&gt;=0)*(EP$2:EP$126&lt;5)*(EP$2:EP$126&lt;&gt;""))</f>
        <v>0</v>
      </c>
      <c r="EQ216" s="87" cm="1">
        <f t="array" ref="EQ216">SUMPRODUCT((EQ$2:EQ$126&gt;=0)*(EQ$2:EQ$126&lt;5)*(EQ$2:EQ$126&lt;&gt;""))</f>
        <v>0</v>
      </c>
      <c r="ER216" s="87" cm="1">
        <f t="array" ref="ER216">SUMPRODUCT((ER$2:ER$126&gt;=0)*(ER$2:ER$126&lt;5)*(ER$2:ER$126&lt;&gt;""))</f>
        <v>0</v>
      </c>
      <c r="ES216" s="87" cm="1">
        <f t="array" ref="ES216">SUMPRODUCT((ES$2:ES$126&gt;=0)*(ES$2:ES$126&lt;5)*(ES$2:ES$126&lt;&gt;""))</f>
        <v>0</v>
      </c>
      <c r="ET216" s="87" cm="1">
        <f t="array" ref="ET216">SUMPRODUCT((ET$2:ET$126&gt;=0)*(ET$2:ET$126&lt;5)*(ET$2:ET$126&lt;&gt;""))</f>
        <v>0</v>
      </c>
      <c r="EU216" s="87" cm="1">
        <f t="array" ref="EU216">SUMPRODUCT((EU$2:EU$126&gt;=0)*(EU$2:EU$126&lt;5)*(EU$2:EU$126&lt;&gt;""))</f>
        <v>0</v>
      </c>
      <c r="EV216" s="87" cm="1">
        <f t="array" ref="EV216">SUMPRODUCT((EV$2:EV$126&gt;=0)*(EV$2:EV$126&lt;5)*(EV$2:EV$126&lt;&gt;""))</f>
        <v>0</v>
      </c>
      <c r="EW216" s="87" cm="1">
        <f t="array" ref="EW216">SUMPRODUCT((EW$2:EW$126&gt;=0)*(EW$2:EW$126&lt;5)*(EW$2:EW$126&lt;&gt;""))</f>
        <v>0</v>
      </c>
      <c r="EX216" s="87" cm="1">
        <f t="array" ref="EX216">SUMPRODUCT((EX$2:EX$126&gt;=0)*(EX$2:EX$126&lt;5)*(EX$2:EX$126&lt;&gt;""))</f>
        <v>0</v>
      </c>
      <c r="EY216" s="87" cm="1">
        <f t="array" ref="EY216">SUMPRODUCT((EY$2:EY$126&gt;=0)*(EY$2:EY$126&lt;5)*(EY$2:EY$126&lt;&gt;""))</f>
        <v>0</v>
      </c>
      <c r="EZ216" s="87" cm="1">
        <f t="array" ref="EZ216">SUMPRODUCT((EZ$2:EZ$126&gt;=0)*(EZ$2:EZ$126&lt;5)*(EZ$2:EZ$126&lt;&gt;""))</f>
        <v>0</v>
      </c>
      <c r="FA216" s="87" cm="1">
        <f t="array" ref="FA216">SUMPRODUCT((FA$2:FA$126&gt;=0)*(FA$2:FA$126&lt;5)*(FA$2:FA$126&lt;&gt;""))</f>
        <v>0</v>
      </c>
      <c r="FB216" s="87" cm="1">
        <f t="array" ref="FB216">SUMPRODUCT((FB$2:FB$126&gt;=0)*(FB$2:FB$126&lt;5)*(FB$2:FB$126&lt;&gt;""))</f>
        <v>0</v>
      </c>
      <c r="FC216" s="87" cm="1">
        <f t="array" ref="FC216">SUMPRODUCT((FC$2:FC$126&gt;=0)*(FC$2:FC$126&lt;5)*(FC$2:FC$126&lt;&gt;""))</f>
        <v>0</v>
      </c>
      <c r="FD216" s="87" cm="1">
        <f t="array" ref="FD216">SUMPRODUCT((FD$2:FD$126&gt;=0)*(FD$2:FD$126&lt;5)*(FD$2:FD$126&lt;&gt;""))</f>
        <v>0</v>
      </c>
      <c r="FE216" s="87" cm="1">
        <f t="array" ref="FE216">SUMPRODUCT((FE$2:FE$126&gt;=0)*(FE$2:FE$126&lt;5)*(FE$2:FE$126&lt;&gt;""))</f>
        <v>0</v>
      </c>
      <c r="FF216" s="87" cm="1">
        <f t="array" ref="FF216">SUMPRODUCT((FF$2:FF$126&gt;=0)*(FF$2:FF$126&lt;5)*(FF$2:FF$126&lt;&gt;""))</f>
        <v>0</v>
      </c>
      <c r="FG216" s="87" cm="1">
        <f t="array" ref="FG216">SUMPRODUCT((FG$2:FG$126&gt;=0)*(FG$2:FG$126&lt;5)*(FG$2:FG$126&lt;&gt;""))</f>
        <v>0</v>
      </c>
      <c r="FH216" s="87" cm="1">
        <f t="array" ref="FH216">SUMPRODUCT((FH$2:FH$126&gt;=0)*(FH$2:FH$126&lt;5)*(FH$2:FH$126&lt;&gt;""))</f>
        <v>0</v>
      </c>
      <c r="FI216" s="87" cm="1">
        <f t="array" ref="FI216">SUMPRODUCT((FI$2:FI$126&gt;=0)*(FI$2:FI$126&lt;5)*(FI$2:FI$126&lt;&gt;""))</f>
        <v>0</v>
      </c>
      <c r="FJ216" s="87" cm="1">
        <f t="array" ref="FJ216">SUMPRODUCT((FJ$2:FJ$126&gt;=0)*(FJ$2:FJ$126&lt;5)*(FJ$2:FJ$126&lt;&gt;""))</f>
        <v>0</v>
      </c>
      <c r="FK216" s="87" cm="1">
        <f t="array" ref="FK216">SUMPRODUCT((FK$2:FK$126&gt;=0)*(FK$2:FK$126&lt;5)*(FK$2:FK$126&lt;&gt;""))</f>
        <v>0</v>
      </c>
      <c r="FL216" s="87" cm="1">
        <f t="array" ref="FL216">SUMPRODUCT((FL$2:FL$126&gt;=0)*(FL$2:FL$126&lt;5)*(FL$2:FL$126&lt;&gt;""))</f>
        <v>0</v>
      </c>
      <c r="FM216" s="87" cm="1">
        <f t="array" ref="FM216">SUMPRODUCT((FM$2:FM$126&gt;=0)*(FM$2:FM$126&lt;5)*(FM$2:FM$126&lt;&gt;""))</f>
        <v>0</v>
      </c>
      <c r="FN216" s="87" cm="1">
        <f t="array" ref="FN216">SUMPRODUCT((FN$2:FN$126&gt;=0)*(FN$2:FN$126&lt;5)*(FN$2:FN$126&lt;&gt;""))</f>
        <v>0</v>
      </c>
      <c r="FO216" s="87" cm="1">
        <f t="array" ref="FO216">SUMPRODUCT((FO$2:FO$126&gt;=0)*(FO$2:FO$126&lt;5)*(FO$2:FO$126&lt;&gt;""))</f>
        <v>0</v>
      </c>
      <c r="FP216" s="87" cm="1">
        <f t="array" ref="FP216">SUMPRODUCT((FP$2:FP$126&gt;=0)*(FP$2:FP$126&lt;5)*(FP$2:FP$126&lt;&gt;""))</f>
        <v>0</v>
      </c>
      <c r="FQ216" s="87" cm="1">
        <f t="array" ref="FQ216">SUMPRODUCT((FQ$2:FQ$126&gt;=0)*(FQ$2:FQ$126&lt;5)*(FQ$2:FQ$126&lt;&gt;""))</f>
        <v>0</v>
      </c>
      <c r="FR216" s="87" cm="1">
        <f t="array" ref="FR216">SUMPRODUCT((FR$2:FR$126&gt;=0)*(FR$2:FR$126&lt;5)*(FR$2:FR$126&lt;&gt;""))</f>
        <v>0</v>
      </c>
      <c r="FS216" s="87" cm="1">
        <f t="array" ref="FS216">SUMPRODUCT((FS$2:FS$126&gt;=0)*(FS$2:FS$126&lt;5)*(FS$2:FS$126&lt;&gt;""))</f>
        <v>0</v>
      </c>
      <c r="FT216" s="87" cm="1">
        <f t="array" ref="FT216">SUMPRODUCT((FT$2:FT$126&gt;=0)*(FT$2:FT$126&lt;5)*(FT$2:FT$126&lt;&gt;""))</f>
        <v>0</v>
      </c>
      <c r="FU216" s="87" cm="1">
        <f t="array" ref="FU216">SUMPRODUCT((FU$2:FU$126&gt;=0)*(FU$2:FU$126&lt;5)*(FU$2:FU$126&lt;&gt;""))</f>
        <v>0</v>
      </c>
      <c r="FV216" s="87" cm="1">
        <f t="array" ref="FV216">SUMPRODUCT((FV$2:FV$126&gt;=0)*(FV$2:FV$126&lt;5)*(FV$2:FV$126&lt;&gt;""))</f>
        <v>0</v>
      </c>
      <c r="FW216" s="87" cm="1">
        <f t="array" ref="FW216">SUMPRODUCT((FW$2:FW$126&gt;=0)*(FW$2:FW$126&lt;5)*(FW$2:FW$126&lt;&gt;""))</f>
        <v>0</v>
      </c>
      <c r="FX216" s="87" cm="1">
        <f t="array" ref="FX216">SUMPRODUCT((FX$2:FX$126&gt;=0)*(FX$2:FX$126&lt;5)*(FX$2:FX$126&lt;&gt;""))</f>
        <v>0</v>
      </c>
      <c r="FY216" s="87" cm="1">
        <f t="array" ref="FY216">SUMPRODUCT((FY$2:FY$126&gt;=0)*(FY$2:FY$126&lt;5)*(FY$2:FY$126&lt;&gt;""))</f>
        <v>0</v>
      </c>
      <c r="FZ216" s="87" cm="1">
        <f t="array" ref="FZ216">SUMPRODUCT((FZ$2:FZ$126&gt;=0)*(FZ$2:FZ$126&lt;5)*(FZ$2:FZ$126&lt;&gt;""))</f>
        <v>0</v>
      </c>
      <c r="GA216" s="87" cm="1">
        <f t="array" ref="GA216">SUMPRODUCT((GA$2:GA$126&gt;=0)*(GA$2:GA$126&lt;5)*(GA$2:GA$126&lt;&gt;""))</f>
        <v>0</v>
      </c>
      <c r="GB216" s="87" cm="1">
        <f t="array" ref="GB216">SUMPRODUCT((GB$2:GB$126&gt;=0)*(GB$2:GB$126&lt;5)*(GB$2:GB$126&lt;&gt;""))</f>
        <v>0</v>
      </c>
      <c r="GC216" s="87" cm="1">
        <f t="array" ref="GC216">SUMPRODUCT((GC$2:GC$126&gt;=0)*(GC$2:GC$126&lt;5)*(GC$2:GC$126&lt;&gt;""))</f>
        <v>0</v>
      </c>
      <c r="GD216" s="87" cm="1">
        <f t="array" ref="GD216">SUMPRODUCT((GD$2:GD$126&gt;=0)*(GD$2:GD$126&lt;5)*(GD$2:GD$126&lt;&gt;""))</f>
        <v>0</v>
      </c>
      <c r="GE216" s="87" cm="1">
        <f t="array" ref="GE216">SUMPRODUCT((GE$2:GE$126&gt;=0)*(GE$2:GE$126&lt;5)*(GE$2:GE$126&lt;&gt;""))</f>
        <v>0</v>
      </c>
      <c r="GF216" s="87" cm="1">
        <f t="array" ref="GF216">SUMPRODUCT((GF$2:GF$126&gt;=0)*(GF$2:GF$126&lt;5)*(GF$2:GF$126&lt;&gt;""))</f>
        <v>0</v>
      </c>
      <c r="GG216" s="87" cm="1">
        <f t="array" ref="GG216">SUMPRODUCT((GG$2:GG$126&gt;=0)*(GG$2:GG$126&lt;5)*(GG$2:GG$126&lt;&gt;""))</f>
        <v>0</v>
      </c>
      <c r="GH216" s="87" cm="1">
        <f t="array" ref="GH216">SUMPRODUCT((GH$2:GH$126&gt;=0)*(GH$2:GH$126&lt;5)*(GH$2:GH$126&lt;&gt;""))</f>
        <v>0</v>
      </c>
      <c r="GI216" s="87" cm="1">
        <f t="array" ref="GI216">SUMPRODUCT((GI$2:GI$126&gt;=0)*(GI$2:GI$126&lt;5)*(GI$2:GI$126&lt;&gt;""))</f>
        <v>0</v>
      </c>
      <c r="GJ216" s="87" cm="1">
        <f t="array" ref="GJ216">SUMPRODUCT((GJ$2:GJ$126&gt;=0)*(GJ$2:GJ$126&lt;5)*(GJ$2:GJ$126&lt;&gt;""))</f>
        <v>0</v>
      </c>
      <c r="GK216" s="87" cm="1">
        <f t="array" ref="GK216">SUMPRODUCT((GK$2:GK$126&gt;=0)*(GK$2:GK$126&lt;5)*(GK$2:GK$126&lt;&gt;""))</f>
        <v>0</v>
      </c>
      <c r="GL216" s="87" cm="1">
        <f t="array" ref="GL216">SUMPRODUCT((GL$2:GL$126&gt;=0)*(GL$2:GL$126&lt;5)*(GL$2:GL$126&lt;&gt;""))</f>
        <v>0</v>
      </c>
      <c r="GM216" s="87" cm="1">
        <f t="array" ref="GM216">SUMPRODUCT((GM$2:GM$126&gt;=0)*(GM$2:GM$126&lt;5)*(GM$2:GM$126&lt;&gt;""))</f>
        <v>0</v>
      </c>
      <c r="GN216" s="87" cm="1">
        <f t="array" ref="GN216">SUMPRODUCT((GN$2:GN$126&gt;=0)*(GN$2:GN$126&lt;5)*(GN$2:GN$126&lt;&gt;""))</f>
        <v>0</v>
      </c>
      <c r="GO216" s="87" cm="1">
        <f t="array" ref="GO216">SUMPRODUCT((GO$2:GO$126&gt;=0)*(GO$2:GO$126&lt;5)*(GO$2:GO$126&lt;&gt;""))</f>
        <v>0</v>
      </c>
      <c r="GP216" s="87" cm="1">
        <f t="array" ref="GP216">SUMPRODUCT((GP$2:GP$126&gt;=0)*(GP$2:GP$126&lt;5)*(GP$2:GP$126&lt;&gt;""))</f>
        <v>0</v>
      </c>
      <c r="GQ216" s="87" cm="1">
        <f t="array" ref="GQ216">SUMPRODUCT((GQ$2:GQ$126&gt;=0)*(GQ$2:GQ$126&lt;5)*(GQ$2:GQ$126&lt;&gt;""))</f>
        <v>0</v>
      </c>
      <c r="GR216" s="87" cm="1">
        <f t="array" ref="GR216">SUMPRODUCT((GR$2:GR$126&gt;=0)*(GR$2:GR$126&lt;5)*(GR$2:GR$126&lt;&gt;""))</f>
        <v>0</v>
      </c>
      <c r="GS216" s="87" cm="1">
        <f t="array" ref="GS216">SUMPRODUCT((GS$2:GS$126&gt;=0)*(GS$2:GS$126&lt;5)*(GS$2:GS$126&lt;&gt;""))</f>
        <v>0</v>
      </c>
      <c r="GT216" s="87" cm="1">
        <f t="array" ref="GT216">SUMPRODUCT((GT$2:GT$126&gt;=0)*(GT$2:GT$126&lt;5)*(GT$2:GT$126&lt;&gt;""))</f>
        <v>0</v>
      </c>
      <c r="GU216" s="87" cm="1">
        <f t="array" ref="GU216">SUMPRODUCT((GU$2:GU$126&gt;=0)*(GU$2:GU$126&lt;5)*(GU$2:GU$126&lt;&gt;""))</f>
        <v>0</v>
      </c>
      <c r="GV216" s="87" cm="1">
        <f t="array" ref="GV216">SUMPRODUCT((GV$2:GV$126&gt;=0)*(GV$2:GV$126&lt;5)*(GV$2:GV$126&lt;&gt;""))</f>
        <v>0</v>
      </c>
      <c r="GW216" s="87" cm="1">
        <f t="array" ref="GW216">SUMPRODUCT((GW$2:GW$126&gt;=0)*(GW$2:GW$126&lt;5)*(GW$2:GW$126&lt;&gt;""))</f>
        <v>0</v>
      </c>
      <c r="GX216" s="87" cm="1">
        <f t="array" ref="GX216">SUMPRODUCT((GX$2:GX$126&gt;=0)*(GX$2:GX$126&lt;5)*(GX$2:GX$126&lt;&gt;""))</f>
        <v>0</v>
      </c>
    </row>
    <row r="219" spans="1:206" x14ac:dyDescent="0.2">
      <c r="AM219" s="79">
        <f>+SUM(AM198:AM201)</f>
        <v>1142.29</v>
      </c>
      <c r="AN219" s="79">
        <f>+SUM(AN198:AN201)</f>
        <v>1069.52</v>
      </c>
      <c r="AO219" s="79">
        <f t="shared" ref="AO219:CA219" si="277">+SUM(AO198:AO201)</f>
        <v>1125.9000000000001</v>
      </c>
      <c r="AP219" s="79">
        <f t="shared" si="277"/>
        <v>1183.5899999999999</v>
      </c>
      <c r="AQ219" s="79">
        <f t="shared" si="277"/>
        <v>1120.3800000000001</v>
      </c>
      <c r="AR219" s="79">
        <f t="shared" si="277"/>
        <v>1003.5999999999999</v>
      </c>
      <c r="AS219" s="79">
        <f t="shared" si="277"/>
        <v>832.36999999999989</v>
      </c>
      <c r="AT219" s="79">
        <f t="shared" si="277"/>
        <v>816.58999999999992</v>
      </c>
      <c r="AU219" s="79">
        <f t="shared" si="277"/>
        <v>896.74</v>
      </c>
      <c r="AV219" s="79">
        <f t="shared" si="277"/>
        <v>973.55</v>
      </c>
      <c r="AW219" s="79">
        <f t="shared" si="277"/>
        <v>864.08999999999992</v>
      </c>
      <c r="AX219" s="79">
        <f t="shared" si="277"/>
        <v>967.35</v>
      </c>
      <c r="AY219" s="79">
        <f t="shared" si="277"/>
        <v>850.81999999999994</v>
      </c>
      <c r="AZ219" s="79">
        <f t="shared" si="277"/>
        <v>895.37999999999988</v>
      </c>
      <c r="BA219" s="79">
        <f t="shared" si="277"/>
        <v>669.47</v>
      </c>
      <c r="BB219" s="79">
        <f t="shared" si="277"/>
        <v>599.69000000000005</v>
      </c>
      <c r="BC219" s="79">
        <f t="shared" si="277"/>
        <v>612.79999999999995</v>
      </c>
      <c r="BD219" s="79">
        <f t="shared" si="277"/>
        <v>553.47</v>
      </c>
      <c r="BE219" s="79">
        <f t="shared" si="277"/>
        <v>667.94999999999993</v>
      </c>
      <c r="BF219" s="79">
        <f t="shared" si="277"/>
        <v>634.66999999999996</v>
      </c>
      <c r="BG219" s="79">
        <f t="shared" si="277"/>
        <v>578.27</v>
      </c>
      <c r="BH219" s="79">
        <f t="shared" si="277"/>
        <v>615.55999999999995</v>
      </c>
      <c r="BI219" s="79">
        <f t="shared" si="277"/>
        <v>563.79</v>
      </c>
      <c r="BJ219" s="79">
        <f t="shared" si="277"/>
        <v>783.79000000000008</v>
      </c>
      <c r="BK219" s="79">
        <f t="shared" si="277"/>
        <v>720.08999999999992</v>
      </c>
      <c r="BL219" s="79">
        <f t="shared" si="277"/>
        <v>719.16000000000008</v>
      </c>
      <c r="BM219" s="79">
        <f t="shared" si="277"/>
        <v>632.84999999999991</v>
      </c>
      <c r="BN219" s="79">
        <f t="shared" si="277"/>
        <v>805.39</v>
      </c>
      <c r="BO219" s="79">
        <f t="shared" si="277"/>
        <v>655.86000000000013</v>
      </c>
      <c r="BP219" s="79">
        <f t="shared" si="277"/>
        <v>655.86000000000013</v>
      </c>
      <c r="BQ219" s="79">
        <f t="shared" si="277"/>
        <v>784.04</v>
      </c>
      <c r="BR219" s="79">
        <f t="shared" si="277"/>
        <v>903.29999999999984</v>
      </c>
      <c r="BS219" s="79">
        <f t="shared" si="277"/>
        <v>1149.77</v>
      </c>
      <c r="BT219" s="79">
        <f t="shared" si="277"/>
        <v>1349.8600000000001</v>
      </c>
      <c r="BU219" s="79">
        <f t="shared" si="277"/>
        <v>1411.2000000000003</v>
      </c>
      <c r="BV219" s="79">
        <f t="shared" si="277"/>
        <v>1462.9700000000003</v>
      </c>
      <c r="BW219" s="79">
        <f t="shared" si="277"/>
        <v>1462.9700000000003</v>
      </c>
      <c r="BX219" s="79">
        <f t="shared" si="277"/>
        <v>1605.16</v>
      </c>
      <c r="BY219" s="79">
        <f t="shared" si="277"/>
        <v>1834.46</v>
      </c>
      <c r="BZ219" s="79">
        <f t="shared" si="277"/>
        <v>2052.71</v>
      </c>
      <c r="CA219" s="79">
        <f t="shared" si="277"/>
        <v>2116.84</v>
      </c>
    </row>
    <row r="220" spans="1:206" x14ac:dyDescent="0.2">
      <c r="AN220" s="79">
        <f t="shared" ref="AN220:AS220" si="278">+AN219-AM219</f>
        <v>-72.769999999999982</v>
      </c>
      <c r="AO220" s="79">
        <f t="shared" si="278"/>
        <v>56.380000000000109</v>
      </c>
      <c r="AP220" s="79">
        <f t="shared" si="278"/>
        <v>57.689999999999827</v>
      </c>
      <c r="AQ220" s="79">
        <f t="shared" si="278"/>
        <v>-63.209999999999809</v>
      </c>
      <c r="AR220" s="79">
        <f t="shared" si="278"/>
        <v>-116.7800000000002</v>
      </c>
      <c r="AS220" s="79">
        <f t="shared" si="278"/>
        <v>-171.23000000000002</v>
      </c>
    </row>
    <row r="222" spans="1:206" x14ac:dyDescent="0.2">
      <c r="AM222" s="77">
        <f t="shared" ref="AM222:AW222" si="279">+SUMIF(AM$2:AM$126,0,$J$3:$J$128)</f>
        <v>197.27999999999997</v>
      </c>
      <c r="AN222" s="77">
        <f t="shared" si="279"/>
        <v>56.44</v>
      </c>
      <c r="AO222" s="77">
        <f t="shared" si="279"/>
        <v>0</v>
      </c>
      <c r="AP222" s="77">
        <f t="shared" si="279"/>
        <v>27.44</v>
      </c>
      <c r="AQ222" s="77">
        <f t="shared" si="279"/>
        <v>56.660000000000004</v>
      </c>
      <c r="AR222" s="77">
        <f t="shared" si="279"/>
        <v>247.14</v>
      </c>
      <c r="AS222" s="77">
        <f t="shared" si="279"/>
        <v>196.5</v>
      </c>
      <c r="AT222" s="77">
        <f t="shared" si="279"/>
        <v>123.03999999999999</v>
      </c>
      <c r="AU222" s="77">
        <f t="shared" si="279"/>
        <v>53.8</v>
      </c>
      <c r="AV222" s="77">
        <f t="shared" si="279"/>
        <v>0</v>
      </c>
      <c r="AW222" s="77">
        <f t="shared" si="279"/>
        <v>229.48</v>
      </c>
    </row>
  </sheetData>
  <autoFilter ref="A1:GX126" xr:uid="{00000000-0001-0000-0100-000000000000}"/>
  <conditionalFormatting sqref="S2:T127">
    <cfRule type="cellIs" dxfId="11" priority="2" operator="equal">
      <formula>"En ciclo"</formula>
    </cfRule>
    <cfRule type="cellIs" dxfId="10" priority="3" operator="equal">
      <formula>"Recién cortado"</formula>
    </cfRule>
    <cfRule type="cellIs" dxfId="9" priority="4" operator="equal">
      <formula>"Fuera de ciclo"</formula>
    </cfRule>
    <cfRule type="cellIs" dxfId="8" priority="5" operator="equal">
      <formula>"Vencido 1-5 d"</formula>
    </cfRule>
    <cfRule type="cellIs" dxfId="7" priority="6" operator="equal">
      <formula>"Vencido 6-10 d"</formula>
    </cfRule>
    <cfRule type="cellIs" dxfId="6" priority="7" operator="equal">
      <formula>"Vencido 11-15 d"</formula>
    </cfRule>
    <cfRule type="cellIs" dxfId="5" priority="8" operator="equal">
      <formula>"Vencido +15 d"</formula>
    </cfRule>
  </conditionalFormatting>
  <conditionalFormatting sqref="U2:U127">
    <cfRule type="cellIs" dxfId="4" priority="16" operator="lessThan">
      <formula>0</formula>
    </cfRule>
    <cfRule type="cellIs" dxfId="3" priority="17" operator="between">
      <formula>0</formula>
      <formula>2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BC8BE-FCD8-45F1-A207-DA8BB79AADC2}">
  <dimension ref="A1:H89"/>
  <sheetViews>
    <sheetView topLeftCell="E62" zoomScale="85" zoomScaleNormal="85" workbookViewId="0">
      <selection activeCell="T61" sqref="T61"/>
    </sheetView>
  </sheetViews>
  <sheetFormatPr defaultColWidth="10.76171875" defaultRowHeight="15" x14ac:dyDescent="0.2"/>
  <cols>
    <col min="1" max="1" width="29.19140625" customWidth="1"/>
    <col min="2" max="2" width="10.76171875" customWidth="1"/>
    <col min="3" max="7" width="13.31640625" customWidth="1"/>
    <col min="8" max="8" width="13.85546875" customWidth="1"/>
    <col min="9" max="9" width="19.50390625" customWidth="1"/>
    <col min="10" max="16" width="12.5078125" customWidth="1"/>
  </cols>
  <sheetData>
    <row r="1" spans="1:7" ht="18.75" x14ac:dyDescent="0.25">
      <c r="A1" s="121" t="s">
        <v>620</v>
      </c>
    </row>
    <row r="2" spans="1:7" x14ac:dyDescent="0.2">
      <c r="A2" s="122" t="s">
        <v>621</v>
      </c>
    </row>
    <row r="4" spans="1:7" x14ac:dyDescent="0.2">
      <c r="A4" s="123" t="s">
        <v>622</v>
      </c>
      <c r="B4" s="124"/>
      <c r="C4" s="124"/>
    </row>
    <row r="5" spans="1:7" x14ac:dyDescent="0.2">
      <c r="A5" s="154" t="s">
        <v>644</v>
      </c>
      <c r="C5" s="125">
        <f>SUM('Registro Diario'!$J$2:$J$95)</f>
        <v>2336.15</v>
      </c>
    </row>
    <row r="6" spans="1:7" x14ac:dyDescent="0.2">
      <c r="A6" s="154" t="s">
        <v>623</v>
      </c>
      <c r="C6" s="126">
        <f>COUNTA('Registro Diario'!$E$2:$E$95)</f>
        <v>94</v>
      </c>
    </row>
    <row r="7" spans="1:7" x14ac:dyDescent="0.2">
      <c r="A7" s="154" t="s">
        <v>645</v>
      </c>
      <c r="C7" s="125">
        <f>SUM($D$13:$D$53)</f>
        <v>4270.4499999999989</v>
      </c>
    </row>
    <row r="8" spans="1:7" x14ac:dyDescent="0.2">
      <c r="A8" s="154" t="s">
        <v>624</v>
      </c>
      <c r="C8" s="126">
        <f>SUM($C$13:$C$53)</f>
        <v>174</v>
      </c>
    </row>
    <row r="9" spans="1:7" x14ac:dyDescent="0.2">
      <c r="A9" s="154" t="s">
        <v>646</v>
      </c>
      <c r="C9" s="127">
        <f>$C$7/$C$5</f>
        <v>1.8279862166384859</v>
      </c>
    </row>
    <row r="10" spans="1:7" x14ac:dyDescent="0.2">
      <c r="A10" s="154" t="s">
        <v>647</v>
      </c>
      <c r="C10" s="125">
        <f>AVERAGE($D$13:$D$53)</f>
        <v>104.1573170731707</v>
      </c>
    </row>
    <row r="12" spans="1:7" ht="27.75" x14ac:dyDescent="0.2">
      <c r="A12" s="151" t="s">
        <v>614</v>
      </c>
      <c r="B12" s="152" t="s">
        <v>625</v>
      </c>
      <c r="C12" s="152" t="s">
        <v>626</v>
      </c>
      <c r="D12" s="152" t="s">
        <v>627</v>
      </c>
      <c r="E12" s="152" t="s">
        <v>628</v>
      </c>
      <c r="F12" s="152" t="s">
        <v>629</v>
      </c>
      <c r="G12" s="153" t="s">
        <v>630</v>
      </c>
    </row>
    <row r="13" spans="1:7" x14ac:dyDescent="0.2">
      <c r="A13" s="129">
        <f>DATE(2026,7,1)</f>
        <v>46204</v>
      </c>
      <c r="B13" s="130" t="str">
        <f>TEXT($A13,"ddd")</f>
        <v>mié</v>
      </c>
      <c r="C13" s="131" cm="1">
        <f t="array" ref="C13">SUMPRODUCT((INDEX('Registro Diario'!$W$2:$GX$95,0,MATCH($A13,'Registro Diario'!$W$1:$GX$1,0))=0)*('Registro Diario'!$E$2:$E$95&lt;&gt;""))</f>
        <v>3</v>
      </c>
      <c r="D13" s="132" cm="1">
        <f t="array" ref="D13">SUMPRODUCT((INDEX('Registro Diario'!$W$2:$GX$95,0,MATCH($A13,'Registro Diario'!$W$1:$GX$1,0))=0)*('Registro Diario'!$E$2:$E$95&lt;&gt;"")*'Registro Diario'!$J$2:$J$95)</f>
        <v>36.340000000000003</v>
      </c>
      <c r="E13" s="132">
        <f>SUM($D$13:D13)</f>
        <v>36.340000000000003</v>
      </c>
      <c r="F13" s="133">
        <f>$E13/$C$5</f>
        <v>1.5555507993921623E-2</v>
      </c>
      <c r="G13" s="134"/>
    </row>
    <row r="14" spans="1:7" x14ac:dyDescent="0.2">
      <c r="A14" s="135">
        <f>A13+1</f>
        <v>46205</v>
      </c>
      <c r="B14" s="130" t="str">
        <f t="shared" ref="B14:B61" si="0">TEXT($A14,"ddd")</f>
        <v>jue</v>
      </c>
      <c r="C14" s="131" cm="1">
        <f t="array" ref="C14">SUMPRODUCT((INDEX('Registro Diario'!$W$2:$GX$95,0,MATCH($A14,'Registro Diario'!$W$1:$GX$1,0))=0)*('Registro Diario'!$E$2:$E$95&lt;&gt;""))</f>
        <v>4</v>
      </c>
      <c r="D14" s="132" cm="1">
        <f t="array" ref="D14">SUMPRODUCT((INDEX('Registro Diario'!$W$2:$GX$95,0,MATCH($A14,'Registro Diario'!$W$1:$GX$1,0))=0)*('Registro Diario'!$E$2:$E$95&lt;&gt;"")*'Registro Diario'!$J$2:$J$95)</f>
        <v>96.37</v>
      </c>
      <c r="E14" s="132">
        <f>SUM($D$13:D14)</f>
        <v>132.71</v>
      </c>
      <c r="F14" s="133">
        <f t="shared" ref="F14:F61" si="1">$E14/$C$5</f>
        <v>5.680713995248593E-2</v>
      </c>
      <c r="G14" s="136"/>
    </row>
    <row r="15" spans="1:7" x14ac:dyDescent="0.2">
      <c r="A15" s="135">
        <f t="shared" ref="A15:A61" si="2">A14+1</f>
        <v>46206</v>
      </c>
      <c r="B15" s="130" t="str">
        <f t="shared" si="0"/>
        <v>vie</v>
      </c>
      <c r="C15" s="131" cm="1">
        <f t="array" ref="C15">SUMPRODUCT((INDEX('Registro Diario'!$W$2:$GX$95,0,MATCH($A15,'Registro Diario'!$W$1:$GX$1,0))=0)*('Registro Diario'!$E$2:$E$95&lt;&gt;""))</f>
        <v>2</v>
      </c>
      <c r="D15" s="132" cm="1">
        <f t="array" ref="D15">SUMPRODUCT((INDEX('Registro Diario'!$W$2:$GX$95,0,MATCH($A15,'Registro Diario'!$W$1:$GX$1,0))=0)*('Registro Diario'!$E$2:$E$95&lt;&gt;"")*'Registro Diario'!$J$2:$J$95)</f>
        <v>89.85</v>
      </c>
      <c r="E15" s="132">
        <f>SUM($D$13:D15)</f>
        <v>222.56</v>
      </c>
      <c r="F15" s="133">
        <f t="shared" si="1"/>
        <v>9.5267855231898638E-2</v>
      </c>
      <c r="G15" s="136"/>
    </row>
    <row r="16" spans="1:7" x14ac:dyDescent="0.2">
      <c r="A16" s="135">
        <f t="shared" si="2"/>
        <v>46207</v>
      </c>
      <c r="B16" s="130" t="str">
        <f t="shared" si="0"/>
        <v>sáb</v>
      </c>
      <c r="C16" s="131" cm="1">
        <f t="array" ref="C16">SUMPRODUCT((INDEX('Registro Diario'!$W$2:$GX$95,0,MATCH($A16,'Registro Diario'!$W$1:$GX$1,0))=0)*('Registro Diario'!$E$2:$E$95&lt;&gt;""))</f>
        <v>3</v>
      </c>
      <c r="D16" s="132" cm="1">
        <f t="array" ref="D16">SUMPRODUCT((INDEX('Registro Diario'!$W$2:$GX$95,0,MATCH($A16,'Registro Diario'!$W$1:$GX$1,0))=0)*('Registro Diario'!$E$2:$E$95&lt;&gt;"")*'Registro Diario'!$J$2:$J$95)</f>
        <v>95.5</v>
      </c>
      <c r="E16" s="132">
        <f>SUM($D$13:D16)</f>
        <v>318.06</v>
      </c>
      <c r="F16" s="133">
        <f t="shared" si="1"/>
        <v>0.13614707959677247</v>
      </c>
      <c r="G16" s="136"/>
    </row>
    <row r="17" spans="1:7" x14ac:dyDescent="0.2">
      <c r="A17" s="135">
        <f t="shared" si="2"/>
        <v>46208</v>
      </c>
      <c r="B17" s="130" t="str">
        <f t="shared" si="0"/>
        <v>dom</v>
      </c>
      <c r="C17" s="131" cm="1">
        <f t="array" ref="C17">SUMPRODUCT((INDEX('Registro Diario'!$W$2:$GX$95,0,MATCH($A17,'Registro Diario'!$W$1:$GX$1,0))=0)*('Registro Diario'!$E$2:$E$95&lt;&gt;""))</f>
        <v>0</v>
      </c>
      <c r="D17" s="132" cm="1">
        <f t="array" ref="D17">SUMPRODUCT((INDEX('Registro Diario'!$W$2:$GX$95,0,MATCH($A17,'Registro Diario'!$W$1:$GX$1,0))=0)*('Registro Diario'!$E$2:$E$95&lt;&gt;"")*'Registro Diario'!$J$2:$J$95)</f>
        <v>0</v>
      </c>
      <c r="E17" s="132">
        <f>SUM($D$13:D17)</f>
        <v>318.06</v>
      </c>
      <c r="F17" s="133">
        <f t="shared" si="1"/>
        <v>0.13614707959677247</v>
      </c>
      <c r="G17" s="136"/>
    </row>
    <row r="18" spans="1:7" x14ac:dyDescent="0.2">
      <c r="A18" s="135">
        <f t="shared" si="2"/>
        <v>46209</v>
      </c>
      <c r="B18" s="130" t="str">
        <f t="shared" si="0"/>
        <v>lun</v>
      </c>
      <c r="C18" s="131" cm="1">
        <f t="array" ref="C18">SUMPRODUCT((INDEX('Registro Diario'!$W$2:$GX$95,0,MATCH($A18,'Registro Diario'!$W$1:$GX$1,0))=0)*('Registro Diario'!$E$2:$E$95&lt;&gt;""))</f>
        <v>2</v>
      </c>
      <c r="D18" s="132" cm="1">
        <f t="array" ref="D18">SUMPRODUCT((INDEX('Registro Diario'!$W$2:$GX$95,0,MATCH($A18,'Registro Diario'!$W$1:$GX$1,0))=0)*('Registro Diario'!$E$2:$E$95&lt;&gt;"")*'Registro Diario'!$J$2:$J$95)</f>
        <v>56.38</v>
      </c>
      <c r="E18" s="132">
        <f>SUM($D$13:D18)</f>
        <v>374.44</v>
      </c>
      <c r="F18" s="133">
        <f t="shared" si="1"/>
        <v>0.16028080388673671</v>
      </c>
      <c r="G18" s="136"/>
    </row>
    <row r="19" spans="1:7" x14ac:dyDescent="0.2">
      <c r="A19" s="135">
        <f t="shared" si="2"/>
        <v>46210</v>
      </c>
      <c r="B19" s="130" t="str">
        <f t="shared" si="0"/>
        <v>mar</v>
      </c>
      <c r="C19" s="131" cm="1">
        <f t="array" ref="C19">SUMPRODUCT((INDEX('Registro Diario'!$W$2:$GX$95,0,MATCH($A19,'Registro Diario'!$W$1:$GX$1,0))=0)*('Registro Diario'!$E$2:$E$95&lt;&gt;""))</f>
        <v>5</v>
      </c>
      <c r="D19" s="132" cm="1">
        <f t="array" ref="D19">SUMPRODUCT((INDEX('Registro Diario'!$W$2:$GX$95,0,MATCH($A19,'Registro Diario'!$W$1:$GX$1,0))=0)*('Registro Diario'!$E$2:$E$95&lt;&gt;"")*'Registro Diario'!$J$2:$J$95)</f>
        <v>70.8</v>
      </c>
      <c r="E19" s="132">
        <f>SUM($D$13:D19)</f>
        <v>445.24</v>
      </c>
      <c r="F19" s="133">
        <f t="shared" si="1"/>
        <v>0.19058707702844424</v>
      </c>
      <c r="G19" s="134">
        <f>AVERAGE(D13:D19)</f>
        <v>63.605714285714285</v>
      </c>
    </row>
    <row r="20" spans="1:7" x14ac:dyDescent="0.2">
      <c r="A20" s="135">
        <f t="shared" si="2"/>
        <v>46211</v>
      </c>
      <c r="B20" s="130" t="str">
        <f t="shared" si="0"/>
        <v>mié</v>
      </c>
      <c r="C20" s="131" cm="1">
        <f t="array" ref="C20">SUMPRODUCT((INDEX('Registro Diario'!$W$2:$GX$95,0,MATCH($A20,'Registro Diario'!$W$1:$GX$1,0))=0)*('Registro Diario'!$E$2:$E$95&lt;&gt;""))</f>
        <v>1</v>
      </c>
      <c r="D20" s="132" cm="1">
        <f t="array" ref="D20">SUMPRODUCT((INDEX('Registro Diario'!$W$2:$GX$95,0,MATCH($A20,'Registro Diario'!$W$1:$GX$1,0))=0)*('Registro Diario'!$E$2:$E$95&lt;&gt;"")*'Registro Diario'!$J$2:$J$95)</f>
        <v>5.64</v>
      </c>
      <c r="E20" s="132">
        <f>SUM($D$13:D20)</f>
        <v>450.88</v>
      </c>
      <c r="F20" s="133">
        <f t="shared" si="1"/>
        <v>0.19300130556685144</v>
      </c>
      <c r="G20" s="134">
        <f t="shared" ref="G20:G53" si="3">AVERAGE(D14:D20)</f>
        <v>59.220000000000006</v>
      </c>
    </row>
    <row r="21" spans="1:7" x14ac:dyDescent="0.2">
      <c r="A21" s="135">
        <f t="shared" si="2"/>
        <v>46212</v>
      </c>
      <c r="B21" s="130" t="str">
        <f t="shared" si="0"/>
        <v>jue</v>
      </c>
      <c r="C21" s="131" cm="1">
        <f t="array" ref="C21">SUMPRODUCT((INDEX('Registro Diario'!$W$2:$GX$95,0,MATCH($A21,'Registro Diario'!$W$1:$GX$1,0))=0)*('Registro Diario'!$E$2:$E$95&lt;&gt;""))</f>
        <v>4</v>
      </c>
      <c r="D21" s="132" cm="1">
        <f t="array" ref="D21">SUMPRODUCT((INDEX('Registro Diario'!$W$2:$GX$95,0,MATCH($A21,'Registro Diario'!$W$1:$GX$1,0))=0)*('Registro Diario'!$E$2:$E$95&lt;&gt;"")*'Registro Diario'!$J$2:$J$95)</f>
        <v>116.96</v>
      </c>
      <c r="E21" s="132">
        <f>SUM($D$13:D21)</f>
        <v>567.84</v>
      </c>
      <c r="F21" s="133">
        <f t="shared" si="1"/>
        <v>0.24306658390942362</v>
      </c>
      <c r="G21" s="134">
        <f t="shared" si="3"/>
        <v>62.161428571428566</v>
      </c>
    </row>
    <row r="22" spans="1:7" x14ac:dyDescent="0.2">
      <c r="A22" s="135">
        <f t="shared" si="2"/>
        <v>46213</v>
      </c>
      <c r="B22" s="130" t="str">
        <f t="shared" si="0"/>
        <v>vie</v>
      </c>
      <c r="C22" s="131" cm="1">
        <f t="array" ref="C22">SUMPRODUCT((INDEX('Registro Diario'!$W$2:$GX$95,0,MATCH($A22,'Registro Diario'!$W$1:$GX$1,0))=0)*('Registro Diario'!$E$2:$E$95&lt;&gt;""))</f>
        <v>2</v>
      </c>
      <c r="D22" s="132" cm="1">
        <f t="array" ref="D22">SUMPRODUCT((INDEX('Registro Diario'!$W$2:$GX$95,0,MATCH($A22,'Registro Diario'!$W$1:$GX$1,0))=0)*('Registro Diario'!$E$2:$E$95&lt;&gt;"")*'Registro Diario'!$J$2:$J$95)</f>
        <v>41.96</v>
      </c>
      <c r="E22" s="132">
        <f>SUM($D$13:D22)</f>
        <v>609.80000000000007</v>
      </c>
      <c r="F22" s="133">
        <f t="shared" si="1"/>
        <v>0.26102775934764466</v>
      </c>
      <c r="G22" s="134">
        <f t="shared" si="3"/>
        <v>55.319999999999993</v>
      </c>
    </row>
    <row r="23" spans="1:7" x14ac:dyDescent="0.2">
      <c r="A23" s="135">
        <f t="shared" si="2"/>
        <v>46214</v>
      </c>
      <c r="B23" s="130" t="str">
        <f t="shared" si="0"/>
        <v>sáb</v>
      </c>
      <c r="C23" s="131" cm="1">
        <f t="array" ref="C23">SUMPRODUCT((INDEX('Registro Diario'!$W$2:$GX$95,0,MATCH($A23,'Registro Diario'!$W$1:$GX$1,0))=0)*('Registro Diario'!$E$2:$E$95&lt;&gt;""))</f>
        <v>4</v>
      </c>
      <c r="D23" s="132" cm="1">
        <f t="array" ref="D23">SUMPRODUCT((INDEX('Registro Diario'!$W$2:$GX$95,0,MATCH($A23,'Registro Diario'!$W$1:$GX$1,0))=0)*('Registro Diario'!$E$2:$E$95&lt;&gt;"")*'Registro Diario'!$J$2:$J$95)</f>
        <v>127.91</v>
      </c>
      <c r="E23" s="132">
        <f>SUM($D$13:D23)</f>
        <v>737.71</v>
      </c>
      <c r="F23" s="133">
        <f t="shared" si="1"/>
        <v>0.31578023671425209</v>
      </c>
      <c r="G23" s="134">
        <f t="shared" si="3"/>
        <v>59.949999999999996</v>
      </c>
    </row>
    <row r="24" spans="1:7" x14ac:dyDescent="0.2">
      <c r="A24" s="135">
        <f t="shared" si="2"/>
        <v>46215</v>
      </c>
      <c r="B24" s="130" t="str">
        <f t="shared" si="0"/>
        <v>dom</v>
      </c>
      <c r="C24" s="131" cm="1">
        <f t="array" ref="C24">SUMPRODUCT((INDEX('Registro Diario'!$W$2:$GX$95,0,MATCH($A24,'Registro Diario'!$W$1:$GX$1,0))=0)*('Registro Diario'!$E$2:$E$95&lt;&gt;""))</f>
        <v>5</v>
      </c>
      <c r="D24" s="132" cm="1">
        <f t="array" ref="D24">SUMPRODUCT((INDEX('Registro Diario'!$W$2:$GX$95,0,MATCH($A24,'Registro Diario'!$W$1:$GX$1,0))=0)*('Registro Diario'!$E$2:$E$95&lt;&gt;"")*'Registro Diario'!$J$2:$J$95)</f>
        <v>178.78</v>
      </c>
      <c r="E24" s="132">
        <f>SUM($D$13:D24)</f>
        <v>916.49</v>
      </c>
      <c r="F24" s="133">
        <f t="shared" si="1"/>
        <v>0.39230785694411746</v>
      </c>
      <c r="G24" s="134">
        <f t="shared" si="3"/>
        <v>85.49</v>
      </c>
    </row>
    <row r="25" spans="1:7" x14ac:dyDescent="0.2">
      <c r="A25" s="135">
        <f t="shared" si="2"/>
        <v>46216</v>
      </c>
      <c r="B25" s="130" t="str">
        <f t="shared" si="0"/>
        <v>lun</v>
      </c>
      <c r="C25" s="131" cm="1">
        <f t="array" ref="C25">SUMPRODUCT((INDEX('Registro Diario'!$W$2:$GX$95,0,MATCH($A25,'Registro Diario'!$W$1:$GX$1,0))=0)*('Registro Diario'!$E$2:$E$95&lt;&gt;""))</f>
        <v>4</v>
      </c>
      <c r="D25" s="132" cm="1">
        <f t="array" ref="D25">SUMPRODUCT((INDEX('Registro Diario'!$W$2:$GX$95,0,MATCH($A25,'Registro Diario'!$W$1:$GX$1,0))=0)*('Registro Diario'!$E$2:$E$95&lt;&gt;"")*'Registro Diario'!$J$2:$J$95)</f>
        <v>76.81</v>
      </c>
      <c r="E25" s="132">
        <f>SUM($D$13:D25)</f>
        <v>993.3</v>
      </c>
      <c r="F25" s="133">
        <f t="shared" si="1"/>
        <v>0.42518673886522695</v>
      </c>
      <c r="G25" s="134">
        <f t="shared" si="3"/>
        <v>88.40857142857142</v>
      </c>
    </row>
    <row r="26" spans="1:7" x14ac:dyDescent="0.2">
      <c r="A26" s="135">
        <f t="shared" si="2"/>
        <v>46217</v>
      </c>
      <c r="B26" s="130" t="str">
        <f t="shared" si="0"/>
        <v>mar</v>
      </c>
      <c r="C26" s="131" cm="1">
        <f t="array" ref="C26">SUMPRODUCT((INDEX('Registro Diario'!$W$2:$GX$95,0,MATCH($A26,'Registro Diario'!$W$1:$GX$1,0))=0)*('Registro Diario'!$E$2:$E$95&lt;&gt;""))</f>
        <v>4</v>
      </c>
      <c r="D26" s="132" cm="1">
        <f t="array" ref="D26">SUMPRODUCT((INDEX('Registro Diario'!$W$2:$GX$95,0,MATCH($A26,'Registro Diario'!$W$1:$GX$1,0))=0)*('Registro Diario'!$E$2:$E$95&lt;&gt;"")*'Registro Diario'!$J$2:$J$95)</f>
        <v>110.54</v>
      </c>
      <c r="E26" s="132">
        <f>SUM($D$13:D26)</f>
        <v>1103.8399999999999</v>
      </c>
      <c r="F26" s="133">
        <f t="shared" si="1"/>
        <v>0.47250390599918662</v>
      </c>
      <c r="G26" s="134">
        <f t="shared" si="3"/>
        <v>94.085714285714275</v>
      </c>
    </row>
    <row r="27" spans="1:7" x14ac:dyDescent="0.2">
      <c r="A27" s="135">
        <f t="shared" si="2"/>
        <v>46218</v>
      </c>
      <c r="B27" s="130" t="str">
        <f t="shared" si="0"/>
        <v>mié</v>
      </c>
      <c r="C27" s="131" cm="1">
        <f t="array" ref="C27">SUMPRODUCT((INDEX('Registro Diario'!$W$2:$GX$95,0,MATCH($A27,'Registro Diario'!$W$1:$GX$1,0))=0)*('Registro Diario'!$E$2:$E$95&lt;&gt;""))</f>
        <v>6</v>
      </c>
      <c r="D27" s="132" cm="1">
        <f t="array" ref="D27">SUMPRODUCT((INDEX('Registro Diario'!$W$2:$GX$95,0,MATCH($A27,'Registro Diario'!$W$1:$GX$1,0))=0)*('Registro Diario'!$E$2:$E$95&lt;&gt;"")*'Registro Diario'!$J$2:$J$95)</f>
        <v>171.51000000000002</v>
      </c>
      <c r="E27" s="132">
        <f>SUM($D$13:D27)</f>
        <v>1275.3499999999999</v>
      </c>
      <c r="F27" s="133">
        <f t="shared" si="1"/>
        <v>0.54591956852085688</v>
      </c>
      <c r="G27" s="134">
        <f t="shared" si="3"/>
        <v>117.78142857142858</v>
      </c>
    </row>
    <row r="28" spans="1:7" x14ac:dyDescent="0.2">
      <c r="A28" s="135">
        <f t="shared" si="2"/>
        <v>46219</v>
      </c>
      <c r="B28" s="130" t="str">
        <f t="shared" si="0"/>
        <v>jue</v>
      </c>
      <c r="C28" s="131" cm="1">
        <f t="array" ref="C28">SUMPRODUCT((INDEX('Registro Diario'!$W$2:$GX$95,0,MATCH($A28,'Registro Diario'!$W$1:$GX$1,0))=0)*('Registro Diario'!$E$2:$E$95&lt;&gt;""))</f>
        <v>2</v>
      </c>
      <c r="D28" s="132" cm="1">
        <f t="array" ref="D28">SUMPRODUCT((INDEX('Registro Diario'!$W$2:$GX$95,0,MATCH($A28,'Registro Diario'!$W$1:$GX$1,0))=0)*('Registro Diario'!$E$2:$E$95&lt;&gt;"")*'Registro Diario'!$J$2:$J$95)</f>
        <v>49.83</v>
      </c>
      <c r="E28" s="132">
        <f>SUM($D$13:D28)</f>
        <v>1325.1799999999998</v>
      </c>
      <c r="F28" s="133">
        <f t="shared" si="1"/>
        <v>0.56724953449050775</v>
      </c>
      <c r="G28" s="134">
        <f t="shared" si="3"/>
        <v>108.19142857142857</v>
      </c>
    </row>
    <row r="29" spans="1:7" x14ac:dyDescent="0.2">
      <c r="A29" s="135">
        <f t="shared" si="2"/>
        <v>46220</v>
      </c>
      <c r="B29" s="130" t="str">
        <f t="shared" si="0"/>
        <v>vie</v>
      </c>
      <c r="C29" s="131" cm="1">
        <f t="array" ref="C29">SUMPRODUCT((INDEX('Registro Diario'!$W$2:$GX$95,0,MATCH($A29,'Registro Diario'!$W$1:$GX$1,0))=0)*('Registro Diario'!$E$2:$E$95&lt;&gt;""))</f>
        <v>6</v>
      </c>
      <c r="D29" s="132" cm="1">
        <f t="array" ref="D29">SUMPRODUCT((INDEX('Registro Diario'!$W$2:$GX$95,0,MATCH($A29,'Registro Diario'!$W$1:$GX$1,0))=0)*('Registro Diario'!$E$2:$E$95&lt;&gt;"")*'Registro Diario'!$J$2:$J$95)</f>
        <v>186.74</v>
      </c>
      <c r="E29" s="132">
        <f>SUM($D$13:D29)</f>
        <v>1511.9199999999998</v>
      </c>
      <c r="F29" s="133">
        <f t="shared" si="1"/>
        <v>0.64718447017528835</v>
      </c>
      <c r="G29" s="134">
        <f t="shared" si="3"/>
        <v>128.87428571428572</v>
      </c>
    </row>
    <row r="30" spans="1:7" x14ac:dyDescent="0.2">
      <c r="A30" s="135">
        <f t="shared" si="2"/>
        <v>46221</v>
      </c>
      <c r="B30" s="130" t="str">
        <f t="shared" si="0"/>
        <v>sáb</v>
      </c>
      <c r="C30" s="131" cm="1">
        <f t="array" ref="C30">SUMPRODUCT((INDEX('Registro Diario'!$W$2:$GX$95,0,MATCH($A30,'Registro Diario'!$W$1:$GX$1,0))=0)*('Registro Diario'!$E$2:$E$95&lt;&gt;""))</f>
        <v>4</v>
      </c>
      <c r="D30" s="132" cm="1">
        <f t="array" ref="D30">SUMPRODUCT((INDEX('Registro Diario'!$W$2:$GX$95,0,MATCH($A30,'Registro Diario'!$W$1:$GX$1,0))=0)*('Registro Diario'!$E$2:$E$95&lt;&gt;"")*'Registro Diario'!$J$2:$J$95)</f>
        <v>72.77000000000001</v>
      </c>
      <c r="E30" s="132">
        <f>SUM($D$13:D30)</f>
        <v>1584.6899999999998</v>
      </c>
      <c r="F30" s="133">
        <f t="shared" si="1"/>
        <v>0.67833401108661673</v>
      </c>
      <c r="G30" s="134">
        <f t="shared" si="3"/>
        <v>120.99714285714286</v>
      </c>
    </row>
    <row r="31" spans="1:7" x14ac:dyDescent="0.2">
      <c r="A31" s="135">
        <f t="shared" si="2"/>
        <v>46222</v>
      </c>
      <c r="B31" s="130" t="str">
        <f t="shared" si="0"/>
        <v>dom</v>
      </c>
      <c r="C31" s="131" cm="1">
        <f t="array" ref="C31">SUMPRODUCT((INDEX('Registro Diario'!$W$2:$GX$95,0,MATCH($A31,'Registro Diario'!$W$1:$GX$1,0))=0)*('Registro Diario'!$E$2:$E$95&lt;&gt;""))</f>
        <v>0</v>
      </c>
      <c r="D31" s="132" cm="1">
        <f t="array" ref="D31">SUMPRODUCT((INDEX('Registro Diario'!$W$2:$GX$95,0,MATCH($A31,'Registro Diario'!$W$1:$GX$1,0))=0)*('Registro Diario'!$E$2:$E$95&lt;&gt;"")*'Registro Diario'!$J$2:$J$95)</f>
        <v>0</v>
      </c>
      <c r="E31" s="132">
        <f>SUM($D$13:D31)</f>
        <v>1584.6899999999998</v>
      </c>
      <c r="F31" s="133">
        <f t="shared" si="1"/>
        <v>0.67833401108661673</v>
      </c>
      <c r="G31" s="134">
        <f t="shared" si="3"/>
        <v>95.45714285714287</v>
      </c>
    </row>
    <row r="32" spans="1:7" x14ac:dyDescent="0.2">
      <c r="A32" s="135">
        <f t="shared" si="2"/>
        <v>46223</v>
      </c>
      <c r="B32" s="130" t="str">
        <f t="shared" si="0"/>
        <v>lun</v>
      </c>
      <c r="C32" s="131" cm="1">
        <f t="array" ref="C32">SUMPRODUCT((INDEX('Registro Diario'!$W$2:$GX$95,0,MATCH($A32,'Registro Diario'!$W$1:$GX$1,0))=0)*('Registro Diario'!$E$2:$E$95&lt;&gt;""))</f>
        <v>1</v>
      </c>
      <c r="D32" s="132" cm="1">
        <f t="array" ref="D32">SUMPRODUCT((INDEX('Registro Diario'!$W$2:$GX$95,0,MATCH($A32,'Registro Diario'!$W$1:$GX$1,0))=0)*('Registro Diario'!$E$2:$E$95&lt;&gt;"")*'Registro Diario'!$J$2:$J$95)</f>
        <v>13.11</v>
      </c>
      <c r="E32" s="132">
        <f>SUM($D$13:D32)</f>
        <v>1597.7999999999997</v>
      </c>
      <c r="F32" s="133">
        <f t="shared" si="1"/>
        <v>0.6839458082742973</v>
      </c>
      <c r="G32" s="134">
        <f t="shared" si="3"/>
        <v>86.357142857142861</v>
      </c>
    </row>
    <row r="33" spans="1:7" x14ac:dyDescent="0.2">
      <c r="A33" s="135">
        <f t="shared" si="2"/>
        <v>46224</v>
      </c>
      <c r="B33" s="130" t="str">
        <f t="shared" si="0"/>
        <v>mar</v>
      </c>
      <c r="C33" s="131" cm="1">
        <f t="array" ref="C33">SUMPRODUCT((INDEX('Registro Diario'!$W$2:$GX$95,0,MATCH($A33,'Registro Diario'!$W$1:$GX$1,0))=0)*('Registro Diario'!$E$2:$E$95&lt;&gt;""))</f>
        <v>2</v>
      </c>
      <c r="D33" s="132" cm="1">
        <f t="array" ref="D33">SUMPRODUCT((INDEX('Registro Diario'!$W$2:$GX$95,0,MATCH($A33,'Registro Diario'!$W$1:$GX$1,0))=0)*('Registro Diario'!$E$2:$E$95&lt;&gt;"")*'Registro Diario'!$J$2:$J$95)</f>
        <v>68.849999999999994</v>
      </c>
      <c r="E33" s="132">
        <f>SUM($D$13:D33)</f>
        <v>1666.6499999999996</v>
      </c>
      <c r="F33" s="133">
        <f t="shared" si="1"/>
        <v>0.71341737474049161</v>
      </c>
      <c r="G33" s="134">
        <f t="shared" si="3"/>
        <v>80.401428571428582</v>
      </c>
    </row>
    <row r="34" spans="1:7" x14ac:dyDescent="0.2">
      <c r="A34" s="135">
        <f t="shared" si="2"/>
        <v>46225</v>
      </c>
      <c r="B34" s="130" t="str">
        <f t="shared" si="0"/>
        <v>mié</v>
      </c>
      <c r="C34" s="131" cm="1">
        <f t="array" ref="C34">SUMPRODUCT((INDEX('Registro Diario'!$W$2:$GX$95,0,MATCH($A34,'Registro Diario'!$W$1:$GX$1,0))=0)*('Registro Diario'!$E$2:$E$95&lt;&gt;""))</f>
        <v>11</v>
      </c>
      <c r="D34" s="132" cm="1">
        <f t="array" ref="D34">SUMPRODUCT((INDEX('Registro Diario'!$W$2:$GX$95,0,MATCH($A34,'Registro Diario'!$W$1:$GX$1,0))=0)*('Registro Diario'!$E$2:$E$95&lt;&gt;"")*'Registro Diario'!$J$2:$J$95)</f>
        <v>233.74</v>
      </c>
      <c r="E34" s="132">
        <f>SUM($D$13:D34)</f>
        <v>1900.3899999999996</v>
      </c>
      <c r="F34" s="133">
        <f t="shared" si="1"/>
        <v>0.81347088157866554</v>
      </c>
      <c r="G34" s="134">
        <f t="shared" si="3"/>
        <v>89.291428571428582</v>
      </c>
    </row>
    <row r="35" spans="1:7" x14ac:dyDescent="0.2">
      <c r="A35" s="135">
        <f t="shared" si="2"/>
        <v>46226</v>
      </c>
      <c r="B35" s="130" t="str">
        <f t="shared" si="0"/>
        <v>jue</v>
      </c>
      <c r="C35" s="131" cm="1">
        <f t="array" ref="C35">SUMPRODUCT((INDEX('Registro Diario'!$W$2:$GX$95,0,MATCH($A35,'Registro Diario'!$W$1:$GX$1,0))=0)*('Registro Diario'!$E$2:$E$95&lt;&gt;""))</f>
        <v>10</v>
      </c>
      <c r="D35" s="132" cm="1">
        <f t="array" ref="D35">SUMPRODUCT((INDEX('Registro Diario'!$W$2:$GX$95,0,MATCH($A35,'Registro Diario'!$W$1:$GX$1,0))=0)*('Registro Diario'!$E$2:$E$95&lt;&gt;"")*'Registro Diario'!$J$2:$J$95)</f>
        <v>213.19</v>
      </c>
      <c r="E35" s="132">
        <f>SUM($D$13:D35)</f>
        <v>2113.5799999999995</v>
      </c>
      <c r="F35" s="133">
        <f t="shared" si="1"/>
        <v>0.90472786422104723</v>
      </c>
      <c r="G35" s="134">
        <f t="shared" si="3"/>
        <v>112.62857142857145</v>
      </c>
    </row>
    <row r="36" spans="1:7" x14ac:dyDescent="0.2">
      <c r="A36" s="135">
        <f t="shared" si="2"/>
        <v>46227</v>
      </c>
      <c r="B36" s="130" t="str">
        <f t="shared" si="0"/>
        <v>vie</v>
      </c>
      <c r="C36" s="131" cm="1">
        <f t="array" ref="C36">SUMPRODUCT((INDEX('Registro Diario'!$W$2:$GX$95,0,MATCH($A36,'Registro Diario'!$W$1:$GX$1,0))=0)*('Registro Diario'!$E$2:$E$95&lt;&gt;""))</f>
        <v>5</v>
      </c>
      <c r="D36" s="132" cm="1">
        <f t="array" ref="D36">SUMPRODUCT((INDEX('Registro Diario'!$W$2:$GX$95,0,MATCH($A36,'Registro Diario'!$W$1:$GX$1,0))=0)*('Registro Diario'!$E$2:$E$95&lt;&gt;"")*'Registro Diario'!$J$2:$J$95)</f>
        <v>143.69</v>
      </c>
      <c r="E36" s="132">
        <f>SUM($D$13:D36)</f>
        <v>2257.2699999999995</v>
      </c>
      <c r="F36" s="133">
        <f t="shared" si="1"/>
        <v>0.96623504483873013</v>
      </c>
      <c r="G36" s="134">
        <f t="shared" si="3"/>
        <v>106.47857142857144</v>
      </c>
    </row>
    <row r="37" spans="1:7" x14ac:dyDescent="0.2">
      <c r="A37" s="135">
        <f t="shared" si="2"/>
        <v>46228</v>
      </c>
      <c r="B37" s="130" t="str">
        <f t="shared" si="0"/>
        <v>sáb</v>
      </c>
      <c r="C37" s="131" cm="1">
        <f t="array" ref="C37">SUMPRODUCT((INDEX('Registro Diario'!$W$2:$GX$95,0,MATCH($A37,'Registro Diario'!$W$1:$GX$1,0))=0)*('Registro Diario'!$E$2:$E$95&lt;&gt;""))</f>
        <v>4</v>
      </c>
      <c r="D37" s="132" cm="1">
        <f t="array" ref="D37">SUMPRODUCT((INDEX('Registro Diario'!$W$2:$GX$95,0,MATCH($A37,'Registro Diario'!$W$1:$GX$1,0))=0)*('Registro Diario'!$E$2:$E$95&lt;&gt;"")*'Registro Diario'!$J$2:$J$95)</f>
        <v>98.63</v>
      </c>
      <c r="E37" s="132">
        <f>SUM($D$13:D37)</f>
        <v>2355.8999999999996</v>
      </c>
      <c r="F37" s="133">
        <f t="shared" si="1"/>
        <v>1.008454080431479</v>
      </c>
      <c r="G37" s="134">
        <f t="shared" si="3"/>
        <v>110.17285714285713</v>
      </c>
    </row>
    <row r="38" spans="1:7" x14ac:dyDescent="0.2">
      <c r="A38" s="135">
        <f t="shared" si="2"/>
        <v>46229</v>
      </c>
      <c r="B38" s="130" t="str">
        <f t="shared" si="0"/>
        <v>dom</v>
      </c>
      <c r="C38" s="131" cm="1">
        <f t="array" ref="C38">SUMPRODUCT((INDEX('Registro Diario'!$W$2:$GX$95,0,MATCH($A38,'Registro Diario'!$W$1:$GX$1,0))=0)*('Registro Diario'!$E$2:$E$95&lt;&gt;""))</f>
        <v>0</v>
      </c>
      <c r="D38" s="132" cm="1">
        <f t="array" ref="D38">SUMPRODUCT((INDEX('Registro Diario'!$W$2:$GX$95,0,MATCH($A38,'Registro Diario'!$W$1:$GX$1,0))=0)*('Registro Diario'!$E$2:$E$95&lt;&gt;"")*'Registro Diario'!$J$2:$J$95)</f>
        <v>0</v>
      </c>
      <c r="E38" s="132">
        <f>SUM($D$13:D38)</f>
        <v>2355.8999999999996</v>
      </c>
      <c r="F38" s="133">
        <f t="shared" si="1"/>
        <v>1.008454080431479</v>
      </c>
      <c r="G38" s="134">
        <f t="shared" si="3"/>
        <v>110.17285714285713</v>
      </c>
    </row>
    <row r="39" spans="1:7" x14ac:dyDescent="0.2">
      <c r="A39" s="135">
        <f t="shared" si="2"/>
        <v>46230</v>
      </c>
      <c r="B39" s="130" t="str">
        <f t="shared" si="0"/>
        <v>lun</v>
      </c>
      <c r="C39" s="131" cm="1">
        <f t="array" ref="C39">SUMPRODUCT((INDEX('Registro Diario'!$W$2:$GX$95,0,MATCH($A39,'Registro Diario'!$W$1:$GX$1,0))=0)*('Registro Diario'!$E$2:$E$95&lt;&gt;""))</f>
        <v>8</v>
      </c>
      <c r="D39" s="132" cm="1">
        <f t="array" ref="D39">SUMPRODUCT((INDEX('Registro Diario'!$W$2:$GX$95,0,MATCH($A39,'Registro Diario'!$W$1:$GX$1,0))=0)*('Registro Diario'!$E$2:$E$95&lt;&gt;"")*'Registro Diario'!$J$2:$J$95)</f>
        <v>220</v>
      </c>
      <c r="E39" s="132">
        <f>SUM($D$13:D39)</f>
        <v>2575.8999999999996</v>
      </c>
      <c r="F39" s="133">
        <f t="shared" si="1"/>
        <v>1.1026261156175756</v>
      </c>
      <c r="G39" s="134">
        <f t="shared" si="3"/>
        <v>139.72857142857143</v>
      </c>
    </row>
    <row r="40" spans="1:7" x14ac:dyDescent="0.2">
      <c r="A40" s="135">
        <f t="shared" si="2"/>
        <v>46231</v>
      </c>
      <c r="B40" s="130" t="str">
        <f t="shared" si="0"/>
        <v>mar</v>
      </c>
      <c r="C40" s="131" cm="1">
        <f t="array" ref="C40">SUMPRODUCT((INDEX('Registro Diario'!$W$2:$GX$95,0,MATCH($A40,'Registro Diario'!$W$1:$GX$1,0))=0)*('Registro Diario'!$E$2:$E$95&lt;&gt;""))</f>
        <v>3</v>
      </c>
      <c r="D40" s="132" cm="1">
        <f t="array" ref="D40">SUMPRODUCT((INDEX('Registro Diario'!$W$2:$GX$95,0,MATCH($A40,'Registro Diario'!$W$1:$GX$1,0))=0)*('Registro Diario'!$E$2:$E$95&lt;&gt;"")*'Registro Diario'!$J$2:$J$95)</f>
        <v>68.25</v>
      </c>
      <c r="E40" s="132">
        <f>SUM($D$13:D40)</f>
        <v>2644.1499999999996</v>
      </c>
      <c r="F40" s="133">
        <f t="shared" si="1"/>
        <v>1.1318408492605352</v>
      </c>
      <c r="G40" s="134">
        <f t="shared" si="3"/>
        <v>139.64285714285714</v>
      </c>
    </row>
    <row r="41" spans="1:7" x14ac:dyDescent="0.2">
      <c r="A41" s="135">
        <f t="shared" si="2"/>
        <v>46232</v>
      </c>
      <c r="B41" s="130" t="str">
        <f t="shared" si="0"/>
        <v>mié</v>
      </c>
      <c r="C41" s="131" cm="1">
        <f t="array" ref="C41">SUMPRODUCT((INDEX('Registro Diario'!$W$2:$GX$95,0,MATCH($A41,'Registro Diario'!$W$1:$GX$1,0))=0)*('Registro Diario'!$E$2:$E$95&lt;&gt;""))</f>
        <v>5</v>
      </c>
      <c r="D41" s="132" cm="1">
        <f t="array" ref="D41">SUMPRODUCT((INDEX('Registro Diario'!$W$2:$GX$95,0,MATCH($A41,'Registro Diario'!$W$1:$GX$1,0))=0)*('Registro Diario'!$E$2:$E$95&lt;&gt;"")*'Registro Diario'!$J$2:$J$95)</f>
        <v>166.35999999999999</v>
      </c>
      <c r="E41" s="132">
        <f>SUM($D$13:D41)</f>
        <v>2810.5099999999998</v>
      </c>
      <c r="F41" s="133">
        <f t="shared" si="1"/>
        <v>1.2030520300494403</v>
      </c>
      <c r="G41" s="134">
        <f t="shared" si="3"/>
        <v>130.01714285714286</v>
      </c>
    </row>
    <row r="42" spans="1:7" x14ac:dyDescent="0.2">
      <c r="A42" s="135">
        <f t="shared" si="2"/>
        <v>46233</v>
      </c>
      <c r="B42" s="130" t="str">
        <f t="shared" si="0"/>
        <v>jue</v>
      </c>
      <c r="C42" s="131" cm="1">
        <f t="array" ref="C42">SUMPRODUCT((INDEX('Registro Diario'!$W$2:$GX$95,0,MATCH($A42,'Registro Diario'!$W$1:$GX$1,0))=0)*('Registro Diario'!$E$2:$E$95&lt;&gt;""))</f>
        <v>7</v>
      </c>
      <c r="D42" s="132" cm="1">
        <f t="array" ref="D42">SUMPRODUCT((INDEX('Registro Diario'!$W$2:$GX$95,0,MATCH($A42,'Registro Diario'!$W$1:$GX$1,0))=0)*('Registro Diario'!$E$2:$E$95&lt;&gt;"")*'Registro Diario'!$J$2:$J$95)</f>
        <v>142.18</v>
      </c>
      <c r="E42" s="132">
        <f>SUM($D$13:D42)</f>
        <v>2952.6899999999996</v>
      </c>
      <c r="F42" s="133">
        <f t="shared" si="1"/>
        <v>1.2639128480619821</v>
      </c>
      <c r="G42" s="134">
        <f t="shared" si="3"/>
        <v>119.87285714285713</v>
      </c>
    </row>
    <row r="43" spans="1:7" x14ac:dyDescent="0.2">
      <c r="A43" s="135">
        <f t="shared" si="2"/>
        <v>46234</v>
      </c>
      <c r="B43" s="130" t="str">
        <f t="shared" si="0"/>
        <v>vie</v>
      </c>
      <c r="C43" s="131" cm="1">
        <f t="array" ref="C43">SUMPRODUCT((INDEX('Registro Diario'!$W$2:$GX$95,0,MATCH($A43,'Registro Diario'!$W$1:$GX$1,0))=0)*('Registro Diario'!$E$2:$E$95&lt;&gt;""))</f>
        <v>10</v>
      </c>
      <c r="D43" s="132" cm="1">
        <f t="array" ref="D43">SUMPRODUCT((INDEX('Registro Diario'!$W$2:$GX$95,0,MATCH($A43,'Registro Diario'!$W$1:$GX$1,0))=0)*('Registro Diario'!$E$2:$E$95&lt;&gt;"")*'Registro Diario'!$J$2:$J$95)</f>
        <v>298.68</v>
      </c>
      <c r="E43" s="132">
        <f>SUM($D$13:D43)</f>
        <v>3251.3699999999994</v>
      </c>
      <c r="F43" s="133">
        <f t="shared" si="1"/>
        <v>1.3917642274682702</v>
      </c>
      <c r="G43" s="134">
        <f t="shared" si="3"/>
        <v>142.01428571428573</v>
      </c>
    </row>
    <row r="44" spans="1:7" x14ac:dyDescent="0.2">
      <c r="A44" s="135">
        <f t="shared" si="2"/>
        <v>46235</v>
      </c>
      <c r="B44" s="130" t="str">
        <f t="shared" si="0"/>
        <v>sáb</v>
      </c>
      <c r="C44" s="131" cm="1">
        <f t="array" ref="C44">SUMPRODUCT((INDEX('Registro Diario'!$W$2:$GX$95,0,MATCH($A44,'Registro Diario'!$W$1:$GX$1,0))=0)*('Registro Diario'!$E$2:$E$95&lt;&gt;""))</f>
        <v>3</v>
      </c>
      <c r="D44" s="132" cm="1">
        <f t="array" ref="D44">SUMPRODUCT((INDEX('Registro Diario'!$W$2:$GX$95,0,MATCH($A44,'Registro Diario'!$W$1:$GX$1,0))=0)*('Registro Diario'!$E$2:$E$95&lt;&gt;"")*'Registro Diario'!$J$2:$J$95)</f>
        <v>69.78</v>
      </c>
      <c r="E44" s="132">
        <f>SUM($D$13:D44)</f>
        <v>3321.1499999999996</v>
      </c>
      <c r="F44" s="133">
        <f t="shared" si="1"/>
        <v>1.4216338848104786</v>
      </c>
      <c r="G44" s="134">
        <f t="shared" si="3"/>
        <v>137.89285714285714</v>
      </c>
    </row>
    <row r="45" spans="1:7" x14ac:dyDescent="0.2">
      <c r="A45" s="135">
        <f t="shared" si="2"/>
        <v>46236</v>
      </c>
      <c r="B45" s="130" t="str">
        <f t="shared" si="0"/>
        <v>dom</v>
      </c>
      <c r="C45" s="131" cm="1">
        <f t="array" ref="C45">SUMPRODUCT((INDEX('Registro Diario'!$W$2:$GX$95,0,MATCH($A45,'Registro Diario'!$W$1:$GX$1,0))=0)*('Registro Diario'!$E$2:$E$95&lt;&gt;""))</f>
        <v>0</v>
      </c>
      <c r="D45" s="132" cm="1">
        <f t="array" ref="D45">SUMPRODUCT((INDEX('Registro Diario'!$W$2:$GX$95,0,MATCH($A45,'Registro Diario'!$W$1:$GX$1,0))=0)*('Registro Diario'!$E$2:$E$95&lt;&gt;"")*'Registro Diario'!$J$2:$J$95)</f>
        <v>0</v>
      </c>
      <c r="E45" s="132">
        <f>SUM($D$13:D45)</f>
        <v>3321.1499999999996</v>
      </c>
      <c r="F45" s="133">
        <f t="shared" si="1"/>
        <v>1.4216338848104786</v>
      </c>
      <c r="G45" s="134">
        <f t="shared" si="3"/>
        <v>137.89285714285714</v>
      </c>
    </row>
    <row r="46" spans="1:7" x14ac:dyDescent="0.2">
      <c r="A46" s="135">
        <f t="shared" si="2"/>
        <v>46237</v>
      </c>
      <c r="B46" s="130" t="str">
        <f t="shared" si="0"/>
        <v>lun</v>
      </c>
      <c r="C46" s="131" cm="1">
        <f t="array" ref="C46">SUMPRODUCT((INDEX('Registro Diario'!$W$2:$GX$95,0,MATCH($A46,'Registro Diario'!$W$1:$GX$1,0))=0)*('Registro Diario'!$E$2:$E$95&lt;&gt;""))</f>
        <v>4</v>
      </c>
      <c r="D46" s="132" cm="1">
        <f t="array" ref="D46">SUMPRODUCT((INDEX('Registro Diario'!$W$2:$GX$95,0,MATCH($A46,'Registro Diario'!$W$1:$GX$1,0))=0)*('Registro Diario'!$E$2:$E$95&lt;&gt;"")*'Registro Diario'!$J$2:$J$95)</f>
        <v>128.18</v>
      </c>
      <c r="E46" s="132">
        <f>SUM($D$13:D46)</f>
        <v>3449.3299999999995</v>
      </c>
      <c r="F46" s="133">
        <f t="shared" si="1"/>
        <v>1.4765019369475416</v>
      </c>
      <c r="G46" s="134">
        <f t="shared" si="3"/>
        <v>124.7757142857143</v>
      </c>
    </row>
    <row r="47" spans="1:7" x14ac:dyDescent="0.2">
      <c r="A47" s="135">
        <f t="shared" si="2"/>
        <v>46238</v>
      </c>
      <c r="B47" s="130" t="str">
        <f t="shared" si="0"/>
        <v>mar</v>
      </c>
      <c r="C47" s="131" cm="1">
        <f t="array" ref="C47">SUMPRODUCT((INDEX('Registro Diario'!$W$2:$GX$95,0,MATCH($A47,'Registro Diario'!$W$1:$GX$1,0))=0)*('Registro Diario'!$E$2:$E$95&lt;&gt;""))</f>
        <v>6</v>
      </c>
      <c r="D47" s="132" cm="1">
        <f t="array" ref="D47">SUMPRODUCT((INDEX('Registro Diario'!$W$2:$GX$95,0,MATCH($A47,'Registro Diario'!$W$1:$GX$1,0))=0)*('Registro Diario'!$E$2:$E$95&lt;&gt;"")*'Registro Diario'!$J$2:$J$95)</f>
        <v>119.25999999999998</v>
      </c>
      <c r="E47" s="132">
        <f>SUM($D$13:D47)</f>
        <v>3568.5899999999992</v>
      </c>
      <c r="F47" s="133">
        <f t="shared" si="1"/>
        <v>1.5275517411125137</v>
      </c>
      <c r="G47" s="134">
        <f t="shared" si="3"/>
        <v>132.06285714285715</v>
      </c>
    </row>
    <row r="48" spans="1:7" x14ac:dyDescent="0.2">
      <c r="A48" s="135">
        <f t="shared" si="2"/>
        <v>46239</v>
      </c>
      <c r="B48" s="130" t="str">
        <f t="shared" si="0"/>
        <v>mié</v>
      </c>
      <c r="C48" s="131" cm="1">
        <f t="array" ref="C48">SUMPRODUCT((INDEX('Registro Diario'!$W$2:$GX$95,0,MATCH($A48,'Registro Diario'!$W$1:$GX$1,0))=0)*('Registro Diario'!$E$2:$E$95&lt;&gt;""))</f>
        <v>11</v>
      </c>
      <c r="D48" s="132" cm="1">
        <f t="array" ref="D48">SUMPRODUCT((INDEX('Registro Diario'!$W$2:$GX$95,0,MATCH($A48,'Registro Diario'!$W$1:$GX$1,0))=0)*('Registro Diario'!$E$2:$E$95&lt;&gt;"")*'Registro Diario'!$J$2:$J$95)</f>
        <v>246.46999999999997</v>
      </c>
      <c r="E48" s="132">
        <f>SUM($D$13:D48)</f>
        <v>3815.059999999999</v>
      </c>
      <c r="F48" s="133">
        <f t="shared" si="1"/>
        <v>1.6330543843503196</v>
      </c>
      <c r="G48" s="134">
        <f t="shared" si="3"/>
        <v>143.50714285714284</v>
      </c>
    </row>
    <row r="49" spans="1:7" x14ac:dyDescent="0.2">
      <c r="A49" s="135">
        <f t="shared" si="2"/>
        <v>46240</v>
      </c>
      <c r="B49" s="130" t="str">
        <f t="shared" si="0"/>
        <v>jue</v>
      </c>
      <c r="C49" s="131" cm="1">
        <f t="array" ref="C49">SUMPRODUCT((INDEX('Registro Diario'!$W$2:$GX$95,0,MATCH($A49,'Registro Diario'!$W$1:$GX$1,0))=0)*('Registro Diario'!$E$2:$E$95&lt;&gt;""))</f>
        <v>9</v>
      </c>
      <c r="D49" s="132" cm="1">
        <f t="array" ref="D49">SUMPRODUCT((INDEX('Registro Diario'!$W$2:$GX$95,0,MATCH($A49,'Registro Diario'!$W$1:$GX$1,0))=0)*('Registro Diario'!$E$2:$E$95&lt;&gt;"")*'Registro Diario'!$J$2:$J$95)</f>
        <v>200.09000000000003</v>
      </c>
      <c r="E49" s="132">
        <f>SUM($D$13:D49)</f>
        <v>4015.1499999999992</v>
      </c>
      <c r="F49" s="133">
        <f t="shared" si="1"/>
        <v>1.7187038503520746</v>
      </c>
      <c r="G49" s="134">
        <f t="shared" si="3"/>
        <v>151.78</v>
      </c>
    </row>
    <row r="50" spans="1:7" x14ac:dyDescent="0.2">
      <c r="A50" s="135">
        <f t="shared" si="2"/>
        <v>46241</v>
      </c>
      <c r="B50" s="130" t="str">
        <f t="shared" si="0"/>
        <v>vie</v>
      </c>
      <c r="C50" s="131" cm="1">
        <f t="array" ref="C50">SUMPRODUCT((INDEX('Registro Diario'!$W$2:$GX$95,0,MATCH($A50,'Registro Diario'!$W$1:$GX$1,0))=0)*('Registro Diario'!$E$2:$E$95&lt;&gt;""))</f>
        <v>3</v>
      </c>
      <c r="D50" s="132" cm="1">
        <f t="array" ref="D50">SUMPRODUCT((INDEX('Registro Diario'!$W$2:$GX$95,0,MATCH($A50,'Registro Diario'!$W$1:$GX$1,0))=0)*('Registro Diario'!$E$2:$E$95&lt;&gt;"")*'Registro Diario'!$J$2:$J$95)</f>
        <v>61.34</v>
      </c>
      <c r="E50" s="132">
        <f>SUM($D$13:D50)</f>
        <v>4076.4899999999993</v>
      </c>
      <c r="F50" s="133">
        <f t="shared" si="1"/>
        <v>1.74496072598078</v>
      </c>
      <c r="G50" s="134">
        <f t="shared" si="3"/>
        <v>117.87428571428572</v>
      </c>
    </row>
    <row r="51" spans="1:7" x14ac:dyDescent="0.2">
      <c r="A51" s="135">
        <f t="shared" si="2"/>
        <v>46242</v>
      </c>
      <c r="B51" s="130" t="str">
        <f t="shared" si="0"/>
        <v>sáb</v>
      </c>
      <c r="C51" s="131" cm="1">
        <f t="array" ref="C51">SUMPRODUCT((INDEX('Registro Diario'!$W$2:$GX$95,0,MATCH($A51,'Registro Diario'!$W$1:$GX$1,0))=0)*('Registro Diario'!$E$2:$E$95&lt;&gt;""))</f>
        <v>4</v>
      </c>
      <c r="D51" s="132" cm="1">
        <f t="array" ref="D51">SUMPRODUCT((INDEX('Registro Diario'!$W$2:$GX$95,0,MATCH($A51,'Registro Diario'!$W$1:$GX$1,0))=0)*('Registro Diario'!$E$2:$E$95&lt;&gt;"")*'Registro Diario'!$J$2:$J$95)</f>
        <v>51.77</v>
      </c>
      <c r="E51" s="132">
        <f>SUM($D$13:D51)</f>
        <v>4128.2599999999993</v>
      </c>
      <c r="F51" s="133">
        <f t="shared" si="1"/>
        <v>1.7671211180788902</v>
      </c>
      <c r="G51" s="134">
        <f t="shared" si="3"/>
        <v>115.30142857142857</v>
      </c>
    </row>
    <row r="52" spans="1:7" x14ac:dyDescent="0.2">
      <c r="A52" s="135">
        <f t="shared" si="2"/>
        <v>46243</v>
      </c>
      <c r="B52" s="130" t="str">
        <f t="shared" si="0"/>
        <v>dom</v>
      </c>
      <c r="C52" s="131" cm="1">
        <f t="array" ref="C52">SUMPRODUCT((INDEX('Registro Diario'!$W$2:$GX$95,0,MATCH($A52,'Registro Diario'!$W$1:$GX$1,0))=0)*('Registro Diario'!$E$2:$E$95&lt;&gt;""))</f>
        <v>0</v>
      </c>
      <c r="D52" s="132" cm="1">
        <f t="array" ref="D52">SUMPRODUCT((INDEX('Registro Diario'!$W$2:$GX$95,0,MATCH($A52,'Registro Diario'!$W$1:$GX$1,0))=0)*('Registro Diario'!$E$2:$E$95&lt;&gt;"")*'Registro Diario'!$J$2:$J$95)</f>
        <v>0</v>
      </c>
      <c r="E52" s="132">
        <f>SUM($D$13:D52)</f>
        <v>4128.2599999999993</v>
      </c>
      <c r="F52" s="133">
        <f t="shared" si="1"/>
        <v>1.7671211180788902</v>
      </c>
      <c r="G52" s="134">
        <f t="shared" si="3"/>
        <v>115.30142857142857</v>
      </c>
    </row>
    <row r="53" spans="1:7" x14ac:dyDescent="0.2">
      <c r="A53" s="135">
        <f t="shared" si="2"/>
        <v>46244</v>
      </c>
      <c r="B53" s="130" t="str">
        <f t="shared" si="0"/>
        <v>lun</v>
      </c>
      <c r="C53" s="131" cm="1">
        <f t="array" ref="C53">SUMPRODUCT((INDEX('Registro Diario'!$W$2:$GX$95,0,MATCH($A53,'Registro Diario'!$W$1:$GX$1,0))=0)*('Registro Diario'!$E$2:$E$95&lt;&gt;""))</f>
        <v>7</v>
      </c>
      <c r="D53" s="132" cm="1">
        <f t="array" ref="D53">SUMPRODUCT((INDEX('Registro Diario'!$W$2:$GX$95,0,MATCH($A53,'Registro Diario'!$W$1:$GX$1,0))=0)*('Registro Diario'!$E$2:$E$95&lt;&gt;"")*'Registro Diario'!$J$2:$J$95)</f>
        <v>142.19</v>
      </c>
      <c r="E53" s="132">
        <f>SUM($D$13:D53)</f>
        <v>4270.4499999999989</v>
      </c>
      <c r="F53" s="133">
        <f t="shared" si="1"/>
        <v>1.8279862166384859</v>
      </c>
      <c r="G53" s="134">
        <f t="shared" si="3"/>
        <v>117.30285714285712</v>
      </c>
    </row>
    <row r="54" spans="1:7" x14ac:dyDescent="0.2">
      <c r="A54" s="135">
        <f t="shared" si="2"/>
        <v>46245</v>
      </c>
      <c r="B54" s="130" t="str">
        <f t="shared" si="0"/>
        <v>mar</v>
      </c>
      <c r="C54" s="131" cm="1">
        <f t="array" ref="C54">SUMPRODUCT((INDEX('Registro Diario'!$W$2:$GX$95,0,MATCH($A54,'Registro Diario'!$W$1:$GX$1,0))=0)*('Registro Diario'!$E$2:$E$95&lt;&gt;""))</f>
        <v>6</v>
      </c>
      <c r="D54" s="132" cm="1">
        <f t="array" ref="D54">SUMPRODUCT((INDEX('Registro Diario'!$W$2:$GX$95,0,MATCH($A54,'Registro Diario'!$W$1:$GX$1,0))=0)*('Registro Diario'!$E$2:$E$95&lt;&gt;"")*'Registro Diario'!$J$2:$J$95)</f>
        <v>229.29999999999998</v>
      </c>
      <c r="E54" s="132">
        <f>SUM($D$13:D54)</f>
        <v>4499.7499999999991</v>
      </c>
      <c r="F54" s="133">
        <f t="shared" si="1"/>
        <v>1.9261391605847222</v>
      </c>
      <c r="G54" s="134">
        <f t="shared" ref="G54" si="4">AVERAGE(D48:D54)</f>
        <v>133.02285714285713</v>
      </c>
    </row>
    <row r="55" spans="1:7" x14ac:dyDescent="0.2">
      <c r="A55" s="135">
        <f t="shared" si="2"/>
        <v>46246</v>
      </c>
      <c r="B55" s="130" t="str">
        <f t="shared" si="0"/>
        <v>mié</v>
      </c>
      <c r="C55" s="131" cm="1">
        <f t="array" ref="C55">SUMPRODUCT((INDEX('Registro Diario'!$W$2:$GX$95,0,MATCH($A55,'Registro Diario'!$W$1:$GX$1,0))=0)*('Registro Diario'!$E$2:$E$95&lt;&gt;""))</f>
        <v>10</v>
      </c>
      <c r="D55" s="132" cm="1">
        <f t="array" ref="D55">SUMPRODUCT((INDEX('Registro Diario'!$W$2:$GX$95,0,MATCH($A55,'Registro Diario'!$W$1:$GX$1,0))=0)*('Registro Diario'!$E$2:$E$95&lt;&gt;"")*'Registro Diario'!$J$2:$J$95)</f>
        <v>218.25</v>
      </c>
      <c r="E55" s="132">
        <f>SUM($D$13:D55)</f>
        <v>4717.9999999999991</v>
      </c>
      <c r="F55" s="133">
        <f t="shared" si="1"/>
        <v>2.0195621000363841</v>
      </c>
      <c r="G55" s="134">
        <f t="shared" ref="G55" si="5">AVERAGE(D49:D55)</f>
        <v>128.99142857142857</v>
      </c>
    </row>
    <row r="56" spans="1:7" x14ac:dyDescent="0.2">
      <c r="A56" s="135">
        <f t="shared" si="2"/>
        <v>46247</v>
      </c>
      <c r="B56" s="130" t="str">
        <f t="shared" si="0"/>
        <v>jue</v>
      </c>
      <c r="C56" s="131" cm="1">
        <f t="array" ref="C56">SUMPRODUCT((INDEX('Registro Diario'!$W$2:$GX$95,0,MATCH($A56,'Registro Diario'!$W$1:$GX$1,0))=0)*('Registro Diario'!$E$2:$E$95&lt;&gt;""))</f>
        <v>2</v>
      </c>
      <c r="D56" s="132" cm="1">
        <f t="array" ref="D56">SUMPRODUCT((INDEX('Registro Diario'!$W$2:$GX$95,0,MATCH($A56,'Registro Diario'!$W$1:$GX$1,0))=0)*('Registro Diario'!$E$2:$E$95&lt;&gt;"")*'Registro Diario'!$J$2:$J$95)</f>
        <v>64.13</v>
      </c>
      <c r="E56" s="132">
        <f>SUM($D$13:D56)</f>
        <v>4782.1299999999992</v>
      </c>
      <c r="F56" s="133">
        <f t="shared" si="1"/>
        <v>2.0470132482931316</v>
      </c>
      <c r="G56" s="134">
        <f t="shared" ref="G56:G61" si="6">AVERAGE(D50:D56)</f>
        <v>109.56857142857143</v>
      </c>
    </row>
    <row r="57" spans="1:7" x14ac:dyDescent="0.2">
      <c r="A57" s="135">
        <f t="shared" si="2"/>
        <v>46248</v>
      </c>
      <c r="B57" s="130" t="str">
        <f t="shared" si="0"/>
        <v>vie</v>
      </c>
      <c r="C57" s="131" cm="1">
        <f t="array" ref="C57">SUMPRODUCT((INDEX('Registro Diario'!$W$2:$GX$95,0,MATCH($A57,'Registro Diario'!$W$1:$GX$1,0))=0)*('Registro Diario'!$E$2:$E$95&lt;&gt;""))</f>
        <v>7</v>
      </c>
      <c r="D57" s="132" cm="1">
        <f t="array" ref="D57">SUMPRODUCT((INDEX('Registro Diario'!$W$2:$GX$95,0,MATCH($A57,'Registro Diario'!$W$1:$GX$1,0))=0)*('Registro Diario'!$E$2:$E$95&lt;&gt;"")*'Registro Diario'!$J$2:$J$95)</f>
        <v>219.31</v>
      </c>
      <c r="E57" s="132">
        <f>SUM($D$13:D57)</f>
        <v>5001.4399999999996</v>
      </c>
      <c r="F57" s="133">
        <f t="shared" si="1"/>
        <v>2.1408899257325085</v>
      </c>
      <c r="G57" s="134">
        <f t="shared" si="6"/>
        <v>132.1357142857143</v>
      </c>
    </row>
    <row r="58" spans="1:7" x14ac:dyDescent="0.2">
      <c r="A58" s="135">
        <f t="shared" si="2"/>
        <v>46249</v>
      </c>
      <c r="B58" s="130" t="str">
        <f t="shared" si="0"/>
        <v>sáb</v>
      </c>
      <c r="C58" s="131" cm="1">
        <f t="array" ref="C58">SUMPRODUCT((INDEX('Registro Diario'!$W$2:$GX$95,0,MATCH($A58,'Registro Diario'!$W$1:$GX$1,0))=0)*('Registro Diario'!$E$2:$E$95&lt;&gt;""))</f>
        <v>0</v>
      </c>
      <c r="D58" s="132" cm="1">
        <f t="array" ref="D58">SUMPRODUCT((INDEX('Registro Diario'!$W$2:$GX$95,0,MATCH($A58,'Registro Diario'!$W$1:$GX$1,0))=0)*('Registro Diario'!$E$2:$E$95&lt;&gt;"")*'Registro Diario'!$J$2:$J$95)</f>
        <v>0</v>
      </c>
      <c r="E58" s="132">
        <f>SUM($D$13:D58)</f>
        <v>5001.4399999999996</v>
      </c>
      <c r="F58" s="133">
        <f t="shared" si="1"/>
        <v>2.1408899257325085</v>
      </c>
      <c r="G58" s="134">
        <f t="shared" si="6"/>
        <v>124.74000000000001</v>
      </c>
    </row>
    <row r="59" spans="1:7" x14ac:dyDescent="0.2">
      <c r="A59" s="135">
        <f t="shared" si="2"/>
        <v>46250</v>
      </c>
      <c r="B59" s="130" t="str">
        <f t="shared" si="0"/>
        <v>dom</v>
      </c>
      <c r="C59" s="131" cm="1">
        <f t="array" ref="C59">SUMPRODUCT((INDEX('Registro Diario'!$W$2:$GX$95,0,MATCH($A59,'Registro Diario'!$W$1:$GX$1,0))=0)*('Registro Diario'!$E$2:$E$95&lt;&gt;""))</f>
        <v>0</v>
      </c>
      <c r="D59" s="132" cm="1">
        <f t="array" ref="D59">SUMPRODUCT((INDEX('Registro Diario'!$W$2:$GX$95,0,MATCH($A59,'Registro Diario'!$W$1:$GX$1,0))=0)*('Registro Diario'!$E$2:$E$95&lt;&gt;"")*'Registro Diario'!$J$2:$J$95)</f>
        <v>0</v>
      </c>
      <c r="E59" s="132">
        <f>SUM($D$13:D59)</f>
        <v>5001.4399999999996</v>
      </c>
      <c r="F59" s="133">
        <f t="shared" si="1"/>
        <v>2.1408899257325085</v>
      </c>
      <c r="G59" s="134">
        <f t="shared" si="6"/>
        <v>124.74000000000001</v>
      </c>
    </row>
    <row r="60" spans="1:7" x14ac:dyDescent="0.2">
      <c r="A60" s="135">
        <f t="shared" si="2"/>
        <v>46251</v>
      </c>
      <c r="B60" s="130" t="str">
        <f t="shared" si="0"/>
        <v>lun</v>
      </c>
      <c r="C60" s="131" cm="1">
        <f t="array" ref="C60">SUMPRODUCT((INDEX('Registro Diario'!$W$2:$GX$95,0,MATCH($A60,'Registro Diario'!$W$1:$GX$1,0))=0)*('Registro Diario'!$E$2:$E$95&lt;&gt;""))</f>
        <v>0</v>
      </c>
      <c r="D60" s="132" cm="1">
        <f t="array" ref="D60">SUMPRODUCT((INDEX('Registro Diario'!$W$2:$GX$95,0,MATCH($A60,'Registro Diario'!$W$1:$GX$1,0))=0)*('Registro Diario'!$E$2:$E$95&lt;&gt;"")*'Registro Diario'!$J$2:$J$95)</f>
        <v>0</v>
      </c>
      <c r="E60" s="132">
        <f>SUM($D$13:D60)</f>
        <v>5001.4399999999996</v>
      </c>
      <c r="F60" s="133">
        <f t="shared" si="1"/>
        <v>2.1408899257325085</v>
      </c>
      <c r="G60" s="134">
        <f t="shared" si="6"/>
        <v>104.42714285714285</v>
      </c>
    </row>
    <row r="61" spans="1:7" x14ac:dyDescent="0.2">
      <c r="A61" s="135">
        <f t="shared" si="2"/>
        <v>46252</v>
      </c>
      <c r="B61" s="130" t="str">
        <f t="shared" si="0"/>
        <v>mar</v>
      </c>
      <c r="C61" s="131" cm="1">
        <f t="array" ref="C61">SUMPRODUCT((INDEX('Registro Diario'!$W$2:$GX$95,0,MATCH($A61,'Registro Diario'!$W$1:$GX$1,0))=0)*('Registro Diario'!$E$2:$E$95&lt;&gt;""))</f>
        <v>0</v>
      </c>
      <c r="D61" s="132" cm="1">
        <f t="array" ref="D61">SUMPRODUCT((INDEX('Registro Diario'!$W$2:$GX$95,0,MATCH($A61,'Registro Diario'!$W$1:$GX$1,0))=0)*('Registro Diario'!$E$2:$E$95&lt;&gt;"")*'Registro Diario'!$J$2:$J$95)</f>
        <v>0</v>
      </c>
      <c r="E61" s="132">
        <f>SUM($D$13:D61)</f>
        <v>5001.4399999999996</v>
      </c>
      <c r="F61" s="133">
        <f t="shared" si="1"/>
        <v>2.1408899257325085</v>
      </c>
      <c r="G61" s="134">
        <f t="shared" si="6"/>
        <v>71.67</v>
      </c>
    </row>
    <row r="62" spans="1:7" x14ac:dyDescent="0.2">
      <c r="A62" s="212"/>
      <c r="B62" s="77"/>
      <c r="C62" s="213"/>
      <c r="D62" s="214"/>
      <c r="E62" s="214"/>
      <c r="F62" s="215"/>
      <c r="G62" s="214"/>
    </row>
    <row r="63" spans="1:7" x14ac:dyDescent="0.2">
      <c r="A63" s="212"/>
      <c r="B63" s="77"/>
      <c r="C63" s="213"/>
      <c r="D63" s="214"/>
      <c r="E63" s="214"/>
      <c r="F63" s="215"/>
      <c r="G63" s="214"/>
    </row>
    <row r="64" spans="1:7" x14ac:dyDescent="0.2">
      <c r="A64" s="212"/>
      <c r="B64" s="77"/>
      <c r="C64" s="213"/>
      <c r="D64" s="214"/>
      <c r="E64" s="214"/>
      <c r="F64" s="215"/>
      <c r="G64" s="214"/>
    </row>
    <row r="65" spans="1:8" x14ac:dyDescent="0.2">
      <c r="A65" s="212"/>
      <c r="B65" s="77"/>
      <c r="C65" s="213"/>
      <c r="D65" s="214"/>
      <c r="E65" s="214"/>
      <c r="F65" s="215"/>
      <c r="G65" s="214"/>
    </row>
    <row r="67" spans="1:8" x14ac:dyDescent="0.2">
      <c r="A67" s="128" t="s">
        <v>631</v>
      </c>
    </row>
    <row r="68" spans="1:8" ht="27.75" x14ac:dyDescent="0.2">
      <c r="A68" s="151" t="s">
        <v>632</v>
      </c>
      <c r="B68" s="152" t="s">
        <v>633</v>
      </c>
      <c r="C68" s="152" t="s">
        <v>634</v>
      </c>
      <c r="D68" s="152" t="s">
        <v>635</v>
      </c>
      <c r="E68" s="152" t="s">
        <v>626</v>
      </c>
      <c r="F68" s="152" t="s">
        <v>627</v>
      </c>
      <c r="G68" s="152" t="s">
        <v>636</v>
      </c>
      <c r="H68" s="153" t="s">
        <v>637</v>
      </c>
    </row>
    <row r="69" spans="1:8" x14ac:dyDescent="0.2">
      <c r="A69" s="137" t="str">
        <f>"Sem "&amp;ROWS($A$69:A69)</f>
        <v>Sem 1</v>
      </c>
      <c r="B69" s="138">
        <f>$A$13</f>
        <v>46204</v>
      </c>
      <c r="C69" s="138">
        <f>MIN(B69+6,$A$53)</f>
        <v>46210</v>
      </c>
      <c r="D69" s="139">
        <f>C69-B69+1</f>
        <v>7</v>
      </c>
      <c r="E69" s="131">
        <f>SUMIFS($C$13:$C$53,$A$13:$A$53,"&gt;="&amp;B69,$A$13:$A$53,"&lt;="&amp;C69)</f>
        <v>19</v>
      </c>
      <c r="F69" s="132">
        <f>SUMIFS($D$13:$D$53,$A$13:$A$53,"&gt;="&amp;B69,$A$13:$A$53,"&lt;="&amp;C69)</f>
        <v>445.24</v>
      </c>
      <c r="G69" s="132">
        <f t="shared" ref="G69:G77" si="7">$F69/$D69</f>
        <v>63.605714285714285</v>
      </c>
      <c r="H69" s="140">
        <f t="shared" ref="H69:H77" si="8">$F69/$C$5</f>
        <v>0.19058707702844424</v>
      </c>
    </row>
    <row r="70" spans="1:8" x14ac:dyDescent="0.2">
      <c r="A70" s="137" t="str">
        <f>"Sem "&amp;ROWS($A$69:A70)</f>
        <v>Sem 2</v>
      </c>
      <c r="B70" s="138">
        <f>C69+1</f>
        <v>46211</v>
      </c>
      <c r="C70" s="138">
        <f t="shared" ref="C70:C74" si="9">MIN(B70+6,$A$53)</f>
        <v>46217</v>
      </c>
      <c r="D70" s="139">
        <f t="shared" ref="D70:D74" si="10">C70-B70+1</f>
        <v>7</v>
      </c>
      <c r="E70" s="131">
        <f t="shared" ref="E70:E74" si="11">SUMIFS($C$13:$C$53,$A$13:$A$53,"&gt;="&amp;B70,$A$13:$A$53,"&lt;="&amp;C70)</f>
        <v>24</v>
      </c>
      <c r="F70" s="132">
        <f t="shared" ref="F70:F73" si="12">SUMIFS($D$13:$D$53,$A$13:$A$53,"&gt;="&amp;B70,$A$13:$A$53,"&lt;="&amp;C70)</f>
        <v>658.59999999999991</v>
      </c>
      <c r="G70" s="132">
        <f t="shared" si="7"/>
        <v>94.085714285714275</v>
      </c>
      <c r="H70" s="140">
        <f t="shared" si="8"/>
        <v>0.28191682897074238</v>
      </c>
    </row>
    <row r="71" spans="1:8" x14ac:dyDescent="0.2">
      <c r="A71" s="137" t="str">
        <f>"Sem "&amp;ROWS($A$69:A71)</f>
        <v>Sem 3</v>
      </c>
      <c r="B71" s="138">
        <f t="shared" ref="B71:B74" si="13">C70+1</f>
        <v>46218</v>
      </c>
      <c r="C71" s="138">
        <f t="shared" si="9"/>
        <v>46224</v>
      </c>
      <c r="D71" s="139">
        <f t="shared" si="10"/>
        <v>7</v>
      </c>
      <c r="E71" s="131">
        <f t="shared" si="11"/>
        <v>21</v>
      </c>
      <c r="F71" s="132">
        <f t="shared" si="12"/>
        <v>562.81000000000006</v>
      </c>
      <c r="G71" s="132">
        <f t="shared" si="7"/>
        <v>80.401428571428582</v>
      </c>
      <c r="H71" s="140">
        <f t="shared" si="8"/>
        <v>0.24091346874130515</v>
      </c>
    </row>
    <row r="72" spans="1:8" x14ac:dyDescent="0.2">
      <c r="A72" s="137" t="str">
        <f>"Sem "&amp;ROWS($A$69:A72)</f>
        <v>Sem 4</v>
      </c>
      <c r="B72" s="138">
        <f t="shared" si="13"/>
        <v>46225</v>
      </c>
      <c r="C72" s="138">
        <f t="shared" si="9"/>
        <v>46231</v>
      </c>
      <c r="D72" s="139">
        <f t="shared" si="10"/>
        <v>7</v>
      </c>
      <c r="E72" s="131">
        <f t="shared" si="11"/>
        <v>41</v>
      </c>
      <c r="F72" s="132">
        <f t="shared" si="12"/>
        <v>977.5</v>
      </c>
      <c r="G72" s="132">
        <f t="shared" si="7"/>
        <v>139.64285714285714</v>
      </c>
      <c r="H72" s="140">
        <f t="shared" si="8"/>
        <v>0.41842347452004364</v>
      </c>
    </row>
    <row r="73" spans="1:8" x14ac:dyDescent="0.2">
      <c r="A73" s="137" t="str">
        <f>"Sem "&amp;ROWS($A$69:A73)</f>
        <v>Sem 5</v>
      </c>
      <c r="B73" s="138">
        <f t="shared" si="13"/>
        <v>46232</v>
      </c>
      <c r="C73" s="138">
        <f t="shared" si="9"/>
        <v>46238</v>
      </c>
      <c r="D73" s="139">
        <f t="shared" si="10"/>
        <v>7</v>
      </c>
      <c r="E73" s="131">
        <f t="shared" si="11"/>
        <v>35</v>
      </c>
      <c r="F73" s="132">
        <f t="shared" si="12"/>
        <v>924.44</v>
      </c>
      <c r="G73" s="132">
        <f t="shared" si="7"/>
        <v>132.06285714285715</v>
      </c>
      <c r="H73" s="140">
        <f t="shared" si="8"/>
        <v>0.39571089185197866</v>
      </c>
    </row>
    <row r="74" spans="1:8" x14ac:dyDescent="0.2">
      <c r="A74" s="137" t="str">
        <f>"Sem "&amp;ROWS($A$69:A74)</f>
        <v>Sem 6</v>
      </c>
      <c r="B74" s="138">
        <f t="shared" si="13"/>
        <v>46239</v>
      </c>
      <c r="C74" s="138">
        <f t="shared" si="9"/>
        <v>46244</v>
      </c>
      <c r="D74" s="139">
        <f t="shared" si="10"/>
        <v>6</v>
      </c>
      <c r="E74" s="131">
        <f t="shared" si="11"/>
        <v>34</v>
      </c>
      <c r="F74" s="132">
        <f>SUMIFS($D$13:$D$55,$A$13:$A$55,"&gt;="&amp;B74,$A$13:$A$55,"&lt;="&amp;C74)</f>
        <v>701.8599999999999</v>
      </c>
      <c r="G74" s="132">
        <f t="shared" si="7"/>
        <v>116.97666666666665</v>
      </c>
      <c r="H74" s="140">
        <f t="shared" si="8"/>
        <v>0.30043447552597219</v>
      </c>
    </row>
    <row r="75" spans="1:8" x14ac:dyDescent="0.2">
      <c r="A75" s="137" t="str">
        <f>"Sem "&amp;ROWS($A$69:A75)</f>
        <v>Sem 7</v>
      </c>
      <c r="B75" s="138">
        <f t="shared" ref="B75" si="14">C74+1</f>
        <v>46245</v>
      </c>
      <c r="C75" s="138">
        <f>MIN(B75+6,$A$55)</f>
        <v>46246</v>
      </c>
      <c r="D75" s="139">
        <f t="shared" ref="D75" si="15">C75-B75+1</f>
        <v>2</v>
      </c>
      <c r="E75" s="131">
        <f>SUMIFS($C$13:$C$55,$A$13:$A$55,"&gt;="&amp;B75,$A$13:$A$55,"&lt;="&amp;C75)</f>
        <v>16</v>
      </c>
      <c r="F75" s="132">
        <f>SUMIFS($D$13:$D$55,$A$13:$A$55,"&gt;="&amp;B75,$A$13:$A$55,"&lt;="&amp;C75)</f>
        <v>447.54999999999995</v>
      </c>
      <c r="G75" s="132">
        <f t="shared" si="7"/>
        <v>223.77499999999998</v>
      </c>
      <c r="H75" s="140">
        <f t="shared" si="8"/>
        <v>0.19157588339789822</v>
      </c>
    </row>
    <row r="76" spans="1:8" x14ac:dyDescent="0.2">
      <c r="A76" s="216"/>
      <c r="B76" s="217"/>
      <c r="C76" s="217"/>
      <c r="D76" s="218"/>
      <c r="E76" s="219"/>
      <c r="F76" s="220"/>
      <c r="G76" s="220"/>
      <c r="H76" s="221"/>
    </row>
    <row r="77" spans="1:8" x14ac:dyDescent="0.2">
      <c r="A77" s="141" t="s">
        <v>638</v>
      </c>
      <c r="B77" s="142"/>
      <c r="C77" s="142"/>
      <c r="D77" s="143">
        <f>SUM($D$69:$D$74)</f>
        <v>41</v>
      </c>
      <c r="E77" s="144">
        <f>SUM($E$69:$E$74)</f>
        <v>174</v>
      </c>
      <c r="F77" s="145">
        <f>SUM($F$69:$F$74)</f>
        <v>4270.45</v>
      </c>
      <c r="G77" s="145">
        <f t="shared" si="7"/>
        <v>104.15731707317073</v>
      </c>
      <c r="H77" s="146">
        <f t="shared" si="8"/>
        <v>1.8279862166384861</v>
      </c>
    </row>
    <row r="80" spans="1:8" x14ac:dyDescent="0.2">
      <c r="A80" s="128" t="s">
        <v>639</v>
      </c>
    </row>
    <row r="81" spans="1:7" ht="27.75" x14ac:dyDescent="0.2">
      <c r="A81" s="151" t="s">
        <v>51</v>
      </c>
      <c r="B81" s="152" t="s">
        <v>536</v>
      </c>
      <c r="C81" s="152" t="s">
        <v>640</v>
      </c>
      <c r="D81" s="152" t="s">
        <v>641</v>
      </c>
      <c r="E81" s="152" t="s">
        <v>642</v>
      </c>
      <c r="F81" s="152" t="s">
        <v>643</v>
      </c>
      <c r="G81" s="153" t="s">
        <v>636</v>
      </c>
    </row>
    <row r="82" spans="1:7" x14ac:dyDescent="0.2">
      <c r="A82" s="147" t="s">
        <v>69</v>
      </c>
      <c r="B82" s="131">
        <f>COUNTIF('Registro Diario'!$C$2:$C$95,$A82)</f>
        <v>13</v>
      </c>
      <c r="C82" s="132">
        <f>SUMIF('Registro Diario'!$C$2:$C$95,$A82,'Registro Diario'!$J$2:$J$95)</f>
        <v>545.56000000000006</v>
      </c>
      <c r="D82" s="131" cm="1">
        <f t="array" ref="D82">SUMPRODUCT(('Registro Diario'!$W$2:$BK$95=0)*('Registro Diario'!$C$2:$C$95=$A82))</f>
        <v>21</v>
      </c>
      <c r="E82" s="132" cm="1">
        <f t="array" ref="E82">SUMPRODUCT(('Registro Diario'!$W$2:$BK$95=0)*('Registro Diario'!$C$2:$C$95=$A82)*'Registro Diario'!$J$2:$J$95)</f>
        <v>893.06</v>
      </c>
      <c r="F82" s="148">
        <f t="shared" ref="F82:F88" si="16">IFERROR($E82/$C82,"")</f>
        <v>1.636960187697045</v>
      </c>
      <c r="G82" s="134">
        <f t="shared" ref="G82:G89" si="17">$E82/$D$77</f>
        <v>21.781951219512194</v>
      </c>
    </row>
    <row r="83" spans="1:7" x14ac:dyDescent="0.2">
      <c r="A83" s="147" t="s">
        <v>93</v>
      </c>
      <c r="B83" s="131">
        <f>COUNTIF('Registro Diario'!$C$2:$C$95,$A83)</f>
        <v>17</v>
      </c>
      <c r="C83" s="132">
        <f>SUMIF('Registro Diario'!$C$2:$C$95,$A83,'Registro Diario'!$J$2:$J$95)</f>
        <v>494.54</v>
      </c>
      <c r="D83" s="131" cm="1">
        <f t="array" ref="D83">SUMPRODUCT(('Registro Diario'!$W$2:$BK$95=0)*('Registro Diario'!$C$2:$C$95=$A83))</f>
        <v>37</v>
      </c>
      <c r="E83" s="132" cm="1">
        <f t="array" ref="E83">SUMPRODUCT(('Registro Diario'!$W$2:$BK$95=0)*('Registro Diario'!$C$2:$C$95=$A83)*'Registro Diario'!$J$2:$J$95)</f>
        <v>1021.26</v>
      </c>
      <c r="F83" s="148">
        <f t="shared" si="16"/>
        <v>2.0650705706312937</v>
      </c>
      <c r="G83" s="134">
        <f t="shared" si="17"/>
        <v>24.908780487804879</v>
      </c>
    </row>
    <row r="84" spans="1:7" x14ac:dyDescent="0.2">
      <c r="A84" s="147" t="s">
        <v>102</v>
      </c>
      <c r="B84" s="131">
        <f>COUNTIF('Registro Diario'!$C$2:$C$95,$A84)</f>
        <v>14</v>
      </c>
      <c r="C84" s="132">
        <f>SUMIF('Registro Diario'!$C$2:$C$95,$A84,'Registro Diario'!$J$2:$J$95)</f>
        <v>271.41000000000003</v>
      </c>
      <c r="D84" s="131" cm="1">
        <f t="array" ref="D84">SUMPRODUCT(('Registro Diario'!$W$2:$BK$95=0)*('Registro Diario'!$C$2:$C$95=$A84))</f>
        <v>18</v>
      </c>
      <c r="E84" s="132" cm="1">
        <f t="array" ref="E84">SUMPRODUCT(('Registro Diario'!$W$2:$BK$95=0)*('Registro Diario'!$C$2:$C$95=$A84)*'Registro Diario'!$J$2:$J$95)</f>
        <v>362.09000000000003</v>
      </c>
      <c r="F84" s="148">
        <f t="shared" si="16"/>
        <v>1.3341070704837699</v>
      </c>
      <c r="G84" s="134">
        <f t="shared" si="17"/>
        <v>8.8314634146341469</v>
      </c>
    </row>
    <row r="85" spans="1:7" x14ac:dyDescent="0.2">
      <c r="A85" s="147" t="s">
        <v>105</v>
      </c>
      <c r="B85" s="131">
        <f>COUNTIF('Registro Diario'!$C$2:$C$95,$A85)</f>
        <v>8</v>
      </c>
      <c r="C85" s="132">
        <f>SUMIF('Registro Diario'!$C$2:$C$95,$A85,'Registro Diario'!$J$2:$J$95)</f>
        <v>237.45</v>
      </c>
      <c r="D85" s="131" cm="1">
        <f t="array" ref="D85">SUMPRODUCT(('Registro Diario'!$W$2:$BK$95=0)*('Registro Diario'!$C$2:$C$95=$A85))</f>
        <v>13</v>
      </c>
      <c r="E85" s="132" cm="1">
        <f t="array" ref="E85">SUMPRODUCT(('Registro Diario'!$W$2:$BK$95=0)*('Registro Diario'!$C$2:$C$95=$A85)*'Registro Diario'!$J$2:$J$95)</f>
        <v>399.12</v>
      </c>
      <c r="F85" s="148">
        <f t="shared" si="16"/>
        <v>1.6808591282375238</v>
      </c>
      <c r="G85" s="134">
        <f t="shared" si="17"/>
        <v>9.7346341463414632</v>
      </c>
    </row>
    <row r="86" spans="1:7" x14ac:dyDescent="0.2">
      <c r="A86" s="147" t="s">
        <v>138</v>
      </c>
      <c r="B86" s="131">
        <f>COUNTIF('Registro Diario'!$C$2:$C$95,$A86)</f>
        <v>7</v>
      </c>
      <c r="C86" s="132">
        <f>SUMIF('Registro Diario'!$C$2:$C$95,$A86,'Registro Diario'!$J$2:$J$95)</f>
        <v>173.85999999999996</v>
      </c>
      <c r="D86" s="131" cm="1">
        <f t="array" ref="D86">SUMPRODUCT(('Registro Diario'!$W$2:$BK$95=0)*('Registro Diario'!$C$2:$C$95=$A86))</f>
        <v>14</v>
      </c>
      <c r="E86" s="132" cm="1">
        <f t="array" ref="E86">SUMPRODUCT(('Registro Diario'!$W$2:$BK$95=0)*('Registro Diario'!$C$2:$C$95=$A86)*'Registro Diario'!$J$2:$J$95)</f>
        <v>347.72</v>
      </c>
      <c r="F86" s="148">
        <f t="shared" si="16"/>
        <v>2.0000000000000004</v>
      </c>
      <c r="G86" s="134">
        <f t="shared" si="17"/>
        <v>8.4809756097560989</v>
      </c>
    </row>
    <row r="87" spans="1:7" x14ac:dyDescent="0.2">
      <c r="A87" s="147" t="s">
        <v>194</v>
      </c>
      <c r="B87" s="131">
        <f>COUNTIF('Registro Diario'!$C$2:$C$95,$A87)</f>
        <v>13</v>
      </c>
      <c r="C87" s="132">
        <f>SUMIF('Registro Diario'!$C$2:$C$95,$A87,'Registro Diario'!$J$2:$J$95)</f>
        <v>187</v>
      </c>
      <c r="D87" s="131" cm="1">
        <f t="array" ref="D87">SUMPRODUCT(('Registro Diario'!$W$2:$BK$95=0)*('Registro Diario'!$C$2:$C$95=$A87))</f>
        <v>21</v>
      </c>
      <c r="E87" s="132" cm="1">
        <f t="array" ref="E87">SUMPRODUCT(('Registro Diario'!$W$2:$BK$95=0)*('Registro Diario'!$C$2:$C$95=$A87)*'Registro Diario'!$J$2:$J$95)</f>
        <v>290</v>
      </c>
      <c r="F87" s="148">
        <f t="shared" si="16"/>
        <v>1.5508021390374331</v>
      </c>
      <c r="G87" s="134">
        <f t="shared" si="17"/>
        <v>7.0731707317073171</v>
      </c>
    </row>
    <row r="88" spans="1:7" x14ac:dyDescent="0.2">
      <c r="A88" s="147" t="s">
        <v>162</v>
      </c>
      <c r="B88" s="131">
        <f>COUNTIF('Registro Diario'!$C$2:$C$95,$A88)</f>
        <v>22</v>
      </c>
      <c r="C88" s="132">
        <f>SUMIF('Registro Diario'!$C$2:$C$95,$A88,'Registro Diario'!$J$2:$J$95)</f>
        <v>426.33000000000004</v>
      </c>
      <c r="D88" s="131" cm="1">
        <f t="array" ref="D88">SUMPRODUCT(('Registro Diario'!$W$2:$BK$95=0)*('Registro Diario'!$C$2:$C$95=$A88))</f>
        <v>50</v>
      </c>
      <c r="E88" s="132" cm="1">
        <f t="array" ref="E88">SUMPRODUCT(('Registro Diario'!$W$2:$BK$95=0)*('Registro Diario'!$C$2:$C$95=$A88)*'Registro Diario'!$J$2:$J$95)</f>
        <v>957.1999999999997</v>
      </c>
      <c r="F88" s="148">
        <f t="shared" si="16"/>
        <v>2.2452091103136058</v>
      </c>
      <c r="G88" s="134">
        <f t="shared" si="17"/>
        <v>23.346341463414628</v>
      </c>
    </row>
    <row r="89" spans="1:7" x14ac:dyDescent="0.2">
      <c r="A89" s="141" t="s">
        <v>638</v>
      </c>
      <c r="B89" s="144">
        <f>SUM($B$82:$B$88)</f>
        <v>94</v>
      </c>
      <c r="C89" s="145">
        <f>SUM($C$82:$C$88)</f>
        <v>2336.15</v>
      </c>
      <c r="D89" s="144">
        <f>SUM($D$82:$D$88)</f>
        <v>174</v>
      </c>
      <c r="E89" s="145">
        <f>SUM($E$82:$E$88)</f>
        <v>4270.45</v>
      </c>
      <c r="F89" s="149">
        <f>$E89/$C89</f>
        <v>1.8279862166384861</v>
      </c>
      <c r="G89" s="150">
        <f t="shared" si="17"/>
        <v>104.15731707317073</v>
      </c>
    </row>
  </sheetData>
  <conditionalFormatting sqref="A13:G65">
    <cfRule type="expression" dxfId="2" priority="1">
      <formula>$D13=0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987D-AD54-498D-89DC-CEAEBB6C83C9}">
  <dimension ref="A1:K160"/>
  <sheetViews>
    <sheetView topLeftCell="A9" zoomScale="115" zoomScaleNormal="115" workbookViewId="0">
      <selection activeCell="A127" sqref="A127:XFD128"/>
    </sheetView>
  </sheetViews>
  <sheetFormatPr defaultColWidth="11.56640625" defaultRowHeight="15" outlineLevelRow="1" x14ac:dyDescent="0.2"/>
  <cols>
    <col min="1" max="1" width="43.58203125" style="167" customWidth="1"/>
    <col min="2" max="2" width="17.484375" style="167" customWidth="1"/>
    <col min="3" max="11" width="13.046875" style="167" customWidth="1"/>
    <col min="12" max="12" width="3.359375" style="167" customWidth="1"/>
    <col min="13" max="13" width="21.38671875" style="167" customWidth="1"/>
    <col min="14" max="20" width="14.390625" style="167" customWidth="1"/>
    <col min="21" max="21" width="3.359375" style="167" customWidth="1"/>
    <col min="22" max="24" width="16.6796875" style="167" customWidth="1"/>
    <col min="25" max="16384" width="11.56640625" style="167"/>
  </cols>
  <sheetData>
    <row r="1" spans="1:5" ht="18.75" x14ac:dyDescent="0.2">
      <c r="A1" s="166" t="s">
        <v>648</v>
      </c>
    </row>
    <row r="2" spans="1:5" x14ac:dyDescent="0.2">
      <c r="A2" s="168" t="s">
        <v>649</v>
      </c>
    </row>
    <row r="4" spans="1:5" x14ac:dyDescent="0.2">
      <c r="A4" s="169" t="s">
        <v>650</v>
      </c>
      <c r="B4" s="170"/>
      <c r="C4" s="170"/>
    </row>
    <row r="5" spans="1:5" x14ac:dyDescent="0.2">
      <c r="A5" s="167" t="s">
        <v>282</v>
      </c>
      <c r="C5" s="174">
        <f>Parametros!$B$4</f>
        <v>12</v>
      </c>
    </row>
    <row r="6" spans="1:5" x14ac:dyDescent="0.2">
      <c r="A6" s="167" t="s">
        <v>284</v>
      </c>
      <c r="C6" s="174">
        <f>Parametros!$B$5</f>
        <v>5</v>
      </c>
    </row>
    <row r="7" spans="1:5" x14ac:dyDescent="0.2">
      <c r="A7" s="167" t="s">
        <v>651</v>
      </c>
      <c r="C7" s="180">
        <f>'Dashboard Ciclos'!$B$2</f>
        <v>46249</v>
      </c>
    </row>
    <row r="8" spans="1:5" x14ac:dyDescent="0.2">
      <c r="A8" s="167" t="s">
        <v>652</v>
      </c>
      <c r="C8" s="181">
        <f>$C$7+7</f>
        <v>46256</v>
      </c>
    </row>
    <row r="9" spans="1:5" x14ac:dyDescent="0.2">
      <c r="A9" s="167" t="s">
        <v>644</v>
      </c>
      <c r="C9" s="186">
        <f>SUM($C$22:$C$115)</f>
        <v>2336.15</v>
      </c>
    </row>
    <row r="10" spans="1:5" x14ac:dyDescent="0.2">
      <c r="A10" s="187" t="s">
        <v>653</v>
      </c>
      <c r="C10" s="188">
        <v>170</v>
      </c>
      <c r="E10" s="211">
        <v>2</v>
      </c>
    </row>
    <row r="11" spans="1:5" x14ac:dyDescent="0.2">
      <c r="A11" s="187" t="s">
        <v>654</v>
      </c>
      <c r="C11" s="189">
        <f>$C$10*7</f>
        <v>1190</v>
      </c>
      <c r="E11" s="211">
        <f>+C10/E10</f>
        <v>85</v>
      </c>
    </row>
    <row r="12" spans="1:5" x14ac:dyDescent="0.2">
      <c r="E12" s="211"/>
    </row>
    <row r="13" spans="1:5" x14ac:dyDescent="0.2">
      <c r="A13" s="190" t="s">
        <v>655</v>
      </c>
      <c r="B13" s="191"/>
      <c r="C13" s="191"/>
    </row>
    <row r="14" spans="1:5" x14ac:dyDescent="0.2">
      <c r="A14" s="167" t="s">
        <v>656</v>
      </c>
      <c r="C14" s="192">
        <f>SUM('Avance Hectáreas'!$D$47:$D$53)</f>
        <v>821.11999999999989</v>
      </c>
    </row>
    <row r="15" spans="1:5" x14ac:dyDescent="0.2">
      <c r="A15" s="187" t="s">
        <v>657</v>
      </c>
      <c r="C15" s="193">
        <f>AVERAGE('Avance Hectáreas'!$D$47:$D$53)</f>
        <v>117.30285714285712</v>
      </c>
    </row>
    <row r="16" spans="1:5" x14ac:dyDescent="0.2">
      <c r="A16" s="167" t="s">
        <v>658</v>
      </c>
      <c r="C16" s="192">
        <f>AVERAGE('Avance Hectáreas'!$D$40:$D$46)</f>
        <v>124.7757142857143</v>
      </c>
    </row>
    <row r="17" spans="1:11" x14ac:dyDescent="0.2">
      <c r="A17" s="167" t="s">
        <v>659</v>
      </c>
      <c r="C17" s="194">
        <f>$C$15/$C$16-1</f>
        <v>-5.9890317483942912E-2</v>
      </c>
    </row>
    <row r="18" spans="1:11" x14ac:dyDescent="0.2">
      <c r="A18" s="167" t="s">
        <v>660</v>
      </c>
      <c r="C18" s="192">
        <f>'Avance Hectáreas'!$C$10</f>
        <v>104.1573170731707</v>
      </c>
    </row>
    <row r="19" spans="1:11" x14ac:dyDescent="0.2">
      <c r="A19" s="167" t="s">
        <v>661</v>
      </c>
      <c r="C19" s="195">
        <f>SLOPE('Avance Hectáreas'!$D$13:$D$53,'Avance Hectáreas'!$A$13:$A$53)</f>
        <v>1.4972735191637632</v>
      </c>
    </row>
    <row r="20" spans="1:11" x14ac:dyDescent="0.2">
      <c r="A20" s="167" t="s">
        <v>677</v>
      </c>
      <c r="C20" s="196">
        <v>15</v>
      </c>
    </row>
    <row r="21" spans="1:11" ht="27.75" x14ac:dyDescent="0.2">
      <c r="A21" s="156" t="s">
        <v>52</v>
      </c>
      <c r="B21" s="157" t="s">
        <v>51</v>
      </c>
      <c r="C21" s="157" t="s">
        <v>7</v>
      </c>
      <c r="D21" s="157" t="s">
        <v>662</v>
      </c>
      <c r="E21" s="157" t="s">
        <v>663</v>
      </c>
      <c r="F21" s="157" t="s">
        <v>664</v>
      </c>
      <c r="G21" s="157" t="s">
        <v>665</v>
      </c>
      <c r="H21" s="157" t="s">
        <v>666</v>
      </c>
      <c r="I21" s="157" t="s">
        <v>667</v>
      </c>
      <c r="J21" s="157" t="s">
        <v>668</v>
      </c>
      <c r="K21" s="158" t="s">
        <v>669</v>
      </c>
    </row>
    <row r="22" spans="1:11" hidden="1" outlineLevel="1" x14ac:dyDescent="0.2">
      <c r="A22" s="198" t="str">
        <f>'Registro Diario'!$E2</f>
        <v>El Cristal-1</v>
      </c>
      <c r="B22" s="199" t="str">
        <f>'Registro Diario'!$C2</f>
        <v>El Cristal</v>
      </c>
      <c r="C22" s="200">
        <f>'Registro Diario'!$J2</f>
        <v>39.380000000000003</v>
      </c>
      <c r="D22" s="163">
        <f>'Registro Diario'!$R2</f>
        <v>18</v>
      </c>
      <c r="E22" s="199" t="str">
        <f>'Registro Diario'!$T2</f>
        <v>Fuera de ciclo</v>
      </c>
      <c r="F22" s="162">
        <f>RANK($D22,$D$22:$D$115,0)+COUNTIF($D$22:$D22,$D22)-1</f>
        <v>4</v>
      </c>
      <c r="G22" s="176">
        <f>SUMIF($F$22:$F$115,"&lt;="&amp;$F22,$C$22:$C$115)</f>
        <v>145.44</v>
      </c>
      <c r="H22" s="162">
        <f>$D22+7</f>
        <v>25</v>
      </c>
      <c r="I22" s="164" t="str">
        <f>IF($G22&lt;=$C$11,"Sí","No")</f>
        <v>Sí</v>
      </c>
      <c r="J22" s="201" t="str">
        <f>IF($I22="Sí","Recién cortado",IF($H22&lt;$C$6,"Recién cortado",IF($H22&lt;=$C$5,"En ciclo","Fuera de ciclo")))</f>
        <v>Recién cortado</v>
      </c>
      <c r="K22" s="202" t="str">
        <f>IF($I22="Sí","En ciclo",IF($H22&lt;=$C$5,"En ciclo",IF($H22-$C$5&lt;=5,"Vencido 1-5 d",IF($H22-$C$5&lt;=10,"Vencido 6-10 d",IF($H22-$C$5&lt;=15,"Vencido 11-15 d","Vencido +15 d")))))</f>
        <v>En ciclo</v>
      </c>
    </row>
    <row r="23" spans="1:11" hidden="1" outlineLevel="1" x14ac:dyDescent="0.2">
      <c r="A23" s="198" t="str">
        <f>'Registro Diario'!$E3</f>
        <v>El Cristal-2</v>
      </c>
      <c r="B23" s="199" t="str">
        <f>'Registro Diario'!$C3</f>
        <v>El Cristal</v>
      </c>
      <c r="C23" s="200">
        <f>'Registro Diario'!$J3</f>
        <v>55.25</v>
      </c>
      <c r="D23" s="163">
        <f>'Registro Diario'!$R3</f>
        <v>17</v>
      </c>
      <c r="E23" s="199" t="str">
        <f>'Registro Diario'!$T3</f>
        <v>Fuera de ciclo</v>
      </c>
      <c r="F23" s="162">
        <f>RANK($D23,$D$22:$D$115,0)+COUNTIF($D$22:$D23,$D23)-1</f>
        <v>6</v>
      </c>
      <c r="G23" s="176">
        <f t="shared" ref="G23:G86" si="0">SUMIF($F$22:$F$115,"&lt;="&amp;$F23,$C$22:$C$115)</f>
        <v>217.67</v>
      </c>
      <c r="H23" s="162">
        <f t="shared" ref="H23:H86" si="1">$D23+7</f>
        <v>24</v>
      </c>
      <c r="I23" s="164" t="str">
        <f t="shared" ref="I23:I86" si="2">IF($G23&lt;=$C$11,"Sí","No")</f>
        <v>Sí</v>
      </c>
      <c r="J23" s="201" t="str">
        <f t="shared" ref="J23:J86" si="3">IF($I23="Sí","Recién cortado",IF($H23&lt;$C$6,"Recién cortado",IF($H23&lt;=$C$5,"En ciclo","Fuera de ciclo")))</f>
        <v>Recién cortado</v>
      </c>
      <c r="K23" s="202" t="str">
        <f t="shared" ref="K23:K86" si="4">IF($I23="Sí","En ciclo",IF($H23&lt;=$C$5,"En ciclo",IF($H23-$C$5&lt;=5,"Vencido 1-5 d",IF($H23-$C$5&lt;=10,"Vencido 6-10 d",IF($H23-$C$5&lt;=15,"Vencido 11-15 d","Vencido +15 d")))))</f>
        <v>En ciclo</v>
      </c>
    </row>
    <row r="24" spans="1:11" hidden="1" outlineLevel="1" x14ac:dyDescent="0.2">
      <c r="A24" s="198" t="str">
        <f>'Registro Diario'!$E4</f>
        <v>El Cristal-3</v>
      </c>
      <c r="B24" s="199" t="str">
        <f>'Registro Diario'!$C4</f>
        <v>El Cristal</v>
      </c>
      <c r="C24" s="200">
        <f>'Registro Diario'!$J4</f>
        <v>37.93</v>
      </c>
      <c r="D24" s="163">
        <f>'Registro Diario'!$R4</f>
        <v>16</v>
      </c>
      <c r="E24" s="199" t="str">
        <f>'Registro Diario'!$T4</f>
        <v>Fuera de ciclo</v>
      </c>
      <c r="F24" s="162">
        <f>RANK($D24,$D$22:$D$115,0)+COUNTIF($D$22:$D24,$D24)-1</f>
        <v>9</v>
      </c>
      <c r="G24" s="176">
        <f t="shared" si="0"/>
        <v>304.38999999999993</v>
      </c>
      <c r="H24" s="162">
        <f t="shared" si="1"/>
        <v>23</v>
      </c>
      <c r="I24" s="164" t="str">
        <f t="shared" si="2"/>
        <v>Sí</v>
      </c>
      <c r="J24" s="201" t="str">
        <f t="shared" si="3"/>
        <v>Recién cortado</v>
      </c>
      <c r="K24" s="202" t="str">
        <f t="shared" si="4"/>
        <v>En ciclo</v>
      </c>
    </row>
    <row r="25" spans="1:11" hidden="1" outlineLevel="1" x14ac:dyDescent="0.2">
      <c r="A25" s="198" t="str">
        <f>'Registro Diario'!$E5</f>
        <v>El Cristal-4</v>
      </c>
      <c r="B25" s="199" t="str">
        <f>'Registro Diario'!$C5</f>
        <v>El Cristal</v>
      </c>
      <c r="C25" s="200">
        <f>'Registro Diario'!$J5</f>
        <v>48.81</v>
      </c>
      <c r="D25" s="163">
        <f>'Registro Diario'!$R5</f>
        <v>15</v>
      </c>
      <c r="E25" s="199" t="str">
        <f>'Registro Diario'!$T5</f>
        <v>Fuera de ciclo</v>
      </c>
      <c r="F25" s="162">
        <f>RANK($D25,$D$22:$D$115,0)+COUNTIF($D$22:$D25,$D25)-1</f>
        <v>15</v>
      </c>
      <c r="G25" s="176">
        <f t="shared" si="0"/>
        <v>447.21</v>
      </c>
      <c r="H25" s="162">
        <f t="shared" si="1"/>
        <v>22</v>
      </c>
      <c r="I25" s="164" t="str">
        <f t="shared" si="2"/>
        <v>Sí</v>
      </c>
      <c r="J25" s="201" t="str">
        <f t="shared" si="3"/>
        <v>Recién cortado</v>
      </c>
      <c r="K25" s="202" t="str">
        <f t="shared" si="4"/>
        <v>En ciclo</v>
      </c>
    </row>
    <row r="26" spans="1:11" hidden="1" outlineLevel="1" x14ac:dyDescent="0.2">
      <c r="A26" s="198" t="str">
        <f>'Registro Diario'!$E6</f>
        <v>El Cristal-5</v>
      </c>
      <c r="B26" s="199" t="str">
        <f>'Registro Diario'!$C6</f>
        <v>El Cristal</v>
      </c>
      <c r="C26" s="200">
        <f>'Registro Diario'!$J6</f>
        <v>43.08</v>
      </c>
      <c r="D26" s="163">
        <f>'Registro Diario'!$R6</f>
        <v>15</v>
      </c>
      <c r="E26" s="199" t="str">
        <f>'Registro Diario'!$T6</f>
        <v>Fuera de ciclo</v>
      </c>
      <c r="F26" s="162">
        <f>RANK($D26,$D$22:$D$115,0)+COUNTIF($D$22:$D26,$D26)-1</f>
        <v>16</v>
      </c>
      <c r="G26" s="176">
        <f t="shared" si="0"/>
        <v>490.29</v>
      </c>
      <c r="H26" s="162">
        <f t="shared" si="1"/>
        <v>22</v>
      </c>
      <c r="I26" s="164" t="str">
        <f t="shared" si="2"/>
        <v>Sí</v>
      </c>
      <c r="J26" s="201" t="str">
        <f t="shared" si="3"/>
        <v>Recién cortado</v>
      </c>
      <c r="K26" s="202" t="str">
        <f t="shared" si="4"/>
        <v>En ciclo</v>
      </c>
    </row>
    <row r="27" spans="1:11" hidden="1" outlineLevel="1" x14ac:dyDescent="0.2">
      <c r="A27" s="198" t="str">
        <f>'Registro Diario'!$E7</f>
        <v>El Cristal-6</v>
      </c>
      <c r="B27" s="199" t="str">
        <f>'Registro Diario'!$C7</f>
        <v>El Cristal</v>
      </c>
      <c r="C27" s="200">
        <f>'Registro Diario'!$J7</f>
        <v>39.67</v>
      </c>
      <c r="D27" s="163">
        <f>'Registro Diario'!$R7</f>
        <v>14</v>
      </c>
      <c r="E27" s="199" t="str">
        <f>'Registro Diario'!$T7</f>
        <v>Fuera de ciclo</v>
      </c>
      <c r="F27" s="162">
        <f>RANK($D27,$D$22:$D$115,0)+COUNTIF($D$22:$D27,$D27)-1</f>
        <v>23</v>
      </c>
      <c r="G27" s="176">
        <f t="shared" si="0"/>
        <v>625.75000000000011</v>
      </c>
      <c r="H27" s="162">
        <f t="shared" si="1"/>
        <v>21</v>
      </c>
      <c r="I27" s="164" t="str">
        <f t="shared" si="2"/>
        <v>Sí</v>
      </c>
      <c r="J27" s="201" t="str">
        <f t="shared" si="3"/>
        <v>Recién cortado</v>
      </c>
      <c r="K27" s="202" t="str">
        <f t="shared" si="4"/>
        <v>En ciclo</v>
      </c>
    </row>
    <row r="28" spans="1:11" hidden="1" outlineLevel="1" x14ac:dyDescent="0.2">
      <c r="A28" s="198" t="str">
        <f>'Registro Diario'!$E8</f>
        <v>El Cristal-7</v>
      </c>
      <c r="B28" s="199" t="str">
        <f>'Registro Diario'!$C8</f>
        <v>El Cristal</v>
      </c>
      <c r="C28" s="200">
        <f>'Registro Diario'!$J8</f>
        <v>21.52</v>
      </c>
      <c r="D28" s="163">
        <f>'Registro Diario'!$R8</f>
        <v>12</v>
      </c>
      <c r="E28" s="199" t="str">
        <f>'Registro Diario'!$T8</f>
        <v>En ciclo</v>
      </c>
      <c r="F28" s="162">
        <f>RANK($D28,$D$22:$D$115,0)+COUNTIF($D$22:$D28,$D28)-1</f>
        <v>26</v>
      </c>
      <c r="G28" s="176">
        <f t="shared" si="0"/>
        <v>677.38000000000011</v>
      </c>
      <c r="H28" s="162">
        <f t="shared" si="1"/>
        <v>19</v>
      </c>
      <c r="I28" s="164" t="str">
        <f t="shared" si="2"/>
        <v>Sí</v>
      </c>
      <c r="J28" s="201" t="str">
        <f t="shared" si="3"/>
        <v>Recién cortado</v>
      </c>
      <c r="K28" s="202" t="str">
        <f t="shared" si="4"/>
        <v>En ciclo</v>
      </c>
    </row>
    <row r="29" spans="1:11" hidden="1" outlineLevel="1" x14ac:dyDescent="0.2">
      <c r="A29" s="198" t="str">
        <f>'Registro Diario'!$E9</f>
        <v>El Cristal-8</v>
      </c>
      <c r="B29" s="199" t="str">
        <f>'Registro Diario'!$C9</f>
        <v>El Cristal</v>
      </c>
      <c r="C29" s="200">
        <f>'Registro Diario'!$J9</f>
        <v>61.86</v>
      </c>
      <c r="D29" s="163">
        <f>'Registro Diario'!$R9</f>
        <v>5</v>
      </c>
      <c r="E29" s="199" t="str">
        <f>'Registro Diario'!$T9</f>
        <v>En ciclo</v>
      </c>
      <c r="F29" s="162">
        <f>RANK($D29,$D$22:$D$115,0)+COUNTIF($D$22:$D29,$D29)-1</f>
        <v>63</v>
      </c>
      <c r="G29" s="176">
        <f t="shared" si="0"/>
        <v>1524.8300000000006</v>
      </c>
      <c r="H29" s="162">
        <f t="shared" si="1"/>
        <v>12</v>
      </c>
      <c r="I29" s="164" t="str">
        <f t="shared" si="2"/>
        <v>No</v>
      </c>
      <c r="J29" s="201" t="str">
        <f t="shared" si="3"/>
        <v>En ciclo</v>
      </c>
      <c r="K29" s="202" t="str">
        <f t="shared" si="4"/>
        <v>En ciclo</v>
      </c>
    </row>
    <row r="30" spans="1:11" hidden="1" outlineLevel="1" x14ac:dyDescent="0.2">
      <c r="A30" s="198" t="str">
        <f>'Registro Diario'!$E10</f>
        <v>El Cristal-9</v>
      </c>
      <c r="B30" s="199" t="str">
        <f>'Registro Diario'!$C10</f>
        <v>El Cristal</v>
      </c>
      <c r="C30" s="200">
        <f>'Registro Diario'!$J10</f>
        <v>46.31</v>
      </c>
      <c r="D30" s="163">
        <f>'Registro Diario'!$R10</f>
        <v>4</v>
      </c>
      <c r="E30" s="199" t="str">
        <f>'Registro Diario'!$T10</f>
        <v>Recién cortado</v>
      </c>
      <c r="F30" s="162">
        <f>RANK($D30,$D$22:$D$115,0)+COUNTIF($D$22:$D30,$D30)-1</f>
        <v>70</v>
      </c>
      <c r="G30" s="176">
        <f t="shared" si="0"/>
        <v>1651.4700000000005</v>
      </c>
      <c r="H30" s="162">
        <f t="shared" si="1"/>
        <v>11</v>
      </c>
      <c r="I30" s="164" t="str">
        <f t="shared" si="2"/>
        <v>No</v>
      </c>
      <c r="J30" s="201" t="str">
        <f t="shared" si="3"/>
        <v>En ciclo</v>
      </c>
      <c r="K30" s="202" t="str">
        <f t="shared" si="4"/>
        <v>En ciclo</v>
      </c>
    </row>
    <row r="31" spans="1:11" hidden="1" outlineLevel="1" x14ac:dyDescent="0.2">
      <c r="A31" s="198" t="str">
        <f>'Registro Diario'!$E11</f>
        <v>El Cristal-10</v>
      </c>
      <c r="B31" s="199" t="str">
        <f>'Registro Diario'!$C11</f>
        <v>El Cristal</v>
      </c>
      <c r="C31" s="200">
        <f>'Registro Diario'!$J11</f>
        <v>50.1</v>
      </c>
      <c r="D31" s="163">
        <f>'Registro Diario'!$R11</f>
        <v>3</v>
      </c>
      <c r="E31" s="199" t="str">
        <f>'Registro Diario'!$T11</f>
        <v>Recién cortado</v>
      </c>
      <c r="F31" s="162">
        <f>RANK($D31,$D$22:$D$115,0)+COUNTIF($D$22:$D31,$D31)-1</f>
        <v>76</v>
      </c>
      <c r="G31" s="176">
        <f t="shared" si="0"/>
        <v>1884.5600000000004</v>
      </c>
      <c r="H31" s="162">
        <f t="shared" si="1"/>
        <v>10</v>
      </c>
      <c r="I31" s="164" t="str">
        <f t="shared" si="2"/>
        <v>No</v>
      </c>
      <c r="J31" s="201" t="str">
        <f t="shared" si="3"/>
        <v>En ciclo</v>
      </c>
      <c r="K31" s="202" t="str">
        <f t="shared" si="4"/>
        <v>En ciclo</v>
      </c>
    </row>
    <row r="32" spans="1:11" hidden="1" outlineLevel="1" x14ac:dyDescent="0.2">
      <c r="A32" s="198" t="str">
        <f>'Registro Diario'!$E12</f>
        <v>El Cristal-11</v>
      </c>
      <c r="B32" s="199" t="str">
        <f>'Registro Diario'!$C12</f>
        <v>El Cristal</v>
      </c>
      <c r="C32" s="200">
        <f>'Registro Diario'!$J12</f>
        <v>36.5</v>
      </c>
      <c r="D32" s="163">
        <f>'Registro Diario'!$R12</f>
        <v>1</v>
      </c>
      <c r="E32" s="199" t="str">
        <f>'Registro Diario'!$T12</f>
        <v>Recién cortado</v>
      </c>
      <c r="F32" s="162">
        <f>RANK($D32,$D$22:$D$115,0)+COUNTIF($D$22:$D32,$D32)-1</f>
        <v>88</v>
      </c>
      <c r="G32" s="176">
        <f t="shared" si="0"/>
        <v>2153.3400000000006</v>
      </c>
      <c r="H32" s="162">
        <f t="shared" si="1"/>
        <v>8</v>
      </c>
      <c r="I32" s="164" t="str">
        <f t="shared" si="2"/>
        <v>No</v>
      </c>
      <c r="J32" s="201" t="str">
        <f t="shared" si="3"/>
        <v>En ciclo</v>
      </c>
      <c r="K32" s="202" t="str">
        <f t="shared" si="4"/>
        <v>En ciclo</v>
      </c>
    </row>
    <row r="33" spans="1:11" hidden="1" outlineLevel="1" x14ac:dyDescent="0.2">
      <c r="A33" s="198" t="str">
        <f>'Registro Diario'!$E13</f>
        <v>El Cristal-12</v>
      </c>
      <c r="B33" s="199" t="str">
        <f>'Registro Diario'!$C13</f>
        <v>El Cristal</v>
      </c>
      <c r="C33" s="200">
        <f>'Registro Diario'!$J13</f>
        <v>18.89</v>
      </c>
      <c r="D33" s="163">
        <f>'Registro Diario'!$R13</f>
        <v>19</v>
      </c>
      <c r="E33" s="199" t="str">
        <f>'Registro Diario'!$T13</f>
        <v>Fuera de ciclo</v>
      </c>
      <c r="F33" s="162">
        <f>RANK($D33,$D$22:$D$115,0)+COUNTIF($D$22:$D33,$D33)-1</f>
        <v>2</v>
      </c>
      <c r="G33" s="176">
        <f t="shared" si="0"/>
        <v>59.8</v>
      </c>
      <c r="H33" s="162">
        <f t="shared" si="1"/>
        <v>26</v>
      </c>
      <c r="I33" s="164" t="str">
        <f t="shared" si="2"/>
        <v>Sí</v>
      </c>
      <c r="J33" s="201" t="str">
        <f t="shared" si="3"/>
        <v>Recién cortado</v>
      </c>
      <c r="K33" s="202" t="str">
        <f t="shared" si="4"/>
        <v>En ciclo</v>
      </c>
    </row>
    <row r="34" spans="1:11" hidden="1" outlineLevel="1" x14ac:dyDescent="0.2">
      <c r="A34" s="198" t="str">
        <f>'Registro Diario'!$E14</f>
        <v>El Cristal-13</v>
      </c>
      <c r="B34" s="199" t="str">
        <f>'Registro Diario'!$C14</f>
        <v>El Cristal</v>
      </c>
      <c r="C34" s="200">
        <f>'Registro Diario'!$J14</f>
        <v>46.26</v>
      </c>
      <c r="D34" s="163">
        <f>'Registro Diario'!$R14</f>
        <v>19</v>
      </c>
      <c r="E34" s="199" t="str">
        <f>'Registro Diario'!$T14</f>
        <v>Fuera de ciclo</v>
      </c>
      <c r="F34" s="162">
        <f>RANK($D34,$D$22:$D$115,0)+COUNTIF($D$22:$D34,$D34)-1</f>
        <v>3</v>
      </c>
      <c r="G34" s="176">
        <f t="shared" si="0"/>
        <v>106.06</v>
      </c>
      <c r="H34" s="162">
        <f t="shared" si="1"/>
        <v>26</v>
      </c>
      <c r="I34" s="164" t="str">
        <f t="shared" si="2"/>
        <v>Sí</v>
      </c>
      <c r="J34" s="201" t="str">
        <f t="shared" si="3"/>
        <v>Recién cortado</v>
      </c>
      <c r="K34" s="202" t="str">
        <f t="shared" si="4"/>
        <v>En ciclo</v>
      </c>
    </row>
    <row r="35" spans="1:11" hidden="1" outlineLevel="1" x14ac:dyDescent="0.2">
      <c r="A35" s="198" t="str">
        <f>'Registro Diario'!$E15</f>
        <v>La Bendición-14</v>
      </c>
      <c r="B35" s="199" t="str">
        <f>'Registro Diario'!$C15</f>
        <v>La Bendición</v>
      </c>
      <c r="C35" s="200">
        <f>'Registro Diario'!$J15</f>
        <v>45.18</v>
      </c>
      <c r="D35" s="163">
        <f>'Registro Diario'!$R15</f>
        <v>10</v>
      </c>
      <c r="E35" s="199" t="str">
        <f>'Registro Diario'!$T15</f>
        <v>En ciclo</v>
      </c>
      <c r="F35" s="162">
        <f>RANK($D35,$D$22:$D$115,0)+COUNTIF($D$22:$D35,$D35)-1</f>
        <v>36</v>
      </c>
      <c r="G35" s="176">
        <f t="shared" si="0"/>
        <v>948.48</v>
      </c>
      <c r="H35" s="162">
        <f t="shared" si="1"/>
        <v>17</v>
      </c>
      <c r="I35" s="164" t="str">
        <f t="shared" si="2"/>
        <v>Sí</v>
      </c>
      <c r="J35" s="201" t="str">
        <f t="shared" si="3"/>
        <v>Recién cortado</v>
      </c>
      <c r="K35" s="202" t="str">
        <f t="shared" si="4"/>
        <v>En ciclo</v>
      </c>
    </row>
    <row r="36" spans="1:11" hidden="1" outlineLevel="1" x14ac:dyDescent="0.2">
      <c r="A36" s="198" t="str">
        <f>'Registro Diario'!$E16</f>
        <v>La Bendición-15</v>
      </c>
      <c r="B36" s="199" t="str">
        <f>'Registro Diario'!$C16</f>
        <v>La Bendición</v>
      </c>
      <c r="C36" s="200">
        <f>'Registro Diario'!$J16</f>
        <v>39.979999999999997</v>
      </c>
      <c r="D36" s="163">
        <f>'Registro Diario'!$R16</f>
        <v>10</v>
      </c>
      <c r="E36" s="199" t="str">
        <f>'Registro Diario'!$T16</f>
        <v>En ciclo</v>
      </c>
      <c r="F36" s="162">
        <f>RANK($D36,$D$22:$D$115,0)+COUNTIF($D$22:$D36,$D36)-1</f>
        <v>37</v>
      </c>
      <c r="G36" s="176">
        <f t="shared" si="0"/>
        <v>988.45999999999992</v>
      </c>
      <c r="H36" s="162">
        <f t="shared" si="1"/>
        <v>17</v>
      </c>
      <c r="I36" s="164" t="str">
        <f t="shared" si="2"/>
        <v>Sí</v>
      </c>
      <c r="J36" s="201" t="str">
        <f t="shared" si="3"/>
        <v>Recién cortado</v>
      </c>
      <c r="K36" s="202" t="str">
        <f t="shared" si="4"/>
        <v>En ciclo</v>
      </c>
    </row>
    <row r="37" spans="1:11" hidden="1" outlineLevel="1" x14ac:dyDescent="0.2">
      <c r="A37" s="198" t="str">
        <f>'Registro Diario'!$E17</f>
        <v>La Bendición-16</v>
      </c>
      <c r="B37" s="199" t="str">
        <f>'Registro Diario'!$C17</f>
        <v>La Bendición</v>
      </c>
      <c r="C37" s="200">
        <f>'Registro Diario'!$J17</f>
        <v>13.11</v>
      </c>
      <c r="D37" s="163">
        <f>'Registro Diario'!$R17</f>
        <v>10</v>
      </c>
      <c r="E37" s="199" t="str">
        <f>'Registro Diario'!$T17</f>
        <v>En ciclo</v>
      </c>
      <c r="F37" s="162">
        <f>RANK($D37,$D$22:$D$115,0)+COUNTIF($D$22:$D37,$D37)-1</f>
        <v>38</v>
      </c>
      <c r="G37" s="176">
        <f t="shared" si="0"/>
        <v>1001.5699999999999</v>
      </c>
      <c r="H37" s="162">
        <f t="shared" si="1"/>
        <v>17</v>
      </c>
      <c r="I37" s="164" t="str">
        <f t="shared" si="2"/>
        <v>Sí</v>
      </c>
      <c r="J37" s="201" t="str">
        <f t="shared" si="3"/>
        <v>Recién cortado</v>
      </c>
      <c r="K37" s="202" t="str">
        <f t="shared" si="4"/>
        <v>En ciclo</v>
      </c>
    </row>
    <row r="38" spans="1:11" hidden="1" outlineLevel="1" x14ac:dyDescent="0.2">
      <c r="A38" s="198" t="str">
        <f>'Registro Diario'!$E18</f>
        <v>La Bendición-17</v>
      </c>
      <c r="B38" s="199" t="str">
        <f>'Registro Diario'!$C18</f>
        <v>La Bendición</v>
      </c>
      <c r="C38" s="200">
        <f>'Registro Diario'!$J18</f>
        <v>27.44</v>
      </c>
      <c r="D38" s="163">
        <f>'Registro Diario'!$R18</f>
        <v>11</v>
      </c>
      <c r="E38" s="199" t="str">
        <f>'Registro Diario'!$T18</f>
        <v>En ciclo</v>
      </c>
      <c r="F38" s="162">
        <f>RANK($D38,$D$22:$D$115,0)+COUNTIF($D$22:$D38,$D38)-1</f>
        <v>30</v>
      </c>
      <c r="G38" s="176">
        <f t="shared" si="0"/>
        <v>811.48</v>
      </c>
      <c r="H38" s="162">
        <f t="shared" si="1"/>
        <v>18</v>
      </c>
      <c r="I38" s="164" t="str">
        <f t="shared" si="2"/>
        <v>Sí</v>
      </c>
      <c r="J38" s="201" t="str">
        <f t="shared" si="3"/>
        <v>Recién cortado</v>
      </c>
      <c r="K38" s="202" t="str">
        <f t="shared" si="4"/>
        <v>En ciclo</v>
      </c>
    </row>
    <row r="39" spans="1:11" hidden="1" outlineLevel="1" x14ac:dyDescent="0.2">
      <c r="A39" s="198" t="str">
        <f>'Registro Diario'!$E19</f>
        <v>La Bendición-18</v>
      </c>
      <c r="B39" s="199" t="str">
        <f>'Registro Diario'!$C19</f>
        <v>La Bendición</v>
      </c>
      <c r="C39" s="200">
        <f>'Registro Diario'!$J19</f>
        <v>17.579999999999998</v>
      </c>
      <c r="D39" s="163">
        <f>'Registro Diario'!$R19</f>
        <v>11</v>
      </c>
      <c r="E39" s="199" t="str">
        <f>'Registro Diario'!$T19</f>
        <v>En ciclo</v>
      </c>
      <c r="F39" s="162">
        <f>RANK($D39,$D$22:$D$115,0)+COUNTIF($D$22:$D39,$D39)-1</f>
        <v>31</v>
      </c>
      <c r="G39" s="176">
        <f t="shared" si="0"/>
        <v>829.06</v>
      </c>
      <c r="H39" s="162">
        <f t="shared" si="1"/>
        <v>18</v>
      </c>
      <c r="I39" s="164" t="str">
        <f t="shared" si="2"/>
        <v>Sí</v>
      </c>
      <c r="J39" s="201" t="str">
        <f t="shared" si="3"/>
        <v>Recién cortado</v>
      </c>
      <c r="K39" s="202" t="str">
        <f t="shared" si="4"/>
        <v>En ciclo</v>
      </c>
    </row>
    <row r="40" spans="1:11" hidden="1" outlineLevel="1" x14ac:dyDescent="0.2">
      <c r="A40" s="198" t="str">
        <f>'Registro Diario'!$E20</f>
        <v>La Bendición-19</v>
      </c>
      <c r="B40" s="199" t="str">
        <f>'Registro Diario'!$C20</f>
        <v>La Bendición</v>
      </c>
      <c r="C40" s="200">
        <f>'Registro Diario'!$J20</f>
        <v>36.26</v>
      </c>
      <c r="D40" s="163">
        <f>'Registro Diario'!$R20</f>
        <v>9</v>
      </c>
      <c r="E40" s="199" t="str">
        <f>'Registro Diario'!$T20</f>
        <v>En ciclo</v>
      </c>
      <c r="F40" s="162">
        <f>RANK($D40,$D$22:$D$115,0)+COUNTIF($D$22:$D40,$D40)-1</f>
        <v>47</v>
      </c>
      <c r="G40" s="176">
        <f t="shared" si="0"/>
        <v>1186.0300000000002</v>
      </c>
      <c r="H40" s="162">
        <f t="shared" si="1"/>
        <v>16</v>
      </c>
      <c r="I40" s="164" t="str">
        <f t="shared" si="2"/>
        <v>Sí</v>
      </c>
      <c r="J40" s="201" t="str">
        <f t="shared" si="3"/>
        <v>Recién cortado</v>
      </c>
      <c r="K40" s="202" t="str">
        <f t="shared" si="4"/>
        <v>En ciclo</v>
      </c>
    </row>
    <row r="41" spans="1:11" hidden="1" outlineLevel="1" x14ac:dyDescent="0.2">
      <c r="A41" s="198" t="str">
        <f>'Registro Diario'!$E21</f>
        <v>Los Cambulos-20</v>
      </c>
      <c r="B41" s="199" t="str">
        <f>'Registro Diario'!$C21</f>
        <v>Los Cambulos</v>
      </c>
      <c r="C41" s="200">
        <f>'Registro Diario'!$J21</f>
        <v>23.43</v>
      </c>
      <c r="D41" s="163">
        <f>'Registro Diario'!$R21</f>
        <v>9</v>
      </c>
      <c r="E41" s="199" t="str">
        <f>'Registro Diario'!$T21</f>
        <v>En ciclo</v>
      </c>
      <c r="F41" s="162">
        <f>RANK($D41,$D$22:$D$115,0)+COUNTIF($D$22:$D41,$D41)-1</f>
        <v>48</v>
      </c>
      <c r="G41" s="176">
        <f t="shared" si="0"/>
        <v>1209.46</v>
      </c>
      <c r="H41" s="162">
        <f t="shared" si="1"/>
        <v>16</v>
      </c>
      <c r="I41" s="164" t="str">
        <f t="shared" si="2"/>
        <v>No</v>
      </c>
      <c r="J41" s="201" t="str">
        <f t="shared" si="3"/>
        <v>Fuera de ciclo</v>
      </c>
      <c r="K41" s="202" t="str">
        <f t="shared" si="4"/>
        <v>Vencido 1-5 d</v>
      </c>
    </row>
    <row r="42" spans="1:11" hidden="1" outlineLevel="1" x14ac:dyDescent="0.2">
      <c r="A42" s="198" t="str">
        <f>'Registro Diario'!$E22</f>
        <v>Los Cambulos-21</v>
      </c>
      <c r="B42" s="199" t="str">
        <f>'Registro Diario'!$C22</f>
        <v>Los Cambulos</v>
      </c>
      <c r="C42" s="200">
        <f>'Registro Diario'!$J22</f>
        <v>43.34</v>
      </c>
      <c r="D42" s="163">
        <f>'Registro Diario'!$R22</f>
        <v>8</v>
      </c>
      <c r="E42" s="199" t="str">
        <f>'Registro Diario'!$T22</f>
        <v>En ciclo</v>
      </c>
      <c r="F42" s="162">
        <f>RANK($D42,$D$22:$D$115,0)+COUNTIF($D$22:$D42,$D42)-1</f>
        <v>56</v>
      </c>
      <c r="G42" s="176">
        <f t="shared" si="0"/>
        <v>1393.2000000000005</v>
      </c>
      <c r="H42" s="162">
        <f t="shared" si="1"/>
        <v>15</v>
      </c>
      <c r="I42" s="164" t="str">
        <f t="shared" si="2"/>
        <v>No</v>
      </c>
      <c r="J42" s="201" t="str">
        <f t="shared" si="3"/>
        <v>Fuera de ciclo</v>
      </c>
      <c r="K42" s="202" t="str">
        <f t="shared" si="4"/>
        <v>Vencido 1-5 d</v>
      </c>
    </row>
    <row r="43" spans="1:11" hidden="1" outlineLevel="1" x14ac:dyDescent="0.2">
      <c r="A43" s="198" t="str">
        <f>'Registro Diario'!$E23</f>
        <v>La Vitrina-22</v>
      </c>
      <c r="B43" s="199" t="str">
        <f>'Registro Diario'!$C23</f>
        <v>La Vitrina</v>
      </c>
      <c r="C43" s="200">
        <f>'Registro Diario'!$J23</f>
        <v>33.729999999999997</v>
      </c>
      <c r="D43" s="163">
        <f>'Registro Diario'!$R23</f>
        <v>15</v>
      </c>
      <c r="E43" s="199" t="str">
        <f>'Registro Diario'!$T23</f>
        <v>Fuera de ciclo</v>
      </c>
      <c r="F43" s="162">
        <f>RANK($D43,$D$22:$D$115,0)+COUNTIF($D$22:$D43,$D43)-1</f>
        <v>17</v>
      </c>
      <c r="G43" s="176">
        <f t="shared" si="0"/>
        <v>524.02</v>
      </c>
      <c r="H43" s="162">
        <f t="shared" si="1"/>
        <v>22</v>
      </c>
      <c r="I43" s="164" t="str">
        <f t="shared" si="2"/>
        <v>Sí</v>
      </c>
      <c r="J43" s="201" t="str">
        <f t="shared" si="3"/>
        <v>Recién cortado</v>
      </c>
      <c r="K43" s="202" t="str">
        <f t="shared" si="4"/>
        <v>En ciclo</v>
      </c>
    </row>
    <row r="44" spans="1:11" hidden="1" outlineLevel="1" x14ac:dyDescent="0.2">
      <c r="A44" s="198" t="str">
        <f>'Registro Diario'!$E24</f>
        <v>La Bendición-23</v>
      </c>
      <c r="B44" s="199" t="str">
        <f>'Registro Diario'!$C24</f>
        <v>La Bendición</v>
      </c>
      <c r="C44" s="200">
        <f>'Registro Diario'!$J24</f>
        <v>40.25</v>
      </c>
      <c r="D44" s="163">
        <f>'Registro Diario'!$R24</f>
        <v>10</v>
      </c>
      <c r="E44" s="199" t="str">
        <f>'Registro Diario'!$T24</f>
        <v>En ciclo</v>
      </c>
      <c r="F44" s="162">
        <f>RANK($D44,$D$22:$D$115,0)+COUNTIF($D$22:$D44,$D44)-1</f>
        <v>39</v>
      </c>
      <c r="G44" s="176">
        <f t="shared" si="0"/>
        <v>1041.82</v>
      </c>
      <c r="H44" s="162">
        <f t="shared" si="1"/>
        <v>17</v>
      </c>
      <c r="I44" s="164" t="str">
        <f t="shared" si="2"/>
        <v>Sí</v>
      </c>
      <c r="J44" s="201" t="str">
        <f t="shared" si="3"/>
        <v>Recién cortado</v>
      </c>
      <c r="K44" s="202" t="str">
        <f t="shared" si="4"/>
        <v>En ciclo</v>
      </c>
    </row>
    <row r="45" spans="1:11" hidden="1" outlineLevel="1" x14ac:dyDescent="0.2">
      <c r="A45" s="198" t="str">
        <f>'Registro Diario'!$E25</f>
        <v>La Bendición-24</v>
      </c>
      <c r="B45" s="199" t="str">
        <f>'Registro Diario'!$C25</f>
        <v>La Bendición</v>
      </c>
      <c r="C45" s="200">
        <f>'Registro Diario'!$J25</f>
        <v>39.01</v>
      </c>
      <c r="D45" s="163">
        <f>'Registro Diario'!$R25</f>
        <v>16</v>
      </c>
      <c r="E45" s="199" t="str">
        <f>'Registro Diario'!$T25</f>
        <v>Fuera de ciclo</v>
      </c>
      <c r="F45" s="162">
        <f>RANK($D45,$D$22:$D$115,0)+COUNTIF($D$22:$D45,$D45)-1</f>
        <v>10</v>
      </c>
      <c r="G45" s="176">
        <f t="shared" si="0"/>
        <v>343.39999999999992</v>
      </c>
      <c r="H45" s="162">
        <f t="shared" si="1"/>
        <v>23</v>
      </c>
      <c r="I45" s="164" t="str">
        <f t="shared" si="2"/>
        <v>Sí</v>
      </c>
      <c r="J45" s="201" t="str">
        <f t="shared" si="3"/>
        <v>Recién cortado</v>
      </c>
      <c r="K45" s="202" t="str">
        <f t="shared" si="4"/>
        <v>En ciclo</v>
      </c>
    </row>
    <row r="46" spans="1:11" hidden="1" outlineLevel="1" x14ac:dyDescent="0.2">
      <c r="A46" s="198" t="str">
        <f>'Registro Diario'!$E26</f>
        <v>La Bendición-25</v>
      </c>
      <c r="B46" s="199" t="str">
        <f>'Registro Diario'!$C26</f>
        <v>La Bendición</v>
      </c>
      <c r="C46" s="200">
        <f>'Registro Diario'!$J26</f>
        <v>48.99</v>
      </c>
      <c r="D46" s="163">
        <f>'Registro Diario'!$R26</f>
        <v>1</v>
      </c>
      <c r="E46" s="199" t="str">
        <f>'Registro Diario'!$T26</f>
        <v>Recién cortado</v>
      </c>
      <c r="F46" s="162">
        <f>RANK($D46,$D$22:$D$115,0)+COUNTIF($D$22:$D46,$D46)-1</f>
        <v>89</v>
      </c>
      <c r="G46" s="176">
        <f t="shared" si="0"/>
        <v>2202.3300000000004</v>
      </c>
      <c r="H46" s="162">
        <f t="shared" si="1"/>
        <v>8</v>
      </c>
      <c r="I46" s="164" t="str">
        <f t="shared" si="2"/>
        <v>No</v>
      </c>
      <c r="J46" s="201" t="str">
        <f t="shared" si="3"/>
        <v>En ciclo</v>
      </c>
      <c r="K46" s="202" t="str">
        <f t="shared" si="4"/>
        <v>En ciclo</v>
      </c>
    </row>
    <row r="47" spans="1:11" hidden="1" outlineLevel="1" x14ac:dyDescent="0.2">
      <c r="A47" s="198" t="str">
        <f>'Registro Diario'!$E27</f>
        <v>La Vitrina-26</v>
      </c>
      <c r="B47" s="199" t="str">
        <f>'Registro Diario'!$C27</f>
        <v>La Vitrina</v>
      </c>
      <c r="C47" s="200">
        <f>'Registro Diario'!$J27</f>
        <v>39.67</v>
      </c>
      <c r="D47" s="163">
        <f>'Registro Diario'!$R27</f>
        <v>10</v>
      </c>
      <c r="E47" s="199" t="str">
        <f>'Registro Diario'!$T27</f>
        <v>En ciclo</v>
      </c>
      <c r="F47" s="162">
        <f>RANK($D47,$D$22:$D$115,0)+COUNTIF($D$22:$D47,$D47)-1</f>
        <v>40</v>
      </c>
      <c r="G47" s="176">
        <f t="shared" si="0"/>
        <v>1081.4899999999998</v>
      </c>
      <c r="H47" s="162">
        <f t="shared" si="1"/>
        <v>17</v>
      </c>
      <c r="I47" s="164" t="str">
        <f t="shared" si="2"/>
        <v>Sí</v>
      </c>
      <c r="J47" s="201" t="str">
        <f t="shared" si="3"/>
        <v>Recién cortado</v>
      </c>
      <c r="K47" s="202" t="str">
        <f t="shared" si="4"/>
        <v>En ciclo</v>
      </c>
    </row>
    <row r="48" spans="1:11" hidden="1" outlineLevel="1" x14ac:dyDescent="0.2">
      <c r="A48" s="198" t="str">
        <f>'Registro Diario'!$E28</f>
        <v>La Vitrina-27</v>
      </c>
      <c r="B48" s="199" t="str">
        <f>'Registro Diario'!$C28</f>
        <v>La Vitrina</v>
      </c>
      <c r="C48" s="200">
        <f>'Registro Diario'!$J28</f>
        <v>48.14</v>
      </c>
      <c r="D48" s="163">
        <f>'Registro Diario'!$R28</f>
        <v>1</v>
      </c>
      <c r="E48" s="199" t="str">
        <f>'Registro Diario'!$T28</f>
        <v>Recién cortado</v>
      </c>
      <c r="F48" s="162">
        <f>RANK($D48,$D$22:$D$115,0)+COUNTIF($D$22:$D48,$D48)-1</f>
        <v>90</v>
      </c>
      <c r="G48" s="176">
        <f t="shared" si="0"/>
        <v>2250.4699999999998</v>
      </c>
      <c r="H48" s="162">
        <f t="shared" si="1"/>
        <v>8</v>
      </c>
      <c r="I48" s="164" t="str">
        <f t="shared" si="2"/>
        <v>No</v>
      </c>
      <c r="J48" s="201" t="str">
        <f t="shared" si="3"/>
        <v>En ciclo</v>
      </c>
      <c r="K48" s="202" t="str">
        <f t="shared" si="4"/>
        <v>En ciclo</v>
      </c>
    </row>
    <row r="49" spans="1:11" hidden="1" outlineLevel="1" x14ac:dyDescent="0.2">
      <c r="A49" s="198" t="str">
        <f>'Registro Diario'!$E29</f>
        <v>La Vitrina-28</v>
      </c>
      <c r="B49" s="199" t="str">
        <f>'Registro Diario'!$C29</f>
        <v>La Vitrina</v>
      </c>
      <c r="C49" s="200">
        <f>'Registro Diario'!$J29</f>
        <v>23.15</v>
      </c>
      <c r="D49" s="163">
        <f>'Registro Diario'!$R29</f>
        <v>9</v>
      </c>
      <c r="E49" s="199" t="str">
        <f>'Registro Diario'!$T29</f>
        <v>En ciclo</v>
      </c>
      <c r="F49" s="162">
        <f>RANK($D49,$D$22:$D$115,0)+COUNTIF($D$22:$D49,$D49)-1</f>
        <v>49</v>
      </c>
      <c r="G49" s="176">
        <f t="shared" si="0"/>
        <v>1232.6100000000001</v>
      </c>
      <c r="H49" s="162">
        <f t="shared" si="1"/>
        <v>16</v>
      </c>
      <c r="I49" s="164" t="str">
        <f t="shared" si="2"/>
        <v>No</v>
      </c>
      <c r="J49" s="201" t="str">
        <f t="shared" si="3"/>
        <v>Fuera de ciclo</v>
      </c>
      <c r="K49" s="202" t="str">
        <f t="shared" si="4"/>
        <v>Vencido 1-5 d</v>
      </c>
    </row>
    <row r="50" spans="1:11" hidden="1" outlineLevel="1" x14ac:dyDescent="0.2">
      <c r="A50" s="198" t="str">
        <f>'Registro Diario'!$E30</f>
        <v>Los Cambulos-29</v>
      </c>
      <c r="B50" s="199" t="str">
        <f>'Registro Diario'!$C30</f>
        <v>Los Cambulos</v>
      </c>
      <c r="C50" s="200">
        <f>'Registro Diario'!$J30</f>
        <v>11.89</v>
      </c>
      <c r="D50" s="163">
        <f>'Registro Diario'!$R30</f>
        <v>1</v>
      </c>
      <c r="E50" s="199" t="str">
        <f>'Registro Diario'!$T30</f>
        <v>Recién cortado</v>
      </c>
      <c r="F50" s="162">
        <f>RANK($D50,$D$22:$D$115,0)+COUNTIF($D$22:$D50,$D50)-1</f>
        <v>91</v>
      </c>
      <c r="G50" s="176">
        <f t="shared" si="0"/>
        <v>2262.36</v>
      </c>
      <c r="H50" s="162">
        <f t="shared" si="1"/>
        <v>8</v>
      </c>
      <c r="I50" s="164" t="str">
        <f t="shared" si="2"/>
        <v>No</v>
      </c>
      <c r="J50" s="201" t="str">
        <f t="shared" si="3"/>
        <v>En ciclo</v>
      </c>
      <c r="K50" s="202" t="str">
        <f t="shared" si="4"/>
        <v>En ciclo</v>
      </c>
    </row>
    <row r="51" spans="1:11" hidden="1" outlineLevel="1" x14ac:dyDescent="0.2">
      <c r="A51" s="198" t="str">
        <f>'Registro Diario'!$E31</f>
        <v>Los Cambulos-30</v>
      </c>
      <c r="B51" s="199" t="str">
        <f>'Registro Diario'!$C31</f>
        <v>Los Cambulos</v>
      </c>
      <c r="C51" s="200">
        <f>'Registro Diario'!$J31</f>
        <v>21.97</v>
      </c>
      <c r="D51" s="163">
        <f>'Registro Diario'!$R31</f>
        <v>2</v>
      </c>
      <c r="E51" s="199" t="str">
        <f>'Registro Diario'!$T31</f>
        <v>Recién cortado</v>
      </c>
      <c r="F51" s="162">
        <f>RANK($D51,$D$22:$D$115,0)+COUNTIF($D$22:$D51,$D51)-1</f>
        <v>86</v>
      </c>
      <c r="G51" s="176">
        <f t="shared" si="0"/>
        <v>2074.6800000000003</v>
      </c>
      <c r="H51" s="162">
        <f t="shared" si="1"/>
        <v>9</v>
      </c>
      <c r="I51" s="164" t="str">
        <f t="shared" si="2"/>
        <v>No</v>
      </c>
      <c r="J51" s="201" t="str">
        <f t="shared" si="3"/>
        <v>En ciclo</v>
      </c>
      <c r="K51" s="202" t="str">
        <f t="shared" si="4"/>
        <v>En ciclo</v>
      </c>
    </row>
    <row r="52" spans="1:11" hidden="1" outlineLevel="1" x14ac:dyDescent="0.2">
      <c r="A52" s="198" t="str">
        <f>'Registro Diario'!$E32</f>
        <v>La Bendición-16A</v>
      </c>
      <c r="B52" s="199" t="str">
        <f>'Registro Diario'!$C32</f>
        <v>La Bendición</v>
      </c>
      <c r="C52" s="200">
        <f>'Registro Diario'!$J32</f>
        <v>6.99</v>
      </c>
      <c r="D52" s="163">
        <f>'Registro Diario'!$R32</f>
        <v>10</v>
      </c>
      <c r="E52" s="199" t="str">
        <f>'Registro Diario'!$T32</f>
        <v>En ciclo</v>
      </c>
      <c r="F52" s="162">
        <f>RANK($D52,$D$22:$D$115,0)+COUNTIF($D$22:$D52,$D52)-1</f>
        <v>41</v>
      </c>
      <c r="G52" s="176">
        <f t="shared" si="0"/>
        <v>1088.48</v>
      </c>
      <c r="H52" s="162">
        <f t="shared" si="1"/>
        <v>17</v>
      </c>
      <c r="I52" s="164" t="str">
        <f t="shared" si="2"/>
        <v>Sí</v>
      </c>
      <c r="J52" s="201" t="str">
        <f t="shared" si="3"/>
        <v>Recién cortado</v>
      </c>
      <c r="K52" s="202" t="str">
        <f t="shared" si="4"/>
        <v>En ciclo</v>
      </c>
    </row>
    <row r="53" spans="1:11" hidden="1" outlineLevel="1" x14ac:dyDescent="0.2">
      <c r="A53" s="198" t="str">
        <f>'Registro Diario'!$E33</f>
        <v>Los Cambulos-19A</v>
      </c>
      <c r="B53" s="199" t="str">
        <f>'Registro Diario'!$C33</f>
        <v>Los Cambulos</v>
      </c>
      <c r="C53" s="200">
        <f>'Registro Diario'!$J33</f>
        <v>10.35</v>
      </c>
      <c r="D53" s="163">
        <f>'Registro Diario'!$R33</f>
        <v>9</v>
      </c>
      <c r="E53" s="199" t="str">
        <f>'Registro Diario'!$T33</f>
        <v>En ciclo</v>
      </c>
      <c r="F53" s="162">
        <f>RANK($D53,$D$22:$D$115,0)+COUNTIF($D$22:$D53,$D53)-1</f>
        <v>50</v>
      </c>
      <c r="G53" s="176">
        <f t="shared" si="0"/>
        <v>1242.96</v>
      </c>
      <c r="H53" s="162">
        <f t="shared" si="1"/>
        <v>16</v>
      </c>
      <c r="I53" s="164" t="str">
        <f t="shared" si="2"/>
        <v>No</v>
      </c>
      <c r="J53" s="201" t="str">
        <f t="shared" si="3"/>
        <v>Fuera de ciclo</v>
      </c>
      <c r="K53" s="202" t="str">
        <f t="shared" si="4"/>
        <v>Vencido 1-5 d</v>
      </c>
    </row>
    <row r="54" spans="1:11" hidden="1" outlineLevel="1" x14ac:dyDescent="0.2">
      <c r="A54" s="198" t="str">
        <f>'Registro Diario'!$E34</f>
        <v>Los Cambulos-20A</v>
      </c>
      <c r="B54" s="199" t="str">
        <f>'Registro Diario'!$C34</f>
        <v>Los Cambulos</v>
      </c>
      <c r="C54" s="200">
        <f>'Registro Diario'!$J34</f>
        <v>13.56</v>
      </c>
      <c r="D54" s="163">
        <f>'Registro Diario'!$R34</f>
        <v>9</v>
      </c>
      <c r="E54" s="199" t="str">
        <f>'Registro Diario'!$T34</f>
        <v>En ciclo</v>
      </c>
      <c r="F54" s="162">
        <f>RANK($D54,$D$22:$D$115,0)+COUNTIF($D$22:$D54,$D54)-1</f>
        <v>51</v>
      </c>
      <c r="G54" s="176">
        <f t="shared" si="0"/>
        <v>1256.52</v>
      </c>
      <c r="H54" s="162">
        <f t="shared" si="1"/>
        <v>16</v>
      </c>
      <c r="I54" s="164" t="str">
        <f t="shared" si="2"/>
        <v>No</v>
      </c>
      <c r="J54" s="201" t="str">
        <f t="shared" si="3"/>
        <v>Fuera de ciclo</v>
      </c>
      <c r="K54" s="202" t="str">
        <f t="shared" si="4"/>
        <v>Vencido 1-5 d</v>
      </c>
    </row>
    <row r="55" spans="1:11" hidden="1" outlineLevel="1" x14ac:dyDescent="0.2">
      <c r="A55" s="198" t="str">
        <f>'Registro Diario'!$E35</f>
        <v>La Bendición-25A</v>
      </c>
      <c r="B55" s="199" t="str">
        <f>'Registro Diario'!$C35</f>
        <v>La Bendición</v>
      </c>
      <c r="C55" s="200">
        <f>'Registro Diario'!$J35</f>
        <v>10.76</v>
      </c>
      <c r="D55" s="163">
        <f>'Registro Diario'!$R35</f>
        <v>11</v>
      </c>
      <c r="E55" s="199" t="str">
        <f>'Registro Diario'!$T35</f>
        <v>En ciclo</v>
      </c>
      <c r="F55" s="162">
        <f>RANK($D55,$D$22:$D$115,0)+COUNTIF($D$22:$D55,$D55)-1</f>
        <v>32</v>
      </c>
      <c r="G55" s="176">
        <f t="shared" si="0"/>
        <v>839.81999999999994</v>
      </c>
      <c r="H55" s="162">
        <f t="shared" si="1"/>
        <v>18</v>
      </c>
      <c r="I55" s="164" t="str">
        <f t="shared" si="2"/>
        <v>Sí</v>
      </c>
      <c r="J55" s="201" t="str">
        <f t="shared" si="3"/>
        <v>Recién cortado</v>
      </c>
      <c r="K55" s="202" t="str">
        <f t="shared" si="4"/>
        <v>En ciclo</v>
      </c>
    </row>
    <row r="56" spans="1:11" hidden="1" outlineLevel="1" x14ac:dyDescent="0.2">
      <c r="A56" s="198" t="str">
        <f>'Registro Diario'!$E36</f>
        <v>La Vitrina-31</v>
      </c>
      <c r="B56" s="199" t="str">
        <f>'Registro Diario'!$C36</f>
        <v>La Vitrina</v>
      </c>
      <c r="C56" s="200">
        <f>'Registro Diario'!$J36</f>
        <v>14.06</v>
      </c>
      <c r="D56" s="163">
        <f>'Registro Diario'!$R36</f>
        <v>15</v>
      </c>
      <c r="E56" s="199" t="str">
        <f>'Registro Diario'!$T36</f>
        <v>Fuera de ciclo</v>
      </c>
      <c r="F56" s="162">
        <f>RANK($D56,$D$22:$D$115,0)+COUNTIF($D$22:$D56,$D56)-1</f>
        <v>18</v>
      </c>
      <c r="G56" s="176">
        <f t="shared" si="0"/>
        <v>538.07999999999993</v>
      </c>
      <c r="H56" s="162">
        <f t="shared" si="1"/>
        <v>22</v>
      </c>
      <c r="I56" s="164" t="str">
        <f t="shared" si="2"/>
        <v>Sí</v>
      </c>
      <c r="J56" s="201" t="str">
        <f t="shared" si="3"/>
        <v>Recién cortado</v>
      </c>
      <c r="K56" s="202" t="str">
        <f t="shared" si="4"/>
        <v>En ciclo</v>
      </c>
    </row>
    <row r="57" spans="1:11" hidden="1" outlineLevel="1" x14ac:dyDescent="0.2">
      <c r="A57" s="198" t="str">
        <f>'Registro Diario'!$E37</f>
        <v>Los Cambulos-32</v>
      </c>
      <c r="B57" s="199" t="str">
        <f>'Registro Diario'!$C37</f>
        <v>Los Cambulos</v>
      </c>
      <c r="C57" s="200">
        <f>'Registro Diario'!$J37</f>
        <v>14.18</v>
      </c>
      <c r="D57" s="163">
        <f>'Registro Diario'!$R37</f>
        <v>1</v>
      </c>
      <c r="E57" s="199" t="str">
        <f>'Registro Diario'!$T37</f>
        <v>Recién cortado</v>
      </c>
      <c r="F57" s="162">
        <f>RANK($D57,$D$22:$D$115,0)+COUNTIF($D$22:$D57,$D57)-1</f>
        <v>92</v>
      </c>
      <c r="G57" s="176">
        <f t="shared" si="0"/>
        <v>2276.54</v>
      </c>
      <c r="H57" s="162">
        <f t="shared" si="1"/>
        <v>8</v>
      </c>
      <c r="I57" s="164" t="str">
        <f t="shared" si="2"/>
        <v>No</v>
      </c>
      <c r="J57" s="201" t="str">
        <f t="shared" si="3"/>
        <v>En ciclo</v>
      </c>
      <c r="K57" s="202" t="str">
        <f t="shared" si="4"/>
        <v>En ciclo</v>
      </c>
    </row>
    <row r="58" spans="1:11" hidden="1" outlineLevel="1" x14ac:dyDescent="0.2">
      <c r="A58" s="198" t="str">
        <f>'Registro Diario'!$E38</f>
        <v>Los Cambulos-33</v>
      </c>
      <c r="B58" s="199" t="str">
        <f>'Registro Diario'!$C38</f>
        <v>Los Cambulos</v>
      </c>
      <c r="C58" s="200">
        <f>'Registro Diario'!$J38</f>
        <v>30.08</v>
      </c>
      <c r="D58" s="163">
        <f>'Registro Diario'!$R38</f>
        <v>11</v>
      </c>
      <c r="E58" s="199" t="str">
        <f>'Registro Diario'!$T38</f>
        <v>En ciclo</v>
      </c>
      <c r="F58" s="162">
        <f>RANK($D58,$D$22:$D$115,0)+COUNTIF($D$22:$D58,$D58)-1</f>
        <v>33</v>
      </c>
      <c r="G58" s="176">
        <f t="shared" si="0"/>
        <v>869.9</v>
      </c>
      <c r="H58" s="162">
        <f t="shared" si="1"/>
        <v>18</v>
      </c>
      <c r="I58" s="164" t="str">
        <f t="shared" si="2"/>
        <v>Sí</v>
      </c>
      <c r="J58" s="201" t="str">
        <f t="shared" si="3"/>
        <v>Recién cortado</v>
      </c>
      <c r="K58" s="202" t="str">
        <f t="shared" si="4"/>
        <v>En ciclo</v>
      </c>
    </row>
    <row r="59" spans="1:11" hidden="1" outlineLevel="1" x14ac:dyDescent="0.2">
      <c r="A59" s="198" t="str">
        <f>'Registro Diario'!$E39</f>
        <v>Los Cambulos-33A</v>
      </c>
      <c r="B59" s="199" t="str">
        <f>'Registro Diario'!$C39</f>
        <v>Los Cambulos</v>
      </c>
      <c r="C59" s="200">
        <f>'Registro Diario'!$J39</f>
        <v>12.97</v>
      </c>
      <c r="D59" s="163">
        <f>'Registro Diario'!$R39</f>
        <v>9</v>
      </c>
      <c r="E59" s="199" t="str">
        <f>'Registro Diario'!$T39</f>
        <v>En ciclo</v>
      </c>
      <c r="F59" s="162">
        <f>RANK($D59,$D$22:$D$115,0)+COUNTIF($D$22:$D59,$D59)-1</f>
        <v>52</v>
      </c>
      <c r="G59" s="176">
        <f t="shared" si="0"/>
        <v>1269.49</v>
      </c>
      <c r="H59" s="162">
        <f t="shared" si="1"/>
        <v>16</v>
      </c>
      <c r="I59" s="164" t="str">
        <f t="shared" si="2"/>
        <v>No</v>
      </c>
      <c r="J59" s="201" t="str">
        <f t="shared" si="3"/>
        <v>Fuera de ciclo</v>
      </c>
      <c r="K59" s="202" t="str">
        <f t="shared" si="4"/>
        <v>Vencido 1-5 d</v>
      </c>
    </row>
    <row r="60" spans="1:11" hidden="1" outlineLevel="1" x14ac:dyDescent="0.2">
      <c r="A60" s="198" t="str">
        <f>'Registro Diario'!$E40</f>
        <v>Los Cambulos-34</v>
      </c>
      <c r="B60" s="199" t="str">
        <f>'Registro Diario'!$C40</f>
        <v>Los Cambulos</v>
      </c>
      <c r="C60" s="200">
        <f>'Registro Diario'!$J40</f>
        <v>25.38</v>
      </c>
      <c r="D60" s="163">
        <f>'Registro Diario'!$R40</f>
        <v>11</v>
      </c>
      <c r="E60" s="199" t="str">
        <f>'Registro Diario'!$T40</f>
        <v>En ciclo</v>
      </c>
      <c r="F60" s="162">
        <f>RANK($D60,$D$22:$D$115,0)+COUNTIF($D$22:$D60,$D60)-1</f>
        <v>34</v>
      </c>
      <c r="G60" s="176">
        <f t="shared" si="0"/>
        <v>895.28</v>
      </c>
      <c r="H60" s="162">
        <f t="shared" si="1"/>
        <v>18</v>
      </c>
      <c r="I60" s="164" t="str">
        <f t="shared" si="2"/>
        <v>Sí</v>
      </c>
      <c r="J60" s="201" t="str">
        <f t="shared" si="3"/>
        <v>Recién cortado</v>
      </c>
      <c r="K60" s="202" t="str">
        <f t="shared" si="4"/>
        <v>En ciclo</v>
      </c>
    </row>
    <row r="61" spans="1:11" hidden="1" outlineLevel="1" x14ac:dyDescent="0.2">
      <c r="A61" s="198" t="str">
        <f>'Registro Diario'!$E41</f>
        <v>Los Cambulos-34A</v>
      </c>
      <c r="B61" s="199" t="str">
        <f>'Registro Diario'!$C41</f>
        <v>Los Cambulos</v>
      </c>
      <c r="C61" s="200">
        <f>'Registro Diario'!$J41</f>
        <v>11.13</v>
      </c>
      <c r="D61" s="163">
        <f>'Registro Diario'!$R41</f>
        <v>10</v>
      </c>
      <c r="E61" s="199" t="str">
        <f>'Registro Diario'!$T41</f>
        <v>En ciclo</v>
      </c>
      <c r="F61" s="162">
        <f>RANK($D61,$D$22:$D$115,0)+COUNTIF($D$22:$D61,$D61)-1</f>
        <v>42</v>
      </c>
      <c r="G61" s="176">
        <f t="shared" si="0"/>
        <v>1099.6099999999999</v>
      </c>
      <c r="H61" s="162">
        <f t="shared" si="1"/>
        <v>17</v>
      </c>
      <c r="I61" s="164" t="str">
        <f t="shared" si="2"/>
        <v>Sí</v>
      </c>
      <c r="J61" s="201" t="str">
        <f t="shared" si="3"/>
        <v>Recién cortado</v>
      </c>
      <c r="K61" s="202" t="str">
        <f t="shared" si="4"/>
        <v>En ciclo</v>
      </c>
    </row>
    <row r="62" spans="1:11" hidden="1" outlineLevel="1" x14ac:dyDescent="0.2">
      <c r="A62" s="198" t="str">
        <f>'Registro Diario'!$E42</f>
        <v>Los Cambulos-35</v>
      </c>
      <c r="B62" s="199" t="str">
        <f>'Registro Diario'!$C42</f>
        <v>Los Cambulos</v>
      </c>
      <c r="C62" s="200">
        <f>'Registro Diario'!$J42</f>
        <v>17.87</v>
      </c>
      <c r="D62" s="163">
        <f>'Registro Diario'!$R42</f>
        <v>7</v>
      </c>
      <c r="E62" s="199" t="str">
        <f>'Registro Diario'!$T42</f>
        <v>En ciclo</v>
      </c>
      <c r="F62" s="162">
        <f>RANK($D62,$D$22:$D$115,0)+COUNTIF($D$22:$D62,$D62)-1</f>
        <v>59</v>
      </c>
      <c r="G62" s="176">
        <f t="shared" si="0"/>
        <v>1429.0700000000004</v>
      </c>
      <c r="H62" s="162">
        <f t="shared" si="1"/>
        <v>14</v>
      </c>
      <c r="I62" s="164" t="str">
        <f t="shared" si="2"/>
        <v>No</v>
      </c>
      <c r="J62" s="201" t="str">
        <f t="shared" si="3"/>
        <v>Fuera de ciclo</v>
      </c>
      <c r="K62" s="202" t="str">
        <f t="shared" si="4"/>
        <v>Vencido 1-5 d</v>
      </c>
    </row>
    <row r="63" spans="1:11" hidden="1" outlineLevel="1" x14ac:dyDescent="0.2">
      <c r="A63" s="198" t="str">
        <f>'Registro Diario'!$E43</f>
        <v>Los Cambulos-35A</v>
      </c>
      <c r="B63" s="199" t="str">
        <f>'Registro Diario'!$C43</f>
        <v>Los Cambulos</v>
      </c>
      <c r="C63" s="200">
        <f>'Registro Diario'!$J43</f>
        <v>16.5</v>
      </c>
      <c r="D63" s="163">
        <f>'Registro Diario'!$R43</f>
        <v>3</v>
      </c>
      <c r="E63" s="199" t="str">
        <f>'Registro Diario'!$T43</f>
        <v>Recién cortado</v>
      </c>
      <c r="F63" s="162">
        <f>RANK($D63,$D$22:$D$115,0)+COUNTIF($D$22:$D63,$D63)-1</f>
        <v>77</v>
      </c>
      <c r="G63" s="176">
        <f t="shared" si="0"/>
        <v>1901.0600000000004</v>
      </c>
      <c r="H63" s="162">
        <f t="shared" si="1"/>
        <v>10</v>
      </c>
      <c r="I63" s="164" t="str">
        <f t="shared" si="2"/>
        <v>No</v>
      </c>
      <c r="J63" s="201" t="str">
        <f t="shared" si="3"/>
        <v>En ciclo</v>
      </c>
      <c r="K63" s="202" t="str">
        <f t="shared" si="4"/>
        <v>En ciclo</v>
      </c>
    </row>
    <row r="64" spans="1:11" hidden="1" outlineLevel="1" x14ac:dyDescent="0.2">
      <c r="A64" s="198" t="str">
        <f>'Registro Diario'!$E44</f>
        <v>La Vitrina-36</v>
      </c>
      <c r="B64" s="199" t="str">
        <f>'Registro Diario'!$C44</f>
        <v>La Vitrina</v>
      </c>
      <c r="C64" s="200">
        <f>'Registro Diario'!$J44</f>
        <v>16.98</v>
      </c>
      <c r="D64" s="163">
        <f>'Registro Diario'!$R44</f>
        <v>18</v>
      </c>
      <c r="E64" s="199" t="str">
        <f>'Registro Diario'!$T44</f>
        <v>Fuera de ciclo</v>
      </c>
      <c r="F64" s="162">
        <f>RANK($D64,$D$22:$D$115,0)+COUNTIF($D$22:$D64,$D64)-1</f>
        <v>5</v>
      </c>
      <c r="G64" s="176">
        <f t="shared" si="0"/>
        <v>162.42000000000002</v>
      </c>
      <c r="H64" s="162">
        <f t="shared" si="1"/>
        <v>25</v>
      </c>
      <c r="I64" s="164" t="str">
        <f t="shared" si="2"/>
        <v>Sí</v>
      </c>
      <c r="J64" s="201" t="str">
        <f t="shared" si="3"/>
        <v>Recién cortado</v>
      </c>
      <c r="K64" s="202" t="str">
        <f t="shared" si="4"/>
        <v>En ciclo</v>
      </c>
    </row>
    <row r="65" spans="1:11" hidden="1" outlineLevel="1" x14ac:dyDescent="0.2">
      <c r="A65" s="198" t="str">
        <f>'Registro Diario'!$E45</f>
        <v>La Pradera-37</v>
      </c>
      <c r="B65" s="199" t="str">
        <f>'Registro Diario'!$C45</f>
        <v>La Pradera</v>
      </c>
      <c r="C65" s="200">
        <f>'Registro Diario'!$J45</f>
        <v>70.849999999999994</v>
      </c>
      <c r="D65" s="163">
        <f>'Registro Diario'!$R45</f>
        <v>4</v>
      </c>
      <c r="E65" s="199" t="str">
        <f>'Registro Diario'!$T45</f>
        <v>Recién cortado</v>
      </c>
      <c r="F65" s="162">
        <f>RANK($D65,$D$22:$D$115,0)+COUNTIF($D$22:$D65,$D65)-1</f>
        <v>71</v>
      </c>
      <c r="G65" s="176">
        <f t="shared" si="0"/>
        <v>1722.3200000000004</v>
      </c>
      <c r="H65" s="162">
        <f t="shared" si="1"/>
        <v>11</v>
      </c>
      <c r="I65" s="164" t="str">
        <f t="shared" si="2"/>
        <v>No</v>
      </c>
      <c r="J65" s="201" t="str">
        <f t="shared" si="3"/>
        <v>En ciclo</v>
      </c>
      <c r="K65" s="202" t="str">
        <f t="shared" si="4"/>
        <v>En ciclo</v>
      </c>
    </row>
    <row r="66" spans="1:11" hidden="1" outlineLevel="1" x14ac:dyDescent="0.2">
      <c r="A66" s="198" t="str">
        <f>'Registro Diario'!$E46</f>
        <v>La Bendición-38</v>
      </c>
      <c r="B66" s="199" t="str">
        <f>'Registro Diario'!$C46</f>
        <v>La Bendición</v>
      </c>
      <c r="C66" s="200">
        <f>'Registro Diario'!$J46</f>
        <v>62.01</v>
      </c>
      <c r="D66" s="163">
        <f>'Registro Diario'!$R46</f>
        <v>4</v>
      </c>
      <c r="E66" s="199" t="str">
        <f>'Registro Diario'!$T46</f>
        <v>Recién cortado</v>
      </c>
      <c r="F66" s="162">
        <f>RANK($D66,$D$22:$D$115,0)+COUNTIF($D$22:$D66,$D66)-1</f>
        <v>72</v>
      </c>
      <c r="G66" s="176">
        <f t="shared" si="0"/>
        <v>1784.3300000000004</v>
      </c>
      <c r="H66" s="162">
        <f t="shared" si="1"/>
        <v>11</v>
      </c>
      <c r="I66" s="164" t="str">
        <f t="shared" si="2"/>
        <v>No</v>
      </c>
      <c r="J66" s="201" t="str">
        <f t="shared" si="3"/>
        <v>En ciclo</v>
      </c>
      <c r="K66" s="202" t="str">
        <f t="shared" si="4"/>
        <v>En ciclo</v>
      </c>
    </row>
    <row r="67" spans="1:11" hidden="1" outlineLevel="1" x14ac:dyDescent="0.2">
      <c r="A67" s="198" t="str">
        <f>'Registro Diario'!$E47</f>
        <v>La Bendición-38A</v>
      </c>
      <c r="B67" s="199" t="str">
        <f>'Registro Diario'!$C47</f>
        <v>La Bendición</v>
      </c>
      <c r="C67" s="200">
        <f>'Registro Diario'!$J47</f>
        <v>10.24</v>
      </c>
      <c r="D67" s="163">
        <f>'Registro Diario'!$R47</f>
        <v>5</v>
      </c>
      <c r="E67" s="199" t="str">
        <f>'Registro Diario'!$T47</f>
        <v>En ciclo</v>
      </c>
      <c r="F67" s="162">
        <f>RANK($D67,$D$22:$D$115,0)+COUNTIF($D$22:$D67,$D67)-1</f>
        <v>64</v>
      </c>
      <c r="G67" s="176">
        <f t="shared" si="0"/>
        <v>1535.0700000000006</v>
      </c>
      <c r="H67" s="162">
        <f t="shared" si="1"/>
        <v>12</v>
      </c>
      <c r="I67" s="164" t="str">
        <f t="shared" si="2"/>
        <v>No</v>
      </c>
      <c r="J67" s="201" t="str">
        <f t="shared" si="3"/>
        <v>En ciclo</v>
      </c>
      <c r="K67" s="202" t="str">
        <f t="shared" si="4"/>
        <v>En ciclo</v>
      </c>
    </row>
    <row r="68" spans="1:11" hidden="1" outlineLevel="1" x14ac:dyDescent="0.2">
      <c r="A68" s="198" t="str">
        <f>'Registro Diario'!$E48</f>
        <v>La Bendición-39</v>
      </c>
      <c r="B68" s="199" t="str">
        <f>'Registro Diario'!$C48</f>
        <v>La Bendición</v>
      </c>
      <c r="C68" s="200">
        <f>'Registro Diario'!$J48</f>
        <v>36.85</v>
      </c>
      <c r="D68" s="163">
        <f>'Registro Diario'!$R48</f>
        <v>17</v>
      </c>
      <c r="E68" s="199" t="str">
        <f>'Registro Diario'!$T48</f>
        <v>Fuera de ciclo</v>
      </c>
      <c r="F68" s="162">
        <f>RANK($D68,$D$22:$D$115,0)+COUNTIF($D$22:$D68,$D68)-1</f>
        <v>7</v>
      </c>
      <c r="G68" s="176">
        <f t="shared" si="0"/>
        <v>254.51999999999998</v>
      </c>
      <c r="H68" s="162">
        <f t="shared" si="1"/>
        <v>24</v>
      </c>
      <c r="I68" s="164" t="str">
        <f t="shared" si="2"/>
        <v>Sí</v>
      </c>
      <c r="J68" s="201" t="str">
        <f t="shared" si="3"/>
        <v>Recién cortado</v>
      </c>
      <c r="K68" s="202" t="str">
        <f t="shared" si="4"/>
        <v>En ciclo</v>
      </c>
    </row>
    <row r="69" spans="1:11" hidden="1" outlineLevel="1" x14ac:dyDescent="0.2">
      <c r="A69" s="198" t="str">
        <f>'Registro Diario'!$E49</f>
        <v>La Bendición-40</v>
      </c>
      <c r="B69" s="199" t="str">
        <f>'Registro Diario'!$C49</f>
        <v>La Bendición</v>
      </c>
      <c r="C69" s="200">
        <f>'Registro Diario'!$J49</f>
        <v>37.950000000000003</v>
      </c>
      <c r="D69" s="163">
        <f>'Registro Diario'!$R49</f>
        <v>9</v>
      </c>
      <c r="E69" s="199" t="str">
        <f>'Registro Diario'!$T49</f>
        <v>En ciclo</v>
      </c>
      <c r="F69" s="162">
        <f>RANK($D69,$D$22:$D$115,0)+COUNTIF($D$22:$D69,$D69)-1</f>
        <v>53</v>
      </c>
      <c r="G69" s="176">
        <f t="shared" si="0"/>
        <v>1307.4400000000003</v>
      </c>
      <c r="H69" s="162">
        <f t="shared" si="1"/>
        <v>16</v>
      </c>
      <c r="I69" s="164" t="str">
        <f t="shared" si="2"/>
        <v>No</v>
      </c>
      <c r="J69" s="201" t="str">
        <f t="shared" si="3"/>
        <v>Fuera de ciclo</v>
      </c>
      <c r="K69" s="202" t="str">
        <f t="shared" si="4"/>
        <v>Vencido 1-5 d</v>
      </c>
    </row>
    <row r="70" spans="1:11" hidden="1" outlineLevel="1" x14ac:dyDescent="0.2">
      <c r="A70" s="198" t="str">
        <f>'Registro Diario'!$E50</f>
        <v>La Bendición-41</v>
      </c>
      <c r="B70" s="199" t="str">
        <f>'Registro Diario'!$C50</f>
        <v>La Bendición</v>
      </c>
      <c r="C70" s="200">
        <f>'Registro Diario'!$J50</f>
        <v>21.06</v>
      </c>
      <c r="D70" s="163">
        <f>'Registro Diario'!$R50</f>
        <v>7</v>
      </c>
      <c r="E70" s="199" t="str">
        <f>'Registro Diario'!$T50</f>
        <v>En ciclo</v>
      </c>
      <c r="F70" s="162">
        <f>RANK($D70,$D$22:$D$115,0)+COUNTIF($D$22:$D70,$D70)-1</f>
        <v>60</v>
      </c>
      <c r="G70" s="176">
        <f t="shared" si="0"/>
        <v>1450.1300000000006</v>
      </c>
      <c r="H70" s="162">
        <f t="shared" si="1"/>
        <v>14</v>
      </c>
      <c r="I70" s="164" t="str">
        <f t="shared" si="2"/>
        <v>No</v>
      </c>
      <c r="J70" s="201" t="str">
        <f t="shared" si="3"/>
        <v>Fuera de ciclo</v>
      </c>
      <c r="K70" s="202" t="str">
        <f t="shared" si="4"/>
        <v>Vencido 1-5 d</v>
      </c>
    </row>
    <row r="71" spans="1:11" hidden="1" outlineLevel="1" x14ac:dyDescent="0.2">
      <c r="A71" s="198" t="str">
        <f>'Registro Diario'!$E51</f>
        <v>La Pradera-42</v>
      </c>
      <c r="B71" s="199" t="str">
        <f>'Registro Diario'!$C51</f>
        <v>La Pradera</v>
      </c>
      <c r="C71" s="200">
        <f>'Registro Diario'!$J51</f>
        <v>40.909999999999997</v>
      </c>
      <c r="D71" s="163">
        <f>'Registro Diario'!$R51</f>
        <v>22</v>
      </c>
      <c r="E71" s="199" t="str">
        <f>'Registro Diario'!$T51</f>
        <v>Fuera de ciclo</v>
      </c>
      <c r="F71" s="162">
        <f>RANK($D71,$D$22:$D$115,0)+COUNTIF($D$22:$D71,$D71)-1</f>
        <v>1</v>
      </c>
      <c r="G71" s="176">
        <f t="shared" si="0"/>
        <v>40.909999999999997</v>
      </c>
      <c r="H71" s="162">
        <f t="shared" si="1"/>
        <v>29</v>
      </c>
      <c r="I71" s="164" t="str">
        <f t="shared" si="2"/>
        <v>Sí</v>
      </c>
      <c r="J71" s="201" t="str">
        <f t="shared" si="3"/>
        <v>Recién cortado</v>
      </c>
      <c r="K71" s="202" t="str">
        <f t="shared" si="4"/>
        <v>En ciclo</v>
      </c>
    </row>
    <row r="72" spans="1:11" hidden="1" outlineLevel="1" x14ac:dyDescent="0.2">
      <c r="A72" s="198" t="str">
        <f>'Registro Diario'!$E52</f>
        <v>Los Cambulos-35B</v>
      </c>
      <c r="B72" s="199" t="str">
        <f>'Registro Diario'!$C52</f>
        <v>Los Cambulos</v>
      </c>
      <c r="C72" s="200">
        <f>'Registro Diario'!$J52</f>
        <v>18.760000000000002</v>
      </c>
      <c r="D72" s="163">
        <f>'Registro Diario'!$R52</f>
        <v>3</v>
      </c>
      <c r="E72" s="199" t="str">
        <f>'Registro Diario'!$T52</f>
        <v>Recién cortado</v>
      </c>
      <c r="F72" s="162">
        <f>RANK($D72,$D$22:$D$115,0)+COUNTIF($D$22:$D72,$D72)-1</f>
        <v>78</v>
      </c>
      <c r="G72" s="176">
        <f t="shared" si="0"/>
        <v>1919.8200000000004</v>
      </c>
      <c r="H72" s="162">
        <f t="shared" si="1"/>
        <v>10</v>
      </c>
      <c r="I72" s="164" t="str">
        <f t="shared" si="2"/>
        <v>No</v>
      </c>
      <c r="J72" s="201" t="str">
        <f t="shared" si="3"/>
        <v>En ciclo</v>
      </c>
      <c r="K72" s="202" t="str">
        <f t="shared" si="4"/>
        <v>En ciclo</v>
      </c>
    </row>
    <row r="73" spans="1:11" hidden="1" outlineLevel="1" x14ac:dyDescent="0.2">
      <c r="A73" s="198" t="str">
        <f>'Registro Diario'!$E53</f>
        <v>La Bendición-41A</v>
      </c>
      <c r="B73" s="199" t="str">
        <f>'Registro Diario'!$C53</f>
        <v>La Bendición</v>
      </c>
      <c r="C73" s="200">
        <f>'Registro Diario'!$J53</f>
        <v>0.88</v>
      </c>
      <c r="D73" s="163">
        <f>'Registro Diario'!$R53</f>
        <v>7</v>
      </c>
      <c r="E73" s="199" t="str">
        <f>'Registro Diario'!$T53</f>
        <v>En ciclo</v>
      </c>
      <c r="F73" s="162">
        <f>RANK($D73,$D$22:$D$115,0)+COUNTIF($D$22:$D73,$D73)-1</f>
        <v>61</v>
      </c>
      <c r="G73" s="176">
        <f t="shared" si="0"/>
        <v>1451.0100000000007</v>
      </c>
      <c r="H73" s="162">
        <f t="shared" si="1"/>
        <v>14</v>
      </c>
      <c r="I73" s="164" t="str">
        <f t="shared" si="2"/>
        <v>No</v>
      </c>
      <c r="J73" s="201" t="str">
        <f t="shared" si="3"/>
        <v>Fuera de ciclo</v>
      </c>
      <c r="K73" s="202" t="str">
        <f t="shared" si="4"/>
        <v>Vencido 1-5 d</v>
      </c>
    </row>
    <row r="74" spans="1:11" hidden="1" outlineLevel="1" x14ac:dyDescent="0.2">
      <c r="A74" s="198" t="str">
        <f>'Registro Diario'!$E54</f>
        <v>La Pradera-42A</v>
      </c>
      <c r="B74" s="199" t="str">
        <f>'Registro Diario'!$C54</f>
        <v>La Pradera</v>
      </c>
      <c r="C74" s="200">
        <f>'Registro Diario'!$J54</f>
        <v>11.94</v>
      </c>
      <c r="D74" s="163">
        <f>'Registro Diario'!$R54</f>
        <v>17</v>
      </c>
      <c r="E74" s="199" t="str">
        <f>'Registro Diario'!$T54</f>
        <v>Fuera de ciclo</v>
      </c>
      <c r="F74" s="162">
        <f>RANK($D74,$D$22:$D$115,0)+COUNTIF($D$22:$D74,$D74)-1</f>
        <v>8</v>
      </c>
      <c r="G74" s="176">
        <f t="shared" si="0"/>
        <v>266.45999999999998</v>
      </c>
      <c r="H74" s="162">
        <f t="shared" si="1"/>
        <v>24</v>
      </c>
      <c r="I74" s="164" t="str">
        <f t="shared" si="2"/>
        <v>Sí</v>
      </c>
      <c r="J74" s="201" t="str">
        <f t="shared" si="3"/>
        <v>Recién cortado</v>
      </c>
      <c r="K74" s="202" t="str">
        <f t="shared" si="4"/>
        <v>En ciclo</v>
      </c>
    </row>
    <row r="75" spans="1:11" hidden="1" outlineLevel="1" x14ac:dyDescent="0.2">
      <c r="A75" s="198" t="str">
        <f>'Registro Diario'!$E55</f>
        <v>La Vitrina-43</v>
      </c>
      <c r="B75" s="199" t="str">
        <f>'Registro Diario'!$C55</f>
        <v>La Vitrina</v>
      </c>
      <c r="C75" s="200">
        <f>'Registro Diario'!$J55</f>
        <v>40.29</v>
      </c>
      <c r="D75" s="163">
        <f>'Registro Diario'!$R55</f>
        <v>3</v>
      </c>
      <c r="E75" s="199" t="str">
        <f>'Registro Diario'!$T55</f>
        <v>Recién cortado</v>
      </c>
      <c r="F75" s="162">
        <f>RANK($D75,$D$22:$D$115,0)+COUNTIF($D$22:$D75,$D75)-1</f>
        <v>79</v>
      </c>
      <c r="G75" s="176">
        <f t="shared" si="0"/>
        <v>1960.1100000000004</v>
      </c>
      <c r="H75" s="162">
        <f t="shared" si="1"/>
        <v>10</v>
      </c>
      <c r="I75" s="164" t="str">
        <f t="shared" si="2"/>
        <v>No</v>
      </c>
      <c r="J75" s="201" t="str">
        <f t="shared" si="3"/>
        <v>En ciclo</v>
      </c>
      <c r="K75" s="202" t="str">
        <f t="shared" si="4"/>
        <v>En ciclo</v>
      </c>
    </row>
    <row r="76" spans="1:11" hidden="1" outlineLevel="1" x14ac:dyDescent="0.2">
      <c r="A76" s="198" t="str">
        <f>'Registro Diario'!$E56</f>
        <v>La Vitrina-44</v>
      </c>
      <c r="B76" s="199" t="str">
        <f>'Registro Diario'!$C56</f>
        <v>La Vitrina</v>
      </c>
      <c r="C76" s="200">
        <f>'Registro Diario'!$J56</f>
        <v>21.43</v>
      </c>
      <c r="D76" s="163">
        <f>'Registro Diario'!$R56</f>
        <v>3</v>
      </c>
      <c r="E76" s="199" t="str">
        <f>'Registro Diario'!$T56</f>
        <v>Recién cortado</v>
      </c>
      <c r="F76" s="162">
        <f>RANK($D76,$D$22:$D$115,0)+COUNTIF($D$22:$D76,$D76)-1</f>
        <v>80</v>
      </c>
      <c r="G76" s="176">
        <f t="shared" si="0"/>
        <v>1981.5400000000004</v>
      </c>
      <c r="H76" s="162">
        <f t="shared" si="1"/>
        <v>10</v>
      </c>
      <c r="I76" s="164" t="str">
        <f t="shared" si="2"/>
        <v>No</v>
      </c>
      <c r="J76" s="201" t="str">
        <f t="shared" si="3"/>
        <v>En ciclo</v>
      </c>
      <c r="K76" s="202" t="str">
        <f t="shared" si="4"/>
        <v>En ciclo</v>
      </c>
    </row>
    <row r="77" spans="1:11" hidden="1" outlineLevel="1" x14ac:dyDescent="0.2">
      <c r="A77" s="198" t="str">
        <f>'Registro Diario'!$E57</f>
        <v>La Pradera-45</v>
      </c>
      <c r="B77" s="199" t="str">
        <f>'Registro Diario'!$C57</f>
        <v>La Pradera</v>
      </c>
      <c r="C77" s="200">
        <f>'Registro Diario'!$J57</f>
        <v>21.22</v>
      </c>
      <c r="D77" s="163">
        <f>'Registro Diario'!$R57</f>
        <v>10</v>
      </c>
      <c r="E77" s="199" t="str">
        <f>'Registro Diario'!$T57</f>
        <v>En ciclo</v>
      </c>
      <c r="F77" s="162">
        <f>RANK($D77,$D$22:$D$115,0)+COUNTIF($D$22:$D77,$D77)-1</f>
        <v>43</v>
      </c>
      <c r="G77" s="176">
        <f t="shared" si="0"/>
        <v>1120.83</v>
      </c>
      <c r="H77" s="162">
        <f t="shared" si="1"/>
        <v>17</v>
      </c>
      <c r="I77" s="164" t="str">
        <f t="shared" si="2"/>
        <v>Sí</v>
      </c>
      <c r="J77" s="201" t="str">
        <f t="shared" si="3"/>
        <v>Recién cortado</v>
      </c>
      <c r="K77" s="202" t="str">
        <f t="shared" si="4"/>
        <v>En ciclo</v>
      </c>
    </row>
    <row r="78" spans="1:11" hidden="1" outlineLevel="1" x14ac:dyDescent="0.2">
      <c r="A78" s="198" t="str">
        <f>'Registro Diario'!$E58</f>
        <v>La Pradera-46</v>
      </c>
      <c r="B78" s="199" t="str">
        <f>'Registro Diario'!$C58</f>
        <v>La Pradera</v>
      </c>
      <c r="C78" s="200">
        <f>'Registro Diario'!$J58</f>
        <v>6.76</v>
      </c>
      <c r="D78" s="163">
        <f>'Registro Diario'!$R58</f>
        <v>10</v>
      </c>
      <c r="E78" s="199" t="str">
        <f>'Registro Diario'!$T58</f>
        <v>En ciclo</v>
      </c>
      <c r="F78" s="162">
        <f>RANK($D78,$D$22:$D$115,0)+COUNTIF($D$22:$D78,$D78)-1</f>
        <v>44</v>
      </c>
      <c r="G78" s="176">
        <f t="shared" si="0"/>
        <v>1127.5899999999999</v>
      </c>
      <c r="H78" s="162">
        <f t="shared" si="1"/>
        <v>17</v>
      </c>
      <c r="I78" s="164" t="str">
        <f t="shared" si="2"/>
        <v>Sí</v>
      </c>
      <c r="J78" s="201" t="str">
        <f t="shared" si="3"/>
        <v>Recién cortado</v>
      </c>
      <c r="K78" s="202" t="str">
        <f t="shared" si="4"/>
        <v>En ciclo</v>
      </c>
    </row>
    <row r="79" spans="1:11" hidden="1" outlineLevel="1" x14ac:dyDescent="0.2">
      <c r="A79" s="198" t="str">
        <f>'Registro Diario'!$E59</f>
        <v>La Pradera-47</v>
      </c>
      <c r="B79" s="199" t="str">
        <f>'Registro Diario'!$C59</f>
        <v>La Pradera</v>
      </c>
      <c r="C79" s="200">
        <f>'Registro Diario'!$J59</f>
        <v>7.17</v>
      </c>
      <c r="D79" s="163">
        <f>'Registro Diario'!$R59</f>
        <v>10</v>
      </c>
      <c r="E79" s="199" t="str">
        <f>'Registro Diario'!$T59</f>
        <v>En ciclo</v>
      </c>
      <c r="F79" s="162">
        <f>RANK($D79,$D$22:$D$115,0)+COUNTIF($D$22:$D79,$D79)-1</f>
        <v>45</v>
      </c>
      <c r="G79" s="176">
        <f t="shared" si="0"/>
        <v>1134.76</v>
      </c>
      <c r="H79" s="162">
        <f t="shared" si="1"/>
        <v>17</v>
      </c>
      <c r="I79" s="164" t="str">
        <f t="shared" si="2"/>
        <v>Sí</v>
      </c>
      <c r="J79" s="201" t="str">
        <f t="shared" si="3"/>
        <v>Recién cortado</v>
      </c>
      <c r="K79" s="202" t="str">
        <f t="shared" si="4"/>
        <v>En ciclo</v>
      </c>
    </row>
    <row r="80" spans="1:11" hidden="1" outlineLevel="1" x14ac:dyDescent="0.2">
      <c r="A80" s="198" t="str">
        <f>'Registro Diario'!$E60</f>
        <v>La Pradera-48</v>
      </c>
      <c r="B80" s="199" t="str">
        <f>'Registro Diario'!$C60</f>
        <v>La Pradera</v>
      </c>
      <c r="C80" s="200">
        <f>'Registro Diario'!$J60</f>
        <v>15.01</v>
      </c>
      <c r="D80" s="163">
        <f>'Registro Diario'!$R60</f>
        <v>10</v>
      </c>
      <c r="E80" s="199" t="str">
        <f>'Registro Diario'!$T60</f>
        <v>En ciclo</v>
      </c>
      <c r="F80" s="162">
        <f>RANK($D80,$D$22:$D$115,0)+COUNTIF($D$22:$D80,$D80)-1</f>
        <v>46</v>
      </c>
      <c r="G80" s="176">
        <f t="shared" si="0"/>
        <v>1149.77</v>
      </c>
      <c r="H80" s="162">
        <f t="shared" si="1"/>
        <v>17</v>
      </c>
      <c r="I80" s="164" t="str">
        <f t="shared" si="2"/>
        <v>Sí</v>
      </c>
      <c r="J80" s="201" t="str">
        <f t="shared" si="3"/>
        <v>Recién cortado</v>
      </c>
      <c r="K80" s="202" t="str">
        <f t="shared" si="4"/>
        <v>En ciclo</v>
      </c>
    </row>
    <row r="81" spans="1:11" hidden="1" outlineLevel="1" x14ac:dyDescent="0.2">
      <c r="A81" s="198" t="str">
        <f>'Registro Diario'!$E61</f>
        <v>Rines-49</v>
      </c>
      <c r="B81" s="199" t="str">
        <f>'Registro Diario'!$C61</f>
        <v>Rines</v>
      </c>
      <c r="C81" s="200">
        <f>'Registro Diario'!$J61</f>
        <v>11.96</v>
      </c>
      <c r="D81" s="163">
        <f>'Registro Diario'!$R61</f>
        <v>7</v>
      </c>
      <c r="E81" s="199" t="str">
        <f>'Registro Diario'!$T61</f>
        <v>En ciclo</v>
      </c>
      <c r="F81" s="162">
        <f>RANK($D81,$D$22:$D$115,0)+COUNTIF($D$22:$D81,$D81)-1</f>
        <v>62</v>
      </c>
      <c r="G81" s="176">
        <f t="shared" si="0"/>
        <v>1462.9700000000007</v>
      </c>
      <c r="H81" s="162">
        <f t="shared" si="1"/>
        <v>14</v>
      </c>
      <c r="I81" s="164" t="str">
        <f t="shared" si="2"/>
        <v>No</v>
      </c>
      <c r="J81" s="201" t="str">
        <f t="shared" si="3"/>
        <v>Fuera de ciclo</v>
      </c>
      <c r="K81" s="202" t="str">
        <f t="shared" si="4"/>
        <v>Vencido 1-5 d</v>
      </c>
    </row>
    <row r="82" spans="1:11" hidden="1" outlineLevel="1" x14ac:dyDescent="0.2">
      <c r="A82" s="198" t="str">
        <f>'Registro Diario'!$E62</f>
        <v>Rines-50</v>
      </c>
      <c r="B82" s="199" t="str">
        <f>'Registro Diario'!$C62</f>
        <v>Rines</v>
      </c>
      <c r="C82" s="200">
        <f>'Registro Diario'!$J62</f>
        <v>16.62</v>
      </c>
      <c r="D82" s="163">
        <f>'Registro Diario'!$R62</f>
        <v>5</v>
      </c>
      <c r="E82" s="199" t="str">
        <f>'Registro Diario'!$T62</f>
        <v>En ciclo</v>
      </c>
      <c r="F82" s="162">
        <f>RANK($D82,$D$22:$D$115,0)+COUNTIF($D$22:$D82,$D82)-1</f>
        <v>65</v>
      </c>
      <c r="G82" s="176">
        <f t="shared" si="0"/>
        <v>1551.6900000000005</v>
      </c>
      <c r="H82" s="162">
        <f t="shared" si="1"/>
        <v>12</v>
      </c>
      <c r="I82" s="164" t="str">
        <f t="shared" si="2"/>
        <v>No</v>
      </c>
      <c r="J82" s="201" t="str">
        <f t="shared" si="3"/>
        <v>En ciclo</v>
      </c>
      <c r="K82" s="202" t="str">
        <f t="shared" si="4"/>
        <v>En ciclo</v>
      </c>
    </row>
    <row r="83" spans="1:11" hidden="1" outlineLevel="1" x14ac:dyDescent="0.2">
      <c r="A83" s="198" t="str">
        <f>'Registro Diario'!$E63</f>
        <v>Rines-51</v>
      </c>
      <c r="B83" s="199" t="str">
        <f>'Registro Diario'!$C63</f>
        <v>Rines</v>
      </c>
      <c r="C83" s="200">
        <f>'Registro Diario'!$J63</f>
        <v>7.58</v>
      </c>
      <c r="D83" s="163">
        <f>'Registro Diario'!$R63</f>
        <v>5</v>
      </c>
      <c r="E83" s="199" t="str">
        <f>'Registro Diario'!$T63</f>
        <v>En ciclo</v>
      </c>
      <c r="F83" s="162">
        <f>RANK($D83,$D$22:$D$115,0)+COUNTIF($D$22:$D83,$D83)-1</f>
        <v>66</v>
      </c>
      <c r="G83" s="176">
        <f t="shared" si="0"/>
        <v>1559.2700000000004</v>
      </c>
      <c r="H83" s="162">
        <f t="shared" si="1"/>
        <v>12</v>
      </c>
      <c r="I83" s="164" t="str">
        <f t="shared" si="2"/>
        <v>No</v>
      </c>
      <c r="J83" s="201" t="str">
        <f t="shared" si="3"/>
        <v>En ciclo</v>
      </c>
      <c r="K83" s="202" t="str">
        <f t="shared" si="4"/>
        <v>En ciclo</v>
      </c>
    </row>
    <row r="84" spans="1:11" hidden="1" outlineLevel="1" x14ac:dyDescent="0.2">
      <c r="A84" s="198" t="str">
        <f>'Registro Diario'!$E64</f>
        <v>Rines-52</v>
      </c>
      <c r="B84" s="199" t="str">
        <f>'Registro Diario'!$C64</f>
        <v>Rines</v>
      </c>
      <c r="C84" s="200">
        <f>'Registro Diario'!$J64</f>
        <v>20.2</v>
      </c>
      <c r="D84" s="163">
        <f>'Registro Diario'!$R64</f>
        <v>5</v>
      </c>
      <c r="E84" s="199" t="str">
        <f>'Registro Diario'!$T64</f>
        <v>En ciclo</v>
      </c>
      <c r="F84" s="162">
        <f>RANK($D84,$D$22:$D$115,0)+COUNTIF($D$22:$D84,$D84)-1</f>
        <v>67</v>
      </c>
      <c r="G84" s="176">
        <f t="shared" si="0"/>
        <v>1579.4700000000005</v>
      </c>
      <c r="H84" s="162">
        <f t="shared" si="1"/>
        <v>12</v>
      </c>
      <c r="I84" s="164" t="str">
        <f t="shared" si="2"/>
        <v>No</v>
      </c>
      <c r="J84" s="201" t="str">
        <f t="shared" si="3"/>
        <v>En ciclo</v>
      </c>
      <c r="K84" s="202" t="str">
        <f t="shared" si="4"/>
        <v>En ciclo</v>
      </c>
    </row>
    <row r="85" spans="1:11" hidden="1" outlineLevel="1" x14ac:dyDescent="0.2">
      <c r="A85" s="198" t="str">
        <f>'Registro Diario'!$E65</f>
        <v>Rines-53</v>
      </c>
      <c r="B85" s="199" t="str">
        <f>'Registro Diario'!$C65</f>
        <v>Rines</v>
      </c>
      <c r="C85" s="200">
        <f>'Registro Diario'!$J65</f>
        <v>20.76</v>
      </c>
      <c r="D85" s="163">
        <f>'Registro Diario'!$R65</f>
        <v>4</v>
      </c>
      <c r="E85" s="199" t="str">
        <f>'Registro Diario'!$T65</f>
        <v>Recién cortado</v>
      </c>
      <c r="F85" s="162">
        <f>RANK($D85,$D$22:$D$115,0)+COUNTIF($D$22:$D85,$D85)-1</f>
        <v>73</v>
      </c>
      <c r="G85" s="176">
        <f t="shared" si="0"/>
        <v>1805.0900000000004</v>
      </c>
      <c r="H85" s="162">
        <f t="shared" si="1"/>
        <v>11</v>
      </c>
      <c r="I85" s="164" t="str">
        <f t="shared" si="2"/>
        <v>No</v>
      </c>
      <c r="J85" s="201" t="str">
        <f t="shared" si="3"/>
        <v>En ciclo</v>
      </c>
      <c r="K85" s="202" t="str">
        <f t="shared" si="4"/>
        <v>En ciclo</v>
      </c>
    </row>
    <row r="86" spans="1:11" hidden="1" outlineLevel="1" x14ac:dyDescent="0.2">
      <c r="A86" s="198" t="str">
        <f>'Registro Diario'!$E66</f>
        <v>Rines-54</v>
      </c>
      <c r="B86" s="199" t="str">
        <f>'Registro Diario'!$C66</f>
        <v>Rines</v>
      </c>
      <c r="C86" s="200">
        <f>'Registro Diario'!$J66</f>
        <v>5.64</v>
      </c>
      <c r="D86" s="163">
        <f>'Registro Diario'!$R66</f>
        <v>3</v>
      </c>
      <c r="E86" s="199" t="str">
        <f>'Registro Diario'!$T66</f>
        <v>Recién cortado</v>
      </c>
      <c r="F86" s="162">
        <f>RANK($D86,$D$22:$D$115,0)+COUNTIF($D$22:$D86,$D86)-1</f>
        <v>81</v>
      </c>
      <c r="G86" s="176">
        <f t="shared" si="0"/>
        <v>1987.1800000000005</v>
      </c>
      <c r="H86" s="162">
        <f t="shared" si="1"/>
        <v>10</v>
      </c>
      <c r="I86" s="164" t="str">
        <f t="shared" si="2"/>
        <v>No</v>
      </c>
      <c r="J86" s="201" t="str">
        <f t="shared" si="3"/>
        <v>En ciclo</v>
      </c>
      <c r="K86" s="202" t="str">
        <f t="shared" si="4"/>
        <v>En ciclo</v>
      </c>
    </row>
    <row r="87" spans="1:11" hidden="1" outlineLevel="1" x14ac:dyDescent="0.2">
      <c r="A87" s="198" t="str">
        <f>'Registro Diario'!$E67</f>
        <v>Rines-53A</v>
      </c>
      <c r="B87" s="199" t="str">
        <f>'Registro Diario'!$C67</f>
        <v>Rines</v>
      </c>
      <c r="C87" s="200">
        <f>'Registro Diario'!$J67</f>
        <v>23.37</v>
      </c>
      <c r="D87" s="163">
        <f>'Registro Diario'!$R67</f>
        <v>4</v>
      </c>
      <c r="E87" s="199" t="str">
        <f>'Registro Diario'!$T67</f>
        <v>Recién cortado</v>
      </c>
      <c r="F87" s="162">
        <f>RANK($D87,$D$22:$D$115,0)+COUNTIF($D$22:$D87,$D87)-1</f>
        <v>74</v>
      </c>
      <c r="G87" s="176">
        <f t="shared" ref="G87:G115" si="5">SUMIF($F$22:$F$115,"&lt;="&amp;$F87,$C$22:$C$115)</f>
        <v>1828.4600000000003</v>
      </c>
      <c r="H87" s="162">
        <f t="shared" ref="H87:H115" si="6">$D87+7</f>
        <v>11</v>
      </c>
      <c r="I87" s="164" t="str">
        <f t="shared" ref="I87:I115" si="7">IF($G87&lt;=$C$11,"Sí","No")</f>
        <v>No</v>
      </c>
      <c r="J87" s="201" t="str">
        <f t="shared" ref="J87:J115" si="8">IF($I87="Sí","Recién cortado",IF($H87&lt;$C$6,"Recién cortado",IF($H87&lt;=$C$5,"En ciclo","Fuera de ciclo")))</f>
        <v>En ciclo</v>
      </c>
      <c r="K87" s="202" t="str">
        <f t="shared" ref="K87:K115" si="9">IF($I87="Sí","En ciclo",IF($H87&lt;=$C$5,"En ciclo",IF($H87-$C$5&lt;=5,"Vencido 1-5 d",IF($H87-$C$5&lt;=10,"Vencido 6-10 d",IF($H87-$C$5&lt;=15,"Vencido 11-15 d","Vencido +15 d")))))</f>
        <v>En ciclo</v>
      </c>
    </row>
    <row r="88" spans="1:11" hidden="1" outlineLevel="1" x14ac:dyDescent="0.2">
      <c r="A88" s="198" t="str">
        <f>'Registro Diario'!$E68</f>
        <v>Rines-54A</v>
      </c>
      <c r="B88" s="199" t="str">
        <f>'Registro Diario'!$C68</f>
        <v>Rines</v>
      </c>
      <c r="C88" s="200">
        <f>'Registro Diario'!$J68</f>
        <v>20.53</v>
      </c>
      <c r="D88" s="163">
        <f>'Registro Diario'!$R68</f>
        <v>3</v>
      </c>
      <c r="E88" s="199" t="str">
        <f>'Registro Diario'!$T68</f>
        <v>Recién cortado</v>
      </c>
      <c r="F88" s="162">
        <f>RANK($D88,$D$22:$D$115,0)+COUNTIF($D$22:$D88,$D88)-1</f>
        <v>82</v>
      </c>
      <c r="G88" s="176">
        <f t="shared" si="5"/>
        <v>2007.7100000000005</v>
      </c>
      <c r="H88" s="162">
        <f t="shared" si="6"/>
        <v>10</v>
      </c>
      <c r="I88" s="164" t="str">
        <f t="shared" si="7"/>
        <v>No</v>
      </c>
      <c r="J88" s="201" t="str">
        <f t="shared" si="8"/>
        <v>En ciclo</v>
      </c>
      <c r="K88" s="202" t="str">
        <f t="shared" si="9"/>
        <v>En ciclo</v>
      </c>
    </row>
    <row r="89" spans="1:11" hidden="1" outlineLevel="1" x14ac:dyDescent="0.2">
      <c r="A89" s="198" t="str">
        <f>'Registro Diario'!$E69</f>
        <v>Rines-55</v>
      </c>
      <c r="B89" s="199" t="str">
        <f>'Registro Diario'!$C69</f>
        <v>Rines</v>
      </c>
      <c r="C89" s="200">
        <f>'Registro Diario'!$J69</f>
        <v>42.16</v>
      </c>
      <c r="D89" s="163">
        <f>'Registro Diario'!$R69</f>
        <v>2</v>
      </c>
      <c r="E89" s="199" t="str">
        <f>'Registro Diario'!$T69</f>
        <v>Recién cortado</v>
      </c>
      <c r="F89" s="162">
        <f>RANK($D89,$D$22:$D$115,0)+COUNTIF($D$22:$D89,$D89)-1</f>
        <v>87</v>
      </c>
      <c r="G89" s="176">
        <f t="shared" si="5"/>
        <v>2116.8400000000006</v>
      </c>
      <c r="H89" s="162">
        <f t="shared" si="6"/>
        <v>9</v>
      </c>
      <c r="I89" s="164" t="str">
        <f t="shared" si="7"/>
        <v>No</v>
      </c>
      <c r="J89" s="201" t="str">
        <f t="shared" si="8"/>
        <v>En ciclo</v>
      </c>
      <c r="K89" s="202" t="str">
        <f t="shared" si="9"/>
        <v>En ciclo</v>
      </c>
    </row>
    <row r="90" spans="1:11" hidden="1" outlineLevel="1" x14ac:dyDescent="0.2">
      <c r="A90" s="198" t="str">
        <f>'Registro Diario'!$E70</f>
        <v>Rines-57</v>
      </c>
      <c r="B90" s="199" t="str">
        <f>'Registro Diario'!$C70</f>
        <v>Rines</v>
      </c>
      <c r="C90" s="200">
        <f>'Registro Diario'!$J70</f>
        <v>26.61</v>
      </c>
      <c r="D90" s="163">
        <f>'Registro Diario'!$R70</f>
        <v>1</v>
      </c>
      <c r="E90" s="199" t="str">
        <f>'Registro Diario'!$T70</f>
        <v>Recién cortado</v>
      </c>
      <c r="F90" s="162">
        <f>RANK($D90,$D$22:$D$115,0)+COUNTIF($D$22:$D90,$D90)-1</f>
        <v>93</v>
      </c>
      <c r="G90" s="176">
        <f t="shared" si="5"/>
        <v>2303.15</v>
      </c>
      <c r="H90" s="162">
        <f t="shared" si="6"/>
        <v>8</v>
      </c>
      <c r="I90" s="164" t="str">
        <f t="shared" si="7"/>
        <v>No</v>
      </c>
      <c r="J90" s="201" t="str">
        <f t="shared" si="8"/>
        <v>En ciclo</v>
      </c>
      <c r="K90" s="202" t="str">
        <f t="shared" si="9"/>
        <v>En ciclo</v>
      </c>
    </row>
    <row r="91" spans="1:11" hidden="1" outlineLevel="1" x14ac:dyDescent="0.2">
      <c r="A91" s="198" t="str">
        <f>'Registro Diario'!$E71</f>
        <v>Rines-61</v>
      </c>
      <c r="B91" s="199" t="str">
        <f>'Registro Diario'!$C71</f>
        <v>Rines</v>
      </c>
      <c r="C91" s="200">
        <f>'Registro Diario'!$J71</f>
        <v>19.95</v>
      </c>
      <c r="D91" s="163">
        <f>'Registro Diario'!$R71</f>
        <v>14</v>
      </c>
      <c r="E91" s="199" t="str">
        <f>'Registro Diario'!$T71</f>
        <v>Fuera de ciclo</v>
      </c>
      <c r="F91" s="162">
        <f>RANK($D91,$D$22:$D$115,0)+COUNTIF($D$22:$D91,$D91)-1</f>
        <v>24</v>
      </c>
      <c r="G91" s="176">
        <f t="shared" si="5"/>
        <v>645.70000000000016</v>
      </c>
      <c r="H91" s="162">
        <f t="shared" si="6"/>
        <v>21</v>
      </c>
      <c r="I91" s="164" t="str">
        <f t="shared" si="7"/>
        <v>Sí</v>
      </c>
      <c r="J91" s="201" t="str">
        <f t="shared" si="8"/>
        <v>Recién cortado</v>
      </c>
      <c r="K91" s="202" t="str">
        <f t="shared" si="9"/>
        <v>En ciclo</v>
      </c>
    </row>
    <row r="92" spans="1:11" hidden="1" outlineLevel="1" x14ac:dyDescent="0.2">
      <c r="A92" s="198" t="str">
        <f>'Registro Diario'!$E72</f>
        <v>Rines-63</v>
      </c>
      <c r="B92" s="199" t="str">
        <f>'Registro Diario'!$C72</f>
        <v>Rines</v>
      </c>
      <c r="C92" s="200">
        <f>'Registro Diario'!$J72</f>
        <v>25.63</v>
      </c>
      <c r="D92" s="163">
        <f>'Registro Diario'!$R72</f>
        <v>12</v>
      </c>
      <c r="E92" s="199" t="str">
        <f>'Registro Diario'!$T72</f>
        <v>En ciclo</v>
      </c>
      <c r="F92" s="162">
        <f>RANK($D92,$D$22:$D$115,0)+COUNTIF($D$22:$D92,$D92)-1</f>
        <v>27</v>
      </c>
      <c r="G92" s="176">
        <f t="shared" si="5"/>
        <v>703.0100000000001</v>
      </c>
      <c r="H92" s="162">
        <f t="shared" si="6"/>
        <v>19</v>
      </c>
      <c r="I92" s="164" t="str">
        <f t="shared" si="7"/>
        <v>Sí</v>
      </c>
      <c r="J92" s="201" t="str">
        <f t="shared" si="8"/>
        <v>Recién cortado</v>
      </c>
      <c r="K92" s="202" t="str">
        <f t="shared" si="9"/>
        <v>En ciclo</v>
      </c>
    </row>
    <row r="93" spans="1:11" hidden="1" outlineLevel="1" x14ac:dyDescent="0.2">
      <c r="A93" s="198" t="str">
        <f>'Registro Diario'!$E73</f>
        <v>Rines-60</v>
      </c>
      <c r="B93" s="199" t="str">
        <f>'Registro Diario'!$C73</f>
        <v>Rines</v>
      </c>
      <c r="C93" s="200">
        <f>'Registro Diario'!$J73</f>
        <v>44.11</v>
      </c>
      <c r="D93" s="163">
        <f>'Registro Diario'!$R73</f>
        <v>12</v>
      </c>
      <c r="E93" s="199" t="str">
        <f>'Registro Diario'!$T73</f>
        <v>En ciclo</v>
      </c>
      <c r="F93" s="162">
        <f>RANK($D93,$D$22:$D$115,0)+COUNTIF($D$22:$D93,$D93)-1</f>
        <v>28</v>
      </c>
      <c r="G93" s="176">
        <f t="shared" si="5"/>
        <v>747.12000000000012</v>
      </c>
      <c r="H93" s="162">
        <f t="shared" si="6"/>
        <v>19</v>
      </c>
      <c r="I93" s="164" t="str">
        <f t="shared" si="7"/>
        <v>Sí</v>
      </c>
      <c r="J93" s="201" t="str">
        <f t="shared" si="8"/>
        <v>Recién cortado</v>
      </c>
      <c r="K93" s="202" t="str">
        <f t="shared" si="9"/>
        <v>En ciclo</v>
      </c>
    </row>
    <row r="94" spans="1:11" hidden="1" outlineLevel="1" x14ac:dyDescent="0.2">
      <c r="A94" s="198" t="str">
        <f>'Registro Diario'!$E74</f>
        <v>Rines-62</v>
      </c>
      <c r="B94" s="199" t="str">
        <f>'Registro Diario'!$C74</f>
        <v>Rines</v>
      </c>
      <c r="C94" s="200">
        <f>'Registro Diario'!$J74</f>
        <v>8.02</v>
      </c>
      <c r="D94" s="163">
        <f>'Registro Diario'!$R74</f>
        <v>11</v>
      </c>
      <c r="E94" s="199" t="str">
        <f>'Registro Diario'!$T74</f>
        <v>En ciclo</v>
      </c>
      <c r="F94" s="162">
        <f>RANK($D94,$D$22:$D$115,0)+COUNTIF($D$22:$D94,$D94)-1</f>
        <v>35</v>
      </c>
      <c r="G94" s="176">
        <f t="shared" si="5"/>
        <v>903.3</v>
      </c>
      <c r="H94" s="162">
        <f t="shared" si="6"/>
        <v>18</v>
      </c>
      <c r="I94" s="164" t="str">
        <f t="shared" si="7"/>
        <v>Sí</v>
      </c>
      <c r="J94" s="201" t="str">
        <f t="shared" si="8"/>
        <v>Recién cortado</v>
      </c>
      <c r="K94" s="202" t="str">
        <f t="shared" si="9"/>
        <v>En ciclo</v>
      </c>
    </row>
    <row r="95" spans="1:11" hidden="1" outlineLevel="1" x14ac:dyDescent="0.2">
      <c r="A95" s="198" t="str">
        <f>'Registro Diario'!$E75</f>
        <v>Rines-56</v>
      </c>
      <c r="B95" s="199" t="str">
        <f>'Registro Diario'!$C75</f>
        <v>Rines</v>
      </c>
      <c r="C95" s="200">
        <f>'Registro Diario'!$J75</f>
        <v>10.16</v>
      </c>
      <c r="D95" s="163">
        <f>'Registro Diario'!$R75</f>
        <v>14</v>
      </c>
      <c r="E95" s="199" t="str">
        <f>'Registro Diario'!$T75</f>
        <v>Fuera de ciclo</v>
      </c>
      <c r="F95" s="162">
        <f>RANK($D95,$D$22:$D$115,0)+COUNTIF($D$22:$D95,$D95)-1</f>
        <v>25</v>
      </c>
      <c r="G95" s="176">
        <f t="shared" si="5"/>
        <v>655.86000000000013</v>
      </c>
      <c r="H95" s="162">
        <f t="shared" si="6"/>
        <v>21</v>
      </c>
      <c r="I95" s="164" t="str">
        <f t="shared" si="7"/>
        <v>Sí</v>
      </c>
      <c r="J95" s="201" t="str">
        <f t="shared" si="8"/>
        <v>Recién cortado</v>
      </c>
      <c r="K95" s="202" t="str">
        <f t="shared" si="9"/>
        <v>En ciclo</v>
      </c>
    </row>
    <row r="96" spans="1:11" hidden="1" outlineLevel="1" x14ac:dyDescent="0.2">
      <c r="A96" s="198" t="str">
        <f>'Registro Diario'!$E76</f>
        <v>Rines-56A</v>
      </c>
      <c r="B96" s="199" t="str">
        <f>'Registro Diario'!$C76</f>
        <v>Rines</v>
      </c>
      <c r="C96" s="200">
        <f>'Registro Diario'!$J76</f>
        <v>13.55</v>
      </c>
      <c r="D96" s="163">
        <f>'Registro Diario'!$R76</f>
        <v>5</v>
      </c>
      <c r="E96" s="199" t="str">
        <f>'Registro Diario'!$T76</f>
        <v>En ciclo</v>
      </c>
      <c r="F96" s="162">
        <f>RANK($D96,$D$22:$D$115,0)+COUNTIF($D$22:$D96,$D96)-1</f>
        <v>68</v>
      </c>
      <c r="G96" s="176">
        <f t="shared" si="5"/>
        <v>1593.0200000000004</v>
      </c>
      <c r="H96" s="162">
        <f t="shared" si="6"/>
        <v>12</v>
      </c>
      <c r="I96" s="164" t="str">
        <f t="shared" si="7"/>
        <v>No</v>
      </c>
      <c r="J96" s="201" t="str">
        <f t="shared" si="8"/>
        <v>En ciclo</v>
      </c>
      <c r="K96" s="202" t="str">
        <f t="shared" si="9"/>
        <v>En ciclo</v>
      </c>
    </row>
    <row r="97" spans="1:11" hidden="1" outlineLevel="1" x14ac:dyDescent="0.2">
      <c r="A97" s="198" t="str">
        <f>'Registro Diario'!$E77</f>
        <v>Rines-61A</v>
      </c>
      <c r="B97" s="199" t="str">
        <f>'Registro Diario'!$C77</f>
        <v>Rines</v>
      </c>
      <c r="C97" s="200">
        <f>'Registro Diario'!$J77</f>
        <v>7.97</v>
      </c>
      <c r="D97" s="163">
        <f>'Registro Diario'!$R77</f>
        <v>9</v>
      </c>
      <c r="E97" s="199" t="str">
        <f>'Registro Diario'!$T77</f>
        <v>En ciclo</v>
      </c>
      <c r="F97" s="162">
        <f>RANK($D97,$D$22:$D$115,0)+COUNTIF($D$22:$D97,$D97)-1</f>
        <v>54</v>
      </c>
      <c r="G97" s="176">
        <f t="shared" si="5"/>
        <v>1315.4100000000003</v>
      </c>
      <c r="H97" s="162">
        <f t="shared" si="6"/>
        <v>16</v>
      </c>
      <c r="I97" s="164" t="str">
        <f t="shared" si="7"/>
        <v>No</v>
      </c>
      <c r="J97" s="201" t="str">
        <f t="shared" si="8"/>
        <v>Fuera de ciclo</v>
      </c>
      <c r="K97" s="202" t="str">
        <f t="shared" si="9"/>
        <v>Vencido 1-5 d</v>
      </c>
    </row>
    <row r="98" spans="1:11" hidden="1" outlineLevel="1" x14ac:dyDescent="0.2">
      <c r="A98" s="198" t="str">
        <f>'Registro Diario'!$E78</f>
        <v>Rines-62A</v>
      </c>
      <c r="B98" s="199" t="str">
        <f>'Registro Diario'!$C78</f>
        <v>Rines</v>
      </c>
      <c r="C98" s="200">
        <f>'Registro Diario'!$J78</f>
        <v>3.02</v>
      </c>
      <c r="D98" s="163">
        <f>'Registro Diario'!$R78</f>
        <v>8</v>
      </c>
      <c r="E98" s="199" t="str">
        <f>'Registro Diario'!$T78</f>
        <v>En ciclo</v>
      </c>
      <c r="F98" s="162">
        <f>RANK($D98,$D$22:$D$115,0)+COUNTIF($D$22:$D98,$D98)-1</f>
        <v>57</v>
      </c>
      <c r="G98" s="176">
        <f t="shared" si="5"/>
        <v>1396.2200000000005</v>
      </c>
      <c r="H98" s="162">
        <f t="shared" si="6"/>
        <v>15</v>
      </c>
      <c r="I98" s="164" t="str">
        <f t="shared" si="7"/>
        <v>No</v>
      </c>
      <c r="J98" s="201" t="str">
        <f t="shared" si="8"/>
        <v>Fuera de ciclo</v>
      </c>
      <c r="K98" s="202" t="str">
        <f t="shared" si="9"/>
        <v>Vencido 1-5 d</v>
      </c>
    </row>
    <row r="99" spans="1:11" hidden="1" outlineLevel="1" x14ac:dyDescent="0.2">
      <c r="A99" s="198" t="str">
        <f>'Registro Diario'!$E79</f>
        <v>Rines-63A</v>
      </c>
      <c r="B99" s="199" t="str">
        <f>'Registro Diario'!$C79</f>
        <v>Rines</v>
      </c>
      <c r="C99" s="200">
        <f>'Registro Diario'!$J79</f>
        <v>14.98</v>
      </c>
      <c r="D99" s="163">
        <f>'Registro Diario'!$R79</f>
        <v>8</v>
      </c>
      <c r="E99" s="199" t="str">
        <f>'Registro Diario'!$T79</f>
        <v>En ciclo</v>
      </c>
      <c r="F99" s="162">
        <f>RANK($D99,$D$22:$D$115,0)+COUNTIF($D$22:$D99,$D99)-1</f>
        <v>58</v>
      </c>
      <c r="G99" s="176">
        <f t="shared" si="5"/>
        <v>1411.2000000000005</v>
      </c>
      <c r="H99" s="162">
        <f t="shared" si="6"/>
        <v>15</v>
      </c>
      <c r="I99" s="164" t="str">
        <f t="shared" si="7"/>
        <v>No</v>
      </c>
      <c r="J99" s="201" t="str">
        <f t="shared" si="8"/>
        <v>Fuera de ciclo</v>
      </c>
      <c r="K99" s="202" t="str">
        <f t="shared" si="9"/>
        <v>Vencido 1-5 d</v>
      </c>
    </row>
    <row r="100" spans="1:11" hidden="1" outlineLevel="1" x14ac:dyDescent="0.2">
      <c r="A100" s="198" t="str">
        <f>'Registro Diario'!$E80</f>
        <v>Rines-58</v>
      </c>
      <c r="B100" s="199" t="str">
        <f>'Registro Diario'!$C80</f>
        <v>Rines</v>
      </c>
      <c r="C100" s="200">
        <f>'Registro Diario'!$J80</f>
        <v>36.92</v>
      </c>
      <c r="D100" s="163">
        <f>'Registro Diario'!$R80</f>
        <v>12</v>
      </c>
      <c r="E100" s="199" t="str">
        <f>'Registro Diario'!$T80</f>
        <v>En ciclo</v>
      </c>
      <c r="F100" s="162">
        <f>RANK($D100,$D$22:$D$115,0)+COUNTIF($D$22:$D100,$D100)-1</f>
        <v>29</v>
      </c>
      <c r="G100" s="176">
        <f t="shared" si="5"/>
        <v>784.04000000000008</v>
      </c>
      <c r="H100" s="162">
        <f t="shared" si="6"/>
        <v>19</v>
      </c>
      <c r="I100" s="164" t="str">
        <f t="shared" si="7"/>
        <v>Sí</v>
      </c>
      <c r="J100" s="201" t="str">
        <f t="shared" si="8"/>
        <v>Recién cortado</v>
      </c>
      <c r="K100" s="202" t="str">
        <f t="shared" si="9"/>
        <v>En ciclo</v>
      </c>
    </row>
    <row r="101" spans="1:11" hidden="1" outlineLevel="1" x14ac:dyDescent="0.2">
      <c r="A101" s="198" t="str">
        <f>'Registro Diario'!$E81</f>
        <v>Rines-59B</v>
      </c>
      <c r="B101" s="199" t="str">
        <f>'Registro Diario'!$C81</f>
        <v>Rines</v>
      </c>
      <c r="C101" s="200">
        <f>'Registro Diario'!$J81</f>
        <v>34.450000000000003</v>
      </c>
      <c r="D101" s="163">
        <f>'Registro Diario'!$R81</f>
        <v>9</v>
      </c>
      <c r="E101" s="199" t="str">
        <f>'Registro Diario'!$T81</f>
        <v>En ciclo</v>
      </c>
      <c r="F101" s="162">
        <f>RANK($D101,$D$22:$D$115,0)+COUNTIF($D$22:$D101,$D101)-1</f>
        <v>55</v>
      </c>
      <c r="G101" s="176">
        <f t="shared" si="5"/>
        <v>1349.8600000000004</v>
      </c>
      <c r="H101" s="162">
        <f t="shared" si="6"/>
        <v>16</v>
      </c>
      <c r="I101" s="164" t="str">
        <f t="shared" si="7"/>
        <v>No</v>
      </c>
      <c r="J101" s="201" t="str">
        <f t="shared" si="8"/>
        <v>Fuera de ciclo</v>
      </c>
      <c r="K101" s="202" t="str">
        <f t="shared" si="9"/>
        <v>Vencido 1-5 d</v>
      </c>
    </row>
    <row r="102" spans="1:11" hidden="1" outlineLevel="1" x14ac:dyDescent="0.2">
      <c r="A102" s="198" t="str">
        <f>'Registro Diario'!$E82</f>
        <v>Rines-61B</v>
      </c>
      <c r="B102" s="199" t="str">
        <f>'Registro Diario'!$C82</f>
        <v>Rines</v>
      </c>
      <c r="C102" s="200">
        <f>'Registro Diario'!$J82</f>
        <v>12.14</v>
      </c>
      <c r="D102" s="163">
        <f>'Registro Diario'!$R82</f>
        <v>5</v>
      </c>
      <c r="E102" s="199" t="str">
        <f>'Registro Diario'!$T82</f>
        <v>En ciclo</v>
      </c>
      <c r="F102" s="162">
        <f>RANK($D102,$D$22:$D$115,0)+COUNTIF($D$22:$D102,$D102)-1</f>
        <v>69</v>
      </c>
      <c r="G102" s="176">
        <f t="shared" si="5"/>
        <v>1605.1600000000005</v>
      </c>
      <c r="H102" s="162">
        <f t="shared" si="6"/>
        <v>12</v>
      </c>
      <c r="I102" s="164" t="str">
        <f t="shared" si="7"/>
        <v>No</v>
      </c>
      <c r="J102" s="201" t="str">
        <f t="shared" si="8"/>
        <v>En ciclo</v>
      </c>
      <c r="K102" s="202" t="str">
        <f t="shared" si="9"/>
        <v>En ciclo</v>
      </c>
    </row>
    <row r="103" spans="1:11" hidden="1" outlineLevel="1" x14ac:dyDescent="0.2">
      <c r="A103" s="198" t="str">
        <f>'Registro Diario'!$E83</f>
        <v>Paso Barinas-1</v>
      </c>
      <c r="B103" s="199" t="str">
        <f>'Registro Diario'!$C83</f>
        <v>Paso Barinas</v>
      </c>
      <c r="C103" s="200">
        <f>'Registro Diario'!$J83</f>
        <v>7</v>
      </c>
      <c r="D103" s="163">
        <f>'Registro Diario'!$R83</f>
        <v>15</v>
      </c>
      <c r="E103" s="199" t="str">
        <f>'Registro Diario'!$T83</f>
        <v>Fuera de ciclo</v>
      </c>
      <c r="F103" s="162">
        <f>RANK($D103,$D$22:$D$115,0)+COUNTIF($D$22:$D103,$D103)-1</f>
        <v>19</v>
      </c>
      <c r="G103" s="176">
        <f t="shared" si="5"/>
        <v>545.07999999999993</v>
      </c>
      <c r="H103" s="162">
        <f t="shared" si="6"/>
        <v>22</v>
      </c>
      <c r="I103" s="164" t="str">
        <f t="shared" si="7"/>
        <v>Sí</v>
      </c>
      <c r="J103" s="201" t="str">
        <f t="shared" si="8"/>
        <v>Recién cortado</v>
      </c>
      <c r="K103" s="202" t="str">
        <f t="shared" si="9"/>
        <v>En ciclo</v>
      </c>
    </row>
    <row r="104" spans="1:11" hidden="1" outlineLevel="1" x14ac:dyDescent="0.2">
      <c r="A104" s="198" t="str">
        <f>'Registro Diario'!$E84</f>
        <v>Paso Barinas-1A</v>
      </c>
      <c r="B104" s="199" t="str">
        <f>'Registro Diario'!$C84</f>
        <v>Paso Barinas</v>
      </c>
      <c r="C104" s="200">
        <f>'Registro Diario'!$J84</f>
        <v>11</v>
      </c>
      <c r="D104" s="163">
        <f>'Registro Diario'!$R84</f>
        <v>15</v>
      </c>
      <c r="E104" s="199" t="str">
        <f>'Registro Diario'!$T84</f>
        <v>Fuera de ciclo</v>
      </c>
      <c r="F104" s="162">
        <f>RANK($D104,$D$22:$D$115,0)+COUNTIF($D$22:$D104,$D104)-1</f>
        <v>20</v>
      </c>
      <c r="G104" s="176">
        <f t="shared" si="5"/>
        <v>556.07999999999993</v>
      </c>
      <c r="H104" s="162">
        <f t="shared" si="6"/>
        <v>22</v>
      </c>
      <c r="I104" s="164" t="str">
        <f t="shared" si="7"/>
        <v>Sí</v>
      </c>
      <c r="J104" s="201" t="str">
        <f t="shared" si="8"/>
        <v>Recién cortado</v>
      </c>
      <c r="K104" s="202" t="str">
        <f t="shared" si="9"/>
        <v>En ciclo</v>
      </c>
    </row>
    <row r="105" spans="1:11" hidden="1" outlineLevel="1" x14ac:dyDescent="0.2">
      <c r="A105" s="198" t="str">
        <f>'Registro Diario'!$E85</f>
        <v>Paso Barinas-1B</v>
      </c>
      <c r="B105" s="199" t="str">
        <f>'Registro Diario'!$C85</f>
        <v>Paso Barinas</v>
      </c>
      <c r="C105" s="200">
        <f>'Registro Diario'!$J85</f>
        <v>11</v>
      </c>
      <c r="D105" s="163">
        <f>'Registro Diario'!$R85</f>
        <v>15</v>
      </c>
      <c r="E105" s="199" t="str">
        <f>'Registro Diario'!$T85</f>
        <v>Fuera de ciclo</v>
      </c>
      <c r="F105" s="162">
        <f>RANK($D105,$D$22:$D$115,0)+COUNTIF($D$22:$D105,$D105)-1</f>
        <v>21</v>
      </c>
      <c r="G105" s="176">
        <f t="shared" si="5"/>
        <v>567.07999999999993</v>
      </c>
      <c r="H105" s="162">
        <f t="shared" si="6"/>
        <v>22</v>
      </c>
      <c r="I105" s="164" t="str">
        <f t="shared" si="7"/>
        <v>Sí</v>
      </c>
      <c r="J105" s="201" t="str">
        <f t="shared" si="8"/>
        <v>Recién cortado</v>
      </c>
      <c r="K105" s="202" t="str">
        <f t="shared" si="9"/>
        <v>En ciclo</v>
      </c>
    </row>
    <row r="106" spans="1:11" hidden="1" outlineLevel="1" x14ac:dyDescent="0.2">
      <c r="A106" s="198" t="str">
        <f>'Registro Diario'!$E86</f>
        <v>Paso Barinas-2</v>
      </c>
      <c r="B106" s="199" t="str">
        <f>'Registro Diario'!$C86</f>
        <v>Paso Barinas</v>
      </c>
      <c r="C106" s="200">
        <f>'Registro Diario'!$J86</f>
        <v>19</v>
      </c>
      <c r="D106" s="163">
        <f>'Registro Diario'!$R86</f>
        <v>15</v>
      </c>
      <c r="E106" s="199" t="str">
        <f>'Registro Diario'!$T86</f>
        <v>Fuera de ciclo</v>
      </c>
      <c r="F106" s="162">
        <f>RANK($D106,$D$22:$D$115,0)+COUNTIF($D$22:$D106,$D106)-1</f>
        <v>22</v>
      </c>
      <c r="G106" s="176">
        <f t="shared" si="5"/>
        <v>586.07999999999993</v>
      </c>
      <c r="H106" s="162">
        <f t="shared" si="6"/>
        <v>22</v>
      </c>
      <c r="I106" s="164" t="str">
        <f t="shared" si="7"/>
        <v>Sí</v>
      </c>
      <c r="J106" s="201" t="str">
        <f t="shared" si="8"/>
        <v>Recién cortado</v>
      </c>
      <c r="K106" s="202" t="str">
        <f t="shared" si="9"/>
        <v>En ciclo</v>
      </c>
    </row>
    <row r="107" spans="1:11" hidden="1" outlineLevel="1" x14ac:dyDescent="0.2">
      <c r="A107" s="198" t="str">
        <f>'Registro Diario'!$E87</f>
        <v>Paso Barinas-2A</v>
      </c>
      <c r="B107" s="199" t="str">
        <f>'Registro Diario'!$C87</f>
        <v>Paso Barinas</v>
      </c>
      <c r="C107" s="200">
        <f>'Registro Diario'!$J87</f>
        <v>17</v>
      </c>
      <c r="D107" s="163">
        <f>'Registro Diario'!$R87</f>
        <v>16</v>
      </c>
      <c r="E107" s="199" t="str">
        <f>'Registro Diario'!$T87</f>
        <v>Fuera de ciclo</v>
      </c>
      <c r="F107" s="162">
        <f>RANK($D107,$D$22:$D$115,0)+COUNTIF($D$22:$D107,$D107)-1</f>
        <v>11</v>
      </c>
      <c r="G107" s="176">
        <f t="shared" si="5"/>
        <v>360.39999999999992</v>
      </c>
      <c r="H107" s="162">
        <f t="shared" si="6"/>
        <v>23</v>
      </c>
      <c r="I107" s="164" t="str">
        <f t="shared" si="7"/>
        <v>Sí</v>
      </c>
      <c r="J107" s="201" t="str">
        <f t="shared" si="8"/>
        <v>Recién cortado</v>
      </c>
      <c r="K107" s="202" t="str">
        <f t="shared" si="9"/>
        <v>En ciclo</v>
      </c>
    </row>
    <row r="108" spans="1:11" hidden="1" outlineLevel="1" x14ac:dyDescent="0.2">
      <c r="A108" s="198" t="str">
        <f>'Registro Diario'!$E88</f>
        <v>Paso Barinas-3</v>
      </c>
      <c r="B108" s="199" t="str">
        <f>'Registro Diario'!$C88</f>
        <v>Paso Barinas</v>
      </c>
      <c r="C108" s="200">
        <f>'Registro Diario'!$J88</f>
        <v>11</v>
      </c>
      <c r="D108" s="163">
        <f>'Registro Diario'!$R88</f>
        <v>16</v>
      </c>
      <c r="E108" s="199" t="str">
        <f>'Registro Diario'!$T88</f>
        <v>Fuera de ciclo</v>
      </c>
      <c r="F108" s="162">
        <f>RANK($D108,$D$22:$D$115,0)+COUNTIF($D$22:$D108,$D108)-1</f>
        <v>12</v>
      </c>
      <c r="G108" s="176">
        <f t="shared" si="5"/>
        <v>371.39999999999992</v>
      </c>
      <c r="H108" s="162">
        <f t="shared" si="6"/>
        <v>23</v>
      </c>
      <c r="I108" s="164" t="str">
        <f t="shared" si="7"/>
        <v>Sí</v>
      </c>
      <c r="J108" s="201" t="str">
        <f t="shared" si="8"/>
        <v>Recién cortado</v>
      </c>
      <c r="K108" s="202" t="str">
        <f t="shared" si="9"/>
        <v>En ciclo</v>
      </c>
    </row>
    <row r="109" spans="1:11" hidden="1" outlineLevel="1" x14ac:dyDescent="0.2">
      <c r="A109" s="198" t="str">
        <f>'Registro Diario'!$E89</f>
        <v>Paso Barinas-3A</v>
      </c>
      <c r="B109" s="199" t="str">
        <f>'Registro Diario'!$C89</f>
        <v>Paso Barinas</v>
      </c>
      <c r="C109" s="200">
        <f>'Registro Diario'!$J89</f>
        <v>11</v>
      </c>
      <c r="D109" s="163">
        <f>'Registro Diario'!$R89</f>
        <v>16</v>
      </c>
      <c r="E109" s="199" t="str">
        <f>'Registro Diario'!$T89</f>
        <v>Fuera de ciclo</v>
      </c>
      <c r="F109" s="162">
        <f>RANK($D109,$D$22:$D$115,0)+COUNTIF($D$22:$D109,$D109)-1</f>
        <v>13</v>
      </c>
      <c r="G109" s="176">
        <f t="shared" si="5"/>
        <v>382.39999999999992</v>
      </c>
      <c r="H109" s="162">
        <f t="shared" si="6"/>
        <v>23</v>
      </c>
      <c r="I109" s="164" t="str">
        <f t="shared" si="7"/>
        <v>Sí</v>
      </c>
      <c r="J109" s="201" t="str">
        <f t="shared" si="8"/>
        <v>Recién cortado</v>
      </c>
      <c r="K109" s="202" t="str">
        <f t="shared" si="9"/>
        <v>En ciclo</v>
      </c>
    </row>
    <row r="110" spans="1:11" hidden="1" outlineLevel="1" x14ac:dyDescent="0.2">
      <c r="A110" s="198" t="str">
        <f>'Registro Diario'!$E90</f>
        <v>Paso Barinas-3B</v>
      </c>
      <c r="B110" s="199" t="str">
        <f>'Registro Diario'!$C90</f>
        <v>Paso Barinas</v>
      </c>
      <c r="C110" s="200">
        <f>'Registro Diario'!$J90</f>
        <v>16</v>
      </c>
      <c r="D110" s="163">
        <f>'Registro Diario'!$R90</f>
        <v>16</v>
      </c>
      <c r="E110" s="199" t="str">
        <f>'Registro Diario'!$T90</f>
        <v>Fuera de ciclo</v>
      </c>
      <c r="F110" s="162">
        <f>RANK($D110,$D$22:$D$115,0)+COUNTIF($D$22:$D110,$D110)-1</f>
        <v>14</v>
      </c>
      <c r="G110" s="176">
        <f t="shared" si="5"/>
        <v>398.39999999999992</v>
      </c>
      <c r="H110" s="162">
        <f t="shared" si="6"/>
        <v>23</v>
      </c>
      <c r="I110" s="164" t="str">
        <f t="shared" si="7"/>
        <v>Sí</v>
      </c>
      <c r="J110" s="201" t="str">
        <f t="shared" si="8"/>
        <v>Recién cortado</v>
      </c>
      <c r="K110" s="202" t="str">
        <f t="shared" si="9"/>
        <v>En ciclo</v>
      </c>
    </row>
    <row r="111" spans="1:11" hidden="1" outlineLevel="1" x14ac:dyDescent="0.2">
      <c r="A111" s="198" t="str">
        <f>'Registro Diario'!$E91</f>
        <v>Paso Barinas-4</v>
      </c>
      <c r="B111" s="199" t="str">
        <f>'Registro Diario'!$C91</f>
        <v>Paso Barinas</v>
      </c>
      <c r="C111" s="200">
        <f>'Registro Diario'!$J91</f>
        <v>33</v>
      </c>
      <c r="D111" s="163">
        <f>'Registro Diario'!$R91</f>
        <v>1</v>
      </c>
      <c r="E111" s="199" t="str">
        <f>'Registro Diario'!$T91</f>
        <v>Recién cortado</v>
      </c>
      <c r="F111" s="162">
        <f>RANK($D111,$D$22:$D$115,0)+COUNTIF($D$22:$D111,$D111)-1</f>
        <v>94</v>
      </c>
      <c r="G111" s="176">
        <f t="shared" si="5"/>
        <v>2336.15</v>
      </c>
      <c r="H111" s="162">
        <f t="shared" si="6"/>
        <v>8</v>
      </c>
      <c r="I111" s="164" t="str">
        <f t="shared" si="7"/>
        <v>No</v>
      </c>
      <c r="J111" s="201" t="str">
        <f t="shared" si="8"/>
        <v>En ciclo</v>
      </c>
      <c r="K111" s="202" t="str">
        <f t="shared" si="9"/>
        <v>En ciclo</v>
      </c>
    </row>
    <row r="112" spans="1:11" hidden="1" outlineLevel="1" x14ac:dyDescent="0.2">
      <c r="A112" s="198" t="str">
        <f>'Registro Diario'!$E92</f>
        <v>Paso Barinas-4A</v>
      </c>
      <c r="B112" s="199" t="str">
        <f>'Registro Diario'!$C92</f>
        <v>Paso Barinas</v>
      </c>
      <c r="C112" s="200">
        <f>'Registro Diario'!$J92</f>
        <v>11</v>
      </c>
      <c r="D112" s="163">
        <f>'Registro Diario'!$R92</f>
        <v>3</v>
      </c>
      <c r="E112" s="199" t="str">
        <f>'Registro Diario'!$T92</f>
        <v>Recién cortado</v>
      </c>
      <c r="F112" s="162">
        <f>RANK($D112,$D$22:$D$115,0)+COUNTIF($D$22:$D112,$D112)-1</f>
        <v>83</v>
      </c>
      <c r="G112" s="176">
        <f t="shared" si="5"/>
        <v>2018.7100000000005</v>
      </c>
      <c r="H112" s="162">
        <f t="shared" si="6"/>
        <v>10</v>
      </c>
      <c r="I112" s="164" t="str">
        <f t="shared" si="7"/>
        <v>No</v>
      </c>
      <c r="J112" s="201" t="str">
        <f t="shared" si="8"/>
        <v>En ciclo</v>
      </c>
      <c r="K112" s="202" t="str">
        <f t="shared" si="9"/>
        <v>En ciclo</v>
      </c>
    </row>
    <row r="113" spans="1:11" hidden="1" outlineLevel="1" x14ac:dyDescent="0.2">
      <c r="A113" s="198" t="str">
        <f>'Registro Diario'!$E93</f>
        <v>Paso Barinas-5</v>
      </c>
      <c r="B113" s="199" t="str">
        <f>'Registro Diario'!$C93</f>
        <v>Paso Barinas</v>
      </c>
      <c r="C113" s="200">
        <f>'Registro Diario'!$J93</f>
        <v>10</v>
      </c>
      <c r="D113" s="163">
        <f>'Registro Diario'!$R93</f>
        <v>3</v>
      </c>
      <c r="E113" s="199" t="str">
        <f>'Registro Diario'!$T93</f>
        <v>Recién cortado</v>
      </c>
      <c r="F113" s="162">
        <f>RANK($D113,$D$22:$D$115,0)+COUNTIF($D$22:$D113,$D113)-1</f>
        <v>84</v>
      </c>
      <c r="G113" s="176">
        <f t="shared" si="5"/>
        <v>2028.7100000000005</v>
      </c>
      <c r="H113" s="162">
        <f t="shared" si="6"/>
        <v>10</v>
      </c>
      <c r="I113" s="164" t="str">
        <f t="shared" si="7"/>
        <v>No</v>
      </c>
      <c r="J113" s="201" t="str">
        <f t="shared" si="8"/>
        <v>En ciclo</v>
      </c>
      <c r="K113" s="202" t="str">
        <f t="shared" si="9"/>
        <v>En ciclo</v>
      </c>
    </row>
    <row r="114" spans="1:11" hidden="1" outlineLevel="1" x14ac:dyDescent="0.2">
      <c r="A114" s="198" t="str">
        <f>'Registro Diario'!$E94</f>
        <v>Paso Barinas-5A</v>
      </c>
      <c r="B114" s="199" t="str">
        <f>'Registro Diario'!$C94</f>
        <v>Paso Barinas</v>
      </c>
      <c r="C114" s="200">
        <f>'Registro Diario'!$J94</f>
        <v>24</v>
      </c>
      <c r="D114" s="163">
        <f>'Registro Diario'!$R94</f>
        <v>3</v>
      </c>
      <c r="E114" s="199" t="str">
        <f>'Registro Diario'!$T94</f>
        <v>Recién cortado</v>
      </c>
      <c r="F114" s="162">
        <f>RANK($D114,$D$22:$D$115,0)+COUNTIF($D$22:$D114,$D114)-1</f>
        <v>85</v>
      </c>
      <c r="G114" s="176">
        <f t="shared" si="5"/>
        <v>2052.7100000000005</v>
      </c>
      <c r="H114" s="162">
        <f t="shared" si="6"/>
        <v>10</v>
      </c>
      <c r="I114" s="164" t="str">
        <f t="shared" si="7"/>
        <v>No</v>
      </c>
      <c r="J114" s="201" t="str">
        <f t="shared" si="8"/>
        <v>En ciclo</v>
      </c>
      <c r="K114" s="202" t="str">
        <f t="shared" si="9"/>
        <v>En ciclo</v>
      </c>
    </row>
    <row r="115" spans="1:11" hidden="1" outlineLevel="1" x14ac:dyDescent="0.2">
      <c r="A115" s="198" t="str">
        <f>'Registro Diario'!$E95</f>
        <v>Paso Barinas-6 (s2023)</v>
      </c>
      <c r="B115" s="199" t="str">
        <f>'Registro Diario'!$C95</f>
        <v>Paso Barinas</v>
      </c>
      <c r="C115" s="200">
        <f>'Registro Diario'!$J95</f>
        <v>6</v>
      </c>
      <c r="D115" s="163">
        <f>'Registro Diario'!$R95</f>
        <v>4</v>
      </c>
      <c r="E115" s="199" t="str">
        <f ca="1">'Registro Diario'!$T95</f>
        <v>Recién cortado</v>
      </c>
      <c r="F115" s="162">
        <f>RANK($D115,$D$22:$D$115,0)+COUNTIF($D$22:$D115,$D115)-1</f>
        <v>75</v>
      </c>
      <c r="G115" s="176">
        <f t="shared" si="5"/>
        <v>1834.4600000000003</v>
      </c>
      <c r="H115" s="162">
        <f t="shared" si="6"/>
        <v>11</v>
      </c>
      <c r="I115" s="164" t="str">
        <f t="shared" si="7"/>
        <v>No</v>
      </c>
      <c r="J115" s="201" t="str">
        <f t="shared" si="8"/>
        <v>En ciclo</v>
      </c>
      <c r="K115" s="202" t="str">
        <f t="shared" si="9"/>
        <v>En ciclo</v>
      </c>
    </row>
    <row r="116" spans="1:11" collapsed="1" x14ac:dyDescent="0.2"/>
    <row r="118" spans="1:11" x14ac:dyDescent="0.2">
      <c r="A118" s="206" t="s">
        <v>670</v>
      </c>
    </row>
    <row r="119" spans="1:11" ht="27.75" x14ac:dyDescent="0.2">
      <c r="A119" s="156" t="s">
        <v>65</v>
      </c>
      <c r="B119" s="157" t="s">
        <v>671</v>
      </c>
      <c r="C119" s="157" t="s">
        <v>672</v>
      </c>
      <c r="D119" s="157" t="s">
        <v>673</v>
      </c>
      <c r="E119" s="157" t="s">
        <v>674</v>
      </c>
      <c r="F119" s="158" t="s">
        <v>675</v>
      </c>
    </row>
    <row r="120" spans="1:11" x14ac:dyDescent="0.2">
      <c r="A120" s="175" t="s">
        <v>33</v>
      </c>
      <c r="B120" s="176">
        <f ca="1">SUMIF($E$22:$E$115,$A120,$C$22:$C$115)</f>
        <v>730.9899999999999</v>
      </c>
      <c r="C120" s="177">
        <f ca="1">$B120/$B$123</f>
        <v>0.31290370909402215</v>
      </c>
      <c r="D120" s="176">
        <f>SUMIF($J$22:$J$115,$A120,$C$22:$C$115)</f>
        <v>1186.0300000000002</v>
      </c>
      <c r="E120" s="177">
        <f>$D120/$D$123</f>
        <v>0.50768572223530173</v>
      </c>
      <c r="F120" s="178">
        <f ca="1">$D120-$B120</f>
        <v>455.0400000000003</v>
      </c>
    </row>
    <row r="121" spans="1:11" x14ac:dyDescent="0.2">
      <c r="A121" s="175" t="s">
        <v>11</v>
      </c>
      <c r="B121" s="176">
        <f ca="1">SUMIF($E$22:$E$115,$A121,$C$22:$C$115)</f>
        <v>949.3</v>
      </c>
      <c r="C121" s="177">
        <f ca="1">$B121/$B$123</f>
        <v>0.40635233182800756</v>
      </c>
      <c r="D121" s="176">
        <f>SUMIF($J$22:$J$115,$A121,$C$22:$C$115)</f>
        <v>873.17999999999984</v>
      </c>
      <c r="E121" s="177">
        <f>$D121/$D$123</f>
        <v>0.37376880765361803</v>
      </c>
      <c r="F121" s="178">
        <f ca="1">$D121-$B121</f>
        <v>-76.120000000000118</v>
      </c>
    </row>
    <row r="122" spans="1:11" x14ac:dyDescent="0.2">
      <c r="A122" s="175" t="s">
        <v>546</v>
      </c>
      <c r="B122" s="176">
        <f ca="1">SUMIF($E$22:$E$115,$A122,$C$22:$C$115)</f>
        <v>655.86000000000013</v>
      </c>
      <c r="C122" s="177">
        <f ca="1">$B122/$B$123</f>
        <v>0.28074395907797023</v>
      </c>
      <c r="D122" s="176">
        <f>SUMIF($J$22:$J$115,$A122,$C$22:$C$115)</f>
        <v>276.94</v>
      </c>
      <c r="E122" s="177">
        <f>$D122/$D$123</f>
        <v>0.11854547011108019</v>
      </c>
      <c r="F122" s="178">
        <f ca="1">$D122-$B122</f>
        <v>-378.92000000000013</v>
      </c>
    </row>
    <row r="123" spans="1:11" x14ac:dyDescent="0.2">
      <c r="A123" s="182" t="s">
        <v>638</v>
      </c>
      <c r="B123" s="183">
        <f ca="1">SUM($B$120:$B$122)</f>
        <v>2336.15</v>
      </c>
      <c r="C123" s="184">
        <f ca="1">SUM($C$120:$C$122)</f>
        <v>0.99999999999999989</v>
      </c>
      <c r="D123" s="183">
        <f>SUM($D$120:$D$122)</f>
        <v>2336.15</v>
      </c>
      <c r="E123" s="184">
        <f>SUM($E$120:$E$122)</f>
        <v>1</v>
      </c>
      <c r="F123" s="185">
        <f ca="1">ROUND(SUM($F$120:$F$122),2)</f>
        <v>0</v>
      </c>
    </row>
    <row r="125" spans="1:11" x14ac:dyDescent="0.2">
      <c r="A125" s="206" t="s">
        <v>676</v>
      </c>
    </row>
    <row r="126" spans="1:11" ht="27.75" x14ac:dyDescent="0.2">
      <c r="A126" s="156" t="s">
        <v>6</v>
      </c>
      <c r="B126" s="157" t="s">
        <v>671</v>
      </c>
      <c r="C126" s="157" t="s">
        <v>672</v>
      </c>
      <c r="D126" s="157" t="s">
        <v>673</v>
      </c>
      <c r="E126" s="157" t="s">
        <v>674</v>
      </c>
      <c r="F126" s="158" t="s">
        <v>675</v>
      </c>
      <c r="G126" s="155"/>
    </row>
    <row r="127" spans="1:11" x14ac:dyDescent="0.2">
      <c r="A127" s="175" t="s">
        <v>11</v>
      </c>
      <c r="B127" s="176">
        <f ca="1">SUMIF('Registro Diario'!$S$2:$S$95,$A127,'Registro Diario'!$J$2:$J$95)</f>
        <v>1680.2900000000002</v>
      </c>
      <c r="C127" s="177">
        <f ca="1">$B127/$B$132</f>
        <v>0.71925604092202977</v>
      </c>
      <c r="D127" s="176">
        <f>SUMIF($K$22:$K$115,$A127,$C$22:$C$115)</f>
        <v>2059.2100000000005</v>
      </c>
      <c r="E127" s="177">
        <f>$D127/$D$132</f>
        <v>0.88145452988891981</v>
      </c>
      <c r="F127" s="178">
        <f ca="1">$D127-$B127</f>
        <v>378.9200000000003</v>
      </c>
      <c r="G127" s="155"/>
    </row>
    <row r="128" spans="1:11" x14ac:dyDescent="0.2">
      <c r="A128" s="175" t="s">
        <v>13</v>
      </c>
      <c r="B128" s="176">
        <f ca="1">SUMIF('Registro Diario'!$S$2:$S$95,$A128,'Registro Diario'!$J$2:$J$95)</f>
        <v>493.44000000000005</v>
      </c>
      <c r="C128" s="177">
        <f ca="1">$B128/$B$132</f>
        <v>0.21121931382830722</v>
      </c>
      <c r="D128" s="176">
        <f>SUMIF($K$22:$K$115,$A128,$C$22:$C$115)</f>
        <v>276.94</v>
      </c>
      <c r="E128" s="177">
        <f>$D128/$D$132</f>
        <v>0.11854547011108017</v>
      </c>
      <c r="F128" s="178">
        <f ca="1">$D128-$B128</f>
        <v>-216.50000000000006</v>
      </c>
      <c r="G128" s="155"/>
    </row>
    <row r="129" spans="1:8" x14ac:dyDescent="0.2">
      <c r="A129" s="175" t="s">
        <v>15</v>
      </c>
      <c r="B129" s="176">
        <f ca="1">SUMIF('Registro Diario'!$S$2:$S$95,$A129,'Registro Diario'!$J$2:$J$95)</f>
        <v>162.42000000000002</v>
      </c>
      <c r="C129" s="177">
        <f ca="1">$B129/$B$132</f>
        <v>6.9524645249662897E-2</v>
      </c>
      <c r="D129" s="176">
        <f>SUMIF($K$22:$K$115,$A129,$C$22:$C$115)</f>
        <v>0</v>
      </c>
      <c r="E129" s="177">
        <f>$D129/$D$132</f>
        <v>0</v>
      </c>
      <c r="F129" s="178">
        <f ca="1">$D129-$B129</f>
        <v>-162.42000000000002</v>
      </c>
      <c r="G129" s="155"/>
    </row>
    <row r="130" spans="1:8" x14ac:dyDescent="0.2">
      <c r="A130" s="175" t="s">
        <v>17</v>
      </c>
      <c r="B130" s="176">
        <f ca="1">SUMIF('Registro Diario'!$S$2:$S$95,$A130,'Registro Diario'!$J$2:$J$95)</f>
        <v>0</v>
      </c>
      <c r="C130" s="177">
        <f ca="1">$B130/$B$132</f>
        <v>0</v>
      </c>
      <c r="D130" s="176">
        <f>SUMIF($K$22:$K$115,$A130,$C$22:$C$115)</f>
        <v>0</v>
      </c>
      <c r="E130" s="177">
        <f>$D130/$D$132</f>
        <v>0</v>
      </c>
      <c r="F130" s="178">
        <f ca="1">$D130-$B130</f>
        <v>0</v>
      </c>
      <c r="G130" s="155"/>
    </row>
    <row r="131" spans="1:8" x14ac:dyDescent="0.2">
      <c r="A131" s="175" t="s">
        <v>19</v>
      </c>
      <c r="B131" s="176">
        <f ca="1">SUMIF('Registro Diario'!$S$2:$S$95,$A131,'Registro Diario'!$J$2:$J$95)</f>
        <v>0</v>
      </c>
      <c r="C131" s="177">
        <f ca="1">$B131/$B$132</f>
        <v>0</v>
      </c>
      <c r="D131" s="176">
        <f>SUMIF($K$22:$K$115,$A131,$C$22:$C$115)</f>
        <v>0</v>
      </c>
      <c r="E131" s="177">
        <f>$D131/$D$132</f>
        <v>0</v>
      </c>
      <c r="F131" s="178">
        <f ca="1">$D131-$B131</f>
        <v>0</v>
      </c>
      <c r="G131" s="155"/>
    </row>
    <row r="132" spans="1:8" x14ac:dyDescent="0.2">
      <c r="A132" s="182" t="s">
        <v>638</v>
      </c>
      <c r="B132" s="183">
        <f ca="1">SUM($B$127:$B$131)</f>
        <v>2336.1500000000005</v>
      </c>
      <c r="C132" s="184">
        <f ca="1">SUM($C$127:$C$131)</f>
        <v>1</v>
      </c>
      <c r="D132" s="183">
        <f>SUM($D$127:$D$131)</f>
        <v>2336.1500000000005</v>
      </c>
      <c r="E132" s="184">
        <f>SUM($E$127:$E$131)</f>
        <v>1</v>
      </c>
      <c r="F132" s="185">
        <f ca="1">ROUND(SUM($F$127:$F$131),2)</f>
        <v>0</v>
      </c>
    </row>
    <row r="134" spans="1:8" x14ac:dyDescent="0.2">
      <c r="A134" s="206" t="s">
        <v>678</v>
      </c>
    </row>
    <row r="135" spans="1:8" ht="27.75" x14ac:dyDescent="0.2">
      <c r="A135" s="159" t="s">
        <v>679</v>
      </c>
      <c r="B135" s="160" t="s">
        <v>680</v>
      </c>
      <c r="C135" s="160" t="s">
        <v>627</v>
      </c>
      <c r="D135" s="160" t="s">
        <v>681</v>
      </c>
      <c r="E135" s="160" t="s">
        <v>33</v>
      </c>
      <c r="F135" s="160" t="s">
        <v>11</v>
      </c>
      <c r="G135" s="160" t="s">
        <v>546</v>
      </c>
      <c r="H135" s="161" t="s">
        <v>682</v>
      </c>
    </row>
    <row r="136" spans="1:8" x14ac:dyDescent="0.2">
      <c r="A136" s="197">
        <f>MAX(0,$C$10-4*$C$20)</f>
        <v>110</v>
      </c>
      <c r="B136" s="176">
        <f t="shared" ref="B136:B144" si="10">$A136*7</f>
        <v>770</v>
      </c>
      <c r="C136" s="176">
        <f t="shared" ref="C136:C144" si="11">SUMIFS($C$22:$C$115,$G$22:$G$115,"&lt;="&amp;$B136)</f>
        <v>747.12000000000012</v>
      </c>
      <c r="D136" s="162">
        <f t="shared" ref="D136:D144" si="12">COUNTIFS($G$22:$G$115,"&lt;="&amp;$B136)</f>
        <v>28</v>
      </c>
      <c r="E136" s="176">
        <f t="shared" ref="E136:E144" si="13">$C136+SUMIFS($C$22:$C$115,$G$22:$G$115,"&gt;"&amp;$B136,$H$22:$H$115,"&lt;"&amp;$C$6)</f>
        <v>747.12000000000012</v>
      </c>
      <c r="F136" s="176">
        <f t="shared" ref="F136:F144" si="14">SUMIFS($C$22:$C$115,$G$22:$G$115,"&gt;"&amp;$B136,$H$22:$H$115,"&gt;="&amp;$C$6,$H$22:$H$115,"&lt;="&amp;$C$5)</f>
        <v>873.17999999999984</v>
      </c>
      <c r="G136" s="176">
        <f t="shared" ref="G136:G144" si="15">SUMIFS($C$22:$C$115,$G$22:$G$115,"&gt;"&amp;$B136,$H$22:$H$115,"&gt;"&amp;$C$5)</f>
        <v>715.85</v>
      </c>
      <c r="H136" s="179">
        <f t="shared" ref="H136:H144" si="16">SUM($E136:$G136)</f>
        <v>2336.15</v>
      </c>
    </row>
    <row r="137" spans="1:8" x14ac:dyDescent="0.2">
      <c r="A137" s="197">
        <f t="shared" ref="A137:A144" si="17">$A136+$C$20</f>
        <v>125</v>
      </c>
      <c r="B137" s="176">
        <f t="shared" si="10"/>
        <v>875</v>
      </c>
      <c r="C137" s="176">
        <f t="shared" si="11"/>
        <v>869.9</v>
      </c>
      <c r="D137" s="162">
        <f t="shared" si="12"/>
        <v>33</v>
      </c>
      <c r="E137" s="176">
        <f t="shared" si="13"/>
        <v>869.9</v>
      </c>
      <c r="F137" s="176">
        <f t="shared" si="14"/>
        <v>873.17999999999984</v>
      </c>
      <c r="G137" s="176">
        <f t="shared" si="15"/>
        <v>593.07000000000016</v>
      </c>
      <c r="H137" s="179">
        <f t="shared" si="16"/>
        <v>2336.15</v>
      </c>
    </row>
    <row r="138" spans="1:8" x14ac:dyDescent="0.2">
      <c r="A138" s="197">
        <f t="shared" si="17"/>
        <v>140</v>
      </c>
      <c r="B138" s="176">
        <f t="shared" si="10"/>
        <v>980</v>
      </c>
      <c r="C138" s="176">
        <f t="shared" si="11"/>
        <v>948.48</v>
      </c>
      <c r="D138" s="162">
        <f t="shared" si="12"/>
        <v>36</v>
      </c>
      <c r="E138" s="176">
        <f t="shared" si="13"/>
        <v>948.48</v>
      </c>
      <c r="F138" s="176">
        <f t="shared" si="14"/>
        <v>873.17999999999984</v>
      </c>
      <c r="G138" s="176">
        <f t="shared" si="15"/>
        <v>514.49000000000012</v>
      </c>
      <c r="H138" s="179">
        <f t="shared" si="16"/>
        <v>2336.15</v>
      </c>
    </row>
    <row r="139" spans="1:8" x14ac:dyDescent="0.2">
      <c r="A139" s="197">
        <f t="shared" si="17"/>
        <v>155</v>
      </c>
      <c r="B139" s="176">
        <f t="shared" si="10"/>
        <v>1085</v>
      </c>
      <c r="C139" s="176">
        <f t="shared" si="11"/>
        <v>1081.4899999999998</v>
      </c>
      <c r="D139" s="162">
        <f t="shared" si="12"/>
        <v>40</v>
      </c>
      <c r="E139" s="176">
        <f t="shared" si="13"/>
        <v>1081.4899999999998</v>
      </c>
      <c r="F139" s="176">
        <f t="shared" si="14"/>
        <v>873.17999999999984</v>
      </c>
      <c r="G139" s="176">
        <f t="shared" si="15"/>
        <v>381.47999999999996</v>
      </c>
      <c r="H139" s="179">
        <f t="shared" si="16"/>
        <v>2336.1499999999996</v>
      </c>
    </row>
    <row r="140" spans="1:8" x14ac:dyDescent="0.2">
      <c r="A140" s="203">
        <f t="shared" si="17"/>
        <v>170</v>
      </c>
      <c r="B140" s="204">
        <f t="shared" si="10"/>
        <v>1190</v>
      </c>
      <c r="C140" s="204">
        <f t="shared" si="11"/>
        <v>1186.0300000000002</v>
      </c>
      <c r="D140" s="165">
        <f t="shared" si="12"/>
        <v>47</v>
      </c>
      <c r="E140" s="204">
        <f t="shared" si="13"/>
        <v>1186.0300000000002</v>
      </c>
      <c r="F140" s="204">
        <f t="shared" si="14"/>
        <v>873.17999999999984</v>
      </c>
      <c r="G140" s="204">
        <f t="shared" si="15"/>
        <v>276.94</v>
      </c>
      <c r="H140" s="205">
        <f t="shared" si="16"/>
        <v>2336.15</v>
      </c>
    </row>
    <row r="141" spans="1:8" x14ac:dyDescent="0.2">
      <c r="A141" s="197">
        <f t="shared" si="17"/>
        <v>185</v>
      </c>
      <c r="B141" s="176">
        <f t="shared" si="10"/>
        <v>1295</v>
      </c>
      <c r="C141" s="176">
        <f t="shared" si="11"/>
        <v>1269.49</v>
      </c>
      <c r="D141" s="162">
        <f t="shared" si="12"/>
        <v>52</v>
      </c>
      <c r="E141" s="176">
        <f t="shared" si="13"/>
        <v>1269.49</v>
      </c>
      <c r="F141" s="176">
        <f t="shared" si="14"/>
        <v>873.17999999999984</v>
      </c>
      <c r="G141" s="176">
        <f t="shared" si="15"/>
        <v>193.48000000000002</v>
      </c>
      <c r="H141" s="179">
        <f t="shared" si="16"/>
        <v>2336.15</v>
      </c>
    </row>
    <row r="142" spans="1:8" x14ac:dyDescent="0.2">
      <c r="A142" s="197">
        <f t="shared" si="17"/>
        <v>200</v>
      </c>
      <c r="B142" s="176">
        <f t="shared" si="10"/>
        <v>1400</v>
      </c>
      <c r="C142" s="176">
        <f t="shared" si="11"/>
        <v>1396.2200000000005</v>
      </c>
      <c r="D142" s="162">
        <f t="shared" si="12"/>
        <v>57</v>
      </c>
      <c r="E142" s="176">
        <f t="shared" si="13"/>
        <v>1396.2200000000005</v>
      </c>
      <c r="F142" s="176">
        <f t="shared" si="14"/>
        <v>873.17999999999984</v>
      </c>
      <c r="G142" s="176">
        <f t="shared" si="15"/>
        <v>66.75</v>
      </c>
      <c r="H142" s="179">
        <f t="shared" si="16"/>
        <v>2336.1500000000005</v>
      </c>
    </row>
    <row r="143" spans="1:8" x14ac:dyDescent="0.2">
      <c r="A143" s="197">
        <f t="shared" si="17"/>
        <v>215</v>
      </c>
      <c r="B143" s="176">
        <f t="shared" si="10"/>
        <v>1505</v>
      </c>
      <c r="C143" s="176">
        <f t="shared" si="11"/>
        <v>1462.9700000000007</v>
      </c>
      <c r="D143" s="162">
        <f t="shared" si="12"/>
        <v>62</v>
      </c>
      <c r="E143" s="176">
        <f t="shared" si="13"/>
        <v>1462.9700000000007</v>
      </c>
      <c r="F143" s="176">
        <f t="shared" si="14"/>
        <v>873.17999999999984</v>
      </c>
      <c r="G143" s="176">
        <f t="shared" si="15"/>
        <v>0</v>
      </c>
      <c r="H143" s="179">
        <f t="shared" si="16"/>
        <v>2336.1500000000005</v>
      </c>
    </row>
    <row r="144" spans="1:8" x14ac:dyDescent="0.2">
      <c r="A144" s="197">
        <f t="shared" si="17"/>
        <v>230</v>
      </c>
      <c r="B144" s="176">
        <f t="shared" si="10"/>
        <v>1610</v>
      </c>
      <c r="C144" s="176">
        <f t="shared" si="11"/>
        <v>1605.1600000000005</v>
      </c>
      <c r="D144" s="162">
        <f t="shared" si="12"/>
        <v>69</v>
      </c>
      <c r="E144" s="176">
        <f t="shared" si="13"/>
        <v>1605.1600000000005</v>
      </c>
      <c r="F144" s="176">
        <f t="shared" si="14"/>
        <v>730.9899999999999</v>
      </c>
      <c r="G144" s="176">
        <f t="shared" si="15"/>
        <v>0</v>
      </c>
      <c r="H144" s="179">
        <f t="shared" si="16"/>
        <v>2336.1500000000005</v>
      </c>
    </row>
    <row r="147" spans="1:5" x14ac:dyDescent="0.2">
      <c r="A147" s="209" t="s">
        <v>683</v>
      </c>
    </row>
    <row r="148" spans="1:5" ht="41.25" x14ac:dyDescent="0.2">
      <c r="A148" s="171" t="s">
        <v>65</v>
      </c>
      <c r="B148" s="172" t="s">
        <v>684</v>
      </c>
      <c r="C148" s="173" t="s">
        <v>685</v>
      </c>
    </row>
    <row r="149" spans="1:5" x14ac:dyDescent="0.2">
      <c r="A149" s="175" t="str">
        <f>$A120</f>
        <v>Recién cortado</v>
      </c>
      <c r="B149" s="176">
        <f ca="1">$B120</f>
        <v>730.9899999999999</v>
      </c>
      <c r="C149" s="179">
        <f>$D120</f>
        <v>1186.0300000000002</v>
      </c>
      <c r="D149" s="210">
        <f ca="1">+B149/$B$152</f>
        <v>0.31290370909402215</v>
      </c>
      <c r="E149" s="210">
        <f>+C149/$C$152</f>
        <v>0.50768572223530173</v>
      </c>
    </row>
    <row r="150" spans="1:5" x14ac:dyDescent="0.2">
      <c r="A150" s="175" t="str">
        <f>$A121</f>
        <v>En ciclo</v>
      </c>
      <c r="B150" s="176">
        <f ca="1">$B121</f>
        <v>949.3</v>
      </c>
      <c r="C150" s="179">
        <f>$D121</f>
        <v>873.17999999999984</v>
      </c>
      <c r="D150" s="210">
        <f t="shared" ref="D150:E152" ca="1" si="18">+B150/$B$152</f>
        <v>0.40635233182800756</v>
      </c>
      <c r="E150" s="210">
        <f t="shared" ca="1" si="18"/>
        <v>0.37376880765361803</v>
      </c>
    </row>
    <row r="151" spans="1:5" x14ac:dyDescent="0.2">
      <c r="A151" s="175" t="str">
        <f>$A122</f>
        <v>Fuera de ciclo</v>
      </c>
      <c r="B151" s="176">
        <f ca="1">$B122</f>
        <v>655.86000000000013</v>
      </c>
      <c r="C151" s="179">
        <f>$D122</f>
        <v>276.94</v>
      </c>
      <c r="D151" s="210">
        <f t="shared" ca="1" si="18"/>
        <v>0.28074395907797023</v>
      </c>
      <c r="E151" s="210">
        <f t="shared" ca="1" si="18"/>
        <v>0.11854547011108019</v>
      </c>
    </row>
    <row r="152" spans="1:5" x14ac:dyDescent="0.2">
      <c r="B152" s="186">
        <f ca="1">SUM(B149:B151)</f>
        <v>2336.15</v>
      </c>
      <c r="C152" s="186">
        <f>SUM(C149:C151)</f>
        <v>2336.15</v>
      </c>
      <c r="D152" s="210">
        <f t="shared" ca="1" si="18"/>
        <v>1</v>
      </c>
      <c r="E152" s="210">
        <f t="shared" ca="1" si="18"/>
        <v>1</v>
      </c>
    </row>
    <row r="154" spans="1:5" x14ac:dyDescent="0.2">
      <c r="A154" s="208" t="s">
        <v>686</v>
      </c>
    </row>
    <row r="155" spans="1:5" x14ac:dyDescent="0.2">
      <c r="A155" s="207" t="s">
        <v>687</v>
      </c>
    </row>
    <row r="156" spans="1:5" x14ac:dyDescent="0.2">
      <c r="A156" s="207" t="s">
        <v>688</v>
      </c>
    </row>
    <row r="157" spans="1:5" x14ac:dyDescent="0.2">
      <c r="A157" s="207" t="s">
        <v>689</v>
      </c>
    </row>
    <row r="158" spans="1:5" x14ac:dyDescent="0.2">
      <c r="A158" s="207" t="s">
        <v>690</v>
      </c>
    </row>
    <row r="159" spans="1:5" x14ac:dyDescent="0.2">
      <c r="A159" s="207" t="s">
        <v>691</v>
      </c>
    </row>
    <row r="160" spans="1:5" x14ac:dyDescent="0.2">
      <c r="A160" s="207" t="s">
        <v>692</v>
      </c>
    </row>
  </sheetData>
  <conditionalFormatting sqref="A22:K115">
    <cfRule type="expression" dxfId="1" priority="1">
      <formula>$I22="Sí"</formula>
    </cfRule>
    <cfRule type="expression" dxfId="0" priority="2">
      <formula>$J22="Fuera de ciclo"</formula>
    </cfRule>
  </conditionalFormatting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zoomScaleNormal="100" workbookViewId="0">
      <selection activeCell="B4" sqref="B4"/>
    </sheetView>
  </sheetViews>
  <sheetFormatPr defaultColWidth="8.609375" defaultRowHeight="15" x14ac:dyDescent="0.2"/>
  <cols>
    <col min="1" max="1" width="32.015625" customWidth="1"/>
    <col min="2" max="2" width="9.953125" customWidth="1"/>
    <col min="3" max="3" width="71.96875" customWidth="1"/>
  </cols>
  <sheetData>
    <row r="1" spans="1:3" ht="15.75" customHeight="1" x14ac:dyDescent="0.25">
      <c r="A1" s="25" t="s">
        <v>279</v>
      </c>
    </row>
    <row r="3" spans="1:3" ht="15" customHeight="1" x14ac:dyDescent="0.2">
      <c r="A3" s="1" t="s">
        <v>280</v>
      </c>
      <c r="B3" s="1" t="s">
        <v>281</v>
      </c>
      <c r="C3" s="1" t="s">
        <v>32</v>
      </c>
    </row>
    <row r="4" spans="1:3" ht="15" customHeight="1" x14ac:dyDescent="0.2">
      <c r="A4" s="26" t="s">
        <v>282</v>
      </c>
      <c r="B4" s="27">
        <v>12</v>
      </c>
      <c r="C4" s="26" t="s">
        <v>283</v>
      </c>
    </row>
    <row r="5" spans="1:3" ht="15" customHeight="1" x14ac:dyDescent="0.2">
      <c r="A5" s="26" t="s">
        <v>284</v>
      </c>
      <c r="B5" s="27">
        <v>5</v>
      </c>
      <c r="C5" s="26" t="s">
        <v>285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26"/>
  <sheetViews>
    <sheetView zoomScaleNormal="100" workbookViewId="0"/>
  </sheetViews>
  <sheetFormatPr defaultColWidth="8.609375" defaultRowHeight="15" x14ac:dyDescent="0.2"/>
  <sheetData>
    <row r="1" spans="1:41" ht="32.25" customHeight="1" x14ac:dyDescent="0.2">
      <c r="A1" s="28" t="s">
        <v>286</v>
      </c>
      <c r="B1" s="28" t="s">
        <v>287</v>
      </c>
      <c r="C1" s="28" t="s">
        <v>23</v>
      </c>
      <c r="D1" s="28" t="s">
        <v>51</v>
      </c>
      <c r="E1" s="28" t="s">
        <v>52</v>
      </c>
      <c r="F1" s="29" t="s">
        <v>288</v>
      </c>
      <c r="G1" s="28" t="s">
        <v>289</v>
      </c>
      <c r="H1" s="28" t="s">
        <v>290</v>
      </c>
      <c r="I1" s="28" t="s">
        <v>55</v>
      </c>
      <c r="J1" s="28" t="s">
        <v>291</v>
      </c>
      <c r="K1" s="30" t="s">
        <v>292</v>
      </c>
      <c r="L1" s="28" t="s">
        <v>57</v>
      </c>
      <c r="M1" s="28" t="s">
        <v>293</v>
      </c>
      <c r="N1" s="28" t="s">
        <v>294</v>
      </c>
      <c r="O1" s="28" t="s">
        <v>295</v>
      </c>
      <c r="P1" s="31" t="s">
        <v>296</v>
      </c>
      <c r="Q1" s="29" t="s">
        <v>297</v>
      </c>
      <c r="R1" s="31" t="s">
        <v>298</v>
      </c>
      <c r="S1" s="32" t="s">
        <v>299</v>
      </c>
      <c r="T1" s="32" t="s">
        <v>300</v>
      </c>
      <c r="U1" s="29" t="s">
        <v>58</v>
      </c>
      <c r="V1" s="29" t="s">
        <v>301</v>
      </c>
      <c r="W1" s="29" t="s">
        <v>302</v>
      </c>
      <c r="X1" s="32" t="s">
        <v>303</v>
      </c>
      <c r="Y1" s="32" t="s">
        <v>304</v>
      </c>
      <c r="Z1" s="32" t="s">
        <v>305</v>
      </c>
      <c r="AA1" s="32" t="s">
        <v>306</v>
      </c>
      <c r="AB1" s="33" t="s">
        <v>307</v>
      </c>
      <c r="AC1" s="33" t="s">
        <v>308</v>
      </c>
      <c r="AD1" s="33" t="s">
        <v>309</v>
      </c>
      <c r="AE1" s="33" t="s">
        <v>310</v>
      </c>
      <c r="AF1" s="33" t="s">
        <v>311</v>
      </c>
      <c r="AG1" s="33" t="s">
        <v>312</v>
      </c>
      <c r="AH1" s="34" t="s">
        <v>313</v>
      </c>
      <c r="AI1" s="34" t="s">
        <v>314</v>
      </c>
      <c r="AJ1" s="34" t="s">
        <v>315</v>
      </c>
      <c r="AK1" s="34" t="s">
        <v>316</v>
      </c>
      <c r="AL1" s="34" t="s">
        <v>317</v>
      </c>
      <c r="AM1" s="28" t="s">
        <v>61</v>
      </c>
      <c r="AN1" s="28" t="s">
        <v>62</v>
      </c>
      <c r="AO1" s="28" t="s">
        <v>31</v>
      </c>
    </row>
    <row r="2" spans="1:41" ht="15" customHeight="1" x14ac:dyDescent="0.2">
      <c r="A2" s="35" t="s">
        <v>318</v>
      </c>
      <c r="B2" s="35" t="s">
        <v>68</v>
      </c>
      <c r="C2" s="35">
        <v>1</v>
      </c>
      <c r="D2" s="36" t="s">
        <v>69</v>
      </c>
      <c r="E2" s="36">
        <v>1</v>
      </c>
      <c r="F2" s="36" t="s">
        <v>70</v>
      </c>
      <c r="G2" s="35" t="s">
        <v>319</v>
      </c>
      <c r="H2" s="37" t="s">
        <v>71</v>
      </c>
      <c r="I2" s="36" t="s">
        <v>72</v>
      </c>
      <c r="J2" s="37" t="s">
        <v>320</v>
      </c>
      <c r="K2" s="38">
        <v>2009</v>
      </c>
      <c r="L2" s="39">
        <v>17</v>
      </c>
      <c r="M2" s="40" t="s">
        <v>321</v>
      </c>
      <c r="N2" s="40" t="s">
        <v>322</v>
      </c>
      <c r="O2" s="40" t="s">
        <v>323</v>
      </c>
      <c r="P2" s="41">
        <v>5632</v>
      </c>
      <c r="Q2" s="42">
        <v>39.384615384615401</v>
      </c>
      <c r="R2" s="41">
        <v>143</v>
      </c>
      <c r="S2" s="43">
        <v>5465</v>
      </c>
      <c r="T2" s="43">
        <v>179</v>
      </c>
      <c r="U2" s="35">
        <v>179</v>
      </c>
      <c r="V2" s="35">
        <v>5644</v>
      </c>
      <c r="W2" s="35">
        <v>5465</v>
      </c>
      <c r="X2" s="44">
        <v>38.216783216783199</v>
      </c>
      <c r="Y2" s="44">
        <v>1.2517482517482501</v>
      </c>
      <c r="Z2" s="45">
        <v>39.468531468531502</v>
      </c>
      <c r="AA2" s="43">
        <v>143</v>
      </c>
      <c r="AB2" s="46">
        <v>5644</v>
      </c>
      <c r="AC2" s="46">
        <v>179</v>
      </c>
      <c r="AD2" s="47">
        <v>39.47</v>
      </c>
      <c r="AE2" s="46">
        <v>0</v>
      </c>
      <c r="AF2" s="47">
        <v>39.380000000000003</v>
      </c>
      <c r="AG2" s="48" t="s">
        <v>324</v>
      </c>
      <c r="AH2" s="49">
        <v>0</v>
      </c>
      <c r="AI2" s="50">
        <v>0</v>
      </c>
      <c r="AJ2" s="49">
        <v>-143</v>
      </c>
      <c r="AK2" s="49">
        <v>39.384615384615401</v>
      </c>
      <c r="AL2" s="49">
        <v>5632</v>
      </c>
      <c r="AM2" s="51" t="s">
        <v>73</v>
      </c>
      <c r="AN2" s="52" t="s">
        <v>74</v>
      </c>
      <c r="AO2" s="37" t="s">
        <v>75</v>
      </c>
    </row>
    <row r="3" spans="1:41" ht="15" customHeight="1" x14ac:dyDescent="0.2">
      <c r="A3" s="35" t="s">
        <v>318</v>
      </c>
      <c r="B3" s="35" t="s">
        <v>68</v>
      </c>
      <c r="C3" s="35">
        <v>1</v>
      </c>
      <c r="D3" s="36" t="s">
        <v>69</v>
      </c>
      <c r="E3" s="40">
        <v>2</v>
      </c>
      <c r="F3" s="36" t="s">
        <v>76</v>
      </c>
      <c r="G3" s="35" t="s">
        <v>319</v>
      </c>
      <c r="H3" s="37" t="s">
        <v>71</v>
      </c>
      <c r="I3" s="36" t="s">
        <v>72</v>
      </c>
      <c r="J3" s="37" t="s">
        <v>320</v>
      </c>
      <c r="K3" s="38">
        <v>2009</v>
      </c>
      <c r="L3" s="39">
        <v>17</v>
      </c>
      <c r="M3" s="40" t="s">
        <v>325</v>
      </c>
      <c r="N3" s="40" t="s">
        <v>326</v>
      </c>
      <c r="O3" s="40" t="s">
        <v>327</v>
      </c>
      <c r="P3" s="41">
        <v>7901</v>
      </c>
      <c r="Q3" s="42">
        <v>55.251748251748303</v>
      </c>
      <c r="R3" s="41">
        <v>143</v>
      </c>
      <c r="S3" s="43">
        <v>7820</v>
      </c>
      <c r="T3" s="43">
        <v>0</v>
      </c>
      <c r="U3" s="35">
        <v>0</v>
      </c>
      <c r="V3" s="35">
        <v>7820</v>
      </c>
      <c r="W3" s="35">
        <v>7820</v>
      </c>
      <c r="X3" s="44">
        <v>54.685314685314701</v>
      </c>
      <c r="Y3" s="44">
        <v>0</v>
      </c>
      <c r="Z3" s="45">
        <v>54.685314685314701</v>
      </c>
      <c r="AA3" s="43">
        <v>143</v>
      </c>
      <c r="AB3" s="46">
        <v>7820</v>
      </c>
      <c r="AC3" s="46">
        <v>0</v>
      </c>
      <c r="AD3" s="47">
        <v>54.69</v>
      </c>
      <c r="AE3" s="46">
        <v>0</v>
      </c>
      <c r="AF3" s="47">
        <v>55.25</v>
      </c>
      <c r="AG3" s="48" t="s">
        <v>324</v>
      </c>
      <c r="AH3" s="49">
        <v>0</v>
      </c>
      <c r="AI3" s="50">
        <v>0</v>
      </c>
      <c r="AJ3" s="49">
        <v>-143</v>
      </c>
      <c r="AK3" s="49">
        <v>55.251748251748303</v>
      </c>
      <c r="AL3" s="49">
        <v>7901</v>
      </c>
      <c r="AM3" s="51" t="s">
        <v>73</v>
      </c>
      <c r="AN3" s="52" t="s">
        <v>74</v>
      </c>
      <c r="AO3" s="37" t="s">
        <v>75</v>
      </c>
    </row>
    <row r="4" spans="1:41" ht="15" customHeight="1" x14ac:dyDescent="0.2">
      <c r="A4" s="35" t="s">
        <v>318</v>
      </c>
      <c r="B4" s="35" t="s">
        <v>68</v>
      </c>
      <c r="C4" s="35">
        <v>1</v>
      </c>
      <c r="D4" s="36" t="s">
        <v>69</v>
      </c>
      <c r="E4" s="40">
        <v>3</v>
      </c>
      <c r="F4" s="36" t="s">
        <v>77</v>
      </c>
      <c r="G4" s="35" t="s">
        <v>319</v>
      </c>
      <c r="H4" s="36" t="s">
        <v>78</v>
      </c>
      <c r="I4" s="36" t="s">
        <v>79</v>
      </c>
      <c r="J4" s="36" t="s">
        <v>78</v>
      </c>
      <c r="K4" s="38">
        <v>2009</v>
      </c>
      <c r="L4" s="39">
        <v>17</v>
      </c>
      <c r="M4" s="40" t="s">
        <v>328</v>
      </c>
      <c r="N4" s="40" t="s">
        <v>329</v>
      </c>
      <c r="O4" s="40" t="s">
        <v>330</v>
      </c>
      <c r="P4" s="41">
        <v>5424</v>
      </c>
      <c r="Q4" s="42">
        <v>37.930069930069898</v>
      </c>
      <c r="R4" s="41">
        <v>143</v>
      </c>
      <c r="S4" s="43">
        <v>5368</v>
      </c>
      <c r="T4" s="43">
        <v>0</v>
      </c>
      <c r="U4" s="35">
        <v>0</v>
      </c>
      <c r="V4" s="35">
        <v>5368</v>
      </c>
      <c r="W4" s="35">
        <v>5368</v>
      </c>
      <c r="X4" s="44">
        <v>37.538461538461497</v>
      </c>
      <c r="Y4" s="44">
        <v>0</v>
      </c>
      <c r="Z4" s="45">
        <v>37.538461538461497</v>
      </c>
      <c r="AA4" s="43">
        <v>143</v>
      </c>
      <c r="AB4" s="46">
        <v>5368</v>
      </c>
      <c r="AC4" s="46">
        <v>0</v>
      </c>
      <c r="AD4" s="47">
        <v>37.54</v>
      </c>
      <c r="AE4" s="46">
        <v>143</v>
      </c>
      <c r="AF4" s="47">
        <v>37.93</v>
      </c>
      <c r="AG4" s="48" t="s">
        <v>324</v>
      </c>
      <c r="AH4" s="49">
        <v>0</v>
      </c>
      <c r="AI4" s="50">
        <v>0</v>
      </c>
      <c r="AJ4" s="49">
        <v>0</v>
      </c>
      <c r="AK4" s="49">
        <v>37.930069930069898</v>
      </c>
      <c r="AL4" s="49">
        <v>5424</v>
      </c>
      <c r="AM4" s="51" t="s">
        <v>73</v>
      </c>
      <c r="AN4" s="52" t="s">
        <v>74</v>
      </c>
      <c r="AO4" s="37" t="s">
        <v>75</v>
      </c>
    </row>
    <row r="5" spans="1:41" ht="15" customHeight="1" x14ac:dyDescent="0.2">
      <c r="A5" s="35" t="s">
        <v>318</v>
      </c>
      <c r="B5" s="35" t="s">
        <v>68</v>
      </c>
      <c r="C5" s="35">
        <v>1</v>
      </c>
      <c r="D5" s="36" t="s">
        <v>69</v>
      </c>
      <c r="E5" s="40">
        <v>4</v>
      </c>
      <c r="F5" s="36" t="s">
        <v>80</v>
      </c>
      <c r="G5" s="35" t="s">
        <v>319</v>
      </c>
      <c r="H5" s="36" t="s">
        <v>81</v>
      </c>
      <c r="I5" s="36" t="s">
        <v>82</v>
      </c>
      <c r="J5" s="36" t="s">
        <v>81</v>
      </c>
      <c r="K5" s="38">
        <v>2009</v>
      </c>
      <c r="L5" s="39">
        <v>17</v>
      </c>
      <c r="M5" s="40" t="s">
        <v>331</v>
      </c>
      <c r="N5" s="40" t="s">
        <v>332</v>
      </c>
      <c r="O5" s="40" t="s">
        <v>333</v>
      </c>
      <c r="P5" s="41">
        <v>6980</v>
      </c>
      <c r="Q5" s="42">
        <v>48.811188811188799</v>
      </c>
      <c r="R5" s="41">
        <v>143</v>
      </c>
      <c r="S5" s="43">
        <v>6820</v>
      </c>
      <c r="T5" s="43">
        <v>0</v>
      </c>
      <c r="U5" s="35">
        <v>0</v>
      </c>
      <c r="V5" s="35">
        <v>6820</v>
      </c>
      <c r="W5" s="35">
        <v>6820</v>
      </c>
      <c r="X5" s="44">
        <v>47.692307692307701</v>
      </c>
      <c r="Y5" s="44">
        <v>0</v>
      </c>
      <c r="Z5" s="45">
        <v>47.692307692307701</v>
      </c>
      <c r="AA5" s="43">
        <v>143</v>
      </c>
      <c r="AB5" s="46">
        <v>6820</v>
      </c>
      <c r="AC5" s="46">
        <v>0</v>
      </c>
      <c r="AD5" s="47">
        <v>47.69</v>
      </c>
      <c r="AE5" s="46">
        <v>0</v>
      </c>
      <c r="AF5" s="47">
        <v>48.81</v>
      </c>
      <c r="AG5" s="48" t="s">
        <v>324</v>
      </c>
      <c r="AH5" s="49">
        <v>0</v>
      </c>
      <c r="AI5" s="50">
        <v>0</v>
      </c>
      <c r="AJ5" s="49">
        <v>-143</v>
      </c>
      <c r="AK5" s="49">
        <v>48.811188811188799</v>
      </c>
      <c r="AL5" s="49">
        <v>6980</v>
      </c>
      <c r="AM5" s="51" t="s">
        <v>73</v>
      </c>
      <c r="AN5" s="52" t="s">
        <v>74</v>
      </c>
      <c r="AO5" s="37" t="s">
        <v>75</v>
      </c>
    </row>
    <row r="6" spans="1:41" ht="15" customHeight="1" x14ac:dyDescent="0.2">
      <c r="A6" s="35" t="s">
        <v>318</v>
      </c>
      <c r="B6" s="35" t="s">
        <v>68</v>
      </c>
      <c r="C6" s="35">
        <v>1</v>
      </c>
      <c r="D6" s="36" t="s">
        <v>69</v>
      </c>
      <c r="E6" s="36">
        <v>5</v>
      </c>
      <c r="F6" s="36" t="s">
        <v>83</v>
      </c>
      <c r="G6" s="35" t="s">
        <v>319</v>
      </c>
      <c r="H6" s="36" t="s">
        <v>81</v>
      </c>
      <c r="I6" s="36" t="s">
        <v>82</v>
      </c>
      <c r="J6" s="36" t="s">
        <v>81</v>
      </c>
      <c r="K6" s="38">
        <v>2009</v>
      </c>
      <c r="L6" s="39">
        <v>17</v>
      </c>
      <c r="M6" s="40" t="s">
        <v>334</v>
      </c>
      <c r="N6" s="40" t="s">
        <v>335</v>
      </c>
      <c r="O6" s="40" t="s">
        <v>336</v>
      </c>
      <c r="P6" s="41">
        <v>6160</v>
      </c>
      <c r="Q6" s="42">
        <v>43.076923076923102</v>
      </c>
      <c r="R6" s="41">
        <v>143</v>
      </c>
      <c r="S6" s="43">
        <v>5950</v>
      </c>
      <c r="T6" s="43">
        <v>0</v>
      </c>
      <c r="U6" s="35">
        <v>0</v>
      </c>
      <c r="V6" s="35">
        <v>5950</v>
      </c>
      <c r="W6" s="35">
        <v>5950</v>
      </c>
      <c r="X6" s="44">
        <v>41.608391608391599</v>
      </c>
      <c r="Y6" s="44">
        <v>0</v>
      </c>
      <c r="Z6" s="45">
        <v>41.608391608391599</v>
      </c>
      <c r="AA6" s="43">
        <v>143</v>
      </c>
      <c r="AB6" s="46">
        <v>5950</v>
      </c>
      <c r="AC6" s="46">
        <v>0</v>
      </c>
      <c r="AD6" s="47">
        <v>41.61</v>
      </c>
      <c r="AE6" s="46">
        <v>0</v>
      </c>
      <c r="AF6" s="47">
        <v>43.08</v>
      </c>
      <c r="AG6" s="48" t="s">
        <v>324</v>
      </c>
      <c r="AH6" s="49">
        <v>0</v>
      </c>
      <c r="AI6" s="50">
        <v>0</v>
      </c>
      <c r="AJ6" s="49">
        <v>-143</v>
      </c>
      <c r="AK6" s="49">
        <v>43.076923076923102</v>
      </c>
      <c r="AL6" s="49">
        <v>6160</v>
      </c>
      <c r="AM6" s="51" t="s">
        <v>73</v>
      </c>
      <c r="AN6" s="52" t="s">
        <v>74</v>
      </c>
      <c r="AO6" s="37" t="s">
        <v>75</v>
      </c>
    </row>
    <row r="7" spans="1:41" ht="15" customHeight="1" x14ac:dyDescent="0.2">
      <c r="A7" s="35" t="s">
        <v>318</v>
      </c>
      <c r="B7" s="35" t="s">
        <v>68</v>
      </c>
      <c r="C7" s="35">
        <v>1</v>
      </c>
      <c r="D7" s="36" t="s">
        <v>69</v>
      </c>
      <c r="E7" s="36">
        <v>6</v>
      </c>
      <c r="F7" s="36" t="s">
        <v>84</v>
      </c>
      <c r="G7" s="35" t="s">
        <v>319</v>
      </c>
      <c r="H7" s="37" t="s">
        <v>71</v>
      </c>
      <c r="I7" s="36" t="s">
        <v>72</v>
      </c>
      <c r="J7" s="37" t="s">
        <v>320</v>
      </c>
      <c r="K7" s="38">
        <v>2009</v>
      </c>
      <c r="L7" s="39">
        <v>17</v>
      </c>
      <c r="M7" s="40" t="s">
        <v>337</v>
      </c>
      <c r="N7" s="40" t="s">
        <v>338</v>
      </c>
      <c r="O7" s="40" t="s">
        <v>339</v>
      </c>
      <c r="P7" s="41">
        <v>5673</v>
      </c>
      <c r="Q7" s="42">
        <v>39.671328671328702</v>
      </c>
      <c r="R7" s="41">
        <v>143</v>
      </c>
      <c r="S7" s="43">
        <v>5599</v>
      </c>
      <c r="T7" s="43">
        <v>0</v>
      </c>
      <c r="U7" s="35">
        <v>0</v>
      </c>
      <c r="V7" s="35">
        <v>5599</v>
      </c>
      <c r="W7" s="35">
        <v>5599</v>
      </c>
      <c r="X7" s="44">
        <v>39.153846153846203</v>
      </c>
      <c r="Y7" s="44">
        <v>0</v>
      </c>
      <c r="Z7" s="45">
        <v>39.153846153846203</v>
      </c>
      <c r="AA7" s="43">
        <v>143</v>
      </c>
      <c r="AB7" s="46">
        <v>5599</v>
      </c>
      <c r="AC7" s="46">
        <v>0</v>
      </c>
      <c r="AD7" s="47">
        <v>39.15</v>
      </c>
      <c r="AE7" s="46">
        <v>0</v>
      </c>
      <c r="AF7" s="47">
        <v>39.67</v>
      </c>
      <c r="AG7" s="48" t="s">
        <v>324</v>
      </c>
      <c r="AH7" s="49">
        <v>0</v>
      </c>
      <c r="AI7" s="50">
        <v>0</v>
      </c>
      <c r="AJ7" s="49">
        <v>-143</v>
      </c>
      <c r="AK7" s="49">
        <v>39.671328671328702</v>
      </c>
      <c r="AL7" s="49">
        <v>5673</v>
      </c>
      <c r="AM7" s="51" t="s">
        <v>73</v>
      </c>
      <c r="AN7" s="52" t="s">
        <v>74</v>
      </c>
      <c r="AO7" s="37" t="s">
        <v>75</v>
      </c>
    </row>
    <row r="8" spans="1:41" ht="15" customHeight="1" x14ac:dyDescent="0.2">
      <c r="A8" s="35" t="s">
        <v>318</v>
      </c>
      <c r="B8" s="35" t="s">
        <v>68</v>
      </c>
      <c r="C8" s="35">
        <v>1</v>
      </c>
      <c r="D8" s="36" t="s">
        <v>69</v>
      </c>
      <c r="E8" s="36">
        <v>7</v>
      </c>
      <c r="F8" s="36" t="s">
        <v>85</v>
      </c>
      <c r="G8" s="35" t="s">
        <v>319</v>
      </c>
      <c r="H8" s="36" t="s">
        <v>81</v>
      </c>
      <c r="I8" s="36" t="s">
        <v>82</v>
      </c>
      <c r="J8" s="36" t="s">
        <v>81</v>
      </c>
      <c r="K8" s="38">
        <v>2009</v>
      </c>
      <c r="L8" s="39">
        <v>17</v>
      </c>
      <c r="M8" s="40" t="s">
        <v>340</v>
      </c>
      <c r="N8" s="40" t="s">
        <v>341</v>
      </c>
      <c r="O8" s="40" t="s">
        <v>342</v>
      </c>
      <c r="P8" s="41">
        <v>3077</v>
      </c>
      <c r="Q8" s="42">
        <v>21.517482517482499</v>
      </c>
      <c r="R8" s="41">
        <v>143</v>
      </c>
      <c r="S8" s="43">
        <v>2910</v>
      </c>
      <c r="T8" s="43">
        <v>67</v>
      </c>
      <c r="U8" s="35">
        <v>67</v>
      </c>
      <c r="V8" s="35">
        <v>2977</v>
      </c>
      <c r="W8" s="35">
        <v>2910</v>
      </c>
      <c r="X8" s="44">
        <v>20.3496503496504</v>
      </c>
      <c r="Y8" s="44">
        <v>0.46853146853146899</v>
      </c>
      <c r="Z8" s="45">
        <v>20.818181818181799</v>
      </c>
      <c r="AA8" s="43">
        <v>143</v>
      </c>
      <c r="AB8" s="46">
        <v>2977</v>
      </c>
      <c r="AC8" s="46">
        <v>67</v>
      </c>
      <c r="AD8" s="47">
        <v>20.82</v>
      </c>
      <c r="AE8" s="46">
        <v>0</v>
      </c>
      <c r="AF8" s="47">
        <v>21.52</v>
      </c>
      <c r="AG8" s="48" t="s">
        <v>324</v>
      </c>
      <c r="AH8" s="49">
        <v>0</v>
      </c>
      <c r="AI8" s="50">
        <v>0</v>
      </c>
      <c r="AJ8" s="49">
        <v>-143</v>
      </c>
      <c r="AK8" s="49">
        <v>21.517482517482499</v>
      </c>
      <c r="AL8" s="49">
        <v>3077</v>
      </c>
      <c r="AM8" s="51" t="s">
        <v>73</v>
      </c>
      <c r="AN8" s="52" t="s">
        <v>74</v>
      </c>
      <c r="AO8" s="37" t="s">
        <v>75</v>
      </c>
    </row>
    <row r="9" spans="1:41" ht="15" customHeight="1" x14ac:dyDescent="0.2">
      <c r="A9" s="35" t="s">
        <v>318</v>
      </c>
      <c r="B9" s="35" t="s">
        <v>68</v>
      </c>
      <c r="C9" s="35">
        <v>1</v>
      </c>
      <c r="D9" s="36" t="s">
        <v>69</v>
      </c>
      <c r="E9" s="36">
        <v>8</v>
      </c>
      <c r="F9" s="36" t="s">
        <v>86</v>
      </c>
      <c r="G9" s="35" t="s">
        <v>319</v>
      </c>
      <c r="H9" s="37" t="s">
        <v>71</v>
      </c>
      <c r="I9" s="36" t="s">
        <v>72</v>
      </c>
      <c r="J9" s="37" t="s">
        <v>320</v>
      </c>
      <c r="K9" s="38">
        <v>2009</v>
      </c>
      <c r="L9" s="39">
        <v>17</v>
      </c>
      <c r="M9" s="40" t="s">
        <v>343</v>
      </c>
      <c r="N9" s="40" t="s">
        <v>344</v>
      </c>
      <c r="O9" s="40" t="s">
        <v>345</v>
      </c>
      <c r="P9" s="41">
        <v>8846</v>
      </c>
      <c r="Q9" s="42">
        <v>61.860139860139903</v>
      </c>
      <c r="R9" s="41">
        <v>143</v>
      </c>
      <c r="S9" s="43">
        <v>8159</v>
      </c>
      <c r="T9" s="43">
        <v>316</v>
      </c>
      <c r="U9" s="35">
        <v>297</v>
      </c>
      <c r="V9" s="35">
        <v>8475</v>
      </c>
      <c r="W9" s="35">
        <v>8178</v>
      </c>
      <c r="X9" s="44">
        <v>57.055944055944103</v>
      </c>
      <c r="Y9" s="44">
        <v>2.20979020979021</v>
      </c>
      <c r="Z9" s="45">
        <v>59.265734265734302</v>
      </c>
      <c r="AA9" s="43">
        <v>143</v>
      </c>
      <c r="AB9" s="46">
        <v>8475</v>
      </c>
      <c r="AC9" s="46">
        <v>316</v>
      </c>
      <c r="AD9" s="47">
        <v>59.27</v>
      </c>
      <c r="AE9" s="46">
        <v>0</v>
      </c>
      <c r="AF9" s="47">
        <v>61.86</v>
      </c>
      <c r="AG9" s="48" t="s">
        <v>324</v>
      </c>
      <c r="AH9" s="49">
        <v>0</v>
      </c>
      <c r="AI9" s="50">
        <v>0</v>
      </c>
      <c r="AJ9" s="49">
        <v>-143</v>
      </c>
      <c r="AK9" s="49">
        <v>61.860139860139903</v>
      </c>
      <c r="AL9" s="49">
        <v>8846</v>
      </c>
      <c r="AM9" s="51" t="s">
        <v>87</v>
      </c>
      <c r="AN9" s="52" t="s">
        <v>74</v>
      </c>
      <c r="AO9" s="37" t="s">
        <v>75</v>
      </c>
    </row>
    <row r="10" spans="1:41" ht="15" customHeight="1" x14ac:dyDescent="0.2">
      <c r="A10" s="35" t="s">
        <v>318</v>
      </c>
      <c r="B10" s="35" t="s">
        <v>68</v>
      </c>
      <c r="C10" s="35">
        <v>1</v>
      </c>
      <c r="D10" s="36" t="s">
        <v>69</v>
      </c>
      <c r="E10" s="36">
        <v>9</v>
      </c>
      <c r="F10" s="36" t="s">
        <v>88</v>
      </c>
      <c r="G10" s="35" t="s">
        <v>319</v>
      </c>
      <c r="H10" s="37" t="s">
        <v>71</v>
      </c>
      <c r="I10" s="36" t="s">
        <v>72</v>
      </c>
      <c r="J10" s="37" t="s">
        <v>320</v>
      </c>
      <c r="K10" s="38">
        <v>2009</v>
      </c>
      <c r="L10" s="39">
        <v>17</v>
      </c>
      <c r="M10" s="40" t="s">
        <v>346</v>
      </c>
      <c r="N10" s="40" t="s">
        <v>347</v>
      </c>
      <c r="O10" s="40" t="s">
        <v>348</v>
      </c>
      <c r="P10" s="41">
        <v>6623</v>
      </c>
      <c r="Q10" s="42">
        <v>46.314685314685299</v>
      </c>
      <c r="R10" s="41">
        <v>143</v>
      </c>
      <c r="S10" s="43">
        <v>6536</v>
      </c>
      <c r="T10" s="43">
        <v>0</v>
      </c>
      <c r="U10" s="35">
        <v>0</v>
      </c>
      <c r="V10" s="35">
        <v>6536</v>
      </c>
      <c r="W10" s="35">
        <v>6536</v>
      </c>
      <c r="X10" s="44">
        <v>45.7062937062937</v>
      </c>
      <c r="Y10" s="44">
        <v>0</v>
      </c>
      <c r="Z10" s="45">
        <v>45.7062937062937</v>
      </c>
      <c r="AA10" s="43">
        <v>143</v>
      </c>
      <c r="AB10" s="46">
        <v>6536</v>
      </c>
      <c r="AC10" s="46">
        <v>0</v>
      </c>
      <c r="AD10" s="47">
        <v>45.71</v>
      </c>
      <c r="AE10" s="46">
        <v>0</v>
      </c>
      <c r="AF10" s="47">
        <v>46.31</v>
      </c>
      <c r="AG10" s="48" t="s">
        <v>324</v>
      </c>
      <c r="AH10" s="49">
        <v>0</v>
      </c>
      <c r="AI10" s="50">
        <v>0</v>
      </c>
      <c r="AJ10" s="49">
        <v>-143</v>
      </c>
      <c r="AK10" s="49">
        <v>46.314685314685299</v>
      </c>
      <c r="AL10" s="49">
        <v>6623</v>
      </c>
      <c r="AM10" s="51" t="s">
        <v>87</v>
      </c>
      <c r="AN10" s="52" t="s">
        <v>74</v>
      </c>
      <c r="AO10" s="37" t="s">
        <v>75</v>
      </c>
    </row>
    <row r="11" spans="1:41" ht="15" customHeight="1" x14ac:dyDescent="0.2">
      <c r="A11" s="35" t="s">
        <v>318</v>
      </c>
      <c r="B11" s="35" t="s">
        <v>68</v>
      </c>
      <c r="C11" s="35">
        <v>1</v>
      </c>
      <c r="D11" s="36" t="s">
        <v>69</v>
      </c>
      <c r="E11" s="36">
        <v>10</v>
      </c>
      <c r="F11" s="36" t="s">
        <v>89</v>
      </c>
      <c r="G11" s="35" t="s">
        <v>319</v>
      </c>
      <c r="H11" s="37" t="s">
        <v>71</v>
      </c>
      <c r="I11" s="36" t="s">
        <v>72</v>
      </c>
      <c r="J11" s="37" t="s">
        <v>320</v>
      </c>
      <c r="K11" s="38">
        <v>2009</v>
      </c>
      <c r="L11" s="39">
        <v>17</v>
      </c>
      <c r="M11" s="40" t="s">
        <v>349</v>
      </c>
      <c r="N11" s="40" t="s">
        <v>350</v>
      </c>
      <c r="O11" s="40" t="s">
        <v>351</v>
      </c>
      <c r="P11" s="41">
        <v>7164</v>
      </c>
      <c r="Q11" s="42">
        <v>50.0979020979021</v>
      </c>
      <c r="R11" s="41">
        <v>143</v>
      </c>
      <c r="S11" s="43">
        <v>6874</v>
      </c>
      <c r="T11" s="43">
        <v>207</v>
      </c>
      <c r="U11" s="35">
        <v>207</v>
      </c>
      <c r="V11" s="35">
        <v>7081</v>
      </c>
      <c r="W11" s="35">
        <v>6874</v>
      </c>
      <c r="X11" s="44">
        <v>48.069930069930102</v>
      </c>
      <c r="Y11" s="44">
        <v>1.4475524475524499</v>
      </c>
      <c r="Z11" s="45">
        <v>49.517482517482499</v>
      </c>
      <c r="AA11" s="43">
        <v>143</v>
      </c>
      <c r="AB11" s="46">
        <v>7081</v>
      </c>
      <c r="AC11" s="46">
        <v>207</v>
      </c>
      <c r="AD11" s="47">
        <v>49.52</v>
      </c>
      <c r="AE11" s="46">
        <v>0</v>
      </c>
      <c r="AF11" s="47">
        <v>50.1</v>
      </c>
      <c r="AG11" s="48" t="s">
        <v>324</v>
      </c>
      <c r="AH11" s="49">
        <v>0</v>
      </c>
      <c r="AI11" s="50">
        <v>0</v>
      </c>
      <c r="AJ11" s="49">
        <v>-143</v>
      </c>
      <c r="AK11" s="49">
        <v>50.0979020979021</v>
      </c>
      <c r="AL11" s="49">
        <v>7164</v>
      </c>
      <c r="AM11" s="51" t="s">
        <v>87</v>
      </c>
      <c r="AN11" s="52" t="s">
        <v>74</v>
      </c>
      <c r="AO11" s="37" t="s">
        <v>75</v>
      </c>
    </row>
    <row r="12" spans="1:41" ht="15" customHeight="1" x14ac:dyDescent="0.2">
      <c r="A12" s="35" t="s">
        <v>318</v>
      </c>
      <c r="B12" s="35" t="s">
        <v>68</v>
      </c>
      <c r="C12" s="35">
        <v>1</v>
      </c>
      <c r="D12" s="36" t="s">
        <v>69</v>
      </c>
      <c r="E12" s="36">
        <v>11</v>
      </c>
      <c r="F12" s="36" t="s">
        <v>90</v>
      </c>
      <c r="G12" s="35" t="s">
        <v>319</v>
      </c>
      <c r="H12" s="37" t="s">
        <v>71</v>
      </c>
      <c r="I12" s="36" t="s">
        <v>72</v>
      </c>
      <c r="J12" s="37" t="s">
        <v>320</v>
      </c>
      <c r="K12" s="38">
        <v>2009</v>
      </c>
      <c r="L12" s="39">
        <v>17</v>
      </c>
      <c r="M12" s="40" t="s">
        <v>352</v>
      </c>
      <c r="N12" s="40" t="s">
        <v>353</v>
      </c>
      <c r="O12" s="40" t="s">
        <v>354</v>
      </c>
      <c r="P12" s="41">
        <v>5219</v>
      </c>
      <c r="Q12" s="42">
        <v>36.4965034965035</v>
      </c>
      <c r="R12" s="41">
        <v>143</v>
      </c>
      <c r="S12" s="43">
        <v>4996</v>
      </c>
      <c r="T12" s="43">
        <v>176</v>
      </c>
      <c r="U12" s="35">
        <v>145</v>
      </c>
      <c r="V12" s="35">
        <v>5172</v>
      </c>
      <c r="W12" s="35">
        <v>5027</v>
      </c>
      <c r="X12" s="44">
        <v>34.937062937062898</v>
      </c>
      <c r="Y12" s="44">
        <v>1.2307692307692299</v>
      </c>
      <c r="Z12" s="45">
        <v>36.167832167832202</v>
      </c>
      <c r="AA12" s="43">
        <v>143</v>
      </c>
      <c r="AB12" s="46">
        <v>5172</v>
      </c>
      <c r="AC12" s="46">
        <v>176</v>
      </c>
      <c r="AD12" s="47">
        <v>36.17</v>
      </c>
      <c r="AE12" s="46">
        <v>0</v>
      </c>
      <c r="AF12" s="47">
        <v>36.5</v>
      </c>
      <c r="AG12" s="48" t="s">
        <v>324</v>
      </c>
      <c r="AH12" s="49">
        <v>0</v>
      </c>
      <c r="AI12" s="50">
        <v>0</v>
      </c>
      <c r="AJ12" s="49">
        <v>-143</v>
      </c>
      <c r="AK12" s="49">
        <v>36.4965034965035</v>
      </c>
      <c r="AL12" s="49">
        <v>5219</v>
      </c>
      <c r="AM12" s="51" t="s">
        <v>87</v>
      </c>
      <c r="AN12" s="52" t="s">
        <v>74</v>
      </c>
      <c r="AO12" s="37" t="s">
        <v>75</v>
      </c>
    </row>
    <row r="13" spans="1:41" ht="15" customHeight="1" x14ac:dyDescent="0.2">
      <c r="A13" s="35" t="s">
        <v>318</v>
      </c>
      <c r="B13" s="35" t="s">
        <v>68</v>
      </c>
      <c r="C13" s="35">
        <v>1</v>
      </c>
      <c r="D13" s="36" t="s">
        <v>69</v>
      </c>
      <c r="E13" s="36">
        <v>12</v>
      </c>
      <c r="F13" s="36" t="s">
        <v>91</v>
      </c>
      <c r="G13" s="35" t="s">
        <v>319</v>
      </c>
      <c r="H13" s="37" t="s">
        <v>71</v>
      </c>
      <c r="I13" s="36" t="s">
        <v>72</v>
      </c>
      <c r="J13" s="37" t="s">
        <v>320</v>
      </c>
      <c r="K13" s="38">
        <v>2009</v>
      </c>
      <c r="L13" s="39">
        <v>17</v>
      </c>
      <c r="M13" s="40" t="s">
        <v>355</v>
      </c>
      <c r="N13" s="40" t="s">
        <v>356</v>
      </c>
      <c r="O13" s="40" t="s">
        <v>357</v>
      </c>
      <c r="P13" s="41">
        <v>2701</v>
      </c>
      <c r="Q13" s="42">
        <v>18.888111888111901</v>
      </c>
      <c r="R13" s="41">
        <v>143</v>
      </c>
      <c r="S13" s="43">
        <v>2664</v>
      </c>
      <c r="T13" s="43">
        <v>0</v>
      </c>
      <c r="U13" s="35">
        <v>0</v>
      </c>
      <c r="V13" s="35">
        <v>2664</v>
      </c>
      <c r="W13" s="35">
        <v>2664</v>
      </c>
      <c r="X13" s="44">
        <v>18.629370629370602</v>
      </c>
      <c r="Y13" s="44">
        <v>0</v>
      </c>
      <c r="Z13" s="45">
        <v>18.629370629370602</v>
      </c>
      <c r="AA13" s="43">
        <v>143</v>
      </c>
      <c r="AB13" s="46">
        <v>2664</v>
      </c>
      <c r="AC13" s="46">
        <v>0</v>
      </c>
      <c r="AD13" s="47">
        <v>18.63</v>
      </c>
      <c r="AE13" s="46">
        <v>143</v>
      </c>
      <c r="AF13" s="47">
        <v>18.89</v>
      </c>
      <c r="AG13" s="48" t="s">
        <v>324</v>
      </c>
      <c r="AH13" s="49">
        <v>0</v>
      </c>
      <c r="AI13" s="50">
        <v>0</v>
      </c>
      <c r="AJ13" s="49">
        <v>0</v>
      </c>
      <c r="AK13" s="49">
        <v>18.888111888111901</v>
      </c>
      <c r="AL13" s="49">
        <v>2701</v>
      </c>
      <c r="AM13" s="51" t="s">
        <v>87</v>
      </c>
      <c r="AN13" s="52" t="s">
        <v>74</v>
      </c>
      <c r="AO13" s="37" t="s">
        <v>75</v>
      </c>
    </row>
    <row r="14" spans="1:41" ht="15" customHeight="1" x14ac:dyDescent="0.2">
      <c r="A14" s="35" t="s">
        <v>318</v>
      </c>
      <c r="B14" s="35" t="s">
        <v>68</v>
      </c>
      <c r="C14" s="35">
        <v>1</v>
      </c>
      <c r="D14" s="36" t="s">
        <v>69</v>
      </c>
      <c r="E14" s="36">
        <v>13</v>
      </c>
      <c r="F14" s="36" t="s">
        <v>92</v>
      </c>
      <c r="G14" s="35" t="s">
        <v>319</v>
      </c>
      <c r="H14" s="37" t="s">
        <v>71</v>
      </c>
      <c r="I14" s="36" t="s">
        <v>72</v>
      </c>
      <c r="J14" s="37" t="s">
        <v>320</v>
      </c>
      <c r="K14" s="38">
        <v>2009</v>
      </c>
      <c r="L14" s="39">
        <v>17</v>
      </c>
      <c r="M14" s="40" t="s">
        <v>358</v>
      </c>
      <c r="N14" s="40" t="s">
        <v>359</v>
      </c>
      <c r="O14" s="40" t="s">
        <v>360</v>
      </c>
      <c r="P14" s="41">
        <v>6615</v>
      </c>
      <c r="Q14" s="42">
        <v>46.258741258741303</v>
      </c>
      <c r="R14" s="41">
        <v>143</v>
      </c>
      <c r="S14" s="43">
        <v>6500</v>
      </c>
      <c r="T14" s="43">
        <v>51</v>
      </c>
      <c r="U14" s="35">
        <v>51</v>
      </c>
      <c r="V14" s="35">
        <v>6551</v>
      </c>
      <c r="W14" s="35">
        <v>6500</v>
      </c>
      <c r="X14" s="44">
        <v>45.454545454545503</v>
      </c>
      <c r="Y14" s="44">
        <v>0.356643356643357</v>
      </c>
      <c r="Z14" s="45">
        <v>45.811188811188799</v>
      </c>
      <c r="AA14" s="43">
        <v>143</v>
      </c>
      <c r="AB14" s="46">
        <v>6551</v>
      </c>
      <c r="AC14" s="46">
        <v>51</v>
      </c>
      <c r="AD14" s="47">
        <v>45.81</v>
      </c>
      <c r="AE14" s="46">
        <v>0</v>
      </c>
      <c r="AF14" s="47">
        <v>46.26</v>
      </c>
      <c r="AG14" s="48" t="s">
        <v>324</v>
      </c>
      <c r="AH14" s="49">
        <v>0</v>
      </c>
      <c r="AI14" s="50">
        <v>0</v>
      </c>
      <c r="AJ14" s="49">
        <v>-143</v>
      </c>
      <c r="AK14" s="49">
        <v>46.258741258741303</v>
      </c>
      <c r="AL14" s="49">
        <v>6615</v>
      </c>
      <c r="AM14" s="51" t="s">
        <v>87</v>
      </c>
      <c r="AN14" s="52" t="s">
        <v>74</v>
      </c>
      <c r="AO14" s="37" t="s">
        <v>75</v>
      </c>
    </row>
    <row r="15" spans="1:41" ht="15" customHeight="1" x14ac:dyDescent="0.2">
      <c r="A15" s="35" t="s">
        <v>318</v>
      </c>
      <c r="B15" s="35" t="s">
        <v>68</v>
      </c>
      <c r="C15" s="35">
        <v>2</v>
      </c>
      <c r="D15" s="36" t="s">
        <v>93</v>
      </c>
      <c r="E15" s="36">
        <v>14</v>
      </c>
      <c r="F15" s="36" t="s">
        <v>94</v>
      </c>
      <c r="G15" s="35" t="s">
        <v>319</v>
      </c>
      <c r="H15" s="37" t="s">
        <v>71</v>
      </c>
      <c r="I15" s="36" t="s">
        <v>72</v>
      </c>
      <c r="J15" s="37" t="s">
        <v>320</v>
      </c>
      <c r="K15" s="38">
        <v>2009</v>
      </c>
      <c r="L15" s="39">
        <v>17</v>
      </c>
      <c r="M15" s="40" t="s">
        <v>361</v>
      </c>
      <c r="N15" s="40" t="s">
        <v>361</v>
      </c>
      <c r="O15" s="40" t="s">
        <v>362</v>
      </c>
      <c r="P15" s="41">
        <v>6461</v>
      </c>
      <c r="Q15" s="42">
        <v>45.181818181818201</v>
      </c>
      <c r="R15" s="41">
        <v>143</v>
      </c>
      <c r="S15" s="43">
        <v>6215</v>
      </c>
      <c r="T15" s="43">
        <v>0</v>
      </c>
      <c r="U15" s="35">
        <v>61</v>
      </c>
      <c r="V15" s="35">
        <v>6215</v>
      </c>
      <c r="W15" s="35">
        <v>6154</v>
      </c>
      <c r="X15" s="44">
        <v>43.461538461538503</v>
      </c>
      <c r="Y15" s="44">
        <v>0</v>
      </c>
      <c r="Z15" s="45">
        <v>43.461538461538503</v>
      </c>
      <c r="AA15" s="43">
        <v>143</v>
      </c>
      <c r="AB15" s="46">
        <v>6215</v>
      </c>
      <c r="AC15" s="46"/>
      <c r="AD15" s="47">
        <v>43.46</v>
      </c>
      <c r="AE15" s="46">
        <v>143</v>
      </c>
      <c r="AF15" s="47">
        <v>45.18</v>
      </c>
      <c r="AG15" s="48" t="s">
        <v>324</v>
      </c>
      <c r="AH15" s="49">
        <v>0</v>
      </c>
      <c r="AI15" s="50">
        <v>0</v>
      </c>
      <c r="AJ15" s="49">
        <v>0</v>
      </c>
      <c r="AK15" s="49">
        <v>45.181818181818201</v>
      </c>
      <c r="AL15" s="49">
        <v>6461</v>
      </c>
      <c r="AM15" s="51" t="s">
        <v>95</v>
      </c>
      <c r="AN15" s="52" t="s">
        <v>96</v>
      </c>
      <c r="AO15" s="37" t="s">
        <v>75</v>
      </c>
    </row>
    <row r="16" spans="1:41" ht="15" customHeight="1" x14ac:dyDescent="0.2">
      <c r="A16" s="35" t="s">
        <v>318</v>
      </c>
      <c r="B16" s="35" t="s">
        <v>68</v>
      </c>
      <c r="C16" s="35">
        <v>2</v>
      </c>
      <c r="D16" s="36" t="s">
        <v>93</v>
      </c>
      <c r="E16" s="36">
        <v>15</v>
      </c>
      <c r="F16" s="36" t="s">
        <v>97</v>
      </c>
      <c r="G16" s="35" t="s">
        <v>319</v>
      </c>
      <c r="H16" s="36" t="s">
        <v>78</v>
      </c>
      <c r="I16" s="36" t="s">
        <v>79</v>
      </c>
      <c r="J16" s="36" t="s">
        <v>78</v>
      </c>
      <c r="K16" s="38">
        <v>2009</v>
      </c>
      <c r="L16" s="39">
        <v>17</v>
      </c>
      <c r="M16" s="40" t="s">
        <v>363</v>
      </c>
      <c r="N16" s="40" t="s">
        <v>363</v>
      </c>
      <c r="O16" s="40" t="s">
        <v>364</v>
      </c>
      <c r="P16" s="41">
        <v>5717</v>
      </c>
      <c r="Q16" s="42">
        <v>39.979020979021001</v>
      </c>
      <c r="R16" s="41">
        <v>143</v>
      </c>
      <c r="S16" s="43">
        <v>5352</v>
      </c>
      <c r="T16" s="43">
        <v>0</v>
      </c>
      <c r="U16" s="35">
        <v>107</v>
      </c>
      <c r="V16" s="35">
        <v>5352</v>
      </c>
      <c r="W16" s="35">
        <v>5245</v>
      </c>
      <c r="X16" s="44">
        <v>37.426573426573398</v>
      </c>
      <c r="Y16" s="44">
        <v>0</v>
      </c>
      <c r="Z16" s="45">
        <v>37.426573426573398</v>
      </c>
      <c r="AA16" s="43">
        <v>143</v>
      </c>
      <c r="AB16" s="46">
        <v>5352</v>
      </c>
      <c r="AC16" s="46"/>
      <c r="AD16" s="47">
        <v>37.43</v>
      </c>
      <c r="AE16" s="46">
        <v>143</v>
      </c>
      <c r="AF16" s="47">
        <v>39.979999999999997</v>
      </c>
      <c r="AG16" s="48" t="s">
        <v>324</v>
      </c>
      <c r="AH16" s="49">
        <v>0</v>
      </c>
      <c r="AI16" s="50">
        <v>0</v>
      </c>
      <c r="AJ16" s="49">
        <v>0</v>
      </c>
      <c r="AK16" s="49">
        <v>39.979020979021001</v>
      </c>
      <c r="AL16" s="49">
        <v>5717</v>
      </c>
      <c r="AM16" s="51" t="s">
        <v>95</v>
      </c>
      <c r="AN16" s="52" t="s">
        <v>96</v>
      </c>
      <c r="AO16" s="37" t="s">
        <v>75</v>
      </c>
    </row>
    <row r="17" spans="1:41" ht="15" customHeight="1" x14ac:dyDescent="0.2">
      <c r="A17" s="35" t="s">
        <v>318</v>
      </c>
      <c r="B17" s="35" t="s">
        <v>68</v>
      </c>
      <c r="C17" s="35">
        <v>2</v>
      </c>
      <c r="D17" s="36" t="s">
        <v>93</v>
      </c>
      <c r="E17" s="36">
        <v>16</v>
      </c>
      <c r="F17" s="36" t="s">
        <v>98</v>
      </c>
      <c r="G17" s="35" t="s">
        <v>319</v>
      </c>
      <c r="H17" s="37" t="s">
        <v>71</v>
      </c>
      <c r="I17" s="36" t="s">
        <v>72</v>
      </c>
      <c r="J17" s="37" t="s">
        <v>320</v>
      </c>
      <c r="K17" s="38">
        <v>2009</v>
      </c>
      <c r="L17" s="39">
        <v>17</v>
      </c>
      <c r="M17" s="40" t="s">
        <v>365</v>
      </c>
      <c r="N17" s="40" t="s">
        <v>365</v>
      </c>
      <c r="O17" s="40" t="s">
        <v>366</v>
      </c>
      <c r="P17" s="41">
        <v>1875</v>
      </c>
      <c r="Q17" s="42">
        <v>13.111888111888099</v>
      </c>
      <c r="R17" s="41">
        <v>143</v>
      </c>
      <c r="S17" s="43">
        <v>1803</v>
      </c>
      <c r="T17" s="43">
        <v>0</v>
      </c>
      <c r="U17" s="35">
        <v>32</v>
      </c>
      <c r="V17" s="35">
        <v>1803</v>
      </c>
      <c r="W17" s="35">
        <v>1771</v>
      </c>
      <c r="X17" s="44">
        <v>12.608391608391599</v>
      </c>
      <c r="Y17" s="44">
        <v>0</v>
      </c>
      <c r="Z17" s="45">
        <v>12.608391608391599</v>
      </c>
      <c r="AA17" s="43">
        <v>143</v>
      </c>
      <c r="AB17" s="46">
        <v>1803</v>
      </c>
      <c r="AC17" s="46"/>
      <c r="AD17" s="47">
        <v>12.61</v>
      </c>
      <c r="AE17" s="46">
        <v>143</v>
      </c>
      <c r="AF17" s="47">
        <v>13.11</v>
      </c>
      <c r="AG17" s="48" t="s">
        <v>324</v>
      </c>
      <c r="AH17" s="49">
        <v>0</v>
      </c>
      <c r="AI17" s="50">
        <v>0</v>
      </c>
      <c r="AJ17" s="49">
        <v>0</v>
      </c>
      <c r="AK17" s="49">
        <v>13.111888111888099</v>
      </c>
      <c r="AL17" s="49">
        <v>1875</v>
      </c>
      <c r="AM17" s="51" t="s">
        <v>95</v>
      </c>
      <c r="AN17" s="52" t="s">
        <v>96</v>
      </c>
      <c r="AO17" s="37" t="s">
        <v>75</v>
      </c>
    </row>
    <row r="18" spans="1:41" ht="15" customHeight="1" x14ac:dyDescent="0.2">
      <c r="A18" s="35" t="s">
        <v>318</v>
      </c>
      <c r="B18" s="35" t="s">
        <v>68</v>
      </c>
      <c r="C18" s="35">
        <v>2</v>
      </c>
      <c r="D18" s="36" t="s">
        <v>93</v>
      </c>
      <c r="E18" s="36">
        <v>17</v>
      </c>
      <c r="F18" s="36" t="s">
        <v>99</v>
      </c>
      <c r="G18" s="35" t="s">
        <v>319</v>
      </c>
      <c r="H18" s="37" t="s">
        <v>71</v>
      </c>
      <c r="I18" s="36" t="s">
        <v>72</v>
      </c>
      <c r="J18" s="37" t="s">
        <v>320</v>
      </c>
      <c r="K18" s="38">
        <v>2009</v>
      </c>
      <c r="L18" s="39">
        <v>17</v>
      </c>
      <c r="M18" s="40" t="s">
        <v>367</v>
      </c>
      <c r="N18" s="40" t="s">
        <v>367</v>
      </c>
      <c r="O18" s="40" t="s">
        <v>368</v>
      </c>
      <c r="P18" s="41">
        <v>3924</v>
      </c>
      <c r="Q18" s="42">
        <v>27.440559440559401</v>
      </c>
      <c r="R18" s="41">
        <v>143</v>
      </c>
      <c r="S18" s="43">
        <v>3679</v>
      </c>
      <c r="T18" s="43">
        <v>66</v>
      </c>
      <c r="U18" s="35">
        <v>152</v>
      </c>
      <c r="V18" s="35">
        <v>3745</v>
      </c>
      <c r="W18" s="35">
        <v>3593</v>
      </c>
      <c r="X18" s="44">
        <v>25.727272727272702</v>
      </c>
      <c r="Y18" s="44">
        <v>0.46153846153846201</v>
      </c>
      <c r="Z18" s="45">
        <v>26.188811188811201</v>
      </c>
      <c r="AA18" s="43">
        <v>143</v>
      </c>
      <c r="AB18" s="46">
        <v>3745</v>
      </c>
      <c r="AC18" s="46">
        <v>66</v>
      </c>
      <c r="AD18" s="47">
        <v>26.19</v>
      </c>
      <c r="AE18" s="46">
        <v>143</v>
      </c>
      <c r="AF18" s="47">
        <v>27.44</v>
      </c>
      <c r="AG18" s="48" t="s">
        <v>324</v>
      </c>
      <c r="AH18" s="49">
        <v>0</v>
      </c>
      <c r="AI18" s="50">
        <v>0</v>
      </c>
      <c r="AJ18" s="49">
        <v>0</v>
      </c>
      <c r="AK18" s="49">
        <v>27.440559440559401</v>
      </c>
      <c r="AL18" s="49">
        <v>3924</v>
      </c>
      <c r="AM18" s="51" t="s">
        <v>95</v>
      </c>
      <c r="AN18" s="52" t="s">
        <v>96</v>
      </c>
      <c r="AO18" s="37" t="s">
        <v>75</v>
      </c>
    </row>
    <row r="19" spans="1:41" ht="15" customHeight="1" x14ac:dyDescent="0.2">
      <c r="A19" s="35" t="s">
        <v>318</v>
      </c>
      <c r="B19" s="35" t="s">
        <v>68</v>
      </c>
      <c r="C19" s="35">
        <v>3</v>
      </c>
      <c r="D19" s="36" t="s">
        <v>93</v>
      </c>
      <c r="E19" s="36">
        <v>18</v>
      </c>
      <c r="F19" s="36" t="s">
        <v>100</v>
      </c>
      <c r="G19" s="35" t="s">
        <v>319</v>
      </c>
      <c r="H19" s="36" t="s">
        <v>78</v>
      </c>
      <c r="I19" s="36" t="s">
        <v>79</v>
      </c>
      <c r="J19" s="36" t="s">
        <v>78</v>
      </c>
      <c r="K19" s="38">
        <v>2009</v>
      </c>
      <c r="L19" s="39">
        <v>17</v>
      </c>
      <c r="M19" s="40" t="s">
        <v>369</v>
      </c>
      <c r="N19" s="40" t="s">
        <v>369</v>
      </c>
      <c r="O19" s="40" t="s">
        <v>370</v>
      </c>
      <c r="P19" s="41">
        <v>2514</v>
      </c>
      <c r="Q19" s="42">
        <v>17.580419580419601</v>
      </c>
      <c r="R19" s="41">
        <v>143</v>
      </c>
      <c r="S19" s="43">
        <v>2289</v>
      </c>
      <c r="T19" s="43">
        <v>41</v>
      </c>
      <c r="U19" s="35">
        <v>130</v>
      </c>
      <c r="V19" s="35">
        <v>2330</v>
      </c>
      <c r="W19" s="35">
        <v>2200</v>
      </c>
      <c r="X19" s="44">
        <v>16.006993006993</v>
      </c>
      <c r="Y19" s="44">
        <v>0.286713286713287</v>
      </c>
      <c r="Z19" s="45">
        <v>16.2937062937063</v>
      </c>
      <c r="AA19" s="43">
        <v>143</v>
      </c>
      <c r="AB19" s="46">
        <v>2330</v>
      </c>
      <c r="AC19" s="46">
        <v>41</v>
      </c>
      <c r="AD19" s="47">
        <v>16.29</v>
      </c>
      <c r="AE19" s="46">
        <v>143</v>
      </c>
      <c r="AF19" s="47">
        <v>17.579999999999998</v>
      </c>
      <c r="AG19" s="48" t="s">
        <v>324</v>
      </c>
      <c r="AH19" s="49">
        <v>0</v>
      </c>
      <c r="AI19" s="50">
        <v>0</v>
      </c>
      <c r="AJ19" s="49">
        <v>0</v>
      </c>
      <c r="AK19" s="49">
        <v>17.580419580419601</v>
      </c>
      <c r="AL19" s="49">
        <v>2514</v>
      </c>
      <c r="AM19" s="51" t="s">
        <v>95</v>
      </c>
      <c r="AN19" s="52" t="s">
        <v>96</v>
      </c>
      <c r="AO19" s="37" t="s">
        <v>75</v>
      </c>
    </row>
    <row r="20" spans="1:41" ht="15" customHeight="1" x14ac:dyDescent="0.2">
      <c r="A20" s="35" t="s">
        <v>318</v>
      </c>
      <c r="B20" s="35" t="s">
        <v>68</v>
      </c>
      <c r="C20" s="35">
        <v>2</v>
      </c>
      <c r="D20" s="36" t="s">
        <v>93</v>
      </c>
      <c r="E20" s="36">
        <v>19</v>
      </c>
      <c r="F20" s="36" t="s">
        <v>101</v>
      </c>
      <c r="G20" s="35" t="s">
        <v>319</v>
      </c>
      <c r="H20" s="36" t="s">
        <v>81</v>
      </c>
      <c r="I20" s="36" t="s">
        <v>82</v>
      </c>
      <c r="J20" s="36" t="s">
        <v>81</v>
      </c>
      <c r="K20" s="38">
        <v>2009</v>
      </c>
      <c r="L20" s="39">
        <v>17</v>
      </c>
      <c r="M20" s="40" t="s">
        <v>371</v>
      </c>
      <c r="N20" s="40" t="s">
        <v>371</v>
      </c>
      <c r="O20" s="40" t="s">
        <v>372</v>
      </c>
      <c r="P20" s="41">
        <v>5185</v>
      </c>
      <c r="Q20" s="42">
        <v>36.258741258741303</v>
      </c>
      <c r="R20" s="41">
        <v>143</v>
      </c>
      <c r="S20" s="43">
        <v>4474</v>
      </c>
      <c r="T20" s="43">
        <v>0</v>
      </c>
      <c r="U20" s="35">
        <v>0</v>
      </c>
      <c r="V20" s="35">
        <v>4474</v>
      </c>
      <c r="W20" s="35">
        <v>4474</v>
      </c>
      <c r="X20" s="44">
        <v>31.286713286713301</v>
      </c>
      <c r="Y20" s="44">
        <v>0</v>
      </c>
      <c r="Z20" s="45">
        <v>31.286713286713301</v>
      </c>
      <c r="AA20" s="43">
        <v>143</v>
      </c>
      <c r="AB20" s="46">
        <v>4474</v>
      </c>
      <c r="AC20" s="46"/>
      <c r="AD20" s="47">
        <v>31.29</v>
      </c>
      <c r="AE20" s="46">
        <v>143</v>
      </c>
      <c r="AF20" s="47">
        <v>36.26</v>
      </c>
      <c r="AG20" s="48" t="s">
        <v>324</v>
      </c>
      <c r="AH20" s="49">
        <v>0</v>
      </c>
      <c r="AI20" s="50">
        <v>0</v>
      </c>
      <c r="AJ20" s="49">
        <v>0</v>
      </c>
      <c r="AK20" s="49">
        <v>36.258741258741303</v>
      </c>
      <c r="AL20" s="49">
        <v>5185</v>
      </c>
      <c r="AM20" s="51" t="s">
        <v>95</v>
      </c>
      <c r="AN20" s="52" t="s">
        <v>96</v>
      </c>
      <c r="AO20" s="37" t="s">
        <v>75</v>
      </c>
    </row>
    <row r="21" spans="1:41" ht="15" customHeight="1" x14ac:dyDescent="0.2">
      <c r="A21" s="35" t="s">
        <v>318</v>
      </c>
      <c r="B21" s="35" t="s">
        <v>68</v>
      </c>
      <c r="C21" s="35">
        <v>2</v>
      </c>
      <c r="D21" s="36" t="s">
        <v>102</v>
      </c>
      <c r="E21" s="36">
        <v>20</v>
      </c>
      <c r="F21" s="36" t="s">
        <v>103</v>
      </c>
      <c r="G21" s="35" t="s">
        <v>319</v>
      </c>
      <c r="H21" s="37" t="s">
        <v>71</v>
      </c>
      <c r="I21" s="36" t="s">
        <v>72</v>
      </c>
      <c r="J21" s="37" t="s">
        <v>320</v>
      </c>
      <c r="K21" s="38">
        <v>2009</v>
      </c>
      <c r="L21" s="39">
        <v>17</v>
      </c>
      <c r="M21" s="40" t="s">
        <v>373</v>
      </c>
      <c r="N21" s="40" t="s">
        <v>373</v>
      </c>
      <c r="O21" s="40" t="s">
        <v>374</v>
      </c>
      <c r="P21" s="41">
        <v>3351</v>
      </c>
      <c r="Q21" s="42">
        <v>23.433566433566401</v>
      </c>
      <c r="R21" s="41">
        <v>143</v>
      </c>
      <c r="S21" s="43">
        <v>3327</v>
      </c>
      <c r="T21" s="43">
        <v>0</v>
      </c>
      <c r="U21" s="35">
        <v>0</v>
      </c>
      <c r="V21" s="35">
        <v>3327</v>
      </c>
      <c r="W21" s="35">
        <v>3327</v>
      </c>
      <c r="X21" s="44">
        <v>23.265734265734299</v>
      </c>
      <c r="Y21" s="44">
        <v>0</v>
      </c>
      <c r="Z21" s="45">
        <v>23.265734265734299</v>
      </c>
      <c r="AA21" s="43">
        <v>143</v>
      </c>
      <c r="AB21" s="46">
        <v>3327</v>
      </c>
      <c r="AC21" s="46"/>
      <c r="AD21" s="47">
        <v>23.27</v>
      </c>
      <c r="AE21" s="46">
        <v>143</v>
      </c>
      <c r="AF21" s="47">
        <v>23.43</v>
      </c>
      <c r="AG21" s="48" t="s">
        <v>324</v>
      </c>
      <c r="AH21" s="49">
        <v>0</v>
      </c>
      <c r="AI21" s="50">
        <v>0</v>
      </c>
      <c r="AJ21" s="49">
        <v>0</v>
      </c>
      <c r="AK21" s="49">
        <v>23.433566433566401</v>
      </c>
      <c r="AL21" s="49">
        <v>3351</v>
      </c>
      <c r="AM21" s="51" t="s">
        <v>95</v>
      </c>
      <c r="AN21" s="52" t="s">
        <v>96</v>
      </c>
      <c r="AO21" s="37" t="s">
        <v>75</v>
      </c>
    </row>
    <row r="22" spans="1:41" ht="15" customHeight="1" x14ac:dyDescent="0.2">
      <c r="A22" s="35" t="s">
        <v>318</v>
      </c>
      <c r="B22" s="35" t="s">
        <v>68</v>
      </c>
      <c r="C22" s="35">
        <v>2</v>
      </c>
      <c r="D22" s="36" t="s">
        <v>102</v>
      </c>
      <c r="E22" s="36">
        <v>21</v>
      </c>
      <c r="F22" s="36" t="s">
        <v>104</v>
      </c>
      <c r="G22" s="35" t="s">
        <v>319</v>
      </c>
      <c r="H22" s="36" t="s">
        <v>78</v>
      </c>
      <c r="I22" s="36" t="s">
        <v>79</v>
      </c>
      <c r="J22" s="36" t="s">
        <v>78</v>
      </c>
      <c r="K22" s="38">
        <v>2009</v>
      </c>
      <c r="L22" s="39">
        <v>17</v>
      </c>
      <c r="M22" s="40" t="s">
        <v>375</v>
      </c>
      <c r="N22" s="40" t="s">
        <v>375</v>
      </c>
      <c r="O22" s="40" t="s">
        <v>376</v>
      </c>
      <c r="P22" s="41">
        <v>6197</v>
      </c>
      <c r="Q22" s="42">
        <v>43.335664335664298</v>
      </c>
      <c r="R22" s="41">
        <v>143</v>
      </c>
      <c r="S22" s="43">
        <v>6124</v>
      </c>
      <c r="T22" s="43">
        <v>0</v>
      </c>
      <c r="U22" s="35">
        <v>0</v>
      </c>
      <c r="V22" s="35">
        <v>6124</v>
      </c>
      <c r="W22" s="35">
        <v>6124</v>
      </c>
      <c r="X22" s="44">
        <v>42.825174825174798</v>
      </c>
      <c r="Y22" s="44">
        <v>0</v>
      </c>
      <c r="Z22" s="45">
        <v>42.825174825174798</v>
      </c>
      <c r="AA22" s="43">
        <v>143</v>
      </c>
      <c r="AB22" s="46">
        <v>6124</v>
      </c>
      <c r="AC22" s="46"/>
      <c r="AD22" s="47">
        <v>42.83</v>
      </c>
      <c r="AE22" s="46">
        <v>143</v>
      </c>
      <c r="AF22" s="47">
        <v>43.34</v>
      </c>
      <c r="AG22" s="48" t="s">
        <v>324</v>
      </c>
      <c r="AH22" s="49">
        <v>0</v>
      </c>
      <c r="AI22" s="50">
        <v>0</v>
      </c>
      <c r="AJ22" s="49">
        <v>0</v>
      </c>
      <c r="AK22" s="49">
        <v>43.335664335664298</v>
      </c>
      <c r="AL22" s="49">
        <v>6197</v>
      </c>
      <c r="AM22" s="51" t="s">
        <v>95</v>
      </c>
      <c r="AN22" s="52" t="s">
        <v>96</v>
      </c>
      <c r="AO22" s="37" t="s">
        <v>75</v>
      </c>
    </row>
    <row r="23" spans="1:41" ht="15" customHeight="1" x14ac:dyDescent="0.2">
      <c r="A23" s="35" t="s">
        <v>318</v>
      </c>
      <c r="B23" s="35" t="s">
        <v>68</v>
      </c>
      <c r="C23" s="35">
        <v>2</v>
      </c>
      <c r="D23" s="36" t="s">
        <v>105</v>
      </c>
      <c r="E23" s="36">
        <v>22</v>
      </c>
      <c r="F23" s="36" t="s">
        <v>106</v>
      </c>
      <c r="G23" s="35" t="s">
        <v>319</v>
      </c>
      <c r="H23" s="36" t="s">
        <v>81</v>
      </c>
      <c r="I23" s="36" t="s">
        <v>82</v>
      </c>
      <c r="J23" s="36" t="s">
        <v>81</v>
      </c>
      <c r="K23" s="38">
        <v>2009</v>
      </c>
      <c r="L23" s="39">
        <v>17</v>
      </c>
      <c r="M23" s="40" t="s">
        <v>377</v>
      </c>
      <c r="N23" s="40" t="s">
        <v>377</v>
      </c>
      <c r="O23" s="40" t="s">
        <v>378</v>
      </c>
      <c r="P23" s="41">
        <v>4824</v>
      </c>
      <c r="Q23" s="42">
        <v>33.734265734265698</v>
      </c>
      <c r="R23" s="41">
        <v>143</v>
      </c>
      <c r="S23" s="43">
        <v>4743</v>
      </c>
      <c r="T23" s="43">
        <v>0</v>
      </c>
      <c r="U23" s="35">
        <v>0</v>
      </c>
      <c r="V23" s="35">
        <v>4743</v>
      </c>
      <c r="W23" s="35">
        <v>4743</v>
      </c>
      <c r="X23" s="44">
        <v>33.167832167832202</v>
      </c>
      <c r="Y23" s="44">
        <v>0</v>
      </c>
      <c r="Z23" s="45">
        <v>33.167832167832202</v>
      </c>
      <c r="AA23" s="43">
        <v>143</v>
      </c>
      <c r="AB23" s="46">
        <v>4743</v>
      </c>
      <c r="AC23" s="46"/>
      <c r="AD23" s="47">
        <v>33.17</v>
      </c>
      <c r="AE23" s="46">
        <v>143</v>
      </c>
      <c r="AF23" s="47">
        <v>33.729999999999997</v>
      </c>
      <c r="AG23" s="48" t="s">
        <v>324</v>
      </c>
      <c r="AH23" s="49">
        <v>0</v>
      </c>
      <c r="AI23" s="50">
        <v>0</v>
      </c>
      <c r="AJ23" s="49">
        <v>0</v>
      </c>
      <c r="AK23" s="49">
        <v>33.734265734265698</v>
      </c>
      <c r="AL23" s="49">
        <v>4824</v>
      </c>
      <c r="AM23" s="51" t="s">
        <v>95</v>
      </c>
      <c r="AN23" s="52" t="s">
        <v>96</v>
      </c>
      <c r="AO23" s="37" t="s">
        <v>75</v>
      </c>
    </row>
    <row r="24" spans="1:41" ht="15" customHeight="1" x14ac:dyDescent="0.2">
      <c r="A24" s="35" t="s">
        <v>318</v>
      </c>
      <c r="B24" s="35" t="s">
        <v>68</v>
      </c>
      <c r="C24" s="35">
        <v>3</v>
      </c>
      <c r="D24" s="36" t="s">
        <v>93</v>
      </c>
      <c r="E24" s="40">
        <v>23</v>
      </c>
      <c r="F24" s="36" t="s">
        <v>107</v>
      </c>
      <c r="G24" s="35" t="s">
        <v>319</v>
      </c>
      <c r="H24" s="37" t="s">
        <v>71</v>
      </c>
      <c r="I24" s="36" t="s">
        <v>79</v>
      </c>
      <c r="J24" s="36" t="s">
        <v>71</v>
      </c>
      <c r="K24" s="38">
        <v>2009</v>
      </c>
      <c r="L24" s="39">
        <v>17</v>
      </c>
      <c r="M24" s="40" t="s">
        <v>379</v>
      </c>
      <c r="N24" s="40" t="s">
        <v>379</v>
      </c>
      <c r="O24" s="40" t="s">
        <v>380</v>
      </c>
      <c r="P24" s="41">
        <v>5756</v>
      </c>
      <c r="Q24" s="42">
        <v>40.251748251748303</v>
      </c>
      <c r="R24" s="41">
        <v>143</v>
      </c>
      <c r="S24" s="43">
        <v>5711</v>
      </c>
      <c r="T24" s="43">
        <v>0</v>
      </c>
      <c r="U24" s="35">
        <v>0</v>
      </c>
      <c r="V24" s="35">
        <v>5711</v>
      </c>
      <c r="W24" s="35">
        <v>5711</v>
      </c>
      <c r="X24" s="44">
        <v>39.937062937062898</v>
      </c>
      <c r="Y24" s="44">
        <v>0</v>
      </c>
      <c r="Z24" s="45">
        <v>39.937062937062898</v>
      </c>
      <c r="AA24" s="43">
        <v>143</v>
      </c>
      <c r="AB24" s="46">
        <v>5711</v>
      </c>
      <c r="AC24" s="46"/>
      <c r="AD24" s="47">
        <v>39.94</v>
      </c>
      <c r="AE24" s="46">
        <v>143</v>
      </c>
      <c r="AF24" s="47">
        <v>40.25</v>
      </c>
      <c r="AG24" s="48" t="s">
        <v>324</v>
      </c>
      <c r="AH24" s="49">
        <v>0</v>
      </c>
      <c r="AI24" s="50">
        <v>0</v>
      </c>
      <c r="AJ24" s="49">
        <v>0</v>
      </c>
      <c r="AK24" s="49">
        <v>40.251748251748303</v>
      </c>
      <c r="AL24" s="49">
        <v>5756</v>
      </c>
      <c r="AM24" s="51" t="s">
        <v>95</v>
      </c>
      <c r="AN24" s="52" t="s">
        <v>96</v>
      </c>
      <c r="AO24" s="37" t="s">
        <v>75</v>
      </c>
    </row>
    <row r="25" spans="1:41" ht="15" customHeight="1" x14ac:dyDescent="0.2">
      <c r="A25" s="35" t="s">
        <v>318</v>
      </c>
      <c r="B25" s="35" t="s">
        <v>68</v>
      </c>
      <c r="C25" s="35">
        <v>3</v>
      </c>
      <c r="D25" s="36" t="s">
        <v>93</v>
      </c>
      <c r="E25" s="36">
        <v>24</v>
      </c>
      <c r="F25" s="36" t="s">
        <v>108</v>
      </c>
      <c r="G25" s="35" t="s">
        <v>319</v>
      </c>
      <c r="H25" s="36" t="s">
        <v>78</v>
      </c>
      <c r="I25" s="36" t="s">
        <v>79</v>
      </c>
      <c r="J25" s="36" t="s">
        <v>78</v>
      </c>
      <c r="K25" s="38">
        <v>2009</v>
      </c>
      <c r="L25" s="39">
        <v>17</v>
      </c>
      <c r="M25" s="40" t="s">
        <v>381</v>
      </c>
      <c r="N25" s="40" t="s">
        <v>381</v>
      </c>
      <c r="O25" s="40" t="s">
        <v>382</v>
      </c>
      <c r="P25" s="41">
        <v>5579</v>
      </c>
      <c r="Q25" s="42">
        <v>39.013986013985999</v>
      </c>
      <c r="R25" s="41">
        <v>143</v>
      </c>
      <c r="S25" s="43">
        <v>5480</v>
      </c>
      <c r="T25" s="43">
        <v>0</v>
      </c>
      <c r="U25" s="35">
        <v>0</v>
      </c>
      <c r="V25" s="35">
        <v>5480</v>
      </c>
      <c r="W25" s="35">
        <v>5480</v>
      </c>
      <c r="X25" s="44">
        <v>38.321678321678299</v>
      </c>
      <c r="Y25" s="44">
        <v>0</v>
      </c>
      <c r="Z25" s="45">
        <v>38.321678321678299</v>
      </c>
      <c r="AA25" s="43">
        <v>143</v>
      </c>
      <c r="AB25" s="46">
        <v>5480</v>
      </c>
      <c r="AC25" s="46"/>
      <c r="AD25" s="47">
        <v>38.32</v>
      </c>
      <c r="AE25" s="46">
        <v>143</v>
      </c>
      <c r="AF25" s="47">
        <v>39.01</v>
      </c>
      <c r="AG25" s="48" t="s">
        <v>324</v>
      </c>
      <c r="AH25" s="49">
        <v>0</v>
      </c>
      <c r="AI25" s="50">
        <v>0</v>
      </c>
      <c r="AJ25" s="49">
        <v>0</v>
      </c>
      <c r="AK25" s="49">
        <v>39.013986013985999</v>
      </c>
      <c r="AL25" s="49">
        <v>5579</v>
      </c>
      <c r="AM25" s="51" t="s">
        <v>95</v>
      </c>
      <c r="AN25" s="52" t="s">
        <v>96</v>
      </c>
      <c r="AO25" s="37" t="s">
        <v>75</v>
      </c>
    </row>
    <row r="26" spans="1:41" ht="15" customHeight="1" x14ac:dyDescent="0.2">
      <c r="A26" s="35" t="s">
        <v>318</v>
      </c>
      <c r="B26" s="35" t="s">
        <v>68</v>
      </c>
      <c r="C26" s="35">
        <v>3</v>
      </c>
      <c r="D26" s="36" t="s">
        <v>93</v>
      </c>
      <c r="E26" s="36">
        <v>25</v>
      </c>
      <c r="F26" s="36" t="s">
        <v>109</v>
      </c>
      <c r="G26" s="35" t="s">
        <v>319</v>
      </c>
      <c r="H26" s="37" t="s">
        <v>71</v>
      </c>
      <c r="I26" s="36" t="s">
        <v>72</v>
      </c>
      <c r="J26" s="37" t="s">
        <v>320</v>
      </c>
      <c r="K26" s="38">
        <v>2009</v>
      </c>
      <c r="L26" s="39">
        <v>17</v>
      </c>
      <c r="M26" s="40" t="s">
        <v>383</v>
      </c>
      <c r="N26" s="40" t="s">
        <v>383</v>
      </c>
      <c r="O26" s="40" t="s">
        <v>384</v>
      </c>
      <c r="P26" s="41">
        <v>7005</v>
      </c>
      <c r="Q26" s="42">
        <v>48.986013986014001</v>
      </c>
      <c r="R26" s="41">
        <v>143</v>
      </c>
      <c r="S26" s="43">
        <v>7024</v>
      </c>
      <c r="T26" s="43">
        <v>0</v>
      </c>
      <c r="U26" s="35">
        <v>41</v>
      </c>
      <c r="V26" s="35">
        <v>7024</v>
      </c>
      <c r="W26" s="35">
        <v>6983</v>
      </c>
      <c r="X26" s="44">
        <v>49.118881118881099</v>
      </c>
      <c r="Y26" s="44">
        <v>0</v>
      </c>
      <c r="Z26" s="45">
        <v>49.118881118881099</v>
      </c>
      <c r="AA26" s="43">
        <v>143</v>
      </c>
      <c r="AB26" s="46">
        <v>7024</v>
      </c>
      <c r="AC26" s="46"/>
      <c r="AD26" s="47">
        <v>49.12</v>
      </c>
      <c r="AE26" s="46">
        <v>143</v>
      </c>
      <c r="AF26" s="47">
        <v>48.99</v>
      </c>
      <c r="AG26" s="48" t="s">
        <v>324</v>
      </c>
      <c r="AH26" s="49">
        <v>0</v>
      </c>
      <c r="AI26" s="50">
        <v>0</v>
      </c>
      <c r="AJ26" s="49">
        <v>0</v>
      </c>
      <c r="AK26" s="49">
        <v>48.986013986014001</v>
      </c>
      <c r="AL26" s="49">
        <v>7005</v>
      </c>
      <c r="AM26" s="51" t="s">
        <v>95</v>
      </c>
      <c r="AN26" s="52" t="s">
        <v>96</v>
      </c>
      <c r="AO26" s="37" t="s">
        <v>75</v>
      </c>
    </row>
    <row r="27" spans="1:41" ht="15" customHeight="1" x14ac:dyDescent="0.2">
      <c r="A27" s="35" t="s">
        <v>318</v>
      </c>
      <c r="B27" s="35" t="s">
        <v>68</v>
      </c>
      <c r="C27" s="35">
        <v>3</v>
      </c>
      <c r="D27" s="36" t="s">
        <v>105</v>
      </c>
      <c r="E27" s="36">
        <v>26</v>
      </c>
      <c r="F27" s="36" t="s">
        <v>110</v>
      </c>
      <c r="G27" s="35" t="s">
        <v>319</v>
      </c>
      <c r="H27" s="36" t="s">
        <v>81</v>
      </c>
      <c r="I27" s="36" t="s">
        <v>82</v>
      </c>
      <c r="J27" s="36" t="s">
        <v>81</v>
      </c>
      <c r="K27" s="38">
        <v>2009</v>
      </c>
      <c r="L27" s="39">
        <v>17</v>
      </c>
      <c r="M27" s="40" t="s">
        <v>385</v>
      </c>
      <c r="N27" s="40" t="s">
        <v>385</v>
      </c>
      <c r="O27" s="40" t="s">
        <v>386</v>
      </c>
      <c r="P27" s="41">
        <v>5673</v>
      </c>
      <c r="Q27" s="42">
        <v>39.671328671328702</v>
      </c>
      <c r="R27" s="41">
        <v>143</v>
      </c>
      <c r="S27" s="43">
        <v>5673</v>
      </c>
      <c r="T27" s="43">
        <v>0</v>
      </c>
      <c r="U27" s="35">
        <v>143</v>
      </c>
      <c r="V27" s="35">
        <v>5673</v>
      </c>
      <c r="W27" s="35">
        <v>5530</v>
      </c>
      <c r="X27" s="44">
        <v>39.671328671328702</v>
      </c>
      <c r="Y27" s="44">
        <v>0</v>
      </c>
      <c r="Z27" s="45">
        <v>39.671328671328702</v>
      </c>
      <c r="AA27" s="43">
        <v>143</v>
      </c>
      <c r="AB27" s="46">
        <v>5673</v>
      </c>
      <c r="AC27" s="46"/>
      <c r="AD27" s="47">
        <v>39.67</v>
      </c>
      <c r="AE27" s="46">
        <v>143</v>
      </c>
      <c r="AF27" s="47">
        <v>39.67</v>
      </c>
      <c r="AG27" s="48" t="s">
        <v>324</v>
      </c>
      <c r="AH27" s="49">
        <v>0</v>
      </c>
      <c r="AI27" s="50">
        <v>0</v>
      </c>
      <c r="AJ27" s="49">
        <v>0</v>
      </c>
      <c r="AK27" s="49">
        <v>39.671328671328702</v>
      </c>
      <c r="AL27" s="49">
        <v>5673</v>
      </c>
      <c r="AM27" s="51" t="s">
        <v>95</v>
      </c>
      <c r="AN27" s="52" t="s">
        <v>96</v>
      </c>
      <c r="AO27" s="37" t="s">
        <v>75</v>
      </c>
    </row>
    <row r="28" spans="1:41" ht="15" customHeight="1" x14ac:dyDescent="0.2">
      <c r="A28" s="35" t="s">
        <v>318</v>
      </c>
      <c r="B28" s="35" t="s">
        <v>68</v>
      </c>
      <c r="C28" s="35">
        <v>3</v>
      </c>
      <c r="D28" s="36" t="s">
        <v>105</v>
      </c>
      <c r="E28" s="36">
        <v>27</v>
      </c>
      <c r="F28" s="36" t="s">
        <v>111</v>
      </c>
      <c r="G28" s="35" t="s">
        <v>319</v>
      </c>
      <c r="H28" s="37" t="s">
        <v>71</v>
      </c>
      <c r="I28" s="36" t="s">
        <v>72</v>
      </c>
      <c r="J28" s="37" t="s">
        <v>320</v>
      </c>
      <c r="K28" s="38">
        <v>2009</v>
      </c>
      <c r="L28" s="39">
        <v>17</v>
      </c>
      <c r="M28" s="40" t="s">
        <v>387</v>
      </c>
      <c r="N28" s="40" t="s">
        <v>387</v>
      </c>
      <c r="O28" s="40" t="s">
        <v>388</v>
      </c>
      <c r="P28" s="41">
        <v>6884</v>
      </c>
      <c r="Q28" s="42">
        <v>48.139860139860097</v>
      </c>
      <c r="R28" s="41">
        <v>143</v>
      </c>
      <c r="S28" s="43">
        <v>6837</v>
      </c>
      <c r="T28" s="43">
        <v>70</v>
      </c>
      <c r="U28" s="35">
        <v>161</v>
      </c>
      <c r="V28" s="35">
        <v>6907</v>
      </c>
      <c r="W28" s="35">
        <v>6746</v>
      </c>
      <c r="X28" s="44">
        <v>47.811188811188799</v>
      </c>
      <c r="Y28" s="44">
        <v>0.48951048951048998</v>
      </c>
      <c r="Z28" s="45">
        <v>48.3006993006993</v>
      </c>
      <c r="AA28" s="43">
        <v>143</v>
      </c>
      <c r="AB28" s="46">
        <v>6907</v>
      </c>
      <c r="AC28" s="46">
        <v>70</v>
      </c>
      <c r="AD28" s="47">
        <v>48.3</v>
      </c>
      <c r="AE28" s="46">
        <v>143</v>
      </c>
      <c r="AF28" s="47">
        <v>48.14</v>
      </c>
      <c r="AG28" s="48" t="s">
        <v>324</v>
      </c>
      <c r="AH28" s="49">
        <v>0</v>
      </c>
      <c r="AI28" s="50">
        <v>0</v>
      </c>
      <c r="AJ28" s="49">
        <v>0</v>
      </c>
      <c r="AK28" s="49">
        <v>48.139860139860097</v>
      </c>
      <c r="AL28" s="49">
        <v>6884</v>
      </c>
      <c r="AM28" s="51" t="s">
        <v>95</v>
      </c>
      <c r="AN28" s="52" t="s">
        <v>96</v>
      </c>
      <c r="AO28" s="37" t="s">
        <v>75</v>
      </c>
    </row>
    <row r="29" spans="1:41" ht="15" customHeight="1" x14ac:dyDescent="0.2">
      <c r="A29" s="35" t="s">
        <v>318</v>
      </c>
      <c r="B29" s="35" t="s">
        <v>68</v>
      </c>
      <c r="C29" s="35">
        <v>3</v>
      </c>
      <c r="D29" s="36" t="s">
        <v>105</v>
      </c>
      <c r="E29" s="36">
        <v>28</v>
      </c>
      <c r="F29" s="36" t="s">
        <v>112</v>
      </c>
      <c r="G29" s="35" t="s">
        <v>319</v>
      </c>
      <c r="H29" s="36" t="s">
        <v>81</v>
      </c>
      <c r="I29" s="36" t="s">
        <v>82</v>
      </c>
      <c r="J29" s="36" t="s">
        <v>81</v>
      </c>
      <c r="K29" s="38">
        <v>2009</v>
      </c>
      <c r="L29" s="39">
        <v>17</v>
      </c>
      <c r="M29" s="40" t="s">
        <v>389</v>
      </c>
      <c r="N29" s="40" t="s">
        <v>389</v>
      </c>
      <c r="O29" s="40" t="s">
        <v>390</v>
      </c>
      <c r="P29" s="41">
        <v>3310</v>
      </c>
      <c r="Q29" s="42">
        <v>23.1468531468532</v>
      </c>
      <c r="R29" s="41">
        <v>143</v>
      </c>
      <c r="S29" s="43">
        <v>2926</v>
      </c>
      <c r="T29" s="43">
        <v>326</v>
      </c>
      <c r="U29" s="35">
        <v>545</v>
      </c>
      <c r="V29" s="35">
        <v>3252</v>
      </c>
      <c r="W29" s="35">
        <v>2707</v>
      </c>
      <c r="X29" s="44">
        <v>20.461538461538499</v>
      </c>
      <c r="Y29" s="44">
        <v>2.27972027972028</v>
      </c>
      <c r="Z29" s="45">
        <v>22.741258741258701</v>
      </c>
      <c r="AA29" s="43">
        <v>143</v>
      </c>
      <c r="AB29" s="46">
        <v>3252</v>
      </c>
      <c r="AC29" s="46">
        <v>326</v>
      </c>
      <c r="AD29" s="47">
        <v>22.74</v>
      </c>
      <c r="AE29" s="46">
        <v>143</v>
      </c>
      <c r="AF29" s="47">
        <v>23.15</v>
      </c>
      <c r="AG29" s="48" t="s">
        <v>324</v>
      </c>
      <c r="AH29" s="49">
        <v>0</v>
      </c>
      <c r="AI29" s="50">
        <v>0</v>
      </c>
      <c r="AJ29" s="49">
        <v>0</v>
      </c>
      <c r="AK29" s="49">
        <v>23.1468531468532</v>
      </c>
      <c r="AL29" s="49">
        <v>3310</v>
      </c>
      <c r="AM29" s="51" t="s">
        <v>95</v>
      </c>
      <c r="AN29" s="52" t="s">
        <v>96</v>
      </c>
      <c r="AO29" s="37" t="s">
        <v>75</v>
      </c>
    </row>
    <row r="30" spans="1:41" ht="15" customHeight="1" x14ac:dyDescent="0.2">
      <c r="A30" s="35" t="s">
        <v>318</v>
      </c>
      <c r="B30" s="35" t="s">
        <v>68</v>
      </c>
      <c r="C30" s="35">
        <v>2</v>
      </c>
      <c r="D30" s="36" t="s">
        <v>102</v>
      </c>
      <c r="E30" s="36">
        <v>29</v>
      </c>
      <c r="F30" s="36" t="s">
        <v>113</v>
      </c>
      <c r="G30" s="35" t="s">
        <v>319</v>
      </c>
      <c r="H30" s="37" t="s">
        <v>71</v>
      </c>
      <c r="I30" s="36" t="s">
        <v>72</v>
      </c>
      <c r="J30" s="37" t="s">
        <v>320</v>
      </c>
      <c r="K30" s="38">
        <v>2009</v>
      </c>
      <c r="L30" s="39">
        <v>17</v>
      </c>
      <c r="M30" s="40" t="s">
        <v>391</v>
      </c>
      <c r="N30" s="40" t="s">
        <v>391</v>
      </c>
      <c r="O30" s="40" t="s">
        <v>392</v>
      </c>
      <c r="P30" s="41">
        <v>1700</v>
      </c>
      <c r="Q30" s="42">
        <v>11.888111888111901</v>
      </c>
      <c r="R30" s="41">
        <v>143</v>
      </c>
      <c r="S30" s="43">
        <v>1608</v>
      </c>
      <c r="T30" s="43">
        <v>89</v>
      </c>
      <c r="U30" s="35">
        <v>204</v>
      </c>
      <c r="V30" s="35">
        <v>1697</v>
      </c>
      <c r="W30" s="35">
        <v>1493</v>
      </c>
      <c r="X30" s="44">
        <v>11.2447552447553</v>
      </c>
      <c r="Y30" s="44">
        <v>0.62237762237762195</v>
      </c>
      <c r="Z30" s="45">
        <v>11.8671328671329</v>
      </c>
      <c r="AA30" s="43">
        <v>143</v>
      </c>
      <c r="AB30" s="46">
        <v>1697</v>
      </c>
      <c r="AC30" s="46">
        <v>89</v>
      </c>
      <c r="AD30" s="47">
        <v>11.87</v>
      </c>
      <c r="AE30" s="46">
        <v>143</v>
      </c>
      <c r="AF30" s="47">
        <v>11.89</v>
      </c>
      <c r="AG30" s="48" t="s">
        <v>324</v>
      </c>
      <c r="AH30" s="49">
        <v>0</v>
      </c>
      <c r="AI30" s="50">
        <v>0</v>
      </c>
      <c r="AJ30" s="49">
        <v>0</v>
      </c>
      <c r="AK30" s="49">
        <v>11.888111888111901</v>
      </c>
      <c r="AL30" s="49">
        <v>1700</v>
      </c>
      <c r="AM30" s="51" t="s">
        <v>95</v>
      </c>
      <c r="AN30" s="52" t="s">
        <v>96</v>
      </c>
      <c r="AO30" s="37" t="s">
        <v>75</v>
      </c>
    </row>
    <row r="31" spans="1:41" ht="15" customHeight="1" x14ac:dyDescent="0.2">
      <c r="A31" s="35" t="s">
        <v>318</v>
      </c>
      <c r="B31" s="35" t="s">
        <v>68</v>
      </c>
      <c r="C31" s="35">
        <v>2</v>
      </c>
      <c r="D31" s="36" t="s">
        <v>102</v>
      </c>
      <c r="E31" s="36">
        <v>30</v>
      </c>
      <c r="F31" s="36" t="s">
        <v>114</v>
      </c>
      <c r="G31" s="35" t="s">
        <v>319</v>
      </c>
      <c r="H31" s="37" t="s">
        <v>71</v>
      </c>
      <c r="I31" s="36" t="s">
        <v>72</v>
      </c>
      <c r="J31" s="37" t="s">
        <v>320</v>
      </c>
      <c r="K31" s="38">
        <v>2009</v>
      </c>
      <c r="L31" s="39">
        <v>17</v>
      </c>
      <c r="M31" s="40" t="s">
        <v>393</v>
      </c>
      <c r="N31" s="40" t="s">
        <v>393</v>
      </c>
      <c r="O31" s="40" t="s">
        <v>394</v>
      </c>
      <c r="P31" s="41">
        <v>3141</v>
      </c>
      <c r="Q31" s="42">
        <v>21.965034965034999</v>
      </c>
      <c r="R31" s="41">
        <v>143</v>
      </c>
      <c r="S31" s="43">
        <v>3005</v>
      </c>
      <c r="T31" s="43">
        <v>102</v>
      </c>
      <c r="U31" s="35">
        <v>296</v>
      </c>
      <c r="V31" s="35">
        <v>3107</v>
      </c>
      <c r="W31" s="35">
        <v>2811</v>
      </c>
      <c r="X31" s="44">
        <v>21.013986013985999</v>
      </c>
      <c r="Y31" s="44">
        <v>0.713286713286713</v>
      </c>
      <c r="Z31" s="45">
        <v>21.727272727272702</v>
      </c>
      <c r="AA31" s="43">
        <v>143</v>
      </c>
      <c r="AB31" s="46">
        <v>3107</v>
      </c>
      <c r="AC31" s="46">
        <v>102</v>
      </c>
      <c r="AD31" s="47">
        <v>21.73</v>
      </c>
      <c r="AE31" s="46">
        <v>143</v>
      </c>
      <c r="AF31" s="47">
        <v>21.97</v>
      </c>
      <c r="AG31" s="48" t="s">
        <v>324</v>
      </c>
      <c r="AH31" s="49">
        <v>0</v>
      </c>
      <c r="AI31" s="50">
        <v>0</v>
      </c>
      <c r="AJ31" s="49">
        <v>0</v>
      </c>
      <c r="AK31" s="49">
        <v>21.965034965034999</v>
      </c>
      <c r="AL31" s="49">
        <v>3141</v>
      </c>
      <c r="AM31" s="51" t="s">
        <v>95</v>
      </c>
      <c r="AN31" s="52" t="s">
        <v>96</v>
      </c>
      <c r="AO31" s="37" t="s">
        <v>75</v>
      </c>
    </row>
    <row r="32" spans="1:41" ht="15" customHeight="1" x14ac:dyDescent="0.2">
      <c r="A32" s="35" t="s">
        <v>318</v>
      </c>
      <c r="B32" s="35" t="s">
        <v>68</v>
      </c>
      <c r="C32" s="35">
        <v>2</v>
      </c>
      <c r="D32" s="40" t="s">
        <v>93</v>
      </c>
      <c r="E32" s="40" t="s">
        <v>115</v>
      </c>
      <c r="F32" s="36" t="s">
        <v>116</v>
      </c>
      <c r="G32" s="35" t="s">
        <v>319</v>
      </c>
      <c r="H32" s="40" t="s">
        <v>78</v>
      </c>
      <c r="I32" s="40" t="s">
        <v>79</v>
      </c>
      <c r="J32" s="40" t="s">
        <v>78</v>
      </c>
      <c r="K32" s="39">
        <v>2010</v>
      </c>
      <c r="L32" s="39">
        <v>16</v>
      </c>
      <c r="M32" s="40" t="s">
        <v>395</v>
      </c>
      <c r="N32" s="40" t="s">
        <v>395</v>
      </c>
      <c r="O32" s="40" t="s">
        <v>396</v>
      </c>
      <c r="P32" s="41">
        <v>1000</v>
      </c>
      <c r="Q32" s="42">
        <v>6.9930069930069898</v>
      </c>
      <c r="R32" s="41">
        <v>143</v>
      </c>
      <c r="S32" s="43">
        <v>992</v>
      </c>
      <c r="T32" s="43">
        <v>0</v>
      </c>
      <c r="U32" s="35">
        <v>49</v>
      </c>
      <c r="V32" s="35">
        <v>992</v>
      </c>
      <c r="W32" s="35">
        <v>943</v>
      </c>
      <c r="X32" s="44">
        <v>6.9370629370629402</v>
      </c>
      <c r="Y32" s="44">
        <v>0</v>
      </c>
      <c r="Z32" s="45">
        <v>6.9370629370629402</v>
      </c>
      <c r="AA32" s="43">
        <v>143</v>
      </c>
      <c r="AB32" s="46">
        <v>992</v>
      </c>
      <c r="AC32" s="46"/>
      <c r="AD32" s="47">
        <v>6.94</v>
      </c>
      <c r="AE32" s="46">
        <v>143</v>
      </c>
      <c r="AF32" s="47">
        <v>6.99</v>
      </c>
      <c r="AG32" s="48" t="s">
        <v>324</v>
      </c>
      <c r="AH32" s="49">
        <v>0</v>
      </c>
      <c r="AI32" s="50">
        <v>0</v>
      </c>
      <c r="AJ32" s="49">
        <v>0</v>
      </c>
      <c r="AK32" s="49">
        <v>6.9930069930069898</v>
      </c>
      <c r="AL32" s="49">
        <v>1000</v>
      </c>
      <c r="AM32" s="52" t="s">
        <v>95</v>
      </c>
      <c r="AN32" s="52" t="s">
        <v>96</v>
      </c>
      <c r="AO32" s="37" t="s">
        <v>75</v>
      </c>
    </row>
    <row r="33" spans="1:41" ht="15" customHeight="1" x14ac:dyDescent="0.2">
      <c r="A33" s="35" t="s">
        <v>318</v>
      </c>
      <c r="B33" s="35" t="s">
        <v>68</v>
      </c>
      <c r="C33" s="35">
        <v>2</v>
      </c>
      <c r="D33" s="36" t="s">
        <v>102</v>
      </c>
      <c r="E33" s="36" t="s">
        <v>117</v>
      </c>
      <c r="F33" s="36" t="s">
        <v>118</v>
      </c>
      <c r="G33" s="35" t="s">
        <v>319</v>
      </c>
      <c r="H33" s="36" t="s">
        <v>81</v>
      </c>
      <c r="I33" s="36" t="s">
        <v>82</v>
      </c>
      <c r="J33" s="36" t="s">
        <v>81</v>
      </c>
      <c r="K33" s="38">
        <v>2010</v>
      </c>
      <c r="L33" s="39">
        <v>16</v>
      </c>
      <c r="M33" s="40" t="s">
        <v>397</v>
      </c>
      <c r="N33" s="40" t="s">
        <v>397</v>
      </c>
      <c r="O33" s="40" t="s">
        <v>398</v>
      </c>
      <c r="P33" s="41">
        <v>1480</v>
      </c>
      <c r="Q33" s="42">
        <v>10.3496503496504</v>
      </c>
      <c r="R33" s="41">
        <v>143</v>
      </c>
      <c r="S33" s="43">
        <v>2155</v>
      </c>
      <c r="T33" s="43">
        <v>0</v>
      </c>
      <c r="U33" s="35">
        <v>0</v>
      </c>
      <c r="V33" s="35">
        <v>2155</v>
      </c>
      <c r="W33" s="35">
        <v>2155</v>
      </c>
      <c r="X33" s="44">
        <v>15.0699300699301</v>
      </c>
      <c r="Y33" s="44">
        <v>0</v>
      </c>
      <c r="Z33" s="45">
        <v>15.0699300699301</v>
      </c>
      <c r="AA33" s="43">
        <v>143</v>
      </c>
      <c r="AB33" s="46">
        <v>2155</v>
      </c>
      <c r="AC33" s="46"/>
      <c r="AD33" s="47">
        <v>15.07</v>
      </c>
      <c r="AE33" s="46">
        <v>143</v>
      </c>
      <c r="AF33" s="47">
        <v>10.35</v>
      </c>
      <c r="AG33" s="48" t="s">
        <v>324</v>
      </c>
      <c r="AH33" s="49">
        <v>0</v>
      </c>
      <c r="AI33" s="50">
        <v>0</v>
      </c>
      <c r="AJ33" s="49">
        <v>0</v>
      </c>
      <c r="AK33" s="49">
        <v>10.3496503496504</v>
      </c>
      <c r="AL33" s="49">
        <v>1480</v>
      </c>
      <c r="AM33" s="51" t="s">
        <v>95</v>
      </c>
      <c r="AN33" s="52" t="s">
        <v>96</v>
      </c>
      <c r="AO33" s="37" t="s">
        <v>75</v>
      </c>
    </row>
    <row r="34" spans="1:41" ht="15" customHeight="1" x14ac:dyDescent="0.2">
      <c r="A34" s="35" t="s">
        <v>318</v>
      </c>
      <c r="B34" s="35" t="s">
        <v>68</v>
      </c>
      <c r="C34" s="35">
        <v>2</v>
      </c>
      <c r="D34" s="36" t="s">
        <v>102</v>
      </c>
      <c r="E34" s="36" t="s">
        <v>119</v>
      </c>
      <c r="F34" s="36" t="s">
        <v>120</v>
      </c>
      <c r="G34" s="35" t="s">
        <v>319</v>
      </c>
      <c r="H34" s="37" t="s">
        <v>71</v>
      </c>
      <c r="I34" s="36" t="s">
        <v>72</v>
      </c>
      <c r="J34" s="37" t="s">
        <v>320</v>
      </c>
      <c r="K34" s="38">
        <v>2010</v>
      </c>
      <c r="L34" s="39">
        <v>16</v>
      </c>
      <c r="M34" s="40" t="s">
        <v>399</v>
      </c>
      <c r="N34" s="40" t="s">
        <v>399</v>
      </c>
      <c r="O34" s="40" t="s">
        <v>400</v>
      </c>
      <c r="P34" s="41">
        <v>1939</v>
      </c>
      <c r="Q34" s="42">
        <v>13.559440559440599</v>
      </c>
      <c r="R34" s="41">
        <v>143</v>
      </c>
      <c r="S34" s="43">
        <v>1951</v>
      </c>
      <c r="T34" s="43">
        <v>0</v>
      </c>
      <c r="U34" s="35">
        <v>0</v>
      </c>
      <c r="V34" s="35">
        <v>1951</v>
      </c>
      <c r="W34" s="35">
        <v>1951</v>
      </c>
      <c r="X34" s="44">
        <v>13.643356643356601</v>
      </c>
      <c r="Y34" s="44">
        <v>0</v>
      </c>
      <c r="Z34" s="45">
        <v>13.643356643356601</v>
      </c>
      <c r="AA34" s="43">
        <v>143</v>
      </c>
      <c r="AB34" s="46">
        <v>1951</v>
      </c>
      <c r="AC34" s="46"/>
      <c r="AD34" s="47">
        <v>13.64</v>
      </c>
      <c r="AE34" s="46">
        <v>143</v>
      </c>
      <c r="AF34" s="47">
        <v>13.56</v>
      </c>
      <c r="AG34" s="48" t="s">
        <v>324</v>
      </c>
      <c r="AH34" s="49">
        <v>0</v>
      </c>
      <c r="AI34" s="50">
        <v>0</v>
      </c>
      <c r="AJ34" s="49">
        <v>0</v>
      </c>
      <c r="AK34" s="49">
        <v>13.559440559440599</v>
      </c>
      <c r="AL34" s="49">
        <v>1939</v>
      </c>
      <c r="AM34" s="51" t="s">
        <v>95</v>
      </c>
      <c r="AN34" s="52" t="s">
        <v>96</v>
      </c>
      <c r="AO34" s="37" t="s">
        <v>75</v>
      </c>
    </row>
    <row r="35" spans="1:41" ht="15" customHeight="1" x14ac:dyDescent="0.2">
      <c r="A35" s="35" t="s">
        <v>318</v>
      </c>
      <c r="B35" s="35" t="s">
        <v>68</v>
      </c>
      <c r="C35" s="35">
        <v>3</v>
      </c>
      <c r="D35" s="36" t="s">
        <v>93</v>
      </c>
      <c r="E35" s="36" t="s">
        <v>121</v>
      </c>
      <c r="F35" s="36" t="s">
        <v>122</v>
      </c>
      <c r="G35" s="35" t="s">
        <v>319</v>
      </c>
      <c r="H35" s="37" t="s">
        <v>71</v>
      </c>
      <c r="I35" s="36" t="s">
        <v>72</v>
      </c>
      <c r="J35" s="37" t="s">
        <v>320</v>
      </c>
      <c r="K35" s="38">
        <v>2010</v>
      </c>
      <c r="L35" s="39">
        <v>16</v>
      </c>
      <c r="M35" s="40" t="s">
        <v>401</v>
      </c>
      <c r="N35" s="40" t="s">
        <v>401</v>
      </c>
      <c r="O35" s="40" t="s">
        <v>402</v>
      </c>
      <c r="P35" s="41">
        <v>1538</v>
      </c>
      <c r="Q35" s="42">
        <v>10.755244755244799</v>
      </c>
      <c r="R35" s="41">
        <v>143</v>
      </c>
      <c r="S35" s="43">
        <v>1504</v>
      </c>
      <c r="T35" s="43">
        <v>0</v>
      </c>
      <c r="U35" s="35">
        <v>9</v>
      </c>
      <c r="V35" s="35">
        <v>1504</v>
      </c>
      <c r="W35" s="35">
        <v>1495</v>
      </c>
      <c r="X35" s="44">
        <v>10.517482517482501</v>
      </c>
      <c r="Y35" s="44">
        <v>0</v>
      </c>
      <c r="Z35" s="45">
        <v>10.517482517482501</v>
      </c>
      <c r="AA35" s="43">
        <v>143</v>
      </c>
      <c r="AB35" s="46">
        <v>1504</v>
      </c>
      <c r="AC35" s="46"/>
      <c r="AD35" s="47">
        <v>10.52</v>
      </c>
      <c r="AE35" s="46">
        <v>143</v>
      </c>
      <c r="AF35" s="47">
        <v>10.76</v>
      </c>
      <c r="AG35" s="48" t="s">
        <v>324</v>
      </c>
      <c r="AH35" s="49">
        <v>0</v>
      </c>
      <c r="AI35" s="50">
        <v>0</v>
      </c>
      <c r="AJ35" s="49">
        <v>0</v>
      </c>
      <c r="AK35" s="49">
        <v>10.755244755244799</v>
      </c>
      <c r="AL35" s="49">
        <v>1538</v>
      </c>
      <c r="AM35" s="51" t="s">
        <v>95</v>
      </c>
      <c r="AN35" s="52" t="s">
        <v>96</v>
      </c>
      <c r="AO35" s="37" t="s">
        <v>75</v>
      </c>
    </row>
    <row r="36" spans="1:41" ht="15" customHeight="1" x14ac:dyDescent="0.2">
      <c r="A36" s="35" t="s">
        <v>318</v>
      </c>
      <c r="B36" s="35" t="s">
        <v>68</v>
      </c>
      <c r="C36" s="35">
        <v>2</v>
      </c>
      <c r="D36" s="36" t="s">
        <v>105</v>
      </c>
      <c r="E36" s="40">
        <v>31</v>
      </c>
      <c r="F36" s="36" t="s">
        <v>123</v>
      </c>
      <c r="G36" s="35" t="s">
        <v>319</v>
      </c>
      <c r="H36" s="36" t="s">
        <v>124</v>
      </c>
      <c r="I36" s="36" t="s">
        <v>79</v>
      </c>
      <c r="J36" s="36" t="s">
        <v>124</v>
      </c>
      <c r="K36" s="38">
        <v>2010</v>
      </c>
      <c r="L36" s="39">
        <v>16</v>
      </c>
      <c r="M36" s="40" t="s">
        <v>403</v>
      </c>
      <c r="N36" s="40" t="s">
        <v>403</v>
      </c>
      <c r="O36" s="40" t="s">
        <v>404</v>
      </c>
      <c r="P36" s="41">
        <v>2010</v>
      </c>
      <c r="Q36" s="42">
        <v>14.055944055944099</v>
      </c>
      <c r="R36" s="41">
        <v>143</v>
      </c>
      <c r="S36" s="43">
        <v>1865</v>
      </c>
      <c r="T36" s="43">
        <v>128</v>
      </c>
      <c r="U36" s="35">
        <v>140</v>
      </c>
      <c r="V36" s="35">
        <v>1993</v>
      </c>
      <c r="W36" s="35">
        <v>1853</v>
      </c>
      <c r="X36" s="44">
        <v>13.041958041958001</v>
      </c>
      <c r="Y36" s="44">
        <v>0.89510489510489499</v>
      </c>
      <c r="Z36" s="45">
        <v>13.937062937062899</v>
      </c>
      <c r="AA36" s="43">
        <v>143</v>
      </c>
      <c r="AB36" s="46">
        <v>1993</v>
      </c>
      <c r="AC36" s="46">
        <v>128</v>
      </c>
      <c r="AD36" s="47">
        <v>13.94</v>
      </c>
      <c r="AE36" s="46">
        <v>143</v>
      </c>
      <c r="AF36" s="47">
        <v>14.06</v>
      </c>
      <c r="AG36" s="48" t="s">
        <v>324</v>
      </c>
      <c r="AH36" s="49">
        <v>0</v>
      </c>
      <c r="AI36" s="50">
        <v>0</v>
      </c>
      <c r="AJ36" s="49">
        <v>0</v>
      </c>
      <c r="AK36" s="49">
        <v>14.055944055944099</v>
      </c>
      <c r="AL36" s="49">
        <v>2010</v>
      </c>
      <c r="AM36" s="51" t="s">
        <v>95</v>
      </c>
      <c r="AN36" s="52" t="s">
        <v>96</v>
      </c>
      <c r="AO36" s="37" t="s">
        <v>75</v>
      </c>
    </row>
    <row r="37" spans="1:41" ht="15" customHeight="1" x14ac:dyDescent="0.2">
      <c r="A37" s="35" t="s">
        <v>318</v>
      </c>
      <c r="B37" s="35" t="s">
        <v>68</v>
      </c>
      <c r="C37" s="35">
        <v>2</v>
      </c>
      <c r="D37" s="36" t="s">
        <v>102</v>
      </c>
      <c r="E37" s="40">
        <v>32</v>
      </c>
      <c r="F37" s="36" t="s">
        <v>125</v>
      </c>
      <c r="G37" s="35" t="s">
        <v>319</v>
      </c>
      <c r="H37" s="37" t="s">
        <v>71</v>
      </c>
      <c r="I37" s="36" t="s">
        <v>79</v>
      </c>
      <c r="J37" s="36" t="s">
        <v>71</v>
      </c>
      <c r="K37" s="38">
        <v>2010</v>
      </c>
      <c r="L37" s="39">
        <v>16</v>
      </c>
      <c r="M37" s="40" t="s">
        <v>405</v>
      </c>
      <c r="N37" s="40" t="s">
        <v>405</v>
      </c>
      <c r="O37" s="40" t="s">
        <v>406</v>
      </c>
      <c r="P37" s="41">
        <v>2028</v>
      </c>
      <c r="Q37" s="42">
        <v>14.181818181818199</v>
      </c>
      <c r="R37" s="41">
        <v>143</v>
      </c>
      <c r="S37" s="43">
        <v>1793</v>
      </c>
      <c r="T37" s="43">
        <v>232</v>
      </c>
      <c r="U37" s="35">
        <v>220</v>
      </c>
      <c r="V37" s="35">
        <v>2025</v>
      </c>
      <c r="W37" s="35">
        <v>1805</v>
      </c>
      <c r="X37" s="44">
        <v>12.538461538461499</v>
      </c>
      <c r="Y37" s="44">
        <v>1.6223776223776201</v>
      </c>
      <c r="Z37" s="45">
        <v>14.160839160839201</v>
      </c>
      <c r="AA37" s="43">
        <v>143</v>
      </c>
      <c r="AB37" s="46">
        <v>2025</v>
      </c>
      <c r="AC37" s="46">
        <v>232</v>
      </c>
      <c r="AD37" s="47">
        <v>14.16</v>
      </c>
      <c r="AE37" s="46">
        <v>143</v>
      </c>
      <c r="AF37" s="47">
        <v>14.18</v>
      </c>
      <c r="AG37" s="48" t="s">
        <v>324</v>
      </c>
      <c r="AH37" s="49">
        <v>0</v>
      </c>
      <c r="AI37" s="50">
        <v>0</v>
      </c>
      <c r="AJ37" s="49">
        <v>0</v>
      </c>
      <c r="AK37" s="49">
        <v>14.181818181818199</v>
      </c>
      <c r="AL37" s="49">
        <v>2028</v>
      </c>
      <c r="AM37" s="51" t="s">
        <v>95</v>
      </c>
      <c r="AN37" s="52" t="s">
        <v>96</v>
      </c>
      <c r="AO37" s="37" t="s">
        <v>75</v>
      </c>
    </row>
    <row r="38" spans="1:41" ht="15" customHeight="1" x14ac:dyDescent="0.2">
      <c r="A38" s="35" t="s">
        <v>318</v>
      </c>
      <c r="B38" s="35" t="s">
        <v>68</v>
      </c>
      <c r="C38" s="35">
        <v>2</v>
      </c>
      <c r="D38" s="36" t="s">
        <v>102</v>
      </c>
      <c r="E38" s="40">
        <v>33</v>
      </c>
      <c r="F38" s="36" t="s">
        <v>126</v>
      </c>
      <c r="G38" s="35" t="s">
        <v>319</v>
      </c>
      <c r="H38" s="36" t="s">
        <v>127</v>
      </c>
      <c r="I38" s="36" t="s">
        <v>82</v>
      </c>
      <c r="J38" s="36" t="s">
        <v>127</v>
      </c>
      <c r="K38" s="38">
        <v>2010</v>
      </c>
      <c r="L38" s="39">
        <v>16</v>
      </c>
      <c r="M38" s="40" t="s">
        <v>407</v>
      </c>
      <c r="N38" s="40" t="s">
        <v>407</v>
      </c>
      <c r="O38" s="40" t="s">
        <v>408</v>
      </c>
      <c r="P38" s="41">
        <v>4302</v>
      </c>
      <c r="Q38" s="42">
        <v>30.083916083916101</v>
      </c>
      <c r="R38" s="41">
        <v>143</v>
      </c>
      <c r="S38" s="43">
        <v>4142</v>
      </c>
      <c r="T38" s="43">
        <v>168</v>
      </c>
      <c r="U38" s="35">
        <v>92</v>
      </c>
      <c r="V38" s="35">
        <v>4310</v>
      </c>
      <c r="W38" s="35">
        <v>4218</v>
      </c>
      <c r="X38" s="44">
        <v>28.965034965034999</v>
      </c>
      <c r="Y38" s="44">
        <v>1.1748251748251799</v>
      </c>
      <c r="Z38" s="45">
        <v>30.139860139860101</v>
      </c>
      <c r="AA38" s="43">
        <v>143</v>
      </c>
      <c r="AB38" s="46">
        <v>4310</v>
      </c>
      <c r="AC38" s="46">
        <v>168</v>
      </c>
      <c r="AD38" s="47">
        <v>30.14</v>
      </c>
      <c r="AE38" s="46">
        <v>143</v>
      </c>
      <c r="AF38" s="47">
        <v>30.08</v>
      </c>
      <c r="AG38" s="48" t="s">
        <v>324</v>
      </c>
      <c r="AH38" s="49">
        <v>0</v>
      </c>
      <c r="AI38" s="50">
        <v>0</v>
      </c>
      <c r="AJ38" s="49">
        <v>0</v>
      </c>
      <c r="AK38" s="49">
        <v>30.083916083916101</v>
      </c>
      <c r="AL38" s="49">
        <v>4302</v>
      </c>
      <c r="AM38" s="51" t="s">
        <v>95</v>
      </c>
      <c r="AN38" s="52" t="s">
        <v>96</v>
      </c>
      <c r="AO38" s="37" t="s">
        <v>75</v>
      </c>
    </row>
    <row r="39" spans="1:41" ht="15" customHeight="1" x14ac:dyDescent="0.2">
      <c r="A39" s="35" t="s">
        <v>318</v>
      </c>
      <c r="B39" s="35" t="s">
        <v>68</v>
      </c>
      <c r="C39" s="35">
        <v>2</v>
      </c>
      <c r="D39" s="36" t="s">
        <v>102</v>
      </c>
      <c r="E39" s="40" t="s">
        <v>128</v>
      </c>
      <c r="F39" s="36" t="s">
        <v>129</v>
      </c>
      <c r="G39" s="35" t="s">
        <v>319</v>
      </c>
      <c r="H39" s="36" t="s">
        <v>127</v>
      </c>
      <c r="I39" s="36" t="s">
        <v>82</v>
      </c>
      <c r="J39" s="36" t="s">
        <v>127</v>
      </c>
      <c r="K39" s="38">
        <v>2010</v>
      </c>
      <c r="L39" s="39">
        <v>16</v>
      </c>
      <c r="M39" s="40" t="s">
        <v>409</v>
      </c>
      <c r="N39" s="40" t="s">
        <v>409</v>
      </c>
      <c r="O39" s="40" t="s">
        <v>410</v>
      </c>
      <c r="P39" s="41">
        <v>1854</v>
      </c>
      <c r="Q39" s="42">
        <v>12.965034965035001</v>
      </c>
      <c r="R39" s="41">
        <v>143</v>
      </c>
      <c r="S39" s="43">
        <v>1813</v>
      </c>
      <c r="T39" s="43">
        <v>0</v>
      </c>
      <c r="U39" s="35">
        <v>126</v>
      </c>
      <c r="V39" s="35">
        <v>1813</v>
      </c>
      <c r="W39" s="35">
        <v>1687</v>
      </c>
      <c r="X39" s="44">
        <v>12.6783216783217</v>
      </c>
      <c r="Y39" s="44">
        <v>0</v>
      </c>
      <c r="Z39" s="45">
        <v>12.6783216783217</v>
      </c>
      <c r="AA39" s="43">
        <v>143</v>
      </c>
      <c r="AB39" s="46">
        <v>1813</v>
      </c>
      <c r="AC39" s="46"/>
      <c r="AD39" s="47">
        <v>12.68</v>
      </c>
      <c r="AE39" s="46">
        <v>143</v>
      </c>
      <c r="AF39" s="47">
        <v>12.97</v>
      </c>
      <c r="AG39" s="48" t="s">
        <v>324</v>
      </c>
      <c r="AH39" s="49">
        <v>0</v>
      </c>
      <c r="AI39" s="50">
        <v>0</v>
      </c>
      <c r="AJ39" s="49">
        <v>0</v>
      </c>
      <c r="AK39" s="49">
        <v>12.965034965035001</v>
      </c>
      <c r="AL39" s="49">
        <v>1854</v>
      </c>
      <c r="AM39" s="51" t="s">
        <v>95</v>
      </c>
      <c r="AN39" s="52" t="s">
        <v>96</v>
      </c>
      <c r="AO39" s="37" t="s">
        <v>75</v>
      </c>
    </row>
    <row r="40" spans="1:41" ht="15" customHeight="1" x14ac:dyDescent="0.2">
      <c r="A40" s="35" t="s">
        <v>318</v>
      </c>
      <c r="B40" s="35" t="s">
        <v>68</v>
      </c>
      <c r="C40" s="35">
        <v>2</v>
      </c>
      <c r="D40" s="36" t="s">
        <v>102</v>
      </c>
      <c r="E40" s="36">
        <v>34</v>
      </c>
      <c r="F40" s="36" t="s">
        <v>130</v>
      </c>
      <c r="G40" s="35" t="s">
        <v>319</v>
      </c>
      <c r="H40" s="36" t="s">
        <v>81</v>
      </c>
      <c r="I40" s="36" t="s">
        <v>82</v>
      </c>
      <c r="J40" s="36" t="s">
        <v>81</v>
      </c>
      <c r="K40" s="38">
        <v>2010</v>
      </c>
      <c r="L40" s="39">
        <v>16</v>
      </c>
      <c r="M40" s="40" t="s">
        <v>411</v>
      </c>
      <c r="N40" s="40" t="s">
        <v>411</v>
      </c>
      <c r="O40" s="40" t="s">
        <v>412</v>
      </c>
      <c r="P40" s="41">
        <v>3630</v>
      </c>
      <c r="Q40" s="42">
        <v>25.384615384615401</v>
      </c>
      <c r="R40" s="41">
        <v>143</v>
      </c>
      <c r="S40" s="43">
        <v>3513</v>
      </c>
      <c r="T40" s="43">
        <v>74</v>
      </c>
      <c r="U40" s="35">
        <v>187</v>
      </c>
      <c r="V40" s="35">
        <v>3587</v>
      </c>
      <c r="W40" s="35">
        <v>3400</v>
      </c>
      <c r="X40" s="44">
        <v>24.566433566433599</v>
      </c>
      <c r="Y40" s="44">
        <v>0.51748251748251795</v>
      </c>
      <c r="Z40" s="45">
        <v>25.083916083916101</v>
      </c>
      <c r="AA40" s="43">
        <v>143</v>
      </c>
      <c r="AB40" s="46">
        <v>3587</v>
      </c>
      <c r="AC40" s="46">
        <v>74</v>
      </c>
      <c r="AD40" s="47">
        <v>25.08</v>
      </c>
      <c r="AE40" s="46">
        <v>143</v>
      </c>
      <c r="AF40" s="47">
        <v>25.38</v>
      </c>
      <c r="AG40" s="48" t="s">
        <v>324</v>
      </c>
      <c r="AH40" s="49">
        <v>0</v>
      </c>
      <c r="AI40" s="50">
        <v>0</v>
      </c>
      <c r="AJ40" s="49">
        <v>0</v>
      </c>
      <c r="AK40" s="49">
        <v>25.384615384615401</v>
      </c>
      <c r="AL40" s="49">
        <v>3630</v>
      </c>
      <c r="AM40" s="51" t="s">
        <v>95</v>
      </c>
      <c r="AN40" s="52" t="s">
        <v>96</v>
      </c>
      <c r="AO40" s="37" t="s">
        <v>75</v>
      </c>
    </row>
    <row r="41" spans="1:41" ht="15" customHeight="1" x14ac:dyDescent="0.2">
      <c r="A41" s="35" t="s">
        <v>318</v>
      </c>
      <c r="B41" s="35" t="s">
        <v>68</v>
      </c>
      <c r="C41" s="35">
        <v>2</v>
      </c>
      <c r="D41" s="36" t="s">
        <v>102</v>
      </c>
      <c r="E41" s="36" t="s">
        <v>131</v>
      </c>
      <c r="F41" s="36" t="s">
        <v>132</v>
      </c>
      <c r="G41" s="35" t="s">
        <v>319</v>
      </c>
      <c r="H41" s="36" t="s">
        <v>81</v>
      </c>
      <c r="I41" s="36" t="s">
        <v>82</v>
      </c>
      <c r="J41" s="36" t="s">
        <v>81</v>
      </c>
      <c r="K41" s="38">
        <v>2010</v>
      </c>
      <c r="L41" s="39">
        <v>16</v>
      </c>
      <c r="M41" s="40" t="s">
        <v>413</v>
      </c>
      <c r="N41" s="40" t="s">
        <v>413</v>
      </c>
      <c r="O41" s="40" t="s">
        <v>414</v>
      </c>
      <c r="P41" s="41">
        <v>1592</v>
      </c>
      <c r="Q41" s="42">
        <v>11.1328671328671</v>
      </c>
      <c r="R41" s="41">
        <v>143</v>
      </c>
      <c r="S41" s="43">
        <v>1595</v>
      </c>
      <c r="T41" s="43">
        <v>0</v>
      </c>
      <c r="U41" s="35">
        <v>0</v>
      </c>
      <c r="V41" s="35">
        <v>1595</v>
      </c>
      <c r="W41" s="35">
        <v>1595</v>
      </c>
      <c r="X41" s="44">
        <v>11.153846153846199</v>
      </c>
      <c r="Y41" s="44">
        <v>0</v>
      </c>
      <c r="Z41" s="45">
        <v>11.153846153846199</v>
      </c>
      <c r="AA41" s="43">
        <v>143</v>
      </c>
      <c r="AB41" s="46">
        <v>1595</v>
      </c>
      <c r="AC41" s="46"/>
      <c r="AD41" s="47">
        <v>11.15</v>
      </c>
      <c r="AE41" s="46">
        <v>143</v>
      </c>
      <c r="AF41" s="47">
        <v>11.13</v>
      </c>
      <c r="AG41" s="48" t="s">
        <v>324</v>
      </c>
      <c r="AH41" s="49">
        <v>0</v>
      </c>
      <c r="AI41" s="50">
        <v>0</v>
      </c>
      <c r="AJ41" s="49">
        <v>0</v>
      </c>
      <c r="AK41" s="49">
        <v>11.1328671328671</v>
      </c>
      <c r="AL41" s="49">
        <v>1592</v>
      </c>
      <c r="AM41" s="51" t="s">
        <v>95</v>
      </c>
      <c r="AN41" s="52" t="s">
        <v>96</v>
      </c>
      <c r="AO41" s="37" t="s">
        <v>75</v>
      </c>
    </row>
    <row r="42" spans="1:41" ht="15" customHeight="1" x14ac:dyDescent="0.2">
      <c r="A42" s="35" t="s">
        <v>318</v>
      </c>
      <c r="B42" s="35" t="s">
        <v>68</v>
      </c>
      <c r="C42" s="35">
        <v>2</v>
      </c>
      <c r="D42" s="36" t="s">
        <v>102</v>
      </c>
      <c r="E42" s="36">
        <v>35</v>
      </c>
      <c r="F42" s="36" t="s">
        <v>133</v>
      </c>
      <c r="G42" s="35" t="s">
        <v>319</v>
      </c>
      <c r="H42" s="36" t="s">
        <v>127</v>
      </c>
      <c r="I42" s="36" t="s">
        <v>134</v>
      </c>
      <c r="J42" s="36" t="s">
        <v>127</v>
      </c>
      <c r="K42" s="38">
        <v>2010</v>
      </c>
      <c r="L42" s="39">
        <v>16</v>
      </c>
      <c r="M42" s="40" t="s">
        <v>415</v>
      </c>
      <c r="N42" s="40" t="s">
        <v>415</v>
      </c>
      <c r="O42" s="40" t="s">
        <v>416</v>
      </c>
      <c r="P42" s="41">
        <v>2555</v>
      </c>
      <c r="Q42" s="42">
        <v>17.867132867132899</v>
      </c>
      <c r="R42" s="41">
        <v>143</v>
      </c>
      <c r="S42" s="43">
        <v>1887</v>
      </c>
      <c r="T42" s="43">
        <v>324</v>
      </c>
      <c r="U42" s="35">
        <v>173</v>
      </c>
      <c r="V42" s="35">
        <v>2211</v>
      </c>
      <c r="W42" s="35">
        <v>2038</v>
      </c>
      <c r="X42" s="44">
        <v>13.1958041958042</v>
      </c>
      <c r="Y42" s="44">
        <v>2.2657342657342698</v>
      </c>
      <c r="Z42" s="45">
        <v>15.461538461538501</v>
      </c>
      <c r="AA42" s="43">
        <v>143</v>
      </c>
      <c r="AB42" s="46">
        <v>2211</v>
      </c>
      <c r="AC42" s="46">
        <v>324</v>
      </c>
      <c r="AD42" s="47">
        <v>15.46</v>
      </c>
      <c r="AE42" s="46">
        <v>143</v>
      </c>
      <c r="AF42" s="47">
        <v>17.87</v>
      </c>
      <c r="AG42" s="48" t="s">
        <v>324</v>
      </c>
      <c r="AH42" s="49">
        <v>0</v>
      </c>
      <c r="AI42" s="50">
        <v>0</v>
      </c>
      <c r="AJ42" s="49">
        <v>0</v>
      </c>
      <c r="AK42" s="49">
        <v>17.867132867132899</v>
      </c>
      <c r="AL42" s="49">
        <v>2555</v>
      </c>
      <c r="AM42" s="51" t="s">
        <v>95</v>
      </c>
      <c r="AN42" s="52" t="s">
        <v>96</v>
      </c>
      <c r="AO42" s="37" t="s">
        <v>75</v>
      </c>
    </row>
    <row r="43" spans="1:41" ht="15" customHeight="1" x14ac:dyDescent="0.2">
      <c r="A43" s="35" t="s">
        <v>318</v>
      </c>
      <c r="B43" s="35" t="s">
        <v>68</v>
      </c>
      <c r="C43" s="35">
        <v>2</v>
      </c>
      <c r="D43" s="36" t="s">
        <v>102</v>
      </c>
      <c r="E43" s="40" t="s">
        <v>135</v>
      </c>
      <c r="F43" s="36" t="s">
        <v>136</v>
      </c>
      <c r="G43" s="35" t="s">
        <v>319</v>
      </c>
      <c r="H43" s="36" t="s">
        <v>127</v>
      </c>
      <c r="I43" s="36" t="s">
        <v>134</v>
      </c>
      <c r="J43" s="36" t="s">
        <v>127</v>
      </c>
      <c r="K43" s="38">
        <v>2010</v>
      </c>
      <c r="L43" s="39">
        <v>16</v>
      </c>
      <c r="M43" s="40" t="s">
        <v>417</v>
      </c>
      <c r="N43" s="40" t="s">
        <v>417</v>
      </c>
      <c r="O43" s="40" t="s">
        <v>418</v>
      </c>
      <c r="P43" s="41">
        <v>2359</v>
      </c>
      <c r="Q43" s="42">
        <v>16.4965034965035</v>
      </c>
      <c r="R43" s="41">
        <v>143</v>
      </c>
      <c r="S43" s="43">
        <v>1846</v>
      </c>
      <c r="T43" s="43">
        <v>0</v>
      </c>
      <c r="U43" s="35">
        <v>68</v>
      </c>
      <c r="V43" s="35">
        <v>1846</v>
      </c>
      <c r="W43" s="35">
        <v>1778</v>
      </c>
      <c r="X43" s="44">
        <v>12.909090909090899</v>
      </c>
      <c r="Y43" s="44">
        <v>0</v>
      </c>
      <c r="Z43" s="45">
        <v>12.909090909090899</v>
      </c>
      <c r="AA43" s="43">
        <v>143</v>
      </c>
      <c r="AB43" s="46">
        <v>1846</v>
      </c>
      <c r="AC43" s="46"/>
      <c r="AD43" s="47">
        <v>12.91</v>
      </c>
      <c r="AE43" s="46">
        <v>143</v>
      </c>
      <c r="AF43" s="47">
        <v>16.5</v>
      </c>
      <c r="AG43" s="48" t="s">
        <v>324</v>
      </c>
      <c r="AH43" s="49">
        <v>0</v>
      </c>
      <c r="AI43" s="50">
        <v>0</v>
      </c>
      <c r="AJ43" s="49">
        <v>0</v>
      </c>
      <c r="AK43" s="49">
        <v>16.4965034965035</v>
      </c>
      <c r="AL43" s="49">
        <v>2359</v>
      </c>
      <c r="AM43" s="51" t="s">
        <v>95</v>
      </c>
      <c r="AN43" s="52" t="s">
        <v>96</v>
      </c>
      <c r="AO43" s="37" t="s">
        <v>75</v>
      </c>
    </row>
    <row r="44" spans="1:41" ht="15" customHeight="1" x14ac:dyDescent="0.2">
      <c r="A44" s="35" t="s">
        <v>318</v>
      </c>
      <c r="B44" s="35" t="s">
        <v>68</v>
      </c>
      <c r="C44" s="35">
        <v>3</v>
      </c>
      <c r="D44" s="36" t="s">
        <v>105</v>
      </c>
      <c r="E44" s="36">
        <v>36</v>
      </c>
      <c r="F44" s="36" t="s">
        <v>137</v>
      </c>
      <c r="G44" s="35" t="s">
        <v>319</v>
      </c>
      <c r="H44" s="36" t="s">
        <v>81</v>
      </c>
      <c r="I44" s="36" t="s">
        <v>82</v>
      </c>
      <c r="J44" s="36" t="s">
        <v>81</v>
      </c>
      <c r="K44" s="38">
        <v>2010</v>
      </c>
      <c r="L44" s="39">
        <v>16</v>
      </c>
      <c r="M44" s="40" t="s">
        <v>419</v>
      </c>
      <c r="N44" s="40" t="s">
        <v>419</v>
      </c>
      <c r="O44" s="40" t="s">
        <v>420</v>
      </c>
      <c r="P44" s="41">
        <v>2428</v>
      </c>
      <c r="Q44" s="42">
        <v>16.979020979021001</v>
      </c>
      <c r="R44" s="41">
        <v>143</v>
      </c>
      <c r="S44" s="43">
        <v>2249</v>
      </c>
      <c r="T44" s="43">
        <v>193</v>
      </c>
      <c r="U44" s="35">
        <v>278</v>
      </c>
      <c r="V44" s="35">
        <v>2442</v>
      </c>
      <c r="W44" s="35">
        <v>2164</v>
      </c>
      <c r="X44" s="44">
        <v>15.7272727272727</v>
      </c>
      <c r="Y44" s="44">
        <v>1.34965034965035</v>
      </c>
      <c r="Z44" s="45">
        <v>17.076923076923102</v>
      </c>
      <c r="AA44" s="43">
        <v>143</v>
      </c>
      <c r="AB44" s="46">
        <v>2442</v>
      </c>
      <c r="AC44" s="46">
        <v>193</v>
      </c>
      <c r="AD44" s="47">
        <v>17.079999999999998</v>
      </c>
      <c r="AE44" s="46">
        <v>143</v>
      </c>
      <c r="AF44" s="47">
        <v>16.98</v>
      </c>
      <c r="AG44" s="48" t="s">
        <v>324</v>
      </c>
      <c r="AH44" s="49">
        <v>0</v>
      </c>
      <c r="AI44" s="50">
        <v>0</v>
      </c>
      <c r="AJ44" s="49">
        <v>0</v>
      </c>
      <c r="AK44" s="49">
        <v>16.979020979021001</v>
      </c>
      <c r="AL44" s="49">
        <v>2428</v>
      </c>
      <c r="AM44" s="51" t="s">
        <v>95</v>
      </c>
      <c r="AN44" s="52" t="s">
        <v>96</v>
      </c>
      <c r="AO44" s="37" t="s">
        <v>75</v>
      </c>
    </row>
    <row r="45" spans="1:41" ht="15" customHeight="1" x14ac:dyDescent="0.2">
      <c r="A45" s="35" t="s">
        <v>318</v>
      </c>
      <c r="B45" s="35" t="s">
        <v>68</v>
      </c>
      <c r="C45" s="35">
        <v>3</v>
      </c>
      <c r="D45" s="36" t="s">
        <v>138</v>
      </c>
      <c r="E45" s="40">
        <v>37</v>
      </c>
      <c r="F45" s="36" t="s">
        <v>139</v>
      </c>
      <c r="G45" s="35" t="s">
        <v>319</v>
      </c>
      <c r="H45" s="37" t="s">
        <v>71</v>
      </c>
      <c r="I45" s="36" t="s">
        <v>82</v>
      </c>
      <c r="J45" s="36" t="s">
        <v>421</v>
      </c>
      <c r="K45" s="38">
        <v>2010</v>
      </c>
      <c r="L45" s="39">
        <v>16</v>
      </c>
      <c r="M45" s="40" t="s">
        <v>422</v>
      </c>
      <c r="N45" s="40" t="s">
        <v>422</v>
      </c>
      <c r="O45" s="40" t="s">
        <v>423</v>
      </c>
      <c r="P45" s="41">
        <v>10131</v>
      </c>
      <c r="Q45" s="42">
        <v>70.846153846153797</v>
      </c>
      <c r="R45" s="41">
        <v>143</v>
      </c>
      <c r="S45" s="43">
        <v>9994</v>
      </c>
      <c r="T45" s="43">
        <v>43</v>
      </c>
      <c r="U45" s="35">
        <v>234</v>
      </c>
      <c r="V45" s="35">
        <v>10037</v>
      </c>
      <c r="W45" s="35">
        <v>9803</v>
      </c>
      <c r="X45" s="44">
        <v>69.888111888111894</v>
      </c>
      <c r="Y45" s="44">
        <v>0.30069930069930101</v>
      </c>
      <c r="Z45" s="45">
        <v>70.188811188811201</v>
      </c>
      <c r="AA45" s="43">
        <v>143</v>
      </c>
      <c r="AB45" s="46">
        <v>10037</v>
      </c>
      <c r="AC45" s="46">
        <v>43</v>
      </c>
      <c r="AD45" s="47">
        <v>70.19</v>
      </c>
      <c r="AE45" s="46">
        <v>143</v>
      </c>
      <c r="AF45" s="47">
        <v>70.849999999999994</v>
      </c>
      <c r="AG45" s="48" t="s">
        <v>324</v>
      </c>
      <c r="AH45" s="49">
        <v>0</v>
      </c>
      <c r="AI45" s="50">
        <v>0</v>
      </c>
      <c r="AJ45" s="49">
        <v>0</v>
      </c>
      <c r="AK45" s="49">
        <v>70.846153846153797</v>
      </c>
      <c r="AL45" s="49">
        <v>10131</v>
      </c>
      <c r="AM45" s="51" t="s">
        <v>95</v>
      </c>
      <c r="AN45" s="52" t="s">
        <v>96</v>
      </c>
      <c r="AO45" s="37" t="s">
        <v>75</v>
      </c>
    </row>
    <row r="46" spans="1:41" ht="15" customHeight="1" x14ac:dyDescent="0.2">
      <c r="A46" s="35" t="s">
        <v>318</v>
      </c>
      <c r="B46" s="35" t="s">
        <v>68</v>
      </c>
      <c r="C46" s="35">
        <v>3</v>
      </c>
      <c r="D46" s="36" t="s">
        <v>93</v>
      </c>
      <c r="E46" s="40">
        <v>38</v>
      </c>
      <c r="F46" s="36" t="s">
        <v>140</v>
      </c>
      <c r="G46" s="35" t="s">
        <v>319</v>
      </c>
      <c r="H46" s="36" t="s">
        <v>124</v>
      </c>
      <c r="I46" s="36" t="s">
        <v>79</v>
      </c>
      <c r="J46" s="36" t="s">
        <v>124</v>
      </c>
      <c r="K46" s="38">
        <v>2010</v>
      </c>
      <c r="L46" s="39">
        <v>16</v>
      </c>
      <c r="M46" s="40" t="s">
        <v>424</v>
      </c>
      <c r="N46" s="40" t="s">
        <v>424</v>
      </c>
      <c r="O46" s="40" t="s">
        <v>425</v>
      </c>
      <c r="P46" s="41">
        <v>8868</v>
      </c>
      <c r="Q46" s="42">
        <v>62.013986013985999</v>
      </c>
      <c r="R46" s="41">
        <v>143</v>
      </c>
      <c r="S46" s="43">
        <v>8908</v>
      </c>
      <c r="T46" s="43">
        <v>0</v>
      </c>
      <c r="U46" s="35">
        <v>0</v>
      </c>
      <c r="V46" s="35">
        <v>8908</v>
      </c>
      <c r="W46" s="35">
        <v>8908</v>
      </c>
      <c r="X46" s="44">
        <v>62.2937062937063</v>
      </c>
      <c r="Y46" s="44">
        <v>0</v>
      </c>
      <c r="Z46" s="45">
        <v>62.2937062937063</v>
      </c>
      <c r="AA46" s="43">
        <v>143</v>
      </c>
      <c r="AB46" s="46">
        <v>8908</v>
      </c>
      <c r="AC46" s="46"/>
      <c r="AD46" s="47">
        <v>62.29</v>
      </c>
      <c r="AE46" s="46">
        <v>143</v>
      </c>
      <c r="AF46" s="47">
        <v>62.01</v>
      </c>
      <c r="AG46" s="48" t="s">
        <v>324</v>
      </c>
      <c r="AH46" s="49">
        <v>0</v>
      </c>
      <c r="AI46" s="50">
        <v>0</v>
      </c>
      <c r="AJ46" s="49">
        <v>0</v>
      </c>
      <c r="AK46" s="49">
        <v>62.013986013985999</v>
      </c>
      <c r="AL46" s="49">
        <v>8868</v>
      </c>
      <c r="AM46" s="51" t="s">
        <v>95</v>
      </c>
      <c r="AN46" s="52" t="s">
        <v>96</v>
      </c>
      <c r="AO46" s="37" t="s">
        <v>75</v>
      </c>
    </row>
    <row r="47" spans="1:41" ht="15" customHeight="1" x14ac:dyDescent="0.2">
      <c r="A47" s="35" t="s">
        <v>318</v>
      </c>
      <c r="B47" s="35" t="s">
        <v>68</v>
      </c>
      <c r="C47" s="35">
        <v>3</v>
      </c>
      <c r="D47" s="36" t="s">
        <v>93</v>
      </c>
      <c r="E47" s="40" t="s">
        <v>141</v>
      </c>
      <c r="F47" s="36" t="s">
        <v>142</v>
      </c>
      <c r="G47" s="35" t="s">
        <v>319</v>
      </c>
      <c r="H47" s="36" t="s">
        <v>78</v>
      </c>
      <c r="I47" s="36" t="s">
        <v>79</v>
      </c>
      <c r="J47" s="36" t="s">
        <v>78</v>
      </c>
      <c r="K47" s="38">
        <v>2010</v>
      </c>
      <c r="L47" s="39">
        <v>16</v>
      </c>
      <c r="M47" s="40" t="s">
        <v>426</v>
      </c>
      <c r="N47" s="40" t="s">
        <v>426</v>
      </c>
      <c r="O47" s="40" t="s">
        <v>427</v>
      </c>
      <c r="P47" s="41">
        <v>1464</v>
      </c>
      <c r="Q47" s="42">
        <v>10.237762237762199</v>
      </c>
      <c r="R47" s="41">
        <v>143</v>
      </c>
      <c r="S47" s="43">
        <v>1426</v>
      </c>
      <c r="T47" s="43">
        <v>0</v>
      </c>
      <c r="U47" s="35">
        <v>0</v>
      </c>
      <c r="V47" s="35">
        <v>1426</v>
      </c>
      <c r="W47" s="35">
        <v>1426</v>
      </c>
      <c r="X47" s="44">
        <v>9.9720279720279699</v>
      </c>
      <c r="Y47" s="44">
        <v>0</v>
      </c>
      <c r="Z47" s="45">
        <v>9.9720279720279699</v>
      </c>
      <c r="AA47" s="43">
        <v>143</v>
      </c>
      <c r="AB47" s="46">
        <v>1426</v>
      </c>
      <c r="AC47" s="46"/>
      <c r="AD47" s="47">
        <v>9.9700000000000006</v>
      </c>
      <c r="AE47" s="46">
        <v>143</v>
      </c>
      <c r="AF47" s="47">
        <v>10.24</v>
      </c>
      <c r="AG47" s="48" t="s">
        <v>324</v>
      </c>
      <c r="AH47" s="49">
        <v>0</v>
      </c>
      <c r="AI47" s="50">
        <v>0</v>
      </c>
      <c r="AJ47" s="49">
        <v>0</v>
      </c>
      <c r="AK47" s="49">
        <v>10.237762237762199</v>
      </c>
      <c r="AL47" s="49">
        <v>1464</v>
      </c>
      <c r="AM47" s="51" t="s">
        <v>95</v>
      </c>
      <c r="AN47" s="52" t="s">
        <v>96</v>
      </c>
      <c r="AO47" s="37" t="s">
        <v>75</v>
      </c>
    </row>
    <row r="48" spans="1:41" ht="15" customHeight="1" x14ac:dyDescent="0.2">
      <c r="A48" s="35" t="s">
        <v>318</v>
      </c>
      <c r="B48" s="35" t="s">
        <v>68</v>
      </c>
      <c r="C48" s="35">
        <v>3</v>
      </c>
      <c r="D48" s="36" t="s">
        <v>93</v>
      </c>
      <c r="E48" s="36">
        <v>39</v>
      </c>
      <c r="F48" s="36" t="s">
        <v>143</v>
      </c>
      <c r="G48" s="35" t="s">
        <v>319</v>
      </c>
      <c r="H48" s="36" t="s">
        <v>78</v>
      </c>
      <c r="I48" s="36" t="s">
        <v>79</v>
      </c>
      <c r="J48" s="36" t="s">
        <v>78</v>
      </c>
      <c r="K48" s="38">
        <v>2010</v>
      </c>
      <c r="L48" s="39">
        <v>16</v>
      </c>
      <c r="M48" s="40" t="s">
        <v>428</v>
      </c>
      <c r="N48" s="40" t="s">
        <v>428</v>
      </c>
      <c r="O48" s="40" t="s">
        <v>429</v>
      </c>
      <c r="P48" s="41">
        <v>5269</v>
      </c>
      <c r="Q48" s="42">
        <v>36.846153846153904</v>
      </c>
      <c r="R48" s="41">
        <v>143</v>
      </c>
      <c r="S48" s="43">
        <v>5204</v>
      </c>
      <c r="T48" s="43">
        <v>0</v>
      </c>
      <c r="U48" s="35">
        <v>0</v>
      </c>
      <c r="V48" s="35">
        <v>5204</v>
      </c>
      <c r="W48" s="35">
        <v>5204</v>
      </c>
      <c r="X48" s="44">
        <v>36.391608391608401</v>
      </c>
      <c r="Y48" s="44">
        <v>0</v>
      </c>
      <c r="Z48" s="45">
        <v>36.391608391608401</v>
      </c>
      <c r="AA48" s="43">
        <v>143</v>
      </c>
      <c r="AB48" s="46">
        <v>5204</v>
      </c>
      <c r="AC48" s="46"/>
      <c r="AD48" s="47">
        <v>36.39</v>
      </c>
      <c r="AE48" s="46">
        <v>143</v>
      </c>
      <c r="AF48" s="47">
        <v>36.85</v>
      </c>
      <c r="AG48" s="48" t="s">
        <v>324</v>
      </c>
      <c r="AH48" s="49">
        <v>0</v>
      </c>
      <c r="AI48" s="50">
        <v>0</v>
      </c>
      <c r="AJ48" s="49">
        <v>0</v>
      </c>
      <c r="AK48" s="49">
        <v>36.846153846153904</v>
      </c>
      <c r="AL48" s="49">
        <v>5269</v>
      </c>
      <c r="AM48" s="51" t="s">
        <v>95</v>
      </c>
      <c r="AN48" s="52" t="s">
        <v>96</v>
      </c>
      <c r="AO48" s="37" t="s">
        <v>75</v>
      </c>
    </row>
    <row r="49" spans="1:41" ht="15" customHeight="1" x14ac:dyDescent="0.2">
      <c r="A49" s="35" t="s">
        <v>318</v>
      </c>
      <c r="B49" s="35" t="s">
        <v>68</v>
      </c>
      <c r="C49" s="35">
        <v>4</v>
      </c>
      <c r="D49" s="36" t="s">
        <v>93</v>
      </c>
      <c r="E49" s="40">
        <v>40</v>
      </c>
      <c r="F49" s="36" t="s">
        <v>144</v>
      </c>
      <c r="G49" s="35" t="s">
        <v>319</v>
      </c>
      <c r="H49" s="36" t="s">
        <v>78</v>
      </c>
      <c r="I49" s="36" t="s">
        <v>79</v>
      </c>
      <c r="J49" s="36" t="s">
        <v>78</v>
      </c>
      <c r="K49" s="38">
        <v>2010</v>
      </c>
      <c r="L49" s="39">
        <v>16</v>
      </c>
      <c r="M49" s="40" t="s">
        <v>430</v>
      </c>
      <c r="N49" s="40" t="s">
        <v>430</v>
      </c>
      <c r="O49" s="40" t="s">
        <v>431</v>
      </c>
      <c r="P49" s="41">
        <v>5427</v>
      </c>
      <c r="Q49" s="42">
        <v>37.951048951049003</v>
      </c>
      <c r="R49" s="41">
        <v>143</v>
      </c>
      <c r="S49" s="43">
        <v>5321</v>
      </c>
      <c r="T49" s="43">
        <v>0</v>
      </c>
      <c r="U49" s="35">
        <v>0</v>
      </c>
      <c r="V49" s="35">
        <v>5321</v>
      </c>
      <c r="W49" s="35">
        <v>5321</v>
      </c>
      <c r="X49" s="44">
        <v>37.209790209790199</v>
      </c>
      <c r="Y49" s="44">
        <v>0</v>
      </c>
      <c r="Z49" s="45">
        <v>37.209790209790199</v>
      </c>
      <c r="AA49" s="43">
        <v>143</v>
      </c>
      <c r="AB49" s="46">
        <v>5321</v>
      </c>
      <c r="AC49" s="46"/>
      <c r="AD49" s="47">
        <v>37.21</v>
      </c>
      <c r="AE49" s="46">
        <v>143</v>
      </c>
      <c r="AF49" s="47">
        <v>37.950000000000003</v>
      </c>
      <c r="AG49" s="48" t="s">
        <v>324</v>
      </c>
      <c r="AH49" s="49">
        <v>0</v>
      </c>
      <c r="AI49" s="50">
        <v>0</v>
      </c>
      <c r="AJ49" s="49">
        <v>0</v>
      </c>
      <c r="AK49" s="49">
        <v>37.951048951049003</v>
      </c>
      <c r="AL49" s="49">
        <v>5427</v>
      </c>
      <c r="AM49" s="51" t="s">
        <v>95</v>
      </c>
      <c r="AN49" s="52" t="s">
        <v>96</v>
      </c>
      <c r="AO49" s="37" t="s">
        <v>75</v>
      </c>
    </row>
    <row r="50" spans="1:41" ht="15" customHeight="1" x14ac:dyDescent="0.2">
      <c r="A50" s="35" t="s">
        <v>318</v>
      </c>
      <c r="B50" s="35" t="s">
        <v>68</v>
      </c>
      <c r="C50" s="35">
        <v>4</v>
      </c>
      <c r="D50" s="36" t="s">
        <v>93</v>
      </c>
      <c r="E50" s="40">
        <v>41</v>
      </c>
      <c r="F50" s="36" t="s">
        <v>145</v>
      </c>
      <c r="G50" s="35" t="s">
        <v>319</v>
      </c>
      <c r="H50" s="36" t="s">
        <v>134</v>
      </c>
      <c r="I50" s="36" t="s">
        <v>134</v>
      </c>
      <c r="J50" s="36" t="s">
        <v>134</v>
      </c>
      <c r="K50" s="38">
        <v>2010</v>
      </c>
      <c r="L50" s="39">
        <v>16</v>
      </c>
      <c r="M50" s="40" t="s">
        <v>432</v>
      </c>
      <c r="N50" s="40" t="s">
        <v>432</v>
      </c>
      <c r="O50" s="40" t="s">
        <v>433</v>
      </c>
      <c r="P50" s="41">
        <v>3011</v>
      </c>
      <c r="Q50" s="42">
        <v>21.055944055944099</v>
      </c>
      <c r="R50" s="41">
        <v>143</v>
      </c>
      <c r="S50" s="43">
        <v>1871</v>
      </c>
      <c r="T50" s="43">
        <v>151</v>
      </c>
      <c r="U50" s="35">
        <v>151</v>
      </c>
      <c r="V50" s="35">
        <v>2022</v>
      </c>
      <c r="W50" s="35">
        <v>1871</v>
      </c>
      <c r="X50" s="44">
        <v>13.083916083916099</v>
      </c>
      <c r="Y50" s="44">
        <v>1.05594405594406</v>
      </c>
      <c r="Z50" s="45">
        <v>14.139860139860099</v>
      </c>
      <c r="AA50" s="43">
        <v>143</v>
      </c>
      <c r="AB50" s="46">
        <v>1871</v>
      </c>
      <c r="AC50" s="46"/>
      <c r="AD50" s="47">
        <v>13.08</v>
      </c>
      <c r="AE50" s="46">
        <v>143</v>
      </c>
      <c r="AF50" s="47">
        <v>21.06</v>
      </c>
      <c r="AG50" s="48" t="s">
        <v>324</v>
      </c>
      <c r="AH50" s="49">
        <v>-151</v>
      </c>
      <c r="AI50" s="50">
        <v>-1.06</v>
      </c>
      <c r="AJ50" s="49">
        <v>0</v>
      </c>
      <c r="AK50" s="49">
        <v>21.055944055944099</v>
      </c>
      <c r="AL50" s="49">
        <v>3011</v>
      </c>
      <c r="AM50" s="51" t="s">
        <v>95</v>
      </c>
      <c r="AN50" s="52" t="s">
        <v>96</v>
      </c>
      <c r="AO50" s="37" t="s">
        <v>75</v>
      </c>
    </row>
    <row r="51" spans="1:41" ht="15" customHeight="1" x14ac:dyDescent="0.2">
      <c r="A51" s="35" t="s">
        <v>318</v>
      </c>
      <c r="B51" s="35" t="s">
        <v>68</v>
      </c>
      <c r="C51" s="35">
        <v>3</v>
      </c>
      <c r="D51" s="36" t="s">
        <v>138</v>
      </c>
      <c r="E51" s="36">
        <v>42</v>
      </c>
      <c r="F51" s="36" t="s">
        <v>146</v>
      </c>
      <c r="G51" s="35" t="s">
        <v>319</v>
      </c>
      <c r="H51" s="36" t="s">
        <v>134</v>
      </c>
      <c r="I51" s="36" t="s">
        <v>134</v>
      </c>
      <c r="J51" s="36" t="s">
        <v>134</v>
      </c>
      <c r="K51" s="38">
        <v>2010</v>
      </c>
      <c r="L51" s="39">
        <v>16</v>
      </c>
      <c r="M51" s="40" t="s">
        <v>434</v>
      </c>
      <c r="N51" s="40" t="s">
        <v>434</v>
      </c>
      <c r="O51" s="40" t="s">
        <v>435</v>
      </c>
      <c r="P51" s="41">
        <v>5850</v>
      </c>
      <c r="Q51" s="42">
        <v>40.909090909090899</v>
      </c>
      <c r="R51" s="41">
        <v>143</v>
      </c>
      <c r="S51" s="43">
        <v>5747</v>
      </c>
      <c r="T51" s="43">
        <v>0</v>
      </c>
      <c r="U51" s="35">
        <v>0</v>
      </c>
      <c r="V51" s="35">
        <v>5747</v>
      </c>
      <c r="W51" s="35">
        <v>5747</v>
      </c>
      <c r="X51" s="44">
        <v>40.188811188811201</v>
      </c>
      <c r="Y51" s="44">
        <v>0</v>
      </c>
      <c r="Z51" s="45">
        <v>40.188811188811201</v>
      </c>
      <c r="AA51" s="43">
        <v>143</v>
      </c>
      <c r="AB51" s="46">
        <v>5747</v>
      </c>
      <c r="AC51" s="46"/>
      <c r="AD51" s="47">
        <v>40.19</v>
      </c>
      <c r="AE51" s="46">
        <v>143</v>
      </c>
      <c r="AF51" s="47">
        <v>40.909999999999997</v>
      </c>
      <c r="AG51" s="48" t="s">
        <v>324</v>
      </c>
      <c r="AH51" s="49">
        <v>0</v>
      </c>
      <c r="AI51" s="50">
        <v>0</v>
      </c>
      <c r="AJ51" s="49">
        <v>0</v>
      </c>
      <c r="AK51" s="49">
        <v>40.909090909090899</v>
      </c>
      <c r="AL51" s="49">
        <v>5850</v>
      </c>
      <c r="AM51" s="51" t="s">
        <v>95</v>
      </c>
      <c r="AN51" s="52" t="s">
        <v>96</v>
      </c>
      <c r="AO51" s="37" t="s">
        <v>75</v>
      </c>
    </row>
    <row r="52" spans="1:41" ht="15" customHeight="1" x14ac:dyDescent="0.2">
      <c r="A52" s="35" t="s">
        <v>318</v>
      </c>
      <c r="B52" s="35" t="s">
        <v>68</v>
      </c>
      <c r="C52" s="35">
        <v>2</v>
      </c>
      <c r="D52" s="36" t="s">
        <v>102</v>
      </c>
      <c r="E52" s="40" t="s">
        <v>147</v>
      </c>
      <c r="F52" s="36" t="s">
        <v>148</v>
      </c>
      <c r="G52" s="35" t="s">
        <v>319</v>
      </c>
      <c r="H52" s="36" t="s">
        <v>78</v>
      </c>
      <c r="I52" s="36" t="s">
        <v>79</v>
      </c>
      <c r="J52" s="36" t="s">
        <v>78</v>
      </c>
      <c r="K52" s="38">
        <v>2011</v>
      </c>
      <c r="L52" s="39">
        <v>15</v>
      </c>
      <c r="M52" s="40" t="s">
        <v>436</v>
      </c>
      <c r="N52" s="40" t="s">
        <v>436</v>
      </c>
      <c r="O52" s="40" t="s">
        <v>437</v>
      </c>
      <c r="P52" s="41">
        <v>2683</v>
      </c>
      <c r="Q52" s="42">
        <v>18.762237762237799</v>
      </c>
      <c r="R52" s="41">
        <v>143</v>
      </c>
      <c r="S52" s="43">
        <v>2823</v>
      </c>
      <c r="T52" s="43">
        <v>0</v>
      </c>
      <c r="U52" s="35">
        <v>109</v>
      </c>
      <c r="V52" s="35">
        <v>2823</v>
      </c>
      <c r="W52" s="35">
        <v>2714</v>
      </c>
      <c r="X52" s="44">
        <v>19.741258741258701</v>
      </c>
      <c r="Y52" s="44">
        <v>0</v>
      </c>
      <c r="Z52" s="45">
        <v>19.741258741258701</v>
      </c>
      <c r="AA52" s="43">
        <v>143</v>
      </c>
      <c r="AB52" s="46">
        <v>2823</v>
      </c>
      <c r="AC52" s="46"/>
      <c r="AD52" s="47">
        <v>19.739999999999998</v>
      </c>
      <c r="AE52" s="46">
        <v>143</v>
      </c>
      <c r="AF52" s="47">
        <v>18.760000000000002</v>
      </c>
      <c r="AG52" s="48" t="s">
        <v>324</v>
      </c>
      <c r="AH52" s="49">
        <v>0</v>
      </c>
      <c r="AI52" s="50">
        <v>0</v>
      </c>
      <c r="AJ52" s="49">
        <v>0</v>
      </c>
      <c r="AK52" s="49">
        <v>18.762237762237799</v>
      </c>
      <c r="AL52" s="49">
        <v>2683</v>
      </c>
      <c r="AM52" s="51" t="s">
        <v>95</v>
      </c>
      <c r="AN52" s="52" t="s">
        <v>96</v>
      </c>
      <c r="AO52" s="37" t="s">
        <v>75</v>
      </c>
    </row>
    <row r="53" spans="1:41" ht="15" customHeight="1" x14ac:dyDescent="0.2">
      <c r="A53" s="35" t="s">
        <v>318</v>
      </c>
      <c r="B53" s="35" t="s">
        <v>68</v>
      </c>
      <c r="C53" s="35">
        <v>4</v>
      </c>
      <c r="D53" s="36" t="s">
        <v>93</v>
      </c>
      <c r="E53" s="36" t="s">
        <v>149</v>
      </c>
      <c r="F53" s="36" t="s">
        <v>150</v>
      </c>
      <c r="G53" s="35" t="s">
        <v>152</v>
      </c>
      <c r="H53" s="36" t="s">
        <v>151</v>
      </c>
      <c r="I53" s="36" t="s">
        <v>152</v>
      </c>
      <c r="J53" s="36" t="s">
        <v>151</v>
      </c>
      <c r="K53" s="38">
        <v>2011</v>
      </c>
      <c r="L53" s="39">
        <v>15</v>
      </c>
      <c r="M53" s="40" t="s">
        <v>438</v>
      </c>
      <c r="N53" s="40" t="s">
        <v>438</v>
      </c>
      <c r="O53" s="40" t="s">
        <v>439</v>
      </c>
      <c r="P53" s="41">
        <v>126</v>
      </c>
      <c r="Q53" s="42">
        <v>0.88111888111888104</v>
      </c>
      <c r="R53" s="41">
        <v>143</v>
      </c>
      <c r="S53" s="43">
        <v>119</v>
      </c>
      <c r="T53" s="43">
        <v>25</v>
      </c>
      <c r="U53" s="35">
        <v>25</v>
      </c>
      <c r="V53" s="35">
        <v>144</v>
      </c>
      <c r="W53" s="35">
        <v>119</v>
      </c>
      <c r="X53" s="44">
        <v>0.83216783216783197</v>
      </c>
      <c r="Y53" s="44">
        <v>0.17482517482517501</v>
      </c>
      <c r="Z53" s="45">
        <v>1.00699300699301</v>
      </c>
      <c r="AA53" s="43">
        <v>143</v>
      </c>
      <c r="AB53" s="46">
        <v>119</v>
      </c>
      <c r="AC53" s="46"/>
      <c r="AD53" s="47">
        <v>0.83</v>
      </c>
      <c r="AE53" s="46">
        <v>143</v>
      </c>
      <c r="AF53" s="47">
        <v>0.88</v>
      </c>
      <c r="AG53" s="48" t="s">
        <v>324</v>
      </c>
      <c r="AH53" s="49">
        <v>-25</v>
      </c>
      <c r="AI53" s="50">
        <v>-0.18</v>
      </c>
      <c r="AJ53" s="49">
        <v>0</v>
      </c>
      <c r="AK53" s="49">
        <v>0.88111888111888104</v>
      </c>
      <c r="AL53" s="49">
        <v>126</v>
      </c>
      <c r="AM53" s="51" t="s">
        <v>95</v>
      </c>
      <c r="AN53" s="52" t="s">
        <v>96</v>
      </c>
      <c r="AO53" s="37" t="s">
        <v>75</v>
      </c>
    </row>
    <row r="54" spans="1:41" ht="15" customHeight="1" x14ac:dyDescent="0.2">
      <c r="A54" s="35" t="s">
        <v>318</v>
      </c>
      <c r="B54" s="35" t="s">
        <v>68</v>
      </c>
      <c r="C54" s="35">
        <v>3</v>
      </c>
      <c r="D54" s="36" t="s">
        <v>138</v>
      </c>
      <c r="E54" s="36" t="s">
        <v>153</v>
      </c>
      <c r="F54" s="36" t="s">
        <v>154</v>
      </c>
      <c r="G54" s="35" t="s">
        <v>319</v>
      </c>
      <c r="H54" s="36" t="s">
        <v>78</v>
      </c>
      <c r="I54" s="36" t="s">
        <v>79</v>
      </c>
      <c r="J54" s="36" t="s">
        <v>78</v>
      </c>
      <c r="K54" s="38">
        <v>2011</v>
      </c>
      <c r="L54" s="39">
        <v>15</v>
      </c>
      <c r="M54" s="40" t="s">
        <v>440</v>
      </c>
      <c r="N54" s="40" t="s">
        <v>440</v>
      </c>
      <c r="O54" s="40" t="s">
        <v>441</v>
      </c>
      <c r="P54" s="41">
        <v>1707</v>
      </c>
      <c r="Q54" s="42">
        <v>11.937062937062899</v>
      </c>
      <c r="R54" s="41">
        <v>143</v>
      </c>
      <c r="S54" s="43">
        <v>1779</v>
      </c>
      <c r="T54" s="43">
        <v>0</v>
      </c>
      <c r="U54" s="35">
        <v>88</v>
      </c>
      <c r="V54" s="35">
        <v>1779</v>
      </c>
      <c r="W54" s="35">
        <v>1691</v>
      </c>
      <c r="X54" s="44">
        <v>12.440559440559401</v>
      </c>
      <c r="Y54" s="44">
        <v>0</v>
      </c>
      <c r="Z54" s="45">
        <v>12.440559440559401</v>
      </c>
      <c r="AA54" s="43">
        <v>143</v>
      </c>
      <c r="AB54" s="46">
        <v>1779</v>
      </c>
      <c r="AC54" s="46"/>
      <c r="AD54" s="47">
        <v>12.44</v>
      </c>
      <c r="AE54" s="46">
        <v>143</v>
      </c>
      <c r="AF54" s="47">
        <v>11.94</v>
      </c>
      <c r="AG54" s="48" t="s">
        <v>324</v>
      </c>
      <c r="AH54" s="49">
        <v>0</v>
      </c>
      <c r="AI54" s="50">
        <v>0</v>
      </c>
      <c r="AJ54" s="49">
        <v>0</v>
      </c>
      <c r="AK54" s="49">
        <v>11.937062937062899</v>
      </c>
      <c r="AL54" s="49">
        <v>1707</v>
      </c>
      <c r="AM54" s="51" t="s">
        <v>95</v>
      </c>
      <c r="AN54" s="52" t="s">
        <v>96</v>
      </c>
      <c r="AO54" s="37" t="s">
        <v>75</v>
      </c>
    </row>
    <row r="55" spans="1:41" ht="15" customHeight="1" x14ac:dyDescent="0.2">
      <c r="A55" s="35" t="s">
        <v>318</v>
      </c>
      <c r="B55" s="35" t="s">
        <v>68</v>
      </c>
      <c r="C55" s="35">
        <v>2</v>
      </c>
      <c r="D55" s="36" t="s">
        <v>105</v>
      </c>
      <c r="E55" s="40">
        <v>43</v>
      </c>
      <c r="F55" s="36" t="s">
        <v>155</v>
      </c>
      <c r="G55" s="35" t="s">
        <v>319</v>
      </c>
      <c r="H55" s="37" t="s">
        <v>71</v>
      </c>
      <c r="I55" s="36" t="s">
        <v>79</v>
      </c>
      <c r="J55" s="36" t="s">
        <v>71</v>
      </c>
      <c r="K55" s="38">
        <v>2011</v>
      </c>
      <c r="L55" s="39">
        <v>15</v>
      </c>
      <c r="M55" s="40" t="s">
        <v>442</v>
      </c>
      <c r="N55" s="40" t="s">
        <v>442</v>
      </c>
      <c r="O55" s="40" t="s">
        <v>443</v>
      </c>
      <c r="P55" s="41">
        <v>5761</v>
      </c>
      <c r="Q55" s="42">
        <v>40.286713286713301</v>
      </c>
      <c r="R55" s="41">
        <v>143</v>
      </c>
      <c r="S55" s="43">
        <v>5745</v>
      </c>
      <c r="T55" s="43">
        <v>14</v>
      </c>
      <c r="U55" s="35">
        <v>67</v>
      </c>
      <c r="V55" s="35">
        <v>5759</v>
      </c>
      <c r="W55" s="35">
        <v>5692</v>
      </c>
      <c r="X55" s="44">
        <v>40.174825174825202</v>
      </c>
      <c r="Y55" s="44">
        <v>9.7902097902097904E-2</v>
      </c>
      <c r="Z55" s="45">
        <v>40.272727272727302</v>
      </c>
      <c r="AA55" s="43">
        <v>143</v>
      </c>
      <c r="AB55" s="46">
        <v>5759</v>
      </c>
      <c r="AC55" s="46">
        <v>14</v>
      </c>
      <c r="AD55" s="47">
        <v>40.270000000000003</v>
      </c>
      <c r="AE55" s="46">
        <v>143</v>
      </c>
      <c r="AF55" s="47">
        <v>40.29</v>
      </c>
      <c r="AG55" s="48" t="s">
        <v>324</v>
      </c>
      <c r="AH55" s="49">
        <v>0</v>
      </c>
      <c r="AI55" s="50">
        <v>0</v>
      </c>
      <c r="AJ55" s="49">
        <v>0</v>
      </c>
      <c r="AK55" s="49">
        <v>40.286713286713301</v>
      </c>
      <c r="AL55" s="49">
        <v>5761</v>
      </c>
      <c r="AM55" s="51" t="s">
        <v>95</v>
      </c>
      <c r="AN55" s="52" t="s">
        <v>96</v>
      </c>
      <c r="AO55" s="37" t="s">
        <v>75</v>
      </c>
    </row>
    <row r="56" spans="1:41" ht="15" customHeight="1" x14ac:dyDescent="0.2">
      <c r="A56" s="35" t="s">
        <v>318</v>
      </c>
      <c r="B56" s="35" t="s">
        <v>68</v>
      </c>
      <c r="C56" s="35">
        <v>3</v>
      </c>
      <c r="D56" s="36" t="s">
        <v>105</v>
      </c>
      <c r="E56" s="40">
        <v>44</v>
      </c>
      <c r="F56" s="36" t="s">
        <v>156</v>
      </c>
      <c r="G56" s="35" t="s">
        <v>319</v>
      </c>
      <c r="H56" s="36" t="s">
        <v>134</v>
      </c>
      <c r="I56" s="36" t="s">
        <v>79</v>
      </c>
      <c r="J56" s="36" t="s">
        <v>134</v>
      </c>
      <c r="K56" s="38">
        <v>2011</v>
      </c>
      <c r="L56" s="39">
        <v>15</v>
      </c>
      <c r="M56" s="40" t="s">
        <v>444</v>
      </c>
      <c r="N56" s="40" t="s">
        <v>444</v>
      </c>
      <c r="O56" s="40" t="s">
        <v>445</v>
      </c>
      <c r="P56" s="41">
        <v>3065</v>
      </c>
      <c r="Q56" s="42">
        <v>21.433566433566401</v>
      </c>
      <c r="R56" s="41">
        <v>143</v>
      </c>
      <c r="S56" s="43">
        <v>2968</v>
      </c>
      <c r="T56" s="43">
        <v>140</v>
      </c>
      <c r="U56" s="35">
        <v>389</v>
      </c>
      <c r="V56" s="35">
        <v>3108</v>
      </c>
      <c r="W56" s="35">
        <v>2719</v>
      </c>
      <c r="X56" s="44">
        <v>20.755244755244799</v>
      </c>
      <c r="Y56" s="44">
        <v>0.97902097902097895</v>
      </c>
      <c r="Z56" s="45">
        <v>21.734265734265701</v>
      </c>
      <c r="AA56" s="43">
        <v>143</v>
      </c>
      <c r="AB56" s="46">
        <v>3108</v>
      </c>
      <c r="AC56" s="46">
        <v>140</v>
      </c>
      <c r="AD56" s="47">
        <v>21.73</v>
      </c>
      <c r="AE56" s="46">
        <v>143</v>
      </c>
      <c r="AF56" s="47">
        <v>21.43</v>
      </c>
      <c r="AG56" s="48" t="s">
        <v>324</v>
      </c>
      <c r="AH56" s="49">
        <v>0</v>
      </c>
      <c r="AI56" s="50">
        <v>0</v>
      </c>
      <c r="AJ56" s="49">
        <v>0</v>
      </c>
      <c r="AK56" s="49">
        <v>21.433566433566401</v>
      </c>
      <c r="AL56" s="49">
        <v>3065</v>
      </c>
      <c r="AM56" s="51" t="s">
        <v>95</v>
      </c>
      <c r="AN56" s="52" t="s">
        <v>96</v>
      </c>
      <c r="AO56" s="37" t="s">
        <v>75</v>
      </c>
    </row>
    <row r="57" spans="1:41" ht="15" customHeight="1" x14ac:dyDescent="0.2">
      <c r="A57" s="35" t="s">
        <v>318</v>
      </c>
      <c r="B57" s="35" t="s">
        <v>68</v>
      </c>
      <c r="C57" s="35">
        <v>4</v>
      </c>
      <c r="D57" s="36" t="s">
        <v>138</v>
      </c>
      <c r="E57" s="40">
        <v>45</v>
      </c>
      <c r="F57" s="36" t="s">
        <v>157</v>
      </c>
      <c r="G57" s="35" t="s">
        <v>319</v>
      </c>
      <c r="H57" s="36" t="s">
        <v>78</v>
      </c>
      <c r="I57" s="36" t="s">
        <v>79</v>
      </c>
      <c r="J57" s="36" t="s">
        <v>78</v>
      </c>
      <c r="K57" s="38">
        <v>2011</v>
      </c>
      <c r="L57" s="39">
        <v>15</v>
      </c>
      <c r="M57" s="40" t="s">
        <v>446</v>
      </c>
      <c r="N57" s="40" t="s">
        <v>446</v>
      </c>
      <c r="O57" s="40" t="s">
        <v>447</v>
      </c>
      <c r="P57" s="41">
        <v>3035</v>
      </c>
      <c r="Q57" s="42">
        <v>21.223776223776198</v>
      </c>
      <c r="R57" s="41">
        <v>143</v>
      </c>
      <c r="S57" s="43">
        <v>3021</v>
      </c>
      <c r="T57" s="43">
        <v>0</v>
      </c>
      <c r="U57" s="35">
        <v>0</v>
      </c>
      <c r="V57" s="35">
        <v>3021</v>
      </c>
      <c r="W57" s="35">
        <v>3021</v>
      </c>
      <c r="X57" s="44">
        <v>21.125874125874098</v>
      </c>
      <c r="Y57" s="44">
        <v>0</v>
      </c>
      <c r="Z57" s="45">
        <v>21.125874125874098</v>
      </c>
      <c r="AA57" s="43">
        <v>143</v>
      </c>
      <c r="AB57" s="46">
        <v>3021</v>
      </c>
      <c r="AC57" s="46"/>
      <c r="AD57" s="47">
        <v>21.13</v>
      </c>
      <c r="AE57" s="46">
        <v>143</v>
      </c>
      <c r="AF57" s="47">
        <v>21.22</v>
      </c>
      <c r="AG57" s="48" t="s">
        <v>324</v>
      </c>
      <c r="AH57" s="49">
        <v>0</v>
      </c>
      <c r="AI57" s="50">
        <v>0</v>
      </c>
      <c r="AJ57" s="49">
        <v>0</v>
      </c>
      <c r="AK57" s="49">
        <v>21.223776223776198</v>
      </c>
      <c r="AL57" s="49">
        <v>3035</v>
      </c>
      <c r="AM57" s="51" t="s">
        <v>95</v>
      </c>
      <c r="AN57" s="52" t="s">
        <v>96</v>
      </c>
      <c r="AO57" s="37" t="s">
        <v>75</v>
      </c>
    </row>
    <row r="58" spans="1:41" ht="15" customHeight="1" x14ac:dyDescent="0.2">
      <c r="A58" s="35" t="s">
        <v>318</v>
      </c>
      <c r="B58" s="35" t="s">
        <v>68</v>
      </c>
      <c r="C58" s="35">
        <v>4</v>
      </c>
      <c r="D58" s="36" t="s">
        <v>138</v>
      </c>
      <c r="E58" s="40">
        <v>46</v>
      </c>
      <c r="F58" s="36" t="s">
        <v>158</v>
      </c>
      <c r="G58" s="35" t="s">
        <v>319</v>
      </c>
      <c r="H58" s="36" t="s">
        <v>159</v>
      </c>
      <c r="I58" s="36" t="s">
        <v>134</v>
      </c>
      <c r="J58" s="36" t="s">
        <v>159</v>
      </c>
      <c r="K58" s="38">
        <v>2011</v>
      </c>
      <c r="L58" s="39">
        <v>15</v>
      </c>
      <c r="M58" s="40" t="s">
        <v>448</v>
      </c>
      <c r="N58" s="40" t="s">
        <v>448</v>
      </c>
      <c r="O58" s="40" t="s">
        <v>449</v>
      </c>
      <c r="P58" s="41">
        <v>966</v>
      </c>
      <c r="Q58" s="42">
        <v>6.7552447552447603</v>
      </c>
      <c r="R58" s="41">
        <v>143</v>
      </c>
      <c r="S58" s="43">
        <v>921</v>
      </c>
      <c r="T58" s="43">
        <v>0</v>
      </c>
      <c r="U58" s="35">
        <v>0</v>
      </c>
      <c r="V58" s="35">
        <v>921</v>
      </c>
      <c r="W58" s="35">
        <v>921</v>
      </c>
      <c r="X58" s="44">
        <v>6.44055944055944</v>
      </c>
      <c r="Y58" s="44">
        <v>0</v>
      </c>
      <c r="Z58" s="45">
        <v>6.44055944055944</v>
      </c>
      <c r="AA58" s="43">
        <v>143</v>
      </c>
      <c r="AB58" s="46">
        <v>921</v>
      </c>
      <c r="AC58" s="46"/>
      <c r="AD58" s="47">
        <v>6.44</v>
      </c>
      <c r="AE58" s="46">
        <v>143</v>
      </c>
      <c r="AF58" s="47">
        <v>6.76</v>
      </c>
      <c r="AG58" s="48" t="s">
        <v>324</v>
      </c>
      <c r="AH58" s="49">
        <v>0</v>
      </c>
      <c r="AI58" s="50">
        <v>0</v>
      </c>
      <c r="AJ58" s="49">
        <v>0</v>
      </c>
      <c r="AK58" s="49">
        <v>6.7552447552447603</v>
      </c>
      <c r="AL58" s="49">
        <v>966</v>
      </c>
      <c r="AM58" s="51" t="s">
        <v>95</v>
      </c>
      <c r="AN58" s="52" t="s">
        <v>96</v>
      </c>
      <c r="AO58" s="37" t="s">
        <v>75</v>
      </c>
    </row>
    <row r="59" spans="1:41" ht="15" customHeight="1" x14ac:dyDescent="0.2">
      <c r="A59" s="35" t="s">
        <v>318</v>
      </c>
      <c r="B59" s="35" t="s">
        <v>68</v>
      </c>
      <c r="C59" s="35">
        <v>4</v>
      </c>
      <c r="D59" s="36" t="s">
        <v>138</v>
      </c>
      <c r="E59" s="40">
        <v>47</v>
      </c>
      <c r="F59" s="36" t="s">
        <v>160</v>
      </c>
      <c r="G59" s="35" t="s">
        <v>319</v>
      </c>
      <c r="H59" s="37" t="s">
        <v>71</v>
      </c>
      <c r="I59" s="36" t="s">
        <v>79</v>
      </c>
      <c r="J59" s="36" t="s">
        <v>71</v>
      </c>
      <c r="K59" s="38">
        <v>2011</v>
      </c>
      <c r="L59" s="39">
        <v>15</v>
      </c>
      <c r="M59" s="40" t="s">
        <v>450</v>
      </c>
      <c r="N59" s="40" t="s">
        <v>450</v>
      </c>
      <c r="O59" s="40" t="s">
        <v>451</v>
      </c>
      <c r="P59" s="41">
        <v>1025</v>
      </c>
      <c r="Q59" s="42">
        <v>7.1678321678321701</v>
      </c>
      <c r="R59" s="41">
        <v>143</v>
      </c>
      <c r="S59" s="43">
        <v>827</v>
      </c>
      <c r="T59" s="43">
        <v>63</v>
      </c>
      <c r="U59" s="35">
        <v>63</v>
      </c>
      <c r="V59" s="35">
        <v>890</v>
      </c>
      <c r="W59" s="35">
        <v>827</v>
      </c>
      <c r="X59" s="44">
        <v>5.7832167832167798</v>
      </c>
      <c r="Y59" s="44">
        <v>0.44055944055944102</v>
      </c>
      <c r="Z59" s="45">
        <v>6.2237762237762198</v>
      </c>
      <c r="AA59" s="43">
        <v>143</v>
      </c>
      <c r="AB59" s="46">
        <v>827</v>
      </c>
      <c r="AC59" s="46"/>
      <c r="AD59" s="47">
        <v>5.78</v>
      </c>
      <c r="AE59" s="46">
        <v>143</v>
      </c>
      <c r="AF59" s="47">
        <v>7.17</v>
      </c>
      <c r="AG59" s="48" t="s">
        <v>324</v>
      </c>
      <c r="AH59" s="49">
        <v>-63</v>
      </c>
      <c r="AI59" s="50">
        <v>-0.44</v>
      </c>
      <c r="AJ59" s="49">
        <v>0</v>
      </c>
      <c r="AK59" s="49">
        <v>7.1678321678321701</v>
      </c>
      <c r="AL59" s="49">
        <v>1025</v>
      </c>
      <c r="AM59" s="51" t="s">
        <v>95</v>
      </c>
      <c r="AN59" s="52" t="s">
        <v>96</v>
      </c>
      <c r="AO59" s="37" t="s">
        <v>75</v>
      </c>
    </row>
    <row r="60" spans="1:41" ht="15" customHeight="1" x14ac:dyDescent="0.2">
      <c r="A60" s="35" t="s">
        <v>318</v>
      </c>
      <c r="B60" s="35" t="s">
        <v>68</v>
      </c>
      <c r="C60" s="35">
        <v>4</v>
      </c>
      <c r="D60" s="36" t="s">
        <v>138</v>
      </c>
      <c r="E60" s="40">
        <v>48</v>
      </c>
      <c r="F60" s="36" t="s">
        <v>161</v>
      </c>
      <c r="G60" s="35" t="s">
        <v>319</v>
      </c>
      <c r="H60" s="36" t="s">
        <v>78</v>
      </c>
      <c r="I60" s="36" t="s">
        <v>79</v>
      </c>
      <c r="J60" s="36" t="s">
        <v>78</v>
      </c>
      <c r="K60" s="38">
        <v>2011</v>
      </c>
      <c r="L60" s="39">
        <v>15</v>
      </c>
      <c r="M60" s="40" t="s">
        <v>452</v>
      </c>
      <c r="N60" s="40" t="s">
        <v>452</v>
      </c>
      <c r="O60" s="40" t="s">
        <v>453</v>
      </c>
      <c r="P60" s="41">
        <v>2146</v>
      </c>
      <c r="Q60" s="42">
        <v>15.006993006993</v>
      </c>
      <c r="R60" s="41">
        <v>143</v>
      </c>
      <c r="S60" s="43">
        <v>2114</v>
      </c>
      <c r="T60" s="43">
        <v>0</v>
      </c>
      <c r="U60" s="35">
        <v>0</v>
      </c>
      <c r="V60" s="35">
        <v>2114</v>
      </c>
      <c r="W60" s="35">
        <v>2114</v>
      </c>
      <c r="X60" s="44">
        <v>14.783216783216799</v>
      </c>
      <c r="Y60" s="44">
        <v>0</v>
      </c>
      <c r="Z60" s="45">
        <v>14.783216783216799</v>
      </c>
      <c r="AA60" s="43">
        <v>143</v>
      </c>
      <c r="AB60" s="46">
        <v>2114</v>
      </c>
      <c r="AC60" s="46"/>
      <c r="AD60" s="47">
        <v>14.78</v>
      </c>
      <c r="AE60" s="46">
        <v>143</v>
      </c>
      <c r="AF60" s="47">
        <v>15.01</v>
      </c>
      <c r="AG60" s="48" t="s">
        <v>324</v>
      </c>
      <c r="AH60" s="49">
        <v>0</v>
      </c>
      <c r="AI60" s="50">
        <v>0</v>
      </c>
      <c r="AJ60" s="49">
        <v>0</v>
      </c>
      <c r="AK60" s="49">
        <v>15.006993006993</v>
      </c>
      <c r="AL60" s="49">
        <v>2146</v>
      </c>
      <c r="AM60" s="51" t="s">
        <v>95</v>
      </c>
      <c r="AN60" s="52" t="s">
        <v>96</v>
      </c>
      <c r="AO60" s="37" t="s">
        <v>75</v>
      </c>
    </row>
    <row r="61" spans="1:41" ht="15" customHeight="1" x14ac:dyDescent="0.2">
      <c r="A61" s="35" t="s">
        <v>318</v>
      </c>
      <c r="B61" s="35" t="s">
        <v>68</v>
      </c>
      <c r="C61" s="35">
        <v>4</v>
      </c>
      <c r="D61" s="36" t="s">
        <v>162</v>
      </c>
      <c r="E61" s="40">
        <v>49</v>
      </c>
      <c r="F61" s="36" t="s">
        <v>163</v>
      </c>
      <c r="G61" s="35" t="s">
        <v>319</v>
      </c>
      <c r="H61" s="37" t="s">
        <v>71</v>
      </c>
      <c r="I61" s="36" t="s">
        <v>79</v>
      </c>
      <c r="J61" s="36" t="s">
        <v>71</v>
      </c>
      <c r="K61" s="38">
        <v>2011</v>
      </c>
      <c r="L61" s="39">
        <v>15</v>
      </c>
      <c r="M61" s="40" t="s">
        <v>454</v>
      </c>
      <c r="N61" s="40" t="s">
        <v>454</v>
      </c>
      <c r="O61" s="40" t="s">
        <v>455</v>
      </c>
      <c r="P61" s="41">
        <v>1710</v>
      </c>
      <c r="Q61" s="42">
        <v>11.958041958041999</v>
      </c>
      <c r="R61" s="41">
        <v>143</v>
      </c>
      <c r="S61" s="43">
        <v>2791</v>
      </c>
      <c r="T61" s="43">
        <v>20</v>
      </c>
      <c r="U61" s="35">
        <v>20</v>
      </c>
      <c r="V61" s="35">
        <v>2811</v>
      </c>
      <c r="W61" s="35">
        <v>2791</v>
      </c>
      <c r="X61" s="44">
        <v>19.517482517482499</v>
      </c>
      <c r="Y61" s="44">
        <v>0.13986013986014001</v>
      </c>
      <c r="Z61" s="45">
        <v>19.657342657342699</v>
      </c>
      <c r="AA61" s="43">
        <v>143</v>
      </c>
      <c r="AB61" s="46">
        <v>2791</v>
      </c>
      <c r="AC61" s="46"/>
      <c r="AD61" s="47">
        <v>19.52</v>
      </c>
      <c r="AE61" s="46">
        <v>143</v>
      </c>
      <c r="AF61" s="47">
        <v>11.96</v>
      </c>
      <c r="AG61" s="48" t="s">
        <v>324</v>
      </c>
      <c r="AH61" s="49">
        <v>-20</v>
      </c>
      <c r="AI61" s="50">
        <v>-0.14000000000000001</v>
      </c>
      <c r="AJ61" s="49">
        <v>0</v>
      </c>
      <c r="AK61" s="49">
        <v>11.958041958041999</v>
      </c>
      <c r="AL61" s="49">
        <v>1710</v>
      </c>
      <c r="AM61" s="51" t="s">
        <v>95</v>
      </c>
      <c r="AN61" s="52" t="s">
        <v>96</v>
      </c>
      <c r="AO61" s="37" t="s">
        <v>75</v>
      </c>
    </row>
    <row r="62" spans="1:41" ht="15" customHeight="1" x14ac:dyDescent="0.2">
      <c r="A62" s="35" t="s">
        <v>318</v>
      </c>
      <c r="B62" s="35" t="s">
        <v>68</v>
      </c>
      <c r="C62" s="35">
        <v>4</v>
      </c>
      <c r="D62" s="36" t="s">
        <v>162</v>
      </c>
      <c r="E62" s="40">
        <v>50</v>
      </c>
      <c r="F62" s="36" t="s">
        <v>164</v>
      </c>
      <c r="G62" s="35" t="s">
        <v>319</v>
      </c>
      <c r="H62" s="37" t="s">
        <v>71</v>
      </c>
      <c r="I62" s="36" t="s">
        <v>79</v>
      </c>
      <c r="J62" s="36" t="s">
        <v>71</v>
      </c>
      <c r="K62" s="38">
        <v>2011</v>
      </c>
      <c r="L62" s="39">
        <v>15</v>
      </c>
      <c r="M62" s="40" t="s">
        <v>456</v>
      </c>
      <c r="N62" s="40" t="s">
        <v>456</v>
      </c>
      <c r="O62" s="40" t="s">
        <v>457</v>
      </c>
      <c r="P62" s="41">
        <v>2377</v>
      </c>
      <c r="Q62" s="42">
        <v>16.622377622377599</v>
      </c>
      <c r="R62" s="41">
        <v>143</v>
      </c>
      <c r="S62" s="43">
        <v>2427</v>
      </c>
      <c r="T62" s="43">
        <v>49</v>
      </c>
      <c r="U62" s="35">
        <v>49</v>
      </c>
      <c r="V62" s="35">
        <v>2476</v>
      </c>
      <c r="W62" s="35">
        <v>2427</v>
      </c>
      <c r="X62" s="44">
        <v>16.972027972027998</v>
      </c>
      <c r="Y62" s="44">
        <v>0.34265734265734299</v>
      </c>
      <c r="Z62" s="45">
        <v>17.314685314685299</v>
      </c>
      <c r="AA62" s="43">
        <v>143</v>
      </c>
      <c r="AB62" s="46">
        <v>2427</v>
      </c>
      <c r="AC62" s="46"/>
      <c r="AD62" s="47">
        <v>16.97</v>
      </c>
      <c r="AE62" s="46">
        <v>143</v>
      </c>
      <c r="AF62" s="47">
        <v>16.62</v>
      </c>
      <c r="AG62" s="48" t="s">
        <v>324</v>
      </c>
      <c r="AH62" s="49">
        <v>-49</v>
      </c>
      <c r="AI62" s="50">
        <v>-0.34</v>
      </c>
      <c r="AJ62" s="49">
        <v>0</v>
      </c>
      <c r="AK62" s="49">
        <v>16.622377622377599</v>
      </c>
      <c r="AL62" s="49">
        <v>2377</v>
      </c>
      <c r="AM62" s="51" t="s">
        <v>95</v>
      </c>
      <c r="AN62" s="52" t="s">
        <v>96</v>
      </c>
      <c r="AO62" s="37" t="s">
        <v>75</v>
      </c>
    </row>
    <row r="63" spans="1:41" ht="15" customHeight="1" x14ac:dyDescent="0.2">
      <c r="A63" s="35" t="s">
        <v>318</v>
      </c>
      <c r="B63" s="35" t="s">
        <v>68</v>
      </c>
      <c r="C63" s="35">
        <v>4</v>
      </c>
      <c r="D63" s="36" t="s">
        <v>162</v>
      </c>
      <c r="E63" s="40">
        <v>51</v>
      </c>
      <c r="F63" s="36" t="s">
        <v>165</v>
      </c>
      <c r="G63" s="35" t="s">
        <v>319</v>
      </c>
      <c r="H63" s="37" t="s">
        <v>71</v>
      </c>
      <c r="I63" s="36" t="s">
        <v>79</v>
      </c>
      <c r="J63" s="36" t="s">
        <v>71</v>
      </c>
      <c r="K63" s="38">
        <v>2011</v>
      </c>
      <c r="L63" s="39">
        <v>15</v>
      </c>
      <c r="M63" s="40" t="s">
        <v>458</v>
      </c>
      <c r="N63" s="40" t="s">
        <v>458</v>
      </c>
      <c r="O63" s="40" t="s">
        <v>459</v>
      </c>
      <c r="P63" s="41">
        <v>1084</v>
      </c>
      <c r="Q63" s="42">
        <v>7.58041958041958</v>
      </c>
      <c r="R63" s="41">
        <v>143</v>
      </c>
      <c r="S63" s="43">
        <v>1057</v>
      </c>
      <c r="T63" s="43">
        <v>0</v>
      </c>
      <c r="U63" s="35">
        <v>0</v>
      </c>
      <c r="V63" s="35">
        <v>1057</v>
      </c>
      <c r="W63" s="35">
        <v>1057</v>
      </c>
      <c r="X63" s="44">
        <v>7.3916083916083899</v>
      </c>
      <c r="Y63" s="44">
        <v>0</v>
      </c>
      <c r="Z63" s="45">
        <v>7.3916083916083899</v>
      </c>
      <c r="AA63" s="43">
        <v>143</v>
      </c>
      <c r="AB63" s="46">
        <v>1057</v>
      </c>
      <c r="AC63" s="46"/>
      <c r="AD63" s="47">
        <v>7.39</v>
      </c>
      <c r="AE63" s="46">
        <v>143</v>
      </c>
      <c r="AF63" s="47">
        <v>7.58</v>
      </c>
      <c r="AG63" s="48" t="s">
        <v>324</v>
      </c>
      <c r="AH63" s="49">
        <v>0</v>
      </c>
      <c r="AI63" s="50">
        <v>0</v>
      </c>
      <c r="AJ63" s="49">
        <v>0</v>
      </c>
      <c r="AK63" s="49">
        <v>7.58041958041958</v>
      </c>
      <c r="AL63" s="49">
        <v>1084</v>
      </c>
      <c r="AM63" s="51" t="s">
        <v>95</v>
      </c>
      <c r="AN63" s="52" t="s">
        <v>96</v>
      </c>
      <c r="AO63" s="37" t="s">
        <v>75</v>
      </c>
    </row>
    <row r="64" spans="1:41" ht="15" customHeight="1" x14ac:dyDescent="0.2">
      <c r="A64" s="35" t="s">
        <v>318</v>
      </c>
      <c r="B64" s="35" t="s">
        <v>68</v>
      </c>
      <c r="C64" s="35">
        <v>4</v>
      </c>
      <c r="D64" s="36" t="s">
        <v>162</v>
      </c>
      <c r="E64" s="40">
        <v>52</v>
      </c>
      <c r="F64" s="36" t="s">
        <v>166</v>
      </c>
      <c r="G64" s="35" t="s">
        <v>319</v>
      </c>
      <c r="H64" s="36" t="s">
        <v>78</v>
      </c>
      <c r="I64" s="36" t="s">
        <v>79</v>
      </c>
      <c r="J64" s="36" t="s">
        <v>78</v>
      </c>
      <c r="K64" s="38">
        <v>2011</v>
      </c>
      <c r="L64" s="39">
        <v>15</v>
      </c>
      <c r="M64" s="40" t="s">
        <v>460</v>
      </c>
      <c r="N64" s="40" t="s">
        <v>460</v>
      </c>
      <c r="O64" s="40" t="s">
        <v>461</v>
      </c>
      <c r="P64" s="41">
        <v>2888</v>
      </c>
      <c r="Q64" s="42">
        <v>20.1958041958042</v>
      </c>
      <c r="R64" s="41">
        <v>143</v>
      </c>
      <c r="S64" s="43">
        <v>2818</v>
      </c>
      <c r="T64" s="43">
        <v>40</v>
      </c>
      <c r="U64" s="35">
        <v>40</v>
      </c>
      <c r="V64" s="35">
        <v>2858</v>
      </c>
      <c r="W64" s="35">
        <v>2818</v>
      </c>
      <c r="X64" s="44">
        <v>19.7062937062937</v>
      </c>
      <c r="Y64" s="44">
        <v>0.27972027972028002</v>
      </c>
      <c r="Z64" s="45">
        <v>19.986013986014001</v>
      </c>
      <c r="AA64" s="43">
        <v>143</v>
      </c>
      <c r="AB64" s="46">
        <v>2818</v>
      </c>
      <c r="AC64" s="46"/>
      <c r="AD64" s="47">
        <v>19.71</v>
      </c>
      <c r="AE64" s="46">
        <v>143</v>
      </c>
      <c r="AF64" s="47">
        <v>20.2</v>
      </c>
      <c r="AG64" s="48" t="s">
        <v>324</v>
      </c>
      <c r="AH64" s="49">
        <v>-40</v>
      </c>
      <c r="AI64" s="50">
        <v>-0.28000000000000003</v>
      </c>
      <c r="AJ64" s="49">
        <v>0</v>
      </c>
      <c r="AK64" s="49">
        <v>20.1958041958042</v>
      </c>
      <c r="AL64" s="49">
        <v>2888</v>
      </c>
      <c r="AM64" s="51" t="s">
        <v>95</v>
      </c>
      <c r="AN64" s="52" t="s">
        <v>96</v>
      </c>
      <c r="AO64" s="37" t="s">
        <v>75</v>
      </c>
    </row>
    <row r="65" spans="1:41" ht="15" customHeight="1" x14ac:dyDescent="0.2">
      <c r="A65" s="35" t="s">
        <v>318</v>
      </c>
      <c r="B65" s="35" t="s">
        <v>68</v>
      </c>
      <c r="C65" s="35">
        <v>4</v>
      </c>
      <c r="D65" s="36" t="s">
        <v>162</v>
      </c>
      <c r="E65" s="40">
        <v>53</v>
      </c>
      <c r="F65" s="36" t="s">
        <v>167</v>
      </c>
      <c r="G65" s="35" t="s">
        <v>319</v>
      </c>
      <c r="H65" s="37" t="s">
        <v>71</v>
      </c>
      <c r="I65" s="36" t="s">
        <v>79</v>
      </c>
      <c r="J65" s="36" t="s">
        <v>71</v>
      </c>
      <c r="K65" s="38">
        <v>2011</v>
      </c>
      <c r="L65" s="39">
        <v>15</v>
      </c>
      <c r="M65" s="40" t="s">
        <v>462</v>
      </c>
      <c r="N65" s="40" t="s">
        <v>462</v>
      </c>
      <c r="O65" s="40" t="s">
        <v>463</v>
      </c>
      <c r="P65" s="41">
        <v>2968</v>
      </c>
      <c r="Q65" s="42">
        <v>20.755244755244799</v>
      </c>
      <c r="R65" s="41">
        <v>143</v>
      </c>
      <c r="S65" s="43">
        <v>2929</v>
      </c>
      <c r="T65" s="43">
        <v>74</v>
      </c>
      <c r="U65" s="35">
        <v>74</v>
      </c>
      <c r="V65" s="35">
        <v>3003</v>
      </c>
      <c r="W65" s="35">
        <v>2929</v>
      </c>
      <c r="X65" s="44">
        <v>20.482517482517501</v>
      </c>
      <c r="Y65" s="44">
        <v>0.51748251748251795</v>
      </c>
      <c r="Z65" s="45">
        <v>21</v>
      </c>
      <c r="AA65" s="43">
        <v>143</v>
      </c>
      <c r="AB65" s="46">
        <v>2929</v>
      </c>
      <c r="AC65" s="46"/>
      <c r="AD65" s="47">
        <v>20.48</v>
      </c>
      <c r="AE65" s="46">
        <v>143</v>
      </c>
      <c r="AF65" s="47">
        <v>20.76</v>
      </c>
      <c r="AG65" s="48" t="s">
        <v>324</v>
      </c>
      <c r="AH65" s="49">
        <v>-74</v>
      </c>
      <c r="AI65" s="50">
        <v>-0.52</v>
      </c>
      <c r="AJ65" s="49">
        <v>0</v>
      </c>
      <c r="AK65" s="49">
        <v>20.755244755244799</v>
      </c>
      <c r="AL65" s="49">
        <v>2968</v>
      </c>
      <c r="AM65" s="51" t="s">
        <v>95</v>
      </c>
      <c r="AN65" s="52" t="s">
        <v>96</v>
      </c>
      <c r="AO65" s="37" t="s">
        <v>75</v>
      </c>
    </row>
    <row r="66" spans="1:41" ht="15" customHeight="1" x14ac:dyDescent="0.2">
      <c r="A66" s="35" t="s">
        <v>318</v>
      </c>
      <c r="B66" s="35" t="s">
        <v>68</v>
      </c>
      <c r="C66" s="35">
        <v>4</v>
      </c>
      <c r="D66" s="36" t="s">
        <v>162</v>
      </c>
      <c r="E66" s="40">
        <v>54</v>
      </c>
      <c r="F66" s="36" t="s">
        <v>168</v>
      </c>
      <c r="G66" s="35" t="s">
        <v>319</v>
      </c>
      <c r="H66" s="37" t="s">
        <v>71</v>
      </c>
      <c r="I66" s="36" t="s">
        <v>134</v>
      </c>
      <c r="J66" s="36" t="s">
        <v>71</v>
      </c>
      <c r="K66" s="38">
        <v>2011</v>
      </c>
      <c r="L66" s="39">
        <v>15</v>
      </c>
      <c r="M66" s="40" t="s">
        <v>464</v>
      </c>
      <c r="N66" s="40" t="s">
        <v>464</v>
      </c>
      <c r="O66" s="40" t="s">
        <v>465</v>
      </c>
      <c r="P66" s="41">
        <v>807</v>
      </c>
      <c r="Q66" s="42">
        <v>5.6433566433566398</v>
      </c>
      <c r="R66" s="41">
        <v>143</v>
      </c>
      <c r="S66" s="43">
        <v>816</v>
      </c>
      <c r="T66" s="43">
        <v>0</v>
      </c>
      <c r="U66" s="35">
        <v>0</v>
      </c>
      <c r="V66" s="35">
        <v>816</v>
      </c>
      <c r="W66" s="35">
        <v>816</v>
      </c>
      <c r="X66" s="44">
        <v>5.7062937062937102</v>
      </c>
      <c r="Y66" s="44">
        <v>0</v>
      </c>
      <c r="Z66" s="45">
        <v>5.7062937062937102</v>
      </c>
      <c r="AA66" s="43">
        <v>143</v>
      </c>
      <c r="AB66" s="46">
        <v>816</v>
      </c>
      <c r="AC66" s="46"/>
      <c r="AD66" s="47">
        <v>5.71</v>
      </c>
      <c r="AE66" s="46">
        <v>143</v>
      </c>
      <c r="AF66" s="47">
        <v>5.64</v>
      </c>
      <c r="AG66" s="48" t="s">
        <v>324</v>
      </c>
      <c r="AH66" s="49">
        <v>0</v>
      </c>
      <c r="AI66" s="50">
        <v>0</v>
      </c>
      <c r="AJ66" s="49">
        <v>0</v>
      </c>
      <c r="AK66" s="49">
        <v>5.6433566433566398</v>
      </c>
      <c r="AL66" s="49">
        <v>807</v>
      </c>
      <c r="AM66" s="51" t="s">
        <v>95</v>
      </c>
      <c r="AN66" s="52" t="s">
        <v>96</v>
      </c>
      <c r="AO66" s="37" t="s">
        <v>75</v>
      </c>
    </row>
    <row r="67" spans="1:41" ht="15" customHeight="1" x14ac:dyDescent="0.2">
      <c r="A67" s="35" t="s">
        <v>318</v>
      </c>
      <c r="B67" s="35" t="s">
        <v>68</v>
      </c>
      <c r="C67" s="35">
        <v>4</v>
      </c>
      <c r="D67" s="36" t="s">
        <v>162</v>
      </c>
      <c r="E67" s="40" t="s">
        <v>169</v>
      </c>
      <c r="F67" s="36" t="s">
        <v>170</v>
      </c>
      <c r="G67" s="35" t="s">
        <v>319</v>
      </c>
      <c r="H67" s="37" t="s">
        <v>71</v>
      </c>
      <c r="I67" s="36" t="s">
        <v>79</v>
      </c>
      <c r="J67" s="36" t="s">
        <v>71</v>
      </c>
      <c r="K67" s="38">
        <v>2012</v>
      </c>
      <c r="L67" s="39">
        <v>14</v>
      </c>
      <c r="M67" s="40" t="s">
        <v>466</v>
      </c>
      <c r="N67" s="40" t="s">
        <v>466</v>
      </c>
      <c r="O67" s="40" t="s">
        <v>467</v>
      </c>
      <c r="P67" s="41">
        <v>3342</v>
      </c>
      <c r="Q67" s="42">
        <v>23.370629370629398</v>
      </c>
      <c r="R67" s="41">
        <v>143</v>
      </c>
      <c r="S67" s="43">
        <v>3304</v>
      </c>
      <c r="T67" s="43">
        <v>0</v>
      </c>
      <c r="U67" s="35">
        <v>0</v>
      </c>
      <c r="V67" s="35">
        <v>3304</v>
      </c>
      <c r="W67" s="35">
        <v>3304</v>
      </c>
      <c r="X67" s="44">
        <v>23.1048951048951</v>
      </c>
      <c r="Y67" s="44">
        <v>0</v>
      </c>
      <c r="Z67" s="45">
        <v>23.1048951048951</v>
      </c>
      <c r="AA67" s="43">
        <v>143</v>
      </c>
      <c r="AB67" s="46">
        <v>3304</v>
      </c>
      <c r="AC67" s="46"/>
      <c r="AD67" s="47">
        <v>23.1</v>
      </c>
      <c r="AE67" s="46">
        <v>143</v>
      </c>
      <c r="AF67" s="47">
        <v>23.37</v>
      </c>
      <c r="AG67" s="48" t="s">
        <v>324</v>
      </c>
      <c r="AH67" s="49">
        <v>0</v>
      </c>
      <c r="AI67" s="50">
        <v>0</v>
      </c>
      <c r="AJ67" s="49">
        <v>0</v>
      </c>
      <c r="AK67" s="49">
        <v>23.370629370629398</v>
      </c>
      <c r="AL67" s="49">
        <v>3342</v>
      </c>
      <c r="AM67" s="51" t="s">
        <v>95</v>
      </c>
      <c r="AN67" s="52" t="s">
        <v>96</v>
      </c>
      <c r="AO67" s="37" t="s">
        <v>75</v>
      </c>
    </row>
    <row r="68" spans="1:41" ht="15" customHeight="1" x14ac:dyDescent="0.2">
      <c r="A68" s="35" t="s">
        <v>318</v>
      </c>
      <c r="B68" s="35" t="s">
        <v>68</v>
      </c>
      <c r="C68" s="35">
        <v>4</v>
      </c>
      <c r="D68" s="36" t="s">
        <v>162</v>
      </c>
      <c r="E68" s="40" t="s">
        <v>171</v>
      </c>
      <c r="F68" s="36" t="s">
        <v>172</v>
      </c>
      <c r="G68" s="35" t="s">
        <v>319</v>
      </c>
      <c r="H68" s="37" t="s">
        <v>71</v>
      </c>
      <c r="I68" s="36" t="s">
        <v>82</v>
      </c>
      <c r="J68" s="36" t="s">
        <v>421</v>
      </c>
      <c r="K68" s="38">
        <v>2012</v>
      </c>
      <c r="L68" s="39">
        <v>14</v>
      </c>
      <c r="M68" s="40" t="s">
        <v>468</v>
      </c>
      <c r="N68" s="40" t="s">
        <v>468</v>
      </c>
      <c r="O68" s="40" t="s">
        <v>469</v>
      </c>
      <c r="P68" s="41">
        <v>2936</v>
      </c>
      <c r="Q68" s="42">
        <v>20.531468531468501</v>
      </c>
      <c r="R68" s="41">
        <v>143</v>
      </c>
      <c r="S68" s="43">
        <v>2779</v>
      </c>
      <c r="T68" s="43">
        <v>0</v>
      </c>
      <c r="U68" s="35">
        <v>0</v>
      </c>
      <c r="V68" s="35">
        <v>2779</v>
      </c>
      <c r="W68" s="35">
        <v>2779</v>
      </c>
      <c r="X68" s="44">
        <v>19.433566433566401</v>
      </c>
      <c r="Y68" s="44">
        <v>0</v>
      </c>
      <c r="Z68" s="45">
        <v>19.433566433566401</v>
      </c>
      <c r="AA68" s="43">
        <v>143</v>
      </c>
      <c r="AB68" s="46">
        <v>2779</v>
      </c>
      <c r="AC68" s="46"/>
      <c r="AD68" s="47">
        <v>19.43</v>
      </c>
      <c r="AE68" s="46">
        <v>143</v>
      </c>
      <c r="AF68" s="47">
        <v>20.53</v>
      </c>
      <c r="AG68" s="48" t="s">
        <v>324</v>
      </c>
      <c r="AH68" s="49">
        <v>0</v>
      </c>
      <c r="AI68" s="50">
        <v>0</v>
      </c>
      <c r="AJ68" s="49">
        <v>0</v>
      </c>
      <c r="AK68" s="49">
        <v>20.531468531468501</v>
      </c>
      <c r="AL68" s="49">
        <v>2936</v>
      </c>
      <c r="AM68" s="51" t="s">
        <v>95</v>
      </c>
      <c r="AN68" s="52" t="s">
        <v>96</v>
      </c>
      <c r="AO68" s="37" t="s">
        <v>75</v>
      </c>
    </row>
    <row r="69" spans="1:41" ht="15" customHeight="1" x14ac:dyDescent="0.2">
      <c r="A69" s="35" t="s">
        <v>318</v>
      </c>
      <c r="B69" s="35" t="s">
        <v>68</v>
      </c>
      <c r="C69" s="35">
        <v>4</v>
      </c>
      <c r="D69" s="36" t="s">
        <v>162</v>
      </c>
      <c r="E69" s="40">
        <v>55</v>
      </c>
      <c r="F69" s="36" t="s">
        <v>173</v>
      </c>
      <c r="G69" s="35" t="s">
        <v>319</v>
      </c>
      <c r="H69" s="36" t="s">
        <v>134</v>
      </c>
      <c r="I69" s="36" t="s">
        <v>79</v>
      </c>
      <c r="J69" s="36" t="s">
        <v>134</v>
      </c>
      <c r="K69" s="38">
        <v>2012</v>
      </c>
      <c r="L69" s="39">
        <v>14</v>
      </c>
      <c r="M69" s="40" t="s">
        <v>470</v>
      </c>
      <c r="N69" s="40" t="s">
        <v>470</v>
      </c>
      <c r="O69" s="40" t="s">
        <v>471</v>
      </c>
      <c r="P69" s="41">
        <v>6029</v>
      </c>
      <c r="Q69" s="42">
        <v>42.160839160839203</v>
      </c>
      <c r="R69" s="41">
        <v>143</v>
      </c>
      <c r="S69" s="43">
        <v>6014</v>
      </c>
      <c r="T69" s="43">
        <v>61</v>
      </c>
      <c r="U69" s="35">
        <v>0</v>
      </c>
      <c r="V69" s="35">
        <v>6075</v>
      </c>
      <c r="W69" s="35">
        <v>6075</v>
      </c>
      <c r="X69" s="44">
        <v>42.055944055944103</v>
      </c>
      <c r="Y69" s="44">
        <v>0.42657342657342701</v>
      </c>
      <c r="Z69" s="45">
        <v>42.482517482517501</v>
      </c>
      <c r="AA69" s="43">
        <v>143</v>
      </c>
      <c r="AB69" s="46">
        <v>6014</v>
      </c>
      <c r="AC69" s="46"/>
      <c r="AD69" s="47">
        <v>42.06</v>
      </c>
      <c r="AE69" s="46">
        <v>143</v>
      </c>
      <c r="AF69" s="47">
        <v>42.16</v>
      </c>
      <c r="AG69" s="48" t="s">
        <v>324</v>
      </c>
      <c r="AH69" s="49">
        <v>-61</v>
      </c>
      <c r="AI69" s="50">
        <v>-0.42</v>
      </c>
      <c r="AJ69" s="49">
        <v>0</v>
      </c>
      <c r="AK69" s="49">
        <v>42.160839160839203</v>
      </c>
      <c r="AL69" s="49">
        <v>6029</v>
      </c>
      <c r="AM69" s="51" t="s">
        <v>95</v>
      </c>
      <c r="AN69" s="52" t="s">
        <v>96</v>
      </c>
      <c r="AO69" s="37" t="s">
        <v>75</v>
      </c>
    </row>
    <row r="70" spans="1:41" ht="15" customHeight="1" x14ac:dyDescent="0.2">
      <c r="A70" s="35" t="s">
        <v>318</v>
      </c>
      <c r="B70" s="35" t="s">
        <v>68</v>
      </c>
      <c r="C70" s="35">
        <v>4</v>
      </c>
      <c r="D70" s="36" t="s">
        <v>162</v>
      </c>
      <c r="E70" s="40">
        <v>57</v>
      </c>
      <c r="F70" s="36" t="s">
        <v>174</v>
      </c>
      <c r="G70" s="35" t="s">
        <v>319</v>
      </c>
      <c r="H70" s="36" t="s">
        <v>134</v>
      </c>
      <c r="I70" s="36" t="s">
        <v>82</v>
      </c>
      <c r="J70" s="36" t="s">
        <v>134</v>
      </c>
      <c r="K70" s="38">
        <v>2012</v>
      </c>
      <c r="L70" s="39">
        <v>14</v>
      </c>
      <c r="M70" s="40" t="s">
        <v>472</v>
      </c>
      <c r="N70" s="40" t="s">
        <v>472</v>
      </c>
      <c r="O70" s="40" t="s">
        <v>473</v>
      </c>
      <c r="P70" s="41">
        <v>3805</v>
      </c>
      <c r="Q70" s="42">
        <v>26.608391608391599</v>
      </c>
      <c r="R70" s="41">
        <v>143</v>
      </c>
      <c r="S70" s="43">
        <v>3667</v>
      </c>
      <c r="T70" s="43">
        <v>0</v>
      </c>
      <c r="U70" s="35">
        <v>0</v>
      </c>
      <c r="V70" s="35">
        <v>3667</v>
      </c>
      <c r="W70" s="35">
        <v>3667</v>
      </c>
      <c r="X70" s="44">
        <v>25.643356643356601</v>
      </c>
      <c r="Y70" s="44">
        <v>0</v>
      </c>
      <c r="Z70" s="45">
        <v>25.643356643356601</v>
      </c>
      <c r="AA70" s="43">
        <v>143</v>
      </c>
      <c r="AB70" s="46">
        <v>3667</v>
      </c>
      <c r="AC70" s="46"/>
      <c r="AD70" s="47">
        <v>25.64</v>
      </c>
      <c r="AE70" s="46">
        <v>143</v>
      </c>
      <c r="AF70" s="47">
        <v>26.61</v>
      </c>
      <c r="AG70" s="48" t="s">
        <v>324</v>
      </c>
      <c r="AH70" s="49">
        <v>0</v>
      </c>
      <c r="AI70" s="50">
        <v>0</v>
      </c>
      <c r="AJ70" s="49">
        <v>0</v>
      </c>
      <c r="AK70" s="49">
        <v>26.608391608391599</v>
      </c>
      <c r="AL70" s="49">
        <v>3805</v>
      </c>
      <c r="AM70" s="51" t="s">
        <v>95</v>
      </c>
      <c r="AN70" s="52" t="s">
        <v>96</v>
      </c>
      <c r="AO70" s="37" t="s">
        <v>75</v>
      </c>
    </row>
    <row r="71" spans="1:41" ht="15" customHeight="1" x14ac:dyDescent="0.2">
      <c r="A71" s="35" t="s">
        <v>318</v>
      </c>
      <c r="B71" s="35" t="s">
        <v>68</v>
      </c>
      <c r="C71" s="35">
        <v>4</v>
      </c>
      <c r="D71" s="36" t="s">
        <v>162</v>
      </c>
      <c r="E71" s="40">
        <v>61</v>
      </c>
      <c r="F71" s="36" t="s">
        <v>175</v>
      </c>
      <c r="G71" s="35" t="s">
        <v>319</v>
      </c>
      <c r="H71" s="37" t="s">
        <v>71</v>
      </c>
      <c r="I71" s="36" t="s">
        <v>82</v>
      </c>
      <c r="J71" s="36" t="s">
        <v>421</v>
      </c>
      <c r="K71" s="38">
        <v>2012</v>
      </c>
      <c r="L71" s="39">
        <v>14</v>
      </c>
      <c r="M71" s="40" t="s">
        <v>474</v>
      </c>
      <c r="N71" s="40" t="s">
        <v>474</v>
      </c>
      <c r="O71" s="40" t="s">
        <v>475</v>
      </c>
      <c r="P71" s="41">
        <v>2853</v>
      </c>
      <c r="Q71" s="42">
        <v>19.951048951049</v>
      </c>
      <c r="R71" s="41">
        <v>143</v>
      </c>
      <c r="S71" s="43">
        <v>2934</v>
      </c>
      <c r="T71" s="43">
        <v>0</v>
      </c>
      <c r="U71" s="35">
        <v>0</v>
      </c>
      <c r="V71" s="35">
        <v>2934</v>
      </c>
      <c r="W71" s="35">
        <v>2934</v>
      </c>
      <c r="X71" s="44">
        <v>20.517482517482499</v>
      </c>
      <c r="Y71" s="44">
        <v>0</v>
      </c>
      <c r="Z71" s="45">
        <v>20.517482517482499</v>
      </c>
      <c r="AA71" s="43">
        <v>143</v>
      </c>
      <c r="AB71" s="46">
        <v>2934</v>
      </c>
      <c r="AC71" s="46"/>
      <c r="AD71" s="47">
        <v>20.52</v>
      </c>
      <c r="AE71" s="46">
        <v>143</v>
      </c>
      <c r="AF71" s="47">
        <v>19.95</v>
      </c>
      <c r="AG71" s="48" t="s">
        <v>324</v>
      </c>
      <c r="AH71" s="49">
        <v>0</v>
      </c>
      <c r="AI71" s="50">
        <v>0</v>
      </c>
      <c r="AJ71" s="49">
        <v>0</v>
      </c>
      <c r="AK71" s="49">
        <v>19.951048951049</v>
      </c>
      <c r="AL71" s="49">
        <v>2853</v>
      </c>
      <c r="AM71" s="51" t="s">
        <v>95</v>
      </c>
      <c r="AN71" s="52" t="s">
        <v>96</v>
      </c>
      <c r="AO71" s="37" t="s">
        <v>75</v>
      </c>
    </row>
    <row r="72" spans="1:41" ht="15" customHeight="1" x14ac:dyDescent="0.2">
      <c r="A72" s="35" t="s">
        <v>318</v>
      </c>
      <c r="B72" s="35" t="s">
        <v>68</v>
      </c>
      <c r="C72" s="35">
        <v>4</v>
      </c>
      <c r="D72" s="36" t="s">
        <v>162</v>
      </c>
      <c r="E72" s="40">
        <v>63</v>
      </c>
      <c r="F72" s="36" t="s">
        <v>176</v>
      </c>
      <c r="G72" s="35" t="s">
        <v>319</v>
      </c>
      <c r="H72" s="37" t="s">
        <v>71</v>
      </c>
      <c r="I72" s="36" t="s">
        <v>79</v>
      </c>
      <c r="J72" s="36" t="s">
        <v>71</v>
      </c>
      <c r="K72" s="38">
        <v>2012</v>
      </c>
      <c r="L72" s="39">
        <v>14</v>
      </c>
      <c r="M72" s="40" t="s">
        <v>476</v>
      </c>
      <c r="N72" s="40" t="s">
        <v>476</v>
      </c>
      <c r="O72" s="40" t="s">
        <v>477</v>
      </c>
      <c r="P72" s="41">
        <v>3665</v>
      </c>
      <c r="Q72" s="42">
        <v>25.629370629370602</v>
      </c>
      <c r="R72" s="41">
        <v>143</v>
      </c>
      <c r="S72" s="43">
        <v>3024</v>
      </c>
      <c r="T72" s="43">
        <v>0</v>
      </c>
      <c r="U72" s="35">
        <v>0</v>
      </c>
      <c r="V72" s="35">
        <v>3024</v>
      </c>
      <c r="W72" s="35">
        <v>3024</v>
      </c>
      <c r="X72" s="44">
        <v>21.1468531468532</v>
      </c>
      <c r="Y72" s="44">
        <v>0</v>
      </c>
      <c r="Z72" s="45">
        <v>21.1468531468532</v>
      </c>
      <c r="AA72" s="43">
        <v>143</v>
      </c>
      <c r="AB72" s="46">
        <v>3024</v>
      </c>
      <c r="AC72" s="46"/>
      <c r="AD72" s="47">
        <v>21.15</v>
      </c>
      <c r="AE72" s="46">
        <v>143</v>
      </c>
      <c r="AF72" s="47">
        <v>25.63</v>
      </c>
      <c r="AG72" s="48" t="s">
        <v>324</v>
      </c>
      <c r="AH72" s="49">
        <v>0</v>
      </c>
      <c r="AI72" s="50">
        <v>0</v>
      </c>
      <c r="AJ72" s="49">
        <v>0</v>
      </c>
      <c r="AK72" s="49">
        <v>25.629370629370602</v>
      </c>
      <c r="AL72" s="49">
        <v>3665</v>
      </c>
      <c r="AM72" s="51" t="s">
        <v>95</v>
      </c>
      <c r="AN72" s="52" t="s">
        <v>96</v>
      </c>
      <c r="AO72" s="37" t="s">
        <v>75</v>
      </c>
    </row>
    <row r="73" spans="1:41" ht="15" customHeight="1" x14ac:dyDescent="0.2">
      <c r="A73" s="35" t="s">
        <v>318</v>
      </c>
      <c r="B73" s="35" t="s">
        <v>68</v>
      </c>
      <c r="C73" s="35">
        <v>4</v>
      </c>
      <c r="D73" s="36" t="s">
        <v>162</v>
      </c>
      <c r="E73" s="36">
        <v>60</v>
      </c>
      <c r="F73" s="36" t="s">
        <v>177</v>
      </c>
      <c r="G73" s="35" t="s">
        <v>319</v>
      </c>
      <c r="H73" s="36" t="s">
        <v>178</v>
      </c>
      <c r="I73" s="36" t="s">
        <v>82</v>
      </c>
      <c r="J73" s="36" t="s">
        <v>178</v>
      </c>
      <c r="K73" s="38">
        <v>2013</v>
      </c>
      <c r="L73" s="39">
        <v>13</v>
      </c>
      <c r="M73" s="40" t="s">
        <v>478</v>
      </c>
      <c r="N73" s="40" t="s">
        <v>478</v>
      </c>
      <c r="O73" s="40" t="s">
        <v>479</v>
      </c>
      <c r="P73" s="41">
        <v>6661</v>
      </c>
      <c r="Q73" s="42">
        <v>44.112582781457</v>
      </c>
      <c r="R73" s="41">
        <v>143</v>
      </c>
      <c r="S73" s="43">
        <v>6613</v>
      </c>
      <c r="T73" s="43">
        <v>56</v>
      </c>
      <c r="U73" s="35">
        <v>56</v>
      </c>
      <c r="V73" s="35">
        <v>6669</v>
      </c>
      <c r="W73" s="35">
        <v>6613</v>
      </c>
      <c r="X73" s="44">
        <v>46.244755244755297</v>
      </c>
      <c r="Y73" s="44">
        <v>0.391608391608392</v>
      </c>
      <c r="Z73" s="45">
        <v>46.636363636363598</v>
      </c>
      <c r="AA73" s="43">
        <v>143</v>
      </c>
      <c r="AB73" s="46">
        <v>6613</v>
      </c>
      <c r="AC73" s="46"/>
      <c r="AD73" s="47">
        <v>46.24</v>
      </c>
      <c r="AE73" s="46">
        <v>151</v>
      </c>
      <c r="AF73" s="47">
        <v>44.11</v>
      </c>
      <c r="AG73" s="48" t="s">
        <v>324</v>
      </c>
      <c r="AH73" s="49">
        <v>-56</v>
      </c>
      <c r="AI73" s="50">
        <v>-0.4</v>
      </c>
      <c r="AJ73" s="49">
        <v>8</v>
      </c>
      <c r="AK73" s="49">
        <v>44.112582781457</v>
      </c>
      <c r="AL73" s="49">
        <v>6661</v>
      </c>
      <c r="AM73" s="51" t="s">
        <v>95</v>
      </c>
      <c r="AN73" s="52" t="s">
        <v>96</v>
      </c>
      <c r="AO73" s="37" t="s">
        <v>75</v>
      </c>
    </row>
    <row r="74" spans="1:41" ht="15" customHeight="1" x14ac:dyDescent="0.2">
      <c r="A74" s="35" t="s">
        <v>318</v>
      </c>
      <c r="B74" s="35" t="s">
        <v>68</v>
      </c>
      <c r="C74" s="35">
        <v>4</v>
      </c>
      <c r="D74" s="36" t="s">
        <v>162</v>
      </c>
      <c r="E74" s="36">
        <v>62</v>
      </c>
      <c r="F74" s="36" t="s">
        <v>179</v>
      </c>
      <c r="G74" s="35" t="s">
        <v>319</v>
      </c>
      <c r="H74" s="36" t="s">
        <v>178</v>
      </c>
      <c r="I74" s="36" t="s">
        <v>82</v>
      </c>
      <c r="J74" s="36" t="s">
        <v>178</v>
      </c>
      <c r="K74" s="38">
        <v>2013</v>
      </c>
      <c r="L74" s="39">
        <v>13</v>
      </c>
      <c r="M74" s="40" t="s">
        <v>480</v>
      </c>
      <c r="N74" s="40" t="s">
        <v>480</v>
      </c>
      <c r="O74" s="40" t="s">
        <v>481</v>
      </c>
      <c r="P74" s="41">
        <v>1211</v>
      </c>
      <c r="Q74" s="42">
        <v>8.0198675496688701</v>
      </c>
      <c r="R74" s="41">
        <v>143</v>
      </c>
      <c r="S74" s="43">
        <v>1197</v>
      </c>
      <c r="T74" s="43">
        <v>0</v>
      </c>
      <c r="U74" s="35">
        <v>0</v>
      </c>
      <c r="V74" s="35">
        <v>1197</v>
      </c>
      <c r="W74" s="35">
        <v>1197</v>
      </c>
      <c r="X74" s="44">
        <v>8.37062937062937</v>
      </c>
      <c r="Y74" s="44">
        <v>0</v>
      </c>
      <c r="Z74" s="45">
        <v>8.37062937062937</v>
      </c>
      <c r="AA74" s="43">
        <v>143</v>
      </c>
      <c r="AB74" s="46">
        <v>1197</v>
      </c>
      <c r="AC74" s="46"/>
      <c r="AD74" s="47">
        <v>8.3699999999999992</v>
      </c>
      <c r="AE74" s="46">
        <v>151</v>
      </c>
      <c r="AF74" s="47">
        <v>8.02</v>
      </c>
      <c r="AG74" s="48" t="s">
        <v>324</v>
      </c>
      <c r="AH74" s="49">
        <v>0</v>
      </c>
      <c r="AI74" s="50">
        <v>0</v>
      </c>
      <c r="AJ74" s="49">
        <v>8</v>
      </c>
      <c r="AK74" s="49">
        <v>8.0198675496688701</v>
      </c>
      <c r="AL74" s="49">
        <v>1211</v>
      </c>
      <c r="AM74" s="51" t="s">
        <v>95</v>
      </c>
      <c r="AN74" s="52" t="s">
        <v>96</v>
      </c>
      <c r="AO74" s="37" t="s">
        <v>75</v>
      </c>
    </row>
    <row r="75" spans="1:41" ht="15" customHeight="1" x14ac:dyDescent="0.2">
      <c r="A75" s="35" t="s">
        <v>318</v>
      </c>
      <c r="B75" s="35" t="s">
        <v>68</v>
      </c>
      <c r="C75" s="35">
        <v>4</v>
      </c>
      <c r="D75" s="36" t="s">
        <v>162</v>
      </c>
      <c r="E75" s="40">
        <v>56</v>
      </c>
      <c r="F75" s="36" t="s">
        <v>180</v>
      </c>
      <c r="G75" s="35" t="s">
        <v>319</v>
      </c>
      <c r="H75" s="37" t="s">
        <v>71</v>
      </c>
      <c r="I75" s="36" t="s">
        <v>72</v>
      </c>
      <c r="J75" s="37" t="s">
        <v>320</v>
      </c>
      <c r="K75" s="38">
        <v>2017</v>
      </c>
      <c r="L75" s="39">
        <v>9</v>
      </c>
      <c r="M75" s="40" t="s">
        <v>482</v>
      </c>
      <c r="N75" s="40" t="s">
        <v>482</v>
      </c>
      <c r="O75" s="40" t="s">
        <v>483</v>
      </c>
      <c r="P75" s="41">
        <v>1453</v>
      </c>
      <c r="Q75" s="42">
        <v>10.160839160839201</v>
      </c>
      <c r="R75" s="41">
        <v>143</v>
      </c>
      <c r="S75" s="43">
        <v>1463</v>
      </c>
      <c r="T75" s="43">
        <v>0</v>
      </c>
      <c r="U75" s="35">
        <v>0</v>
      </c>
      <c r="V75" s="35">
        <v>1463</v>
      </c>
      <c r="W75" s="35">
        <v>1463</v>
      </c>
      <c r="X75" s="44">
        <v>10.2307692307692</v>
      </c>
      <c r="Y75" s="44">
        <v>0</v>
      </c>
      <c r="Z75" s="45">
        <v>10.2307692307692</v>
      </c>
      <c r="AA75" s="43">
        <v>143</v>
      </c>
      <c r="AB75" s="46">
        <v>1463</v>
      </c>
      <c r="AC75" s="46"/>
      <c r="AD75" s="47">
        <v>10.23</v>
      </c>
      <c r="AE75" s="46">
        <v>143</v>
      </c>
      <c r="AF75" s="47">
        <v>10.16</v>
      </c>
      <c r="AG75" s="48" t="s">
        <v>324</v>
      </c>
      <c r="AH75" s="49">
        <v>0</v>
      </c>
      <c r="AI75" s="50">
        <v>0</v>
      </c>
      <c r="AJ75" s="49">
        <v>0</v>
      </c>
      <c r="AK75" s="49">
        <v>10.160839160839201</v>
      </c>
      <c r="AL75" s="49">
        <v>1453</v>
      </c>
      <c r="AM75" s="51" t="s">
        <v>95</v>
      </c>
      <c r="AN75" s="52" t="s">
        <v>96</v>
      </c>
      <c r="AO75" s="37" t="s">
        <v>75</v>
      </c>
    </row>
    <row r="76" spans="1:41" ht="15" customHeight="1" x14ac:dyDescent="0.2">
      <c r="A76" s="35" t="s">
        <v>318</v>
      </c>
      <c r="B76" s="35" t="s">
        <v>68</v>
      </c>
      <c r="C76" s="35">
        <v>4</v>
      </c>
      <c r="D76" s="36" t="s">
        <v>162</v>
      </c>
      <c r="E76" s="40" t="s">
        <v>181</v>
      </c>
      <c r="F76" s="36" t="s">
        <v>182</v>
      </c>
      <c r="G76" s="35" t="s">
        <v>319</v>
      </c>
      <c r="H76" s="37" t="s">
        <v>71</v>
      </c>
      <c r="I76" s="36" t="s">
        <v>72</v>
      </c>
      <c r="J76" s="37" t="s">
        <v>320</v>
      </c>
      <c r="K76" s="38">
        <v>2017</v>
      </c>
      <c r="L76" s="39">
        <v>9</v>
      </c>
      <c r="M76" s="40" t="s">
        <v>484</v>
      </c>
      <c r="N76" s="40" t="s">
        <v>484</v>
      </c>
      <c r="O76" s="40" t="s">
        <v>485</v>
      </c>
      <c r="P76" s="41">
        <v>1938</v>
      </c>
      <c r="Q76" s="42">
        <v>13.5524475524476</v>
      </c>
      <c r="R76" s="41">
        <v>143</v>
      </c>
      <c r="S76" s="43">
        <v>1883</v>
      </c>
      <c r="T76" s="43">
        <v>180</v>
      </c>
      <c r="U76" s="35">
        <v>180</v>
      </c>
      <c r="V76" s="35">
        <v>2063</v>
      </c>
      <c r="W76" s="35">
        <v>1883</v>
      </c>
      <c r="X76" s="44">
        <v>13.1678321678322</v>
      </c>
      <c r="Y76" s="44">
        <v>1.2587412587412601</v>
      </c>
      <c r="Z76" s="45">
        <v>14.4265734265734</v>
      </c>
      <c r="AA76" s="43">
        <v>143</v>
      </c>
      <c r="AB76" s="46">
        <v>1883</v>
      </c>
      <c r="AC76" s="46"/>
      <c r="AD76" s="47">
        <v>13.17</v>
      </c>
      <c r="AE76" s="46">
        <v>143</v>
      </c>
      <c r="AF76" s="47">
        <v>13.55</v>
      </c>
      <c r="AG76" s="48" t="s">
        <v>324</v>
      </c>
      <c r="AH76" s="49">
        <v>-180</v>
      </c>
      <c r="AI76" s="50">
        <v>-1.26</v>
      </c>
      <c r="AJ76" s="49">
        <v>0</v>
      </c>
      <c r="AK76" s="49">
        <v>13.5524475524476</v>
      </c>
      <c r="AL76" s="49">
        <v>1938</v>
      </c>
      <c r="AM76" s="51" t="s">
        <v>95</v>
      </c>
      <c r="AN76" s="52" t="s">
        <v>96</v>
      </c>
      <c r="AO76" s="37" t="s">
        <v>75</v>
      </c>
    </row>
    <row r="77" spans="1:41" ht="15" customHeight="1" x14ac:dyDescent="0.2">
      <c r="A77" s="35" t="s">
        <v>318</v>
      </c>
      <c r="B77" s="35" t="s">
        <v>68</v>
      </c>
      <c r="C77" s="35">
        <v>4</v>
      </c>
      <c r="D77" s="36" t="s">
        <v>162</v>
      </c>
      <c r="E77" s="40" t="s">
        <v>183</v>
      </c>
      <c r="F77" s="36" t="s">
        <v>184</v>
      </c>
      <c r="G77" s="35" t="s">
        <v>319</v>
      </c>
      <c r="H77" s="37" t="s">
        <v>71</v>
      </c>
      <c r="I77" s="36" t="s">
        <v>72</v>
      </c>
      <c r="J77" s="37" t="s">
        <v>320</v>
      </c>
      <c r="K77" s="38">
        <v>2018</v>
      </c>
      <c r="L77" s="39">
        <v>8</v>
      </c>
      <c r="M77" s="40" t="s">
        <v>486</v>
      </c>
      <c r="N77" s="40" t="s">
        <v>486</v>
      </c>
      <c r="O77" s="40" t="s">
        <v>487</v>
      </c>
      <c r="P77" s="41">
        <v>1140</v>
      </c>
      <c r="Q77" s="42">
        <v>7.9720279720279699</v>
      </c>
      <c r="R77" s="41">
        <v>143</v>
      </c>
      <c r="S77" s="43">
        <v>1120</v>
      </c>
      <c r="T77" s="43">
        <v>0</v>
      </c>
      <c r="U77" s="35">
        <v>0</v>
      </c>
      <c r="V77" s="35">
        <v>1120</v>
      </c>
      <c r="W77" s="35">
        <v>1120</v>
      </c>
      <c r="X77" s="44">
        <v>7.8321678321678299</v>
      </c>
      <c r="Y77" s="44">
        <v>0</v>
      </c>
      <c r="Z77" s="45">
        <v>7.8321678321678299</v>
      </c>
      <c r="AA77" s="43">
        <v>143</v>
      </c>
      <c r="AB77" s="46">
        <v>1120</v>
      </c>
      <c r="AC77" s="46"/>
      <c r="AD77" s="47">
        <v>7.83</v>
      </c>
      <c r="AE77" s="46">
        <v>143</v>
      </c>
      <c r="AF77" s="47">
        <v>7.97</v>
      </c>
      <c r="AG77" s="48" t="s">
        <v>324</v>
      </c>
      <c r="AH77" s="49">
        <v>0</v>
      </c>
      <c r="AI77" s="50">
        <v>0</v>
      </c>
      <c r="AJ77" s="49">
        <v>0</v>
      </c>
      <c r="AK77" s="49">
        <v>7.9720279720279699</v>
      </c>
      <c r="AL77" s="49">
        <v>1140</v>
      </c>
      <c r="AM77" s="51" t="s">
        <v>95</v>
      </c>
      <c r="AN77" s="52" t="s">
        <v>96</v>
      </c>
      <c r="AO77" s="37" t="s">
        <v>75</v>
      </c>
    </row>
    <row r="78" spans="1:41" ht="15" customHeight="1" x14ac:dyDescent="0.2">
      <c r="A78" s="35" t="s">
        <v>318</v>
      </c>
      <c r="B78" s="35" t="s">
        <v>68</v>
      </c>
      <c r="C78" s="35">
        <v>4</v>
      </c>
      <c r="D78" s="36" t="s">
        <v>162</v>
      </c>
      <c r="E78" s="40" t="s">
        <v>185</v>
      </c>
      <c r="F78" s="36" t="s">
        <v>186</v>
      </c>
      <c r="G78" s="35" t="s">
        <v>319</v>
      </c>
      <c r="H78" s="37" t="s">
        <v>71</v>
      </c>
      <c r="I78" s="36" t="s">
        <v>72</v>
      </c>
      <c r="J78" s="37" t="s">
        <v>320</v>
      </c>
      <c r="K78" s="38">
        <v>2018</v>
      </c>
      <c r="L78" s="39">
        <v>8</v>
      </c>
      <c r="M78" s="40" t="s">
        <v>488</v>
      </c>
      <c r="N78" s="40" t="s">
        <v>488</v>
      </c>
      <c r="O78" s="40" t="s">
        <v>489</v>
      </c>
      <c r="P78" s="41">
        <v>432</v>
      </c>
      <c r="Q78" s="42">
        <v>3.0209790209790199</v>
      </c>
      <c r="R78" s="41">
        <v>143</v>
      </c>
      <c r="S78" s="43">
        <v>427</v>
      </c>
      <c r="T78" s="43">
        <v>0</v>
      </c>
      <c r="U78" s="35">
        <v>0</v>
      </c>
      <c r="V78" s="35">
        <v>427</v>
      </c>
      <c r="W78" s="35">
        <v>427</v>
      </c>
      <c r="X78" s="44">
        <v>2.9860139860139898</v>
      </c>
      <c r="Y78" s="44">
        <v>0</v>
      </c>
      <c r="Z78" s="45">
        <v>2.9860139860139898</v>
      </c>
      <c r="AA78" s="43">
        <v>143</v>
      </c>
      <c r="AB78" s="46">
        <v>427</v>
      </c>
      <c r="AC78" s="46"/>
      <c r="AD78" s="47">
        <v>2.99</v>
      </c>
      <c r="AE78" s="46">
        <v>143</v>
      </c>
      <c r="AF78" s="47">
        <v>3.02</v>
      </c>
      <c r="AG78" s="48" t="s">
        <v>324</v>
      </c>
      <c r="AH78" s="49">
        <v>0</v>
      </c>
      <c r="AI78" s="50">
        <v>0</v>
      </c>
      <c r="AJ78" s="49">
        <v>0</v>
      </c>
      <c r="AK78" s="49">
        <v>3.0209790209790199</v>
      </c>
      <c r="AL78" s="49">
        <v>432</v>
      </c>
      <c r="AM78" s="51" t="s">
        <v>95</v>
      </c>
      <c r="AN78" s="52" t="s">
        <v>96</v>
      </c>
      <c r="AO78" s="37" t="s">
        <v>75</v>
      </c>
    </row>
    <row r="79" spans="1:41" ht="15" customHeight="1" x14ac:dyDescent="0.2">
      <c r="A79" s="35" t="s">
        <v>318</v>
      </c>
      <c r="B79" s="35" t="s">
        <v>68</v>
      </c>
      <c r="C79" s="35">
        <v>4</v>
      </c>
      <c r="D79" s="36" t="s">
        <v>162</v>
      </c>
      <c r="E79" s="40" t="s">
        <v>187</v>
      </c>
      <c r="F79" s="36" t="s">
        <v>188</v>
      </c>
      <c r="G79" s="35" t="s">
        <v>319</v>
      </c>
      <c r="H79" s="37" t="s">
        <v>71</v>
      </c>
      <c r="I79" s="36" t="s">
        <v>72</v>
      </c>
      <c r="J79" s="37" t="s">
        <v>320</v>
      </c>
      <c r="K79" s="38">
        <v>2018</v>
      </c>
      <c r="L79" s="39">
        <v>8</v>
      </c>
      <c r="M79" s="40" t="s">
        <v>490</v>
      </c>
      <c r="N79" s="40" t="s">
        <v>490</v>
      </c>
      <c r="O79" s="40" t="s">
        <v>491</v>
      </c>
      <c r="P79" s="41">
        <v>2142</v>
      </c>
      <c r="Q79" s="42">
        <v>14.979020979021</v>
      </c>
      <c r="R79" s="41">
        <v>143</v>
      </c>
      <c r="S79" s="43">
        <v>2104</v>
      </c>
      <c r="T79" s="43">
        <v>0</v>
      </c>
      <c r="U79" s="35">
        <v>0</v>
      </c>
      <c r="V79" s="35">
        <v>2104</v>
      </c>
      <c r="W79" s="35">
        <v>2104</v>
      </c>
      <c r="X79" s="44">
        <v>14.713286713286699</v>
      </c>
      <c r="Y79" s="44">
        <v>0</v>
      </c>
      <c r="Z79" s="45">
        <v>14.713286713286699</v>
      </c>
      <c r="AA79" s="43">
        <v>143</v>
      </c>
      <c r="AB79" s="46">
        <v>2104</v>
      </c>
      <c r="AC79" s="46"/>
      <c r="AD79" s="47">
        <v>14.71</v>
      </c>
      <c r="AE79" s="46">
        <v>143</v>
      </c>
      <c r="AF79" s="47">
        <v>14.98</v>
      </c>
      <c r="AG79" s="48" t="s">
        <v>324</v>
      </c>
      <c r="AH79" s="49">
        <v>0</v>
      </c>
      <c r="AI79" s="50">
        <v>0</v>
      </c>
      <c r="AJ79" s="49">
        <v>0</v>
      </c>
      <c r="AK79" s="49">
        <v>14.979020979021</v>
      </c>
      <c r="AL79" s="49">
        <v>2142</v>
      </c>
      <c r="AM79" s="51" t="s">
        <v>95</v>
      </c>
      <c r="AN79" s="52" t="s">
        <v>96</v>
      </c>
      <c r="AO79" s="37" t="s">
        <v>75</v>
      </c>
    </row>
    <row r="80" spans="1:41" ht="15" customHeight="1" x14ac:dyDescent="0.2">
      <c r="A80" s="35" t="s">
        <v>318</v>
      </c>
      <c r="B80" s="35" t="s">
        <v>68</v>
      </c>
      <c r="C80" s="35">
        <v>4</v>
      </c>
      <c r="D80" s="36" t="s">
        <v>162</v>
      </c>
      <c r="E80" s="40">
        <v>58</v>
      </c>
      <c r="F80" s="36" t="s">
        <v>189</v>
      </c>
      <c r="G80" s="35" t="s">
        <v>319</v>
      </c>
      <c r="H80" s="37" t="s">
        <v>71</v>
      </c>
      <c r="I80" s="36" t="s">
        <v>72</v>
      </c>
      <c r="J80" s="36" t="s">
        <v>492</v>
      </c>
      <c r="K80" s="38">
        <v>2019</v>
      </c>
      <c r="L80" s="39">
        <v>7</v>
      </c>
      <c r="M80" s="40" t="s">
        <v>493</v>
      </c>
      <c r="N80" s="40" t="s">
        <v>493</v>
      </c>
      <c r="O80" s="40" t="s">
        <v>494</v>
      </c>
      <c r="P80" s="41">
        <v>5280</v>
      </c>
      <c r="Q80" s="42">
        <v>36.923076923076898</v>
      </c>
      <c r="R80" s="41">
        <v>143</v>
      </c>
      <c r="S80" s="43">
        <v>5244</v>
      </c>
      <c r="T80" s="43">
        <v>92</v>
      </c>
      <c r="U80" s="35">
        <v>92</v>
      </c>
      <c r="V80" s="35">
        <v>5336</v>
      </c>
      <c r="W80" s="35">
        <v>5244</v>
      </c>
      <c r="X80" s="44">
        <v>36.671328671328702</v>
      </c>
      <c r="Y80" s="44">
        <v>0.643356643356643</v>
      </c>
      <c r="Z80" s="45">
        <v>37.314685314685299</v>
      </c>
      <c r="AA80" s="43">
        <v>143</v>
      </c>
      <c r="AB80" s="46">
        <v>5244</v>
      </c>
      <c r="AC80" s="46"/>
      <c r="AD80" s="47">
        <v>36.67</v>
      </c>
      <c r="AE80" s="46">
        <v>143</v>
      </c>
      <c r="AF80" s="47">
        <v>36.92</v>
      </c>
      <c r="AG80" s="48" t="s">
        <v>324</v>
      </c>
      <c r="AH80" s="49">
        <v>-92</v>
      </c>
      <c r="AI80" s="50">
        <v>-0.64</v>
      </c>
      <c r="AJ80" s="49">
        <v>0</v>
      </c>
      <c r="AK80" s="49">
        <v>36.923076923076898</v>
      </c>
      <c r="AL80" s="49">
        <v>5280</v>
      </c>
      <c r="AM80" s="51" t="s">
        <v>95</v>
      </c>
      <c r="AN80" s="52" t="s">
        <v>96</v>
      </c>
      <c r="AO80" s="37" t="s">
        <v>75</v>
      </c>
    </row>
    <row r="81" spans="1:41" ht="15" customHeight="1" x14ac:dyDescent="0.2">
      <c r="A81" s="35" t="s">
        <v>318</v>
      </c>
      <c r="B81" s="35" t="s">
        <v>68</v>
      </c>
      <c r="C81" s="35">
        <v>4</v>
      </c>
      <c r="D81" s="36" t="s">
        <v>162</v>
      </c>
      <c r="E81" s="40" t="s">
        <v>190</v>
      </c>
      <c r="F81" s="36" t="s">
        <v>191</v>
      </c>
      <c r="G81" s="35" t="s">
        <v>319</v>
      </c>
      <c r="H81" s="37" t="s">
        <v>71</v>
      </c>
      <c r="I81" s="36" t="s">
        <v>72</v>
      </c>
      <c r="J81" s="37" t="s">
        <v>320</v>
      </c>
      <c r="K81" s="38">
        <v>2019</v>
      </c>
      <c r="L81" s="39">
        <v>7</v>
      </c>
      <c r="M81" s="40" t="s">
        <v>495</v>
      </c>
      <c r="N81" s="40" t="s">
        <v>495</v>
      </c>
      <c r="O81" s="40" t="s">
        <v>496</v>
      </c>
      <c r="P81" s="41">
        <v>4926</v>
      </c>
      <c r="Q81" s="42">
        <v>34.447552447552503</v>
      </c>
      <c r="R81" s="41">
        <v>143</v>
      </c>
      <c r="S81" s="43">
        <v>4850</v>
      </c>
      <c r="T81" s="43">
        <v>0</v>
      </c>
      <c r="U81" s="35">
        <v>0</v>
      </c>
      <c r="V81" s="35">
        <v>4850</v>
      </c>
      <c r="W81" s="35">
        <v>4850</v>
      </c>
      <c r="X81" s="44">
        <v>33.916083916083899</v>
      </c>
      <c r="Y81" s="44">
        <v>0</v>
      </c>
      <c r="Z81" s="45">
        <v>33.916083916083899</v>
      </c>
      <c r="AA81" s="43">
        <v>143</v>
      </c>
      <c r="AB81" s="46">
        <v>4850</v>
      </c>
      <c r="AC81" s="46"/>
      <c r="AD81" s="47">
        <v>33.92</v>
      </c>
      <c r="AE81" s="46">
        <v>143</v>
      </c>
      <c r="AF81" s="47">
        <v>34.450000000000003</v>
      </c>
      <c r="AG81" s="48" t="s">
        <v>324</v>
      </c>
      <c r="AH81" s="49">
        <v>0</v>
      </c>
      <c r="AI81" s="50">
        <v>0</v>
      </c>
      <c r="AJ81" s="49">
        <v>0</v>
      </c>
      <c r="AK81" s="49">
        <v>34.447552447552503</v>
      </c>
      <c r="AL81" s="49">
        <v>4926</v>
      </c>
      <c r="AM81" s="51" t="s">
        <v>95</v>
      </c>
      <c r="AN81" s="52" t="s">
        <v>96</v>
      </c>
      <c r="AO81" s="37" t="s">
        <v>75</v>
      </c>
    </row>
    <row r="82" spans="1:41" ht="15" customHeight="1" x14ac:dyDescent="0.2">
      <c r="A82" s="35" t="s">
        <v>318</v>
      </c>
      <c r="B82" s="35" t="s">
        <v>68</v>
      </c>
      <c r="C82" s="35">
        <v>4</v>
      </c>
      <c r="D82" s="36" t="s">
        <v>162</v>
      </c>
      <c r="E82" s="40" t="s">
        <v>192</v>
      </c>
      <c r="F82" s="36" t="s">
        <v>193</v>
      </c>
      <c r="G82" s="35" t="s">
        <v>319</v>
      </c>
      <c r="H82" s="37" t="s">
        <v>71</v>
      </c>
      <c r="I82" s="36" t="s">
        <v>72</v>
      </c>
      <c r="J82" s="37" t="s">
        <v>320</v>
      </c>
      <c r="K82" s="38">
        <v>2019</v>
      </c>
      <c r="L82" s="39">
        <v>7</v>
      </c>
      <c r="M82" s="40" t="s">
        <v>497</v>
      </c>
      <c r="N82" s="40" t="s">
        <v>497</v>
      </c>
      <c r="O82" s="40" t="s">
        <v>498</v>
      </c>
      <c r="P82" s="41">
        <v>1736</v>
      </c>
      <c r="Q82" s="42">
        <v>12.139860139860099</v>
      </c>
      <c r="R82" s="41">
        <v>143</v>
      </c>
      <c r="S82" s="43">
        <v>1730</v>
      </c>
      <c r="T82" s="43">
        <v>0</v>
      </c>
      <c r="U82" s="35">
        <v>0</v>
      </c>
      <c r="V82" s="35">
        <v>1730</v>
      </c>
      <c r="W82" s="35">
        <v>1730</v>
      </c>
      <c r="X82" s="44">
        <v>12.0979020979021</v>
      </c>
      <c r="Y82" s="44">
        <v>0</v>
      </c>
      <c r="Z82" s="45">
        <v>12.0979020979021</v>
      </c>
      <c r="AA82" s="43">
        <v>143</v>
      </c>
      <c r="AB82" s="46">
        <v>1730</v>
      </c>
      <c r="AC82" s="46"/>
      <c r="AD82" s="47">
        <v>12.1</v>
      </c>
      <c r="AE82" s="46">
        <v>143</v>
      </c>
      <c r="AF82" s="47">
        <v>12.14</v>
      </c>
      <c r="AG82" s="48" t="s">
        <v>324</v>
      </c>
      <c r="AH82" s="49">
        <v>0</v>
      </c>
      <c r="AI82" s="50">
        <v>0</v>
      </c>
      <c r="AJ82" s="49">
        <v>0</v>
      </c>
      <c r="AK82" s="49">
        <v>12.139860139860099</v>
      </c>
      <c r="AL82" s="49">
        <v>1736</v>
      </c>
      <c r="AM82" s="51" t="s">
        <v>95</v>
      </c>
      <c r="AN82" s="52" t="s">
        <v>96</v>
      </c>
      <c r="AO82" s="37" t="s">
        <v>75</v>
      </c>
    </row>
    <row r="83" spans="1:41" ht="15" customHeight="1" x14ac:dyDescent="0.2">
      <c r="A83" s="35" t="s">
        <v>318</v>
      </c>
      <c r="B83" s="35" t="s">
        <v>162</v>
      </c>
      <c r="C83" s="35">
        <v>5</v>
      </c>
      <c r="D83" s="53" t="s">
        <v>162</v>
      </c>
      <c r="E83" s="40">
        <v>1</v>
      </c>
      <c r="F83" s="36" t="s">
        <v>217</v>
      </c>
      <c r="G83" s="35" t="s">
        <v>319</v>
      </c>
      <c r="H83" s="37" t="s">
        <v>71</v>
      </c>
      <c r="I83" s="36" t="s">
        <v>72</v>
      </c>
      <c r="J83" s="37" t="s">
        <v>320</v>
      </c>
      <c r="K83" s="38">
        <v>2024</v>
      </c>
      <c r="L83" s="39">
        <v>2</v>
      </c>
      <c r="M83" s="40" t="s">
        <v>499</v>
      </c>
      <c r="N83" s="40" t="s">
        <v>500</v>
      </c>
      <c r="O83" s="40" t="s">
        <v>501</v>
      </c>
      <c r="P83" s="41">
        <v>3595</v>
      </c>
      <c r="Q83" s="42">
        <v>25.03</v>
      </c>
      <c r="R83" s="41">
        <v>143</v>
      </c>
      <c r="S83" s="43">
        <v>3598</v>
      </c>
      <c r="T83" s="43">
        <v>0</v>
      </c>
      <c r="U83" s="35">
        <v>0</v>
      </c>
      <c r="V83" s="35">
        <v>3598</v>
      </c>
      <c r="W83" s="35">
        <v>3598</v>
      </c>
      <c r="X83" s="44">
        <v>25.160839160839199</v>
      </c>
      <c r="Y83" s="44">
        <v>0</v>
      </c>
      <c r="Z83" s="45">
        <v>25.160839160839199</v>
      </c>
      <c r="AA83" s="43">
        <v>143</v>
      </c>
      <c r="AB83" s="46">
        <v>3598</v>
      </c>
      <c r="AC83" s="46">
        <v>0</v>
      </c>
      <c r="AD83" s="47">
        <v>25.16</v>
      </c>
      <c r="AE83" s="46">
        <v>143</v>
      </c>
      <c r="AF83" s="47">
        <v>25.03</v>
      </c>
      <c r="AG83" s="48" t="s">
        <v>324</v>
      </c>
      <c r="AH83" s="49">
        <v>0</v>
      </c>
      <c r="AI83" s="50">
        <v>0</v>
      </c>
      <c r="AJ83" s="49">
        <v>-143</v>
      </c>
      <c r="AK83" s="49">
        <v>0</v>
      </c>
      <c r="AL83" s="49">
        <v>0</v>
      </c>
      <c r="AM83" s="51" t="s">
        <v>196</v>
      </c>
      <c r="AN83" s="52" t="s">
        <v>74</v>
      </c>
      <c r="AO83" s="37" t="s">
        <v>216</v>
      </c>
    </row>
    <row r="84" spans="1:41" ht="15" customHeight="1" x14ac:dyDescent="0.2">
      <c r="A84" s="35" t="s">
        <v>318</v>
      </c>
      <c r="B84" s="35" t="s">
        <v>162</v>
      </c>
      <c r="C84" s="35">
        <v>5</v>
      </c>
      <c r="D84" s="53" t="s">
        <v>162</v>
      </c>
      <c r="E84" s="40">
        <v>2</v>
      </c>
      <c r="F84" s="36" t="s">
        <v>219</v>
      </c>
      <c r="G84" s="35" t="s">
        <v>319</v>
      </c>
      <c r="H84" s="37" t="s">
        <v>71</v>
      </c>
      <c r="I84" s="36" t="s">
        <v>72</v>
      </c>
      <c r="J84" s="37" t="s">
        <v>320</v>
      </c>
      <c r="K84" s="38">
        <v>2024</v>
      </c>
      <c r="L84" s="39">
        <v>2</v>
      </c>
      <c r="M84" s="40" t="s">
        <v>499</v>
      </c>
      <c r="N84" s="40" t="s">
        <v>502</v>
      </c>
      <c r="O84" s="40" t="s">
        <v>501</v>
      </c>
      <c r="P84" s="41">
        <v>2572</v>
      </c>
      <c r="Q84" s="42">
        <v>18.09</v>
      </c>
      <c r="R84" s="41">
        <v>143</v>
      </c>
      <c r="S84" s="43">
        <v>2587</v>
      </c>
      <c r="T84" s="43">
        <v>0</v>
      </c>
      <c r="U84" s="35">
        <v>0</v>
      </c>
      <c r="V84" s="35">
        <v>2587</v>
      </c>
      <c r="W84" s="35">
        <v>2587</v>
      </c>
      <c r="X84" s="44">
        <v>18.090909090909101</v>
      </c>
      <c r="Y84" s="44">
        <v>0</v>
      </c>
      <c r="Z84" s="45">
        <v>18.090909090909101</v>
      </c>
      <c r="AA84" s="43">
        <v>143</v>
      </c>
      <c r="AB84" s="46">
        <v>2587</v>
      </c>
      <c r="AC84" s="46">
        <v>0</v>
      </c>
      <c r="AD84" s="47">
        <v>18.09</v>
      </c>
      <c r="AE84" s="46">
        <v>143</v>
      </c>
      <c r="AF84" s="47">
        <v>18.09</v>
      </c>
      <c r="AG84" s="48" t="s">
        <v>324</v>
      </c>
      <c r="AH84" s="49">
        <v>0</v>
      </c>
      <c r="AI84" s="50">
        <v>0</v>
      </c>
      <c r="AJ84" s="49">
        <v>-143</v>
      </c>
      <c r="AK84" s="49">
        <v>0</v>
      </c>
      <c r="AL84" s="49">
        <v>0</v>
      </c>
      <c r="AM84" s="51" t="s">
        <v>196</v>
      </c>
      <c r="AN84" s="52" t="s">
        <v>74</v>
      </c>
      <c r="AO84" s="37" t="s">
        <v>216</v>
      </c>
    </row>
    <row r="85" spans="1:41" ht="15" customHeight="1" x14ac:dyDescent="0.2">
      <c r="A85" s="35" t="s">
        <v>318</v>
      </c>
      <c r="B85" s="35" t="s">
        <v>162</v>
      </c>
      <c r="C85" s="35">
        <v>5</v>
      </c>
      <c r="D85" s="53" t="s">
        <v>162</v>
      </c>
      <c r="E85" s="40">
        <v>3</v>
      </c>
      <c r="F85" s="36" t="s">
        <v>220</v>
      </c>
      <c r="G85" s="35" t="s">
        <v>319</v>
      </c>
      <c r="H85" s="37" t="s">
        <v>71</v>
      </c>
      <c r="I85" s="36" t="s">
        <v>72</v>
      </c>
      <c r="J85" s="37" t="s">
        <v>320</v>
      </c>
      <c r="K85" s="38">
        <v>2024</v>
      </c>
      <c r="L85" s="39">
        <v>2</v>
      </c>
      <c r="M85" s="40" t="s">
        <v>499</v>
      </c>
      <c r="N85" s="40" t="s">
        <v>503</v>
      </c>
      <c r="O85" s="40" t="s">
        <v>501</v>
      </c>
      <c r="P85" s="41">
        <v>2605</v>
      </c>
      <c r="Q85" s="42">
        <v>18.23</v>
      </c>
      <c r="R85" s="41">
        <v>143</v>
      </c>
      <c r="S85" s="43">
        <v>2589</v>
      </c>
      <c r="T85" s="43">
        <v>0</v>
      </c>
      <c r="U85" s="35">
        <v>0</v>
      </c>
      <c r="V85" s="35">
        <v>2589</v>
      </c>
      <c r="W85" s="35">
        <v>2589</v>
      </c>
      <c r="X85" s="44">
        <v>18.1048951048951</v>
      </c>
      <c r="Y85" s="44">
        <v>0</v>
      </c>
      <c r="Z85" s="45">
        <v>18.1048951048951</v>
      </c>
      <c r="AA85" s="43">
        <v>143</v>
      </c>
      <c r="AB85" s="46">
        <v>2589</v>
      </c>
      <c r="AC85" s="46">
        <v>0</v>
      </c>
      <c r="AD85" s="47">
        <v>18.100000000000001</v>
      </c>
      <c r="AE85" s="46">
        <v>143</v>
      </c>
      <c r="AF85" s="47">
        <v>18.23</v>
      </c>
      <c r="AG85" s="48" t="s">
        <v>324</v>
      </c>
      <c r="AM85" s="51" t="s">
        <v>196</v>
      </c>
      <c r="AN85" s="52" t="s">
        <v>74</v>
      </c>
      <c r="AO85" s="37" t="s">
        <v>216</v>
      </c>
    </row>
    <row r="86" spans="1:41" ht="15" customHeight="1" x14ac:dyDescent="0.2">
      <c r="A86" s="35" t="s">
        <v>318</v>
      </c>
      <c r="B86" s="35" t="s">
        <v>162</v>
      </c>
      <c r="C86" s="35">
        <v>5</v>
      </c>
      <c r="D86" s="53" t="s">
        <v>162</v>
      </c>
      <c r="E86" s="40">
        <v>4</v>
      </c>
      <c r="F86" s="36" t="s">
        <v>221</v>
      </c>
      <c r="G86" s="35" t="s">
        <v>319</v>
      </c>
      <c r="H86" s="37" t="s">
        <v>71</v>
      </c>
      <c r="I86" s="36" t="s">
        <v>72</v>
      </c>
      <c r="J86" s="37" t="s">
        <v>320</v>
      </c>
      <c r="K86" s="38">
        <v>2024</v>
      </c>
      <c r="L86" s="39">
        <v>2</v>
      </c>
      <c r="M86" s="40" t="s">
        <v>499</v>
      </c>
      <c r="N86" s="40" t="s">
        <v>504</v>
      </c>
      <c r="O86" s="40" t="s">
        <v>501</v>
      </c>
      <c r="P86" s="41">
        <v>2741</v>
      </c>
      <c r="Q86" s="42">
        <v>19.09</v>
      </c>
      <c r="R86" s="41">
        <v>143</v>
      </c>
      <c r="S86" s="43">
        <v>2709</v>
      </c>
      <c r="T86" s="43">
        <v>0</v>
      </c>
      <c r="U86" s="35">
        <v>0</v>
      </c>
      <c r="V86" s="35">
        <v>2709</v>
      </c>
      <c r="W86" s="35">
        <v>2709</v>
      </c>
      <c r="X86" s="44">
        <v>18.944055944055901</v>
      </c>
      <c r="Y86" s="44">
        <v>0</v>
      </c>
      <c r="Z86" s="45">
        <v>18.944055944055901</v>
      </c>
      <c r="AA86" s="43">
        <v>143</v>
      </c>
      <c r="AB86" s="46">
        <v>2709</v>
      </c>
      <c r="AC86" s="46">
        <v>0</v>
      </c>
      <c r="AD86" s="47">
        <v>18.940000000000001</v>
      </c>
      <c r="AE86" s="46">
        <v>143</v>
      </c>
      <c r="AF86" s="47">
        <v>19.09</v>
      </c>
      <c r="AG86" s="48" t="s">
        <v>324</v>
      </c>
      <c r="AM86" s="51" t="s">
        <v>196</v>
      </c>
      <c r="AN86" s="52" t="s">
        <v>74</v>
      </c>
      <c r="AO86" s="37" t="s">
        <v>216</v>
      </c>
    </row>
    <row r="87" spans="1:41" ht="15" customHeight="1" x14ac:dyDescent="0.2">
      <c r="A87" s="35" t="s">
        <v>318</v>
      </c>
      <c r="B87" s="35" t="s">
        <v>162</v>
      </c>
      <c r="C87" s="35">
        <v>5</v>
      </c>
      <c r="D87" s="53" t="s">
        <v>162</v>
      </c>
      <c r="E87" s="40">
        <v>5</v>
      </c>
      <c r="F87" s="36" t="s">
        <v>222</v>
      </c>
      <c r="G87" s="35" t="s">
        <v>319</v>
      </c>
      <c r="H87" s="37" t="s">
        <v>71</v>
      </c>
      <c r="I87" s="36" t="s">
        <v>72</v>
      </c>
      <c r="J87" s="37" t="s">
        <v>320</v>
      </c>
      <c r="K87" s="38">
        <v>2024</v>
      </c>
      <c r="L87" s="39">
        <v>2</v>
      </c>
      <c r="M87" s="40" t="s">
        <v>499</v>
      </c>
      <c r="N87" s="40" t="s">
        <v>505</v>
      </c>
      <c r="O87" s="40" t="s">
        <v>501</v>
      </c>
      <c r="P87" s="41">
        <v>2573</v>
      </c>
      <c r="Q87" s="42">
        <v>18.010000000000002</v>
      </c>
      <c r="R87" s="41">
        <v>143</v>
      </c>
      <c r="S87" s="43">
        <v>2570</v>
      </c>
      <c r="T87" s="43">
        <v>0</v>
      </c>
      <c r="U87" s="35">
        <v>0</v>
      </c>
      <c r="V87" s="35">
        <v>2570</v>
      </c>
      <c r="W87" s="35">
        <v>2570</v>
      </c>
      <c r="X87" s="44">
        <v>17.972027972027998</v>
      </c>
      <c r="Y87" s="44">
        <v>0</v>
      </c>
      <c r="Z87" s="45">
        <v>17.972027972027998</v>
      </c>
      <c r="AA87" s="43">
        <v>143</v>
      </c>
      <c r="AB87" s="46">
        <v>2570</v>
      </c>
      <c r="AC87" s="46">
        <v>0</v>
      </c>
      <c r="AD87" s="47">
        <v>17.97</v>
      </c>
      <c r="AE87" s="46">
        <v>143</v>
      </c>
      <c r="AF87" s="47">
        <v>18.010000000000002</v>
      </c>
      <c r="AG87" s="48" t="s">
        <v>324</v>
      </c>
      <c r="AM87" s="51" t="s">
        <v>196</v>
      </c>
      <c r="AN87" s="52" t="s">
        <v>74</v>
      </c>
      <c r="AO87" s="37" t="s">
        <v>216</v>
      </c>
    </row>
    <row r="88" spans="1:41" ht="15" customHeight="1" x14ac:dyDescent="0.2">
      <c r="A88" s="35" t="s">
        <v>318</v>
      </c>
      <c r="B88" s="35" t="s">
        <v>162</v>
      </c>
      <c r="C88" s="35">
        <v>5</v>
      </c>
      <c r="D88" s="53" t="s">
        <v>162</v>
      </c>
      <c r="E88" s="40">
        <v>6</v>
      </c>
      <c r="F88" s="36" t="s">
        <v>223</v>
      </c>
      <c r="G88" s="35" t="s">
        <v>319</v>
      </c>
      <c r="H88" s="37" t="s">
        <v>71</v>
      </c>
      <c r="I88" s="36" t="s">
        <v>72</v>
      </c>
      <c r="J88" s="37" t="s">
        <v>320</v>
      </c>
      <c r="K88" s="38">
        <v>2024</v>
      </c>
      <c r="L88" s="39">
        <v>2</v>
      </c>
      <c r="M88" s="40" t="s">
        <v>499</v>
      </c>
      <c r="N88" s="40" t="s">
        <v>506</v>
      </c>
      <c r="O88" s="40" t="s">
        <v>501</v>
      </c>
      <c r="P88" s="41">
        <v>2662</v>
      </c>
      <c r="Q88" s="42">
        <v>18.739999999999998</v>
      </c>
      <c r="R88" s="41">
        <v>143</v>
      </c>
      <c r="S88" s="43">
        <v>2556</v>
      </c>
      <c r="T88" s="43">
        <v>0</v>
      </c>
      <c r="U88" s="35">
        <v>0</v>
      </c>
      <c r="V88" s="35">
        <v>2556</v>
      </c>
      <c r="W88" s="35">
        <v>2556</v>
      </c>
      <c r="X88" s="44">
        <v>17.874125874125902</v>
      </c>
      <c r="Y88" s="44">
        <v>0</v>
      </c>
      <c r="Z88" s="45">
        <v>17.874125874125902</v>
      </c>
      <c r="AA88" s="43">
        <v>143</v>
      </c>
      <c r="AB88" s="46">
        <v>2556</v>
      </c>
      <c r="AC88" s="46">
        <v>0</v>
      </c>
      <c r="AD88" s="47">
        <v>17.87</v>
      </c>
      <c r="AE88" s="46">
        <v>143</v>
      </c>
      <c r="AF88" s="47">
        <v>18.739999999999998</v>
      </c>
      <c r="AG88" s="48" t="s">
        <v>324</v>
      </c>
      <c r="AM88" s="51" t="s">
        <v>196</v>
      </c>
      <c r="AN88" s="52" t="s">
        <v>74</v>
      </c>
      <c r="AO88" s="37" t="s">
        <v>216</v>
      </c>
    </row>
    <row r="89" spans="1:41" ht="15" customHeight="1" x14ac:dyDescent="0.2">
      <c r="A89" s="35" t="s">
        <v>318</v>
      </c>
      <c r="B89" s="35" t="s">
        <v>162</v>
      </c>
      <c r="C89" s="35">
        <v>5</v>
      </c>
      <c r="D89" s="53" t="s">
        <v>162</v>
      </c>
      <c r="E89" s="40">
        <v>7</v>
      </c>
      <c r="F89" s="36" t="s">
        <v>224</v>
      </c>
      <c r="G89" s="35" t="s">
        <v>319</v>
      </c>
      <c r="H89" s="37" t="s">
        <v>71</v>
      </c>
      <c r="I89" s="36" t="s">
        <v>72</v>
      </c>
      <c r="J89" s="37" t="s">
        <v>320</v>
      </c>
      <c r="K89" s="38">
        <v>2024</v>
      </c>
      <c r="L89" s="39">
        <v>2</v>
      </c>
      <c r="M89" s="40" t="s">
        <v>499</v>
      </c>
      <c r="N89" s="40" t="s">
        <v>507</v>
      </c>
      <c r="O89" s="40" t="s">
        <v>501</v>
      </c>
      <c r="P89" s="41">
        <v>1147</v>
      </c>
      <c r="Q89" s="42">
        <v>8.0299999999999994</v>
      </c>
      <c r="R89" s="41">
        <v>143</v>
      </c>
      <c r="S89" s="43">
        <v>1074</v>
      </c>
      <c r="T89" s="43">
        <v>0</v>
      </c>
      <c r="U89" s="35">
        <v>0</v>
      </c>
      <c r="V89" s="35">
        <v>1074</v>
      </c>
      <c r="W89" s="35">
        <v>1074</v>
      </c>
      <c r="X89" s="44">
        <v>7.51048951048951</v>
      </c>
      <c r="Y89" s="44">
        <v>0</v>
      </c>
      <c r="Z89" s="45">
        <v>7.51048951048951</v>
      </c>
      <c r="AA89" s="43">
        <v>143</v>
      </c>
      <c r="AB89" s="46">
        <v>1074</v>
      </c>
      <c r="AC89" s="46">
        <v>0</v>
      </c>
      <c r="AD89" s="47">
        <v>7.51</v>
      </c>
      <c r="AE89" s="46">
        <v>143</v>
      </c>
      <c r="AF89" s="47">
        <v>8.0299999999999994</v>
      </c>
      <c r="AG89" s="48" t="s">
        <v>324</v>
      </c>
      <c r="AM89" s="51" t="s">
        <v>196</v>
      </c>
      <c r="AN89" s="52" t="s">
        <v>74</v>
      </c>
      <c r="AO89" s="37" t="s">
        <v>216</v>
      </c>
    </row>
    <row r="90" spans="1:41" ht="15" customHeight="1" x14ac:dyDescent="0.2">
      <c r="A90" s="35" t="s">
        <v>318</v>
      </c>
      <c r="B90" s="35" t="s">
        <v>162</v>
      </c>
      <c r="C90" s="35">
        <v>5</v>
      </c>
      <c r="D90" s="53" t="s">
        <v>162</v>
      </c>
      <c r="E90" s="40">
        <v>8</v>
      </c>
      <c r="F90" s="36" t="s">
        <v>225</v>
      </c>
      <c r="G90" s="35" t="s">
        <v>319</v>
      </c>
      <c r="H90" s="37" t="s">
        <v>71</v>
      </c>
      <c r="I90" s="36" t="s">
        <v>72</v>
      </c>
      <c r="J90" s="37" t="s">
        <v>320</v>
      </c>
      <c r="K90" s="38">
        <v>2024</v>
      </c>
      <c r="L90" s="39">
        <v>2</v>
      </c>
      <c r="M90" s="40" t="s">
        <v>499</v>
      </c>
      <c r="N90" s="40" t="s">
        <v>508</v>
      </c>
      <c r="O90" s="40" t="s">
        <v>501</v>
      </c>
      <c r="P90" s="41">
        <v>1882</v>
      </c>
      <c r="Q90" s="42">
        <v>13.23</v>
      </c>
      <c r="R90" s="41">
        <v>143</v>
      </c>
      <c r="S90" s="43">
        <v>1823</v>
      </c>
      <c r="T90" s="43">
        <v>0</v>
      </c>
      <c r="U90" s="35">
        <v>0</v>
      </c>
      <c r="V90" s="35">
        <v>1823</v>
      </c>
      <c r="W90" s="35">
        <v>1823</v>
      </c>
      <c r="X90" s="44">
        <v>12.7482517482518</v>
      </c>
      <c r="Y90" s="44">
        <v>0</v>
      </c>
      <c r="Z90" s="45">
        <v>12.7482517482518</v>
      </c>
      <c r="AA90" s="43">
        <v>143</v>
      </c>
      <c r="AB90" s="46">
        <v>1823</v>
      </c>
      <c r="AC90" s="46">
        <v>0</v>
      </c>
      <c r="AD90" s="47">
        <v>12.75</v>
      </c>
      <c r="AE90" s="46">
        <v>143</v>
      </c>
      <c r="AF90" s="47">
        <v>13.23</v>
      </c>
      <c r="AG90" s="48" t="s">
        <v>324</v>
      </c>
      <c r="AM90" s="51" t="s">
        <v>196</v>
      </c>
      <c r="AN90" s="52" t="s">
        <v>74</v>
      </c>
      <c r="AO90" s="37" t="s">
        <v>216</v>
      </c>
    </row>
    <row r="91" spans="1:41" ht="15" customHeight="1" x14ac:dyDescent="0.2">
      <c r="A91" s="35" t="s">
        <v>318</v>
      </c>
      <c r="B91" s="35" t="s">
        <v>162</v>
      </c>
      <c r="C91" s="35">
        <v>5</v>
      </c>
      <c r="D91" s="53" t="s">
        <v>162</v>
      </c>
      <c r="E91" s="40">
        <v>9</v>
      </c>
      <c r="F91" s="36" t="s">
        <v>226</v>
      </c>
      <c r="G91" s="35" t="s">
        <v>319</v>
      </c>
      <c r="H91" s="37" t="s">
        <v>71</v>
      </c>
      <c r="I91" s="36" t="s">
        <v>72</v>
      </c>
      <c r="J91" s="37" t="s">
        <v>320</v>
      </c>
      <c r="K91" s="38">
        <v>2024</v>
      </c>
      <c r="L91" s="39">
        <v>2</v>
      </c>
      <c r="M91" s="40" t="s">
        <v>499</v>
      </c>
      <c r="N91" s="40" t="s">
        <v>509</v>
      </c>
      <c r="O91" s="40" t="s">
        <v>501</v>
      </c>
      <c r="P91" s="41">
        <v>2383</v>
      </c>
      <c r="Q91" s="42">
        <v>16.690000000000001</v>
      </c>
      <c r="R91" s="41">
        <v>143</v>
      </c>
      <c r="S91" s="43">
        <v>2412</v>
      </c>
      <c r="T91" s="43">
        <v>0</v>
      </c>
      <c r="U91" s="35">
        <v>0</v>
      </c>
      <c r="V91" s="35">
        <v>2412</v>
      </c>
      <c r="W91" s="35">
        <v>2412</v>
      </c>
      <c r="X91" s="44">
        <v>16.867132867132899</v>
      </c>
      <c r="Y91" s="44">
        <v>0</v>
      </c>
      <c r="Z91" s="45">
        <v>16.867132867132899</v>
      </c>
      <c r="AA91" s="43">
        <v>143</v>
      </c>
      <c r="AB91" s="46">
        <v>2412</v>
      </c>
      <c r="AC91" s="46">
        <v>0</v>
      </c>
      <c r="AD91" s="47">
        <v>16.87</v>
      </c>
      <c r="AE91" s="46">
        <v>143</v>
      </c>
      <c r="AF91" s="47">
        <v>16.690000000000001</v>
      </c>
      <c r="AG91" s="48" t="s">
        <v>324</v>
      </c>
      <c r="AM91" s="51" t="s">
        <v>196</v>
      </c>
      <c r="AN91" s="52" t="s">
        <v>74</v>
      </c>
      <c r="AO91" s="37" t="s">
        <v>216</v>
      </c>
    </row>
    <row r="92" spans="1:41" ht="15" customHeight="1" x14ac:dyDescent="0.2">
      <c r="A92" s="35" t="s">
        <v>318</v>
      </c>
      <c r="B92" s="35" t="s">
        <v>162</v>
      </c>
      <c r="C92" s="35">
        <v>5</v>
      </c>
      <c r="D92" s="53" t="s">
        <v>162</v>
      </c>
      <c r="E92" s="40">
        <v>10</v>
      </c>
      <c r="F92" s="36" t="s">
        <v>510</v>
      </c>
      <c r="G92" s="35" t="s">
        <v>319</v>
      </c>
      <c r="H92" s="37" t="s">
        <v>71</v>
      </c>
      <c r="I92" s="36" t="s">
        <v>72</v>
      </c>
      <c r="J92" s="37" t="s">
        <v>320</v>
      </c>
      <c r="K92" s="38">
        <v>2024</v>
      </c>
      <c r="L92" s="39">
        <v>2</v>
      </c>
      <c r="M92" s="40" t="s">
        <v>499</v>
      </c>
      <c r="N92" s="40" t="s">
        <v>511</v>
      </c>
      <c r="O92" s="40" t="s">
        <v>501</v>
      </c>
      <c r="P92" s="41">
        <v>1744</v>
      </c>
      <c r="Q92" s="42">
        <v>12.1958041958042</v>
      </c>
      <c r="R92" s="41">
        <v>0</v>
      </c>
      <c r="S92" s="43">
        <v>12.1958041958042</v>
      </c>
      <c r="T92" s="43">
        <v>0</v>
      </c>
      <c r="U92" s="35">
        <v>0</v>
      </c>
      <c r="V92" s="35">
        <v>1744</v>
      </c>
      <c r="W92" s="35">
        <v>1744</v>
      </c>
      <c r="X92" s="44">
        <v>12.1958041958042</v>
      </c>
      <c r="Y92" s="44">
        <v>0</v>
      </c>
      <c r="Z92" s="45">
        <v>12.1958041958042</v>
      </c>
      <c r="AA92" s="43">
        <v>143</v>
      </c>
      <c r="AB92" s="46">
        <v>1744</v>
      </c>
      <c r="AC92" s="46">
        <v>0</v>
      </c>
      <c r="AD92" s="47">
        <v>12.1958041958042</v>
      </c>
      <c r="AE92" s="46">
        <v>143</v>
      </c>
      <c r="AF92" s="47">
        <v>16.54</v>
      </c>
      <c r="AG92" s="48" t="s">
        <v>324</v>
      </c>
      <c r="AM92" s="51" t="s">
        <v>196</v>
      </c>
      <c r="AN92" s="52" t="s">
        <v>74</v>
      </c>
      <c r="AO92" s="37" t="s">
        <v>216</v>
      </c>
    </row>
    <row r="93" spans="1:41" ht="15" customHeight="1" x14ac:dyDescent="0.2">
      <c r="A93" s="35" t="s">
        <v>318</v>
      </c>
      <c r="B93" s="35" t="s">
        <v>162</v>
      </c>
      <c r="C93" s="35">
        <v>5</v>
      </c>
      <c r="D93" s="53" t="s">
        <v>162</v>
      </c>
      <c r="E93" s="40">
        <v>10</v>
      </c>
      <c r="F93" s="36" t="s">
        <v>510</v>
      </c>
      <c r="G93" s="35" t="s">
        <v>319</v>
      </c>
      <c r="H93" s="37" t="s">
        <v>71</v>
      </c>
      <c r="I93" s="36" t="s">
        <v>72</v>
      </c>
      <c r="J93" s="37" t="s">
        <v>320</v>
      </c>
      <c r="K93" s="38">
        <v>2025</v>
      </c>
      <c r="L93" s="39">
        <v>1</v>
      </c>
      <c r="M93" s="40" t="s">
        <v>499</v>
      </c>
      <c r="N93" s="40" t="s">
        <v>511</v>
      </c>
      <c r="O93" s="40" t="s">
        <v>501</v>
      </c>
      <c r="P93" s="41">
        <v>622</v>
      </c>
      <c r="Q93" s="42">
        <v>4.3441958041957998</v>
      </c>
      <c r="R93" s="41">
        <v>0</v>
      </c>
      <c r="S93" s="43">
        <v>4.3</v>
      </c>
      <c r="T93" s="43">
        <v>0</v>
      </c>
      <c r="U93" s="35">
        <v>0</v>
      </c>
      <c r="V93" s="35">
        <v>622</v>
      </c>
      <c r="W93" s="35">
        <v>622</v>
      </c>
      <c r="X93" s="44">
        <v>4.3</v>
      </c>
      <c r="Y93" s="44">
        <v>0</v>
      </c>
      <c r="Z93" s="45">
        <v>4.3</v>
      </c>
      <c r="AA93" s="43">
        <v>143</v>
      </c>
      <c r="AB93" s="46">
        <v>622</v>
      </c>
      <c r="AC93" s="46">
        <v>0</v>
      </c>
      <c r="AD93" s="47">
        <v>4.3</v>
      </c>
      <c r="AE93" s="46">
        <v>0</v>
      </c>
      <c r="AF93" s="47">
        <v>0</v>
      </c>
      <c r="AG93" s="48">
        <v>0</v>
      </c>
      <c r="AM93" s="51" t="s">
        <v>196</v>
      </c>
      <c r="AN93" s="52" t="s">
        <v>74</v>
      </c>
      <c r="AO93" s="37" t="s">
        <v>216</v>
      </c>
    </row>
    <row r="94" spans="1:41" ht="15" customHeight="1" x14ac:dyDescent="0.2">
      <c r="A94" s="35" t="s">
        <v>318</v>
      </c>
      <c r="B94" s="35" t="s">
        <v>162</v>
      </c>
      <c r="C94" s="35">
        <v>5</v>
      </c>
      <c r="D94" s="53" t="s">
        <v>162</v>
      </c>
      <c r="E94" s="40">
        <v>11</v>
      </c>
      <c r="F94" s="36" t="s">
        <v>229</v>
      </c>
      <c r="G94" s="35" t="s">
        <v>319</v>
      </c>
      <c r="H94" s="37" t="s">
        <v>71</v>
      </c>
      <c r="I94" s="36" t="s">
        <v>72</v>
      </c>
      <c r="J94" s="37" t="s">
        <v>320</v>
      </c>
      <c r="K94" s="38">
        <v>2025</v>
      </c>
      <c r="L94" s="39">
        <v>1</v>
      </c>
      <c r="M94" s="40" t="s">
        <v>499</v>
      </c>
      <c r="N94" s="40" t="s">
        <v>512</v>
      </c>
      <c r="O94" s="40" t="s">
        <v>501</v>
      </c>
      <c r="P94" s="41">
        <v>2022</v>
      </c>
      <c r="Q94" s="42">
        <v>14.14</v>
      </c>
      <c r="R94" s="41">
        <v>143</v>
      </c>
      <c r="S94" s="43">
        <v>0</v>
      </c>
      <c r="T94" s="43">
        <v>0</v>
      </c>
      <c r="U94" s="35">
        <v>0</v>
      </c>
      <c r="V94" s="35">
        <v>2022</v>
      </c>
      <c r="W94" s="35">
        <v>2022</v>
      </c>
      <c r="X94" s="44">
        <v>14.14</v>
      </c>
      <c r="Y94" s="44">
        <v>0</v>
      </c>
      <c r="Z94" s="45">
        <v>14.14</v>
      </c>
      <c r="AA94" s="43">
        <v>143</v>
      </c>
      <c r="AB94" s="46">
        <v>0</v>
      </c>
      <c r="AC94" s="46">
        <v>0</v>
      </c>
      <c r="AD94" s="47">
        <v>0</v>
      </c>
      <c r="AE94" s="46">
        <v>0</v>
      </c>
      <c r="AF94" s="47">
        <v>0</v>
      </c>
      <c r="AG94" s="48">
        <v>0</v>
      </c>
      <c r="AM94" s="51" t="s">
        <v>196</v>
      </c>
      <c r="AN94" s="52" t="s">
        <v>74</v>
      </c>
      <c r="AO94" s="37" t="s">
        <v>216</v>
      </c>
    </row>
    <row r="95" spans="1:41" ht="15" customHeight="1" x14ac:dyDescent="0.2">
      <c r="A95" s="35" t="s">
        <v>318</v>
      </c>
      <c r="B95" s="35" t="s">
        <v>162</v>
      </c>
      <c r="C95" s="35">
        <v>5</v>
      </c>
      <c r="D95" s="53" t="s">
        <v>162</v>
      </c>
      <c r="E95" s="40">
        <v>12</v>
      </c>
      <c r="F95" s="36" t="s">
        <v>230</v>
      </c>
      <c r="G95" s="35" t="s">
        <v>319</v>
      </c>
      <c r="H95" s="37" t="s">
        <v>71</v>
      </c>
      <c r="I95" s="36" t="s">
        <v>72</v>
      </c>
      <c r="J95" s="37" t="s">
        <v>320</v>
      </c>
      <c r="K95" s="38">
        <v>2025</v>
      </c>
      <c r="L95" s="39">
        <v>1</v>
      </c>
      <c r="M95" s="40" t="s">
        <v>499</v>
      </c>
      <c r="N95" s="40" t="s">
        <v>513</v>
      </c>
      <c r="O95" s="40" t="s">
        <v>501</v>
      </c>
      <c r="P95" s="41">
        <v>1225</v>
      </c>
      <c r="Q95" s="42">
        <v>8.56</v>
      </c>
      <c r="R95" s="41">
        <v>143</v>
      </c>
      <c r="S95" s="43">
        <v>0</v>
      </c>
      <c r="T95" s="43">
        <v>0</v>
      </c>
      <c r="U95" s="35">
        <v>0</v>
      </c>
      <c r="V95" s="35">
        <v>1225</v>
      </c>
      <c r="W95" s="35">
        <v>1225</v>
      </c>
      <c r="X95" s="44">
        <v>8.56</v>
      </c>
      <c r="Y95" s="44">
        <v>0</v>
      </c>
      <c r="Z95" s="45">
        <v>8.56</v>
      </c>
      <c r="AA95" s="43">
        <v>143</v>
      </c>
      <c r="AB95" s="46">
        <v>0</v>
      </c>
      <c r="AC95" s="46">
        <v>0</v>
      </c>
      <c r="AD95" s="47">
        <v>0</v>
      </c>
      <c r="AE95" s="46">
        <v>0</v>
      </c>
      <c r="AF95" s="47">
        <v>0</v>
      </c>
      <c r="AG95" s="48">
        <v>0</v>
      </c>
      <c r="AM95" s="51" t="s">
        <v>196</v>
      </c>
      <c r="AN95" s="52" t="s">
        <v>74</v>
      </c>
      <c r="AO95" s="37" t="s">
        <v>216</v>
      </c>
    </row>
    <row r="96" spans="1:41" ht="15" customHeight="1" x14ac:dyDescent="0.2">
      <c r="A96" s="35" t="s">
        <v>318</v>
      </c>
      <c r="B96" s="35" t="s">
        <v>162</v>
      </c>
      <c r="C96" s="35">
        <v>5</v>
      </c>
      <c r="D96" s="53" t="s">
        <v>162</v>
      </c>
      <c r="E96" s="40">
        <v>13</v>
      </c>
      <c r="F96" s="36" t="s">
        <v>231</v>
      </c>
      <c r="G96" s="35" t="s">
        <v>232</v>
      </c>
      <c r="H96" s="37" t="s">
        <v>71</v>
      </c>
      <c r="I96" s="36" t="s">
        <v>232</v>
      </c>
      <c r="J96" s="37" t="s">
        <v>320</v>
      </c>
      <c r="K96" s="38">
        <v>2026</v>
      </c>
      <c r="L96" s="39">
        <v>0</v>
      </c>
      <c r="M96" s="40" t="s">
        <v>499</v>
      </c>
      <c r="N96" s="40" t="s">
        <v>514</v>
      </c>
      <c r="O96" s="40" t="s">
        <v>501</v>
      </c>
      <c r="P96" s="41">
        <v>1938</v>
      </c>
      <c r="Q96" s="42">
        <v>13.62</v>
      </c>
      <c r="R96" s="41">
        <v>143</v>
      </c>
      <c r="S96" s="43">
        <v>0</v>
      </c>
      <c r="T96" s="43">
        <v>0</v>
      </c>
      <c r="U96" s="35">
        <v>0</v>
      </c>
      <c r="V96" s="35">
        <v>0</v>
      </c>
      <c r="W96" s="35">
        <v>0</v>
      </c>
      <c r="X96" s="44">
        <v>0</v>
      </c>
      <c r="Y96" s="44">
        <v>0</v>
      </c>
      <c r="Z96" s="45">
        <v>0</v>
      </c>
      <c r="AA96" s="43">
        <v>0</v>
      </c>
      <c r="AB96" s="46">
        <v>0</v>
      </c>
      <c r="AC96" s="46">
        <v>0</v>
      </c>
      <c r="AD96" s="47">
        <v>0</v>
      </c>
      <c r="AE96" s="46">
        <v>0</v>
      </c>
      <c r="AF96" s="47">
        <v>0</v>
      </c>
      <c r="AG96" s="48">
        <v>0</v>
      </c>
      <c r="AM96" s="51" t="s">
        <v>196</v>
      </c>
      <c r="AN96" s="52" t="s">
        <v>74</v>
      </c>
      <c r="AO96" s="37" t="s">
        <v>216</v>
      </c>
    </row>
    <row r="97" spans="1:41" ht="15" customHeight="1" x14ac:dyDescent="0.2">
      <c r="A97" s="35" t="s">
        <v>318</v>
      </c>
      <c r="B97" s="35" t="s">
        <v>162</v>
      </c>
      <c r="C97" s="35">
        <v>5</v>
      </c>
      <c r="D97" s="53" t="s">
        <v>162</v>
      </c>
      <c r="E97" s="40">
        <v>14</v>
      </c>
      <c r="F97" s="36" t="s">
        <v>233</v>
      </c>
      <c r="G97" s="35" t="s">
        <v>232</v>
      </c>
      <c r="H97" s="37" t="s">
        <v>71</v>
      </c>
      <c r="I97" s="36" t="s">
        <v>232</v>
      </c>
      <c r="J97" s="37" t="s">
        <v>320</v>
      </c>
      <c r="K97" s="38">
        <v>2026</v>
      </c>
      <c r="L97" s="39">
        <v>0</v>
      </c>
      <c r="M97" s="40" t="s">
        <v>499</v>
      </c>
      <c r="N97" s="40" t="s">
        <v>515</v>
      </c>
      <c r="O97" s="40" t="s">
        <v>501</v>
      </c>
      <c r="P97" s="41">
        <v>1408</v>
      </c>
      <c r="Q97" s="42">
        <v>9.94</v>
      </c>
      <c r="R97" s="41">
        <v>143</v>
      </c>
      <c r="S97" s="43">
        <v>0</v>
      </c>
      <c r="T97" s="43">
        <v>0</v>
      </c>
      <c r="U97" s="35">
        <v>0</v>
      </c>
      <c r="V97" s="35">
        <v>0</v>
      </c>
      <c r="W97" s="35">
        <v>0</v>
      </c>
      <c r="X97" s="44">
        <v>0</v>
      </c>
      <c r="Y97" s="44">
        <v>0</v>
      </c>
      <c r="Z97" s="45">
        <v>0</v>
      </c>
      <c r="AA97" s="43">
        <v>0</v>
      </c>
      <c r="AB97" s="46">
        <v>0</v>
      </c>
      <c r="AC97" s="46">
        <v>0</v>
      </c>
      <c r="AD97" s="47">
        <v>0</v>
      </c>
      <c r="AE97" s="46">
        <v>0</v>
      </c>
      <c r="AF97" s="47">
        <v>0</v>
      </c>
      <c r="AG97" s="48">
        <v>0</v>
      </c>
      <c r="AM97" s="51" t="s">
        <v>196</v>
      </c>
      <c r="AN97" s="52" t="s">
        <v>74</v>
      </c>
      <c r="AO97" s="37" t="s">
        <v>216</v>
      </c>
    </row>
    <row r="98" spans="1:41" ht="15" customHeight="1" x14ac:dyDescent="0.2">
      <c r="A98" s="35" t="s">
        <v>318</v>
      </c>
      <c r="B98" s="35" t="s">
        <v>162</v>
      </c>
      <c r="C98" s="35">
        <v>5</v>
      </c>
      <c r="D98" s="53" t="s">
        <v>162</v>
      </c>
      <c r="E98" s="40">
        <v>15</v>
      </c>
      <c r="F98" s="36" t="s">
        <v>234</v>
      </c>
      <c r="G98" s="35" t="s">
        <v>232</v>
      </c>
      <c r="H98" s="37" t="s">
        <v>71</v>
      </c>
      <c r="I98" s="36" t="s">
        <v>232</v>
      </c>
      <c r="J98" s="37" t="s">
        <v>320</v>
      </c>
      <c r="K98" s="38">
        <v>2026</v>
      </c>
      <c r="L98" s="39">
        <v>0</v>
      </c>
      <c r="M98" s="40" t="s">
        <v>499</v>
      </c>
      <c r="N98" s="40" t="s">
        <v>516</v>
      </c>
      <c r="O98" s="40" t="s">
        <v>501</v>
      </c>
      <c r="P98" s="41">
        <v>1477</v>
      </c>
      <c r="Q98" s="42">
        <v>10.5</v>
      </c>
      <c r="R98" s="41">
        <v>143</v>
      </c>
      <c r="S98" s="43">
        <v>0</v>
      </c>
      <c r="T98" s="43">
        <v>0</v>
      </c>
      <c r="U98" s="35">
        <v>0</v>
      </c>
      <c r="V98" s="35">
        <v>0</v>
      </c>
      <c r="W98" s="35">
        <v>0</v>
      </c>
      <c r="X98" s="44">
        <v>0</v>
      </c>
      <c r="Y98" s="44">
        <v>0</v>
      </c>
      <c r="Z98" s="45">
        <v>0</v>
      </c>
      <c r="AA98" s="43">
        <v>0</v>
      </c>
      <c r="AB98" s="46">
        <v>0</v>
      </c>
      <c r="AC98" s="46">
        <v>0</v>
      </c>
      <c r="AD98" s="47">
        <v>0</v>
      </c>
      <c r="AE98" s="46">
        <v>0</v>
      </c>
      <c r="AF98" s="47">
        <v>0</v>
      </c>
      <c r="AG98" s="48">
        <v>0</v>
      </c>
      <c r="AM98" s="51" t="s">
        <v>196</v>
      </c>
      <c r="AN98" s="52" t="s">
        <v>74</v>
      </c>
      <c r="AO98" s="37" t="s">
        <v>216</v>
      </c>
    </row>
    <row r="99" spans="1:41" ht="15" customHeight="1" x14ac:dyDescent="0.2">
      <c r="A99" s="35" t="s">
        <v>318</v>
      </c>
      <c r="B99" s="35" t="s">
        <v>162</v>
      </c>
      <c r="C99" s="35">
        <v>5</v>
      </c>
      <c r="D99" s="53" t="s">
        <v>162</v>
      </c>
      <c r="E99" s="40">
        <v>16</v>
      </c>
      <c r="F99" s="36" t="s">
        <v>235</v>
      </c>
      <c r="G99" s="35" t="s">
        <v>232</v>
      </c>
      <c r="H99" s="37" t="s">
        <v>71</v>
      </c>
      <c r="I99" s="36" t="s">
        <v>232</v>
      </c>
      <c r="J99" s="37" t="s">
        <v>320</v>
      </c>
      <c r="K99" s="38">
        <v>2026</v>
      </c>
      <c r="L99" s="39">
        <v>0</v>
      </c>
      <c r="M99" s="40" t="s">
        <v>499</v>
      </c>
      <c r="N99" s="40" t="s">
        <v>517</v>
      </c>
      <c r="O99" s="40" t="s">
        <v>501</v>
      </c>
      <c r="P99" s="41">
        <v>1415</v>
      </c>
      <c r="Q99" s="42">
        <v>10.06</v>
      </c>
      <c r="R99" s="41">
        <v>143</v>
      </c>
      <c r="S99" s="43">
        <v>0</v>
      </c>
      <c r="T99" s="43">
        <v>0</v>
      </c>
      <c r="U99" s="35">
        <v>0</v>
      </c>
      <c r="V99" s="35">
        <v>0</v>
      </c>
      <c r="W99" s="35">
        <v>0</v>
      </c>
      <c r="X99" s="44">
        <v>0</v>
      </c>
      <c r="Y99" s="44">
        <v>0</v>
      </c>
      <c r="Z99" s="45">
        <v>0</v>
      </c>
      <c r="AA99" s="43">
        <v>0</v>
      </c>
      <c r="AB99" s="46">
        <v>0</v>
      </c>
      <c r="AC99" s="46">
        <v>0</v>
      </c>
      <c r="AD99" s="47">
        <v>0</v>
      </c>
      <c r="AE99" s="46">
        <v>0</v>
      </c>
      <c r="AF99" s="47">
        <v>0</v>
      </c>
      <c r="AG99" s="48">
        <v>0</v>
      </c>
      <c r="AM99" s="51" t="s">
        <v>196</v>
      </c>
      <c r="AN99" s="52" t="s">
        <v>74</v>
      </c>
      <c r="AO99" s="37" t="s">
        <v>216</v>
      </c>
    </row>
    <row r="100" spans="1:41" ht="15" customHeight="1" x14ac:dyDescent="0.2">
      <c r="A100" s="35" t="s">
        <v>318</v>
      </c>
      <c r="B100" s="35" t="s">
        <v>162</v>
      </c>
      <c r="C100" s="35">
        <v>5</v>
      </c>
      <c r="D100" s="53" t="s">
        <v>162</v>
      </c>
      <c r="E100" s="40">
        <v>17</v>
      </c>
      <c r="F100" s="36" t="s">
        <v>236</v>
      </c>
      <c r="G100" s="35" t="s">
        <v>232</v>
      </c>
      <c r="H100" s="37" t="s">
        <v>71</v>
      </c>
      <c r="I100" s="36" t="s">
        <v>232</v>
      </c>
      <c r="J100" s="37" t="s">
        <v>320</v>
      </c>
      <c r="K100" s="38">
        <v>2026</v>
      </c>
      <c r="L100" s="39">
        <v>0</v>
      </c>
      <c r="M100" s="40" t="s">
        <v>499</v>
      </c>
      <c r="N100" s="40" t="s">
        <v>518</v>
      </c>
      <c r="O100" s="40" t="s">
        <v>501</v>
      </c>
      <c r="P100" s="41">
        <v>1443</v>
      </c>
      <c r="Q100" s="42">
        <v>10.210000000000001</v>
      </c>
      <c r="R100" s="41">
        <v>143</v>
      </c>
      <c r="S100" s="43">
        <v>0</v>
      </c>
      <c r="T100" s="43">
        <v>0</v>
      </c>
      <c r="U100" s="35">
        <v>0</v>
      </c>
      <c r="V100" s="35">
        <v>0</v>
      </c>
      <c r="W100" s="35">
        <v>0</v>
      </c>
      <c r="X100" s="44">
        <v>0</v>
      </c>
      <c r="Y100" s="44">
        <v>0</v>
      </c>
      <c r="Z100" s="45">
        <v>0</v>
      </c>
      <c r="AA100" s="43">
        <v>0</v>
      </c>
      <c r="AB100" s="46">
        <v>0</v>
      </c>
      <c r="AC100" s="46">
        <v>0</v>
      </c>
      <c r="AD100" s="47">
        <v>0</v>
      </c>
      <c r="AE100" s="46">
        <v>0</v>
      </c>
      <c r="AF100" s="47">
        <v>0</v>
      </c>
      <c r="AG100" s="48">
        <v>0</v>
      </c>
      <c r="AM100" s="51" t="s">
        <v>196</v>
      </c>
      <c r="AN100" s="52" t="s">
        <v>74</v>
      </c>
      <c r="AO100" s="37" t="s">
        <v>216</v>
      </c>
    </row>
    <row r="101" spans="1:41" ht="15" customHeight="1" x14ac:dyDescent="0.2">
      <c r="A101" s="35" t="s">
        <v>318</v>
      </c>
      <c r="B101" s="35" t="s">
        <v>162</v>
      </c>
      <c r="C101" s="35">
        <v>5</v>
      </c>
      <c r="D101" s="53" t="s">
        <v>162</v>
      </c>
      <c r="E101" s="40">
        <v>18</v>
      </c>
      <c r="F101" s="36" t="s">
        <v>237</v>
      </c>
      <c r="G101" s="35" t="s">
        <v>232</v>
      </c>
      <c r="H101" s="37" t="s">
        <v>71</v>
      </c>
      <c r="I101" s="36" t="s">
        <v>232</v>
      </c>
      <c r="J101" s="37" t="s">
        <v>320</v>
      </c>
      <c r="K101" s="38">
        <v>2026</v>
      </c>
      <c r="L101" s="39">
        <v>0</v>
      </c>
      <c r="M101" s="40" t="s">
        <v>499</v>
      </c>
      <c r="N101" s="40" t="s">
        <v>519</v>
      </c>
      <c r="O101" s="40" t="s">
        <v>501</v>
      </c>
      <c r="P101" s="41">
        <v>895</v>
      </c>
      <c r="Q101" s="42">
        <v>6.33</v>
      </c>
      <c r="R101" s="41">
        <v>143</v>
      </c>
      <c r="S101" s="43">
        <v>0</v>
      </c>
      <c r="T101" s="43">
        <v>0</v>
      </c>
      <c r="U101" s="35">
        <v>0</v>
      </c>
      <c r="V101" s="35">
        <v>0</v>
      </c>
      <c r="W101" s="35">
        <v>0</v>
      </c>
      <c r="X101" s="44">
        <v>0</v>
      </c>
      <c r="Y101" s="44">
        <v>0</v>
      </c>
      <c r="Z101" s="45">
        <v>0</v>
      </c>
      <c r="AA101" s="43">
        <v>0</v>
      </c>
      <c r="AB101" s="46">
        <v>0</v>
      </c>
      <c r="AC101" s="46">
        <v>0</v>
      </c>
      <c r="AD101" s="47">
        <v>0</v>
      </c>
      <c r="AE101" s="46">
        <v>0</v>
      </c>
      <c r="AF101" s="47">
        <v>0</v>
      </c>
      <c r="AG101" s="48">
        <v>0</v>
      </c>
      <c r="AM101" s="51" t="s">
        <v>196</v>
      </c>
      <c r="AN101" s="52" t="s">
        <v>74</v>
      </c>
      <c r="AO101" s="37" t="s">
        <v>216</v>
      </c>
    </row>
    <row r="102" spans="1:41" ht="15" customHeight="1" x14ac:dyDescent="0.2">
      <c r="A102" s="35" t="s">
        <v>318</v>
      </c>
      <c r="B102" s="35" t="s">
        <v>162</v>
      </c>
      <c r="C102" s="35">
        <v>5</v>
      </c>
      <c r="D102" s="53" t="s">
        <v>162</v>
      </c>
      <c r="E102" s="40">
        <v>19</v>
      </c>
      <c r="F102" s="36" t="s">
        <v>238</v>
      </c>
      <c r="G102" s="35" t="s">
        <v>232</v>
      </c>
      <c r="H102" s="37" t="s">
        <v>71</v>
      </c>
      <c r="I102" s="36" t="s">
        <v>232</v>
      </c>
      <c r="J102" s="37" t="s">
        <v>320</v>
      </c>
      <c r="K102" s="38">
        <v>2026</v>
      </c>
      <c r="L102" s="39">
        <v>0</v>
      </c>
      <c r="M102" s="40" t="s">
        <v>499</v>
      </c>
      <c r="N102" s="40" t="s">
        <v>520</v>
      </c>
      <c r="O102" s="40" t="s">
        <v>501</v>
      </c>
      <c r="P102" s="41">
        <v>993</v>
      </c>
      <c r="Q102" s="42">
        <v>7.05</v>
      </c>
      <c r="R102" s="41">
        <v>143</v>
      </c>
      <c r="S102" s="43">
        <v>0</v>
      </c>
      <c r="T102" s="43">
        <v>0</v>
      </c>
      <c r="U102" s="35">
        <v>0</v>
      </c>
      <c r="V102" s="35">
        <v>0</v>
      </c>
      <c r="W102" s="35">
        <v>0</v>
      </c>
      <c r="X102" s="44">
        <v>0</v>
      </c>
      <c r="Y102" s="44">
        <v>0</v>
      </c>
      <c r="Z102" s="45">
        <v>0</v>
      </c>
      <c r="AA102" s="43">
        <v>0</v>
      </c>
      <c r="AB102" s="46">
        <v>0</v>
      </c>
      <c r="AC102" s="46">
        <v>0</v>
      </c>
      <c r="AD102" s="47">
        <v>0</v>
      </c>
      <c r="AE102" s="46">
        <v>0</v>
      </c>
      <c r="AF102" s="47">
        <v>0</v>
      </c>
      <c r="AG102" s="48">
        <v>0</v>
      </c>
      <c r="AM102" s="51" t="s">
        <v>196</v>
      </c>
      <c r="AN102" s="52" t="s">
        <v>74</v>
      </c>
      <c r="AO102" s="37" t="s">
        <v>216</v>
      </c>
    </row>
    <row r="103" spans="1:41" ht="15" customHeight="1" x14ac:dyDescent="0.2">
      <c r="A103" s="35" t="s">
        <v>318</v>
      </c>
      <c r="B103" s="35" t="s">
        <v>162</v>
      </c>
      <c r="C103" s="35">
        <v>5</v>
      </c>
      <c r="D103" s="53" t="s">
        <v>162</v>
      </c>
      <c r="E103" s="40">
        <v>20</v>
      </c>
      <c r="F103" s="36" t="s">
        <v>239</v>
      </c>
      <c r="G103" s="35" t="s">
        <v>232</v>
      </c>
      <c r="H103" s="37" t="s">
        <v>71</v>
      </c>
      <c r="I103" s="36" t="s">
        <v>232</v>
      </c>
      <c r="J103" s="37" t="s">
        <v>320</v>
      </c>
      <c r="K103" s="38">
        <v>2026</v>
      </c>
      <c r="L103" s="39">
        <v>0</v>
      </c>
      <c r="M103" s="40" t="s">
        <v>499</v>
      </c>
      <c r="N103" s="40" t="s">
        <v>521</v>
      </c>
      <c r="O103" s="40" t="s">
        <v>501</v>
      </c>
      <c r="P103" s="41">
        <v>920</v>
      </c>
      <c r="Q103" s="42">
        <v>6.48</v>
      </c>
      <c r="R103" s="41">
        <v>143</v>
      </c>
      <c r="S103" s="43">
        <v>0</v>
      </c>
      <c r="T103" s="43">
        <v>0</v>
      </c>
      <c r="U103" s="35">
        <v>0</v>
      </c>
      <c r="V103" s="35">
        <v>0</v>
      </c>
      <c r="W103" s="35">
        <v>0</v>
      </c>
      <c r="X103" s="44">
        <v>0</v>
      </c>
      <c r="Y103" s="44">
        <v>0</v>
      </c>
      <c r="Z103" s="45">
        <v>0</v>
      </c>
      <c r="AA103" s="43">
        <v>0</v>
      </c>
      <c r="AB103" s="46">
        <v>0</v>
      </c>
      <c r="AC103" s="46">
        <v>0</v>
      </c>
      <c r="AD103" s="47">
        <v>0</v>
      </c>
      <c r="AE103" s="46">
        <v>0</v>
      </c>
      <c r="AF103" s="47">
        <v>0</v>
      </c>
      <c r="AG103" s="48">
        <v>0</v>
      </c>
      <c r="AM103" s="51" t="s">
        <v>196</v>
      </c>
      <c r="AN103" s="52" t="s">
        <v>74</v>
      </c>
      <c r="AO103" s="37" t="s">
        <v>216</v>
      </c>
    </row>
    <row r="104" spans="1:41" ht="15" customHeight="1" x14ac:dyDescent="0.2">
      <c r="A104" s="35" t="s">
        <v>318</v>
      </c>
      <c r="B104" s="35" t="s">
        <v>162</v>
      </c>
      <c r="C104" s="35">
        <v>5</v>
      </c>
      <c r="D104" s="53" t="s">
        <v>162</v>
      </c>
      <c r="E104" s="40">
        <v>21</v>
      </c>
      <c r="F104" s="36" t="s">
        <v>240</v>
      </c>
      <c r="G104" s="35" t="s">
        <v>232</v>
      </c>
      <c r="H104" s="37" t="s">
        <v>71</v>
      </c>
      <c r="I104" s="36" t="s">
        <v>232</v>
      </c>
      <c r="J104" s="37" t="s">
        <v>320</v>
      </c>
      <c r="K104" s="38">
        <v>2026</v>
      </c>
      <c r="L104" s="39">
        <v>0</v>
      </c>
      <c r="M104" s="40" t="s">
        <v>499</v>
      </c>
      <c r="N104" s="40" t="s">
        <v>522</v>
      </c>
      <c r="O104" s="40" t="s">
        <v>501</v>
      </c>
      <c r="P104" s="41">
        <v>1009</v>
      </c>
      <c r="Q104" s="42">
        <v>7.11</v>
      </c>
      <c r="R104" s="41">
        <v>143</v>
      </c>
      <c r="S104" s="43">
        <v>0</v>
      </c>
      <c r="T104" s="43">
        <v>0</v>
      </c>
      <c r="U104" s="35">
        <v>0</v>
      </c>
      <c r="V104" s="35">
        <v>0</v>
      </c>
      <c r="W104" s="35">
        <v>0</v>
      </c>
      <c r="X104" s="44">
        <v>0</v>
      </c>
      <c r="Y104" s="44">
        <v>0</v>
      </c>
      <c r="Z104" s="45">
        <v>0</v>
      </c>
      <c r="AA104" s="43">
        <v>0</v>
      </c>
      <c r="AB104" s="46">
        <v>0</v>
      </c>
      <c r="AC104" s="46">
        <v>0</v>
      </c>
      <c r="AD104" s="47">
        <v>0</v>
      </c>
      <c r="AE104" s="46">
        <v>0</v>
      </c>
      <c r="AF104" s="47">
        <v>0</v>
      </c>
      <c r="AG104" s="48">
        <v>0</v>
      </c>
      <c r="AM104" s="51" t="s">
        <v>196</v>
      </c>
      <c r="AN104" s="52" t="s">
        <v>74</v>
      </c>
      <c r="AO104" s="37" t="s">
        <v>216</v>
      </c>
    </row>
    <row r="105" spans="1:41" ht="15" customHeight="1" x14ac:dyDescent="0.2">
      <c r="A105" s="35" t="s">
        <v>318</v>
      </c>
      <c r="B105" s="35" t="s">
        <v>194</v>
      </c>
      <c r="C105" s="35">
        <v>5</v>
      </c>
      <c r="D105" s="36" t="s">
        <v>194</v>
      </c>
      <c r="E105" s="40">
        <v>1</v>
      </c>
      <c r="F105" s="36" t="s">
        <v>195</v>
      </c>
      <c r="G105" s="35" t="s">
        <v>319</v>
      </c>
      <c r="H105" s="37" t="s">
        <v>71</v>
      </c>
      <c r="I105" s="36" t="s">
        <v>72</v>
      </c>
      <c r="J105" s="37" t="s">
        <v>320</v>
      </c>
      <c r="K105" s="38">
        <v>2022</v>
      </c>
      <c r="L105" s="39">
        <v>4</v>
      </c>
      <c r="M105" s="40" t="s">
        <v>499</v>
      </c>
      <c r="N105" s="40" t="s">
        <v>523</v>
      </c>
      <c r="O105" s="40" t="s">
        <v>524</v>
      </c>
      <c r="P105" s="41">
        <v>1024</v>
      </c>
      <c r="Q105" s="41">
        <v>7</v>
      </c>
      <c r="R105" s="41">
        <v>143</v>
      </c>
      <c r="S105" s="41">
        <v>1024</v>
      </c>
      <c r="T105" s="41">
        <v>0</v>
      </c>
      <c r="U105" s="35">
        <v>0</v>
      </c>
      <c r="V105" s="35">
        <v>1024</v>
      </c>
      <c r="W105" s="35">
        <v>1024</v>
      </c>
      <c r="X105" s="44">
        <v>7.1608391608391599</v>
      </c>
      <c r="Y105" s="44">
        <v>0</v>
      </c>
      <c r="Z105" s="45">
        <v>7.1608391608391599</v>
      </c>
      <c r="AA105" s="43">
        <v>143</v>
      </c>
      <c r="AB105" s="46">
        <v>4248</v>
      </c>
      <c r="AC105" s="46">
        <v>0</v>
      </c>
      <c r="AD105" s="47">
        <v>29.71</v>
      </c>
      <c r="AE105" s="46">
        <v>143</v>
      </c>
      <c r="AF105" s="47">
        <v>29</v>
      </c>
      <c r="AG105" s="48" t="s">
        <v>324</v>
      </c>
      <c r="AH105" s="49">
        <v>0</v>
      </c>
      <c r="AI105" s="49">
        <v>9.9999999999997903E-3</v>
      </c>
      <c r="AJ105" s="49">
        <v>-286</v>
      </c>
      <c r="AK105" s="49">
        <v>29.7062937062937</v>
      </c>
      <c r="AL105" s="49">
        <v>4248</v>
      </c>
      <c r="AM105" s="51" t="s">
        <v>196</v>
      </c>
      <c r="AN105" s="52" t="s">
        <v>74</v>
      </c>
      <c r="AO105" s="37" t="s">
        <v>75</v>
      </c>
    </row>
    <row r="106" spans="1:41" ht="15" customHeight="1" x14ac:dyDescent="0.2">
      <c r="A106" s="35" t="s">
        <v>318</v>
      </c>
      <c r="B106" s="35" t="s">
        <v>194</v>
      </c>
      <c r="C106" s="35">
        <v>5</v>
      </c>
      <c r="D106" s="36" t="s">
        <v>194</v>
      </c>
      <c r="E106" s="40" t="s">
        <v>197</v>
      </c>
      <c r="F106" s="36" t="s">
        <v>198</v>
      </c>
      <c r="G106" s="35" t="s">
        <v>319</v>
      </c>
      <c r="H106" s="37" t="s">
        <v>71</v>
      </c>
      <c r="I106" s="36" t="s">
        <v>72</v>
      </c>
      <c r="J106" s="37" t="s">
        <v>320</v>
      </c>
      <c r="K106" s="38">
        <v>2022</v>
      </c>
      <c r="L106" s="39">
        <v>4</v>
      </c>
      <c r="M106" s="40" t="s">
        <v>499</v>
      </c>
      <c r="N106" s="40" t="s">
        <v>523</v>
      </c>
      <c r="O106" s="40" t="s">
        <v>524</v>
      </c>
      <c r="P106" s="41">
        <v>1601</v>
      </c>
      <c r="Q106" s="41">
        <v>11</v>
      </c>
      <c r="R106" s="41">
        <v>143</v>
      </c>
      <c r="S106" s="41">
        <v>1606</v>
      </c>
      <c r="T106" s="41">
        <v>0</v>
      </c>
      <c r="U106" s="35">
        <v>0</v>
      </c>
      <c r="V106" s="35">
        <v>1606</v>
      </c>
      <c r="W106" s="35">
        <v>1606</v>
      </c>
      <c r="X106" s="44">
        <v>11.2307692307692</v>
      </c>
      <c r="Y106" s="44">
        <v>0</v>
      </c>
      <c r="Z106" s="45">
        <v>11.2307692307692</v>
      </c>
      <c r="AA106" s="43">
        <v>143</v>
      </c>
      <c r="AB106" s="46">
        <v>0</v>
      </c>
      <c r="AC106" s="46">
        <v>0</v>
      </c>
      <c r="AD106" s="47">
        <v>0</v>
      </c>
      <c r="AE106" s="46">
        <v>0</v>
      </c>
      <c r="AF106" s="47">
        <v>0</v>
      </c>
      <c r="AG106" s="48">
        <v>0</v>
      </c>
      <c r="AH106" s="49">
        <v>0</v>
      </c>
      <c r="AI106" s="50">
        <v>0</v>
      </c>
      <c r="AJ106" s="49">
        <v>-143</v>
      </c>
      <c r="AK106" s="49">
        <v>36.650349650349703</v>
      </c>
      <c r="AL106" s="49">
        <v>5241</v>
      </c>
      <c r="AM106" s="51" t="s">
        <v>196</v>
      </c>
      <c r="AN106" s="52" t="s">
        <v>74</v>
      </c>
      <c r="AO106" s="37" t="s">
        <v>75</v>
      </c>
    </row>
    <row r="107" spans="1:41" ht="15" customHeight="1" x14ac:dyDescent="0.2">
      <c r="A107" s="35" t="s">
        <v>318</v>
      </c>
      <c r="B107" s="35" t="s">
        <v>194</v>
      </c>
      <c r="C107" s="35">
        <v>5</v>
      </c>
      <c r="D107" s="36" t="s">
        <v>194</v>
      </c>
      <c r="E107" s="40" t="s">
        <v>199</v>
      </c>
      <c r="F107" s="36" t="s">
        <v>200</v>
      </c>
      <c r="G107" s="35" t="s">
        <v>319</v>
      </c>
      <c r="H107" s="37" t="s">
        <v>71</v>
      </c>
      <c r="I107" s="36" t="s">
        <v>72</v>
      </c>
      <c r="J107" s="37" t="s">
        <v>320</v>
      </c>
      <c r="K107" s="38">
        <v>2022</v>
      </c>
      <c r="L107" s="39">
        <v>4</v>
      </c>
      <c r="M107" s="40" t="s">
        <v>499</v>
      </c>
      <c r="N107" s="40" t="s">
        <v>523</v>
      </c>
      <c r="O107" s="40" t="s">
        <v>524</v>
      </c>
      <c r="P107" s="41">
        <v>1610</v>
      </c>
      <c r="Q107" s="41">
        <v>11</v>
      </c>
      <c r="R107" s="41">
        <v>143</v>
      </c>
      <c r="S107" s="43">
        <v>1618</v>
      </c>
      <c r="T107" s="43">
        <v>0</v>
      </c>
      <c r="U107" s="35">
        <v>0</v>
      </c>
      <c r="V107" s="35">
        <v>1618</v>
      </c>
      <c r="W107" s="35">
        <v>1618</v>
      </c>
      <c r="X107" s="44">
        <v>11.314685314685301</v>
      </c>
      <c r="Y107" s="44">
        <v>0</v>
      </c>
      <c r="Z107" s="45">
        <v>11.314685314685301</v>
      </c>
      <c r="AA107" s="43">
        <v>143</v>
      </c>
      <c r="AB107" s="46">
        <v>0</v>
      </c>
      <c r="AC107" s="46">
        <v>0</v>
      </c>
      <c r="AD107" s="47">
        <v>0</v>
      </c>
      <c r="AE107" s="46">
        <v>0</v>
      </c>
      <c r="AF107" s="47">
        <v>0</v>
      </c>
      <c r="AG107" s="48">
        <v>0</v>
      </c>
      <c r="AH107" s="49">
        <v>0</v>
      </c>
      <c r="AI107" s="50">
        <v>0</v>
      </c>
      <c r="AJ107" s="49">
        <v>-286</v>
      </c>
      <c r="AK107" s="49">
        <v>37.608391608391599</v>
      </c>
      <c r="AL107" s="49">
        <v>5378</v>
      </c>
      <c r="AM107" s="51" t="s">
        <v>196</v>
      </c>
      <c r="AN107" s="52" t="s">
        <v>74</v>
      </c>
      <c r="AO107" s="37" t="s">
        <v>75</v>
      </c>
    </row>
    <row r="108" spans="1:41" ht="15" customHeight="1" x14ac:dyDescent="0.2">
      <c r="A108" s="35" t="s">
        <v>318</v>
      </c>
      <c r="B108" s="35" t="s">
        <v>194</v>
      </c>
      <c r="C108" s="35">
        <v>5</v>
      </c>
      <c r="D108" s="36" t="s">
        <v>194</v>
      </c>
      <c r="E108" s="40">
        <v>2</v>
      </c>
      <c r="F108" s="36" t="s">
        <v>201</v>
      </c>
      <c r="G108" s="35" t="s">
        <v>319</v>
      </c>
      <c r="H108" s="37" t="s">
        <v>71</v>
      </c>
      <c r="I108" s="36" t="s">
        <v>72</v>
      </c>
      <c r="J108" s="37" t="s">
        <v>320</v>
      </c>
      <c r="K108" s="38">
        <v>2022</v>
      </c>
      <c r="L108" s="39">
        <v>4</v>
      </c>
      <c r="M108" s="40" t="s">
        <v>499</v>
      </c>
      <c r="N108" s="40" t="s">
        <v>525</v>
      </c>
      <c r="O108" s="40" t="s">
        <v>524</v>
      </c>
      <c r="P108" s="41">
        <v>2678</v>
      </c>
      <c r="Q108" s="42">
        <v>19</v>
      </c>
      <c r="R108" s="41">
        <v>143</v>
      </c>
      <c r="S108" s="43">
        <v>2674</v>
      </c>
      <c r="T108" s="43">
        <v>0</v>
      </c>
      <c r="U108" s="35">
        <v>0</v>
      </c>
      <c r="V108" s="35">
        <v>2674</v>
      </c>
      <c r="W108" s="35">
        <v>2674</v>
      </c>
      <c r="X108" s="44">
        <v>18.6993006993007</v>
      </c>
      <c r="Y108" s="44">
        <v>0</v>
      </c>
      <c r="Z108" s="45">
        <v>18.6993006993007</v>
      </c>
      <c r="AA108" s="43">
        <v>143</v>
      </c>
      <c r="AB108" s="46">
        <v>5241</v>
      </c>
      <c r="AC108" s="46">
        <v>0</v>
      </c>
      <c r="AD108" s="47">
        <v>36.65</v>
      </c>
      <c r="AE108" s="46">
        <v>143</v>
      </c>
      <c r="AF108" s="47">
        <v>36</v>
      </c>
      <c r="AG108" s="48" t="s">
        <v>324</v>
      </c>
      <c r="AH108" s="49">
        <v>1375</v>
      </c>
      <c r="AI108" s="50">
        <v>9.61</v>
      </c>
      <c r="AJ108" s="49">
        <v>0</v>
      </c>
      <c r="AK108" s="49">
        <v>31.937062937062901</v>
      </c>
      <c r="AL108" s="49">
        <v>4567</v>
      </c>
      <c r="AM108" s="51" t="s">
        <v>196</v>
      </c>
      <c r="AN108" s="52" t="s">
        <v>74</v>
      </c>
      <c r="AO108" s="37" t="s">
        <v>75</v>
      </c>
    </row>
    <row r="109" spans="1:41" ht="15" customHeight="1" x14ac:dyDescent="0.2">
      <c r="A109" s="35" t="s">
        <v>318</v>
      </c>
      <c r="B109" s="35" t="s">
        <v>194</v>
      </c>
      <c r="C109" s="35">
        <v>5</v>
      </c>
      <c r="D109" s="36" t="s">
        <v>194</v>
      </c>
      <c r="E109" s="40" t="s">
        <v>202</v>
      </c>
      <c r="F109" s="36" t="s">
        <v>203</v>
      </c>
      <c r="G109" s="35" t="s">
        <v>319</v>
      </c>
      <c r="H109" s="37" t="s">
        <v>71</v>
      </c>
      <c r="I109" s="36" t="s">
        <v>72</v>
      </c>
      <c r="J109" s="37" t="s">
        <v>320</v>
      </c>
      <c r="K109" s="38">
        <v>2022</v>
      </c>
      <c r="L109" s="39">
        <v>4</v>
      </c>
      <c r="M109" s="40" t="s">
        <v>499</v>
      </c>
      <c r="N109" s="40" t="s">
        <v>525</v>
      </c>
      <c r="O109" s="40" t="s">
        <v>524</v>
      </c>
      <c r="P109" s="41">
        <v>2474</v>
      </c>
      <c r="Q109" s="42">
        <v>17</v>
      </c>
      <c r="R109" s="41">
        <v>143</v>
      </c>
      <c r="S109" s="43">
        <v>2567</v>
      </c>
      <c r="T109" s="43">
        <v>0</v>
      </c>
      <c r="U109" s="35">
        <v>0</v>
      </c>
      <c r="V109" s="35">
        <v>2567</v>
      </c>
      <c r="W109" s="35">
        <v>2567</v>
      </c>
      <c r="X109" s="44">
        <v>17.951048951049</v>
      </c>
      <c r="Y109" s="44">
        <v>0</v>
      </c>
      <c r="Z109" s="45">
        <v>17.951048951049</v>
      </c>
      <c r="AA109" s="43">
        <v>143</v>
      </c>
      <c r="AB109" s="54">
        <v>0</v>
      </c>
      <c r="AC109" s="54">
        <v>0</v>
      </c>
      <c r="AD109" s="55">
        <v>0</v>
      </c>
      <c r="AE109" s="54">
        <v>0</v>
      </c>
      <c r="AF109" s="55">
        <v>0</v>
      </c>
      <c r="AG109" s="56">
        <v>0</v>
      </c>
      <c r="AH109" s="49">
        <v>-1375</v>
      </c>
      <c r="AI109" s="50">
        <v>-9.6199999999999992</v>
      </c>
      <c r="AJ109" s="49">
        <v>-143</v>
      </c>
      <c r="AK109" s="49">
        <v>9.6153846153846203</v>
      </c>
      <c r="AL109" s="49">
        <v>1375</v>
      </c>
      <c r="AM109" s="51" t="s">
        <v>196</v>
      </c>
      <c r="AN109" s="52" t="s">
        <v>74</v>
      </c>
      <c r="AO109" s="37" t="s">
        <v>75</v>
      </c>
    </row>
    <row r="110" spans="1:41" ht="15" customHeight="1" x14ac:dyDescent="0.2">
      <c r="A110" s="35" t="s">
        <v>318</v>
      </c>
      <c r="B110" s="35" t="s">
        <v>194</v>
      </c>
      <c r="C110" s="35">
        <v>5</v>
      </c>
      <c r="D110" s="36" t="s">
        <v>194</v>
      </c>
      <c r="E110" s="40">
        <v>3</v>
      </c>
      <c r="F110" s="36" t="s">
        <v>204</v>
      </c>
      <c r="G110" s="35" t="s">
        <v>319</v>
      </c>
      <c r="H110" s="37" t="s">
        <v>71</v>
      </c>
      <c r="I110" s="36" t="s">
        <v>72</v>
      </c>
      <c r="J110" s="37" t="s">
        <v>320</v>
      </c>
      <c r="K110" s="38">
        <v>2022</v>
      </c>
      <c r="L110" s="39">
        <v>4</v>
      </c>
      <c r="M110" s="40" t="s">
        <v>499</v>
      </c>
      <c r="N110" s="40" t="s">
        <v>526</v>
      </c>
      <c r="O110" s="40" t="s">
        <v>524</v>
      </c>
      <c r="P110" s="41">
        <v>1559</v>
      </c>
      <c r="Q110" s="42">
        <v>11</v>
      </c>
      <c r="R110" s="41">
        <v>143</v>
      </c>
      <c r="S110" s="43">
        <v>1553</v>
      </c>
      <c r="T110" s="43">
        <v>0</v>
      </c>
      <c r="U110" s="35">
        <v>0</v>
      </c>
      <c r="V110" s="35">
        <v>1553</v>
      </c>
      <c r="W110" s="35">
        <v>1553</v>
      </c>
      <c r="X110" s="44">
        <v>10.860139860139901</v>
      </c>
      <c r="Y110" s="44">
        <v>0</v>
      </c>
      <c r="Z110" s="45">
        <v>10.860139860139901</v>
      </c>
      <c r="AA110" s="43">
        <v>143</v>
      </c>
      <c r="AB110" s="46">
        <v>5378</v>
      </c>
      <c r="AC110" s="46">
        <v>0</v>
      </c>
      <c r="AD110" s="47">
        <v>37.61</v>
      </c>
      <c r="AE110" s="46">
        <v>143</v>
      </c>
      <c r="AF110" s="47">
        <v>38</v>
      </c>
      <c r="AG110" s="48" t="s">
        <v>324</v>
      </c>
      <c r="AH110" s="49">
        <v>3371</v>
      </c>
      <c r="AI110" s="50">
        <v>23.58</v>
      </c>
      <c r="AJ110" s="49">
        <v>0</v>
      </c>
      <c r="AK110" s="49">
        <v>10.041958041958001</v>
      </c>
      <c r="AL110" s="49">
        <v>1436</v>
      </c>
      <c r="AM110" s="51" t="s">
        <v>196</v>
      </c>
      <c r="AN110" s="52" t="s">
        <v>74</v>
      </c>
      <c r="AO110" s="37" t="s">
        <v>75</v>
      </c>
    </row>
    <row r="111" spans="1:41" ht="15" customHeight="1" x14ac:dyDescent="0.2">
      <c r="A111" s="35" t="s">
        <v>318</v>
      </c>
      <c r="B111" s="35" t="s">
        <v>194</v>
      </c>
      <c r="C111" s="35">
        <v>5</v>
      </c>
      <c r="D111" s="36" t="s">
        <v>194</v>
      </c>
      <c r="E111" s="40" t="s">
        <v>205</v>
      </c>
      <c r="F111" s="36" t="s">
        <v>206</v>
      </c>
      <c r="G111" s="35" t="s">
        <v>319</v>
      </c>
      <c r="H111" s="37" t="s">
        <v>71</v>
      </c>
      <c r="I111" s="36" t="s">
        <v>72</v>
      </c>
      <c r="J111" s="37" t="s">
        <v>320</v>
      </c>
      <c r="K111" s="38">
        <v>2022</v>
      </c>
      <c r="L111" s="39">
        <v>4</v>
      </c>
      <c r="M111" s="40" t="s">
        <v>499</v>
      </c>
      <c r="N111" s="40" t="s">
        <v>526</v>
      </c>
      <c r="O111" s="40" t="s">
        <v>524</v>
      </c>
      <c r="P111" s="41">
        <v>1502</v>
      </c>
      <c r="Q111" s="42">
        <v>11</v>
      </c>
      <c r="R111" s="41">
        <v>143</v>
      </c>
      <c r="S111" s="43">
        <v>1499</v>
      </c>
      <c r="T111" s="43">
        <v>0</v>
      </c>
      <c r="U111" s="35">
        <v>0</v>
      </c>
      <c r="V111" s="35">
        <v>1499</v>
      </c>
      <c r="W111" s="35">
        <v>1499</v>
      </c>
      <c r="X111" s="44">
        <v>10.482517482517499</v>
      </c>
      <c r="Y111" s="44">
        <v>0</v>
      </c>
      <c r="Z111" s="45">
        <v>10.482517482517499</v>
      </c>
      <c r="AA111" s="43">
        <v>143</v>
      </c>
      <c r="AB111" s="54">
        <v>0</v>
      </c>
      <c r="AC111" s="54">
        <v>0</v>
      </c>
      <c r="AD111" s="55">
        <v>0</v>
      </c>
      <c r="AE111" s="54">
        <v>0</v>
      </c>
      <c r="AF111" s="55">
        <v>0</v>
      </c>
      <c r="AG111" s="56">
        <v>0</v>
      </c>
      <c r="AH111" s="49">
        <v>-3371</v>
      </c>
      <c r="AI111" s="50">
        <v>-23.57</v>
      </c>
      <c r="AJ111" s="49">
        <v>-143</v>
      </c>
      <c r="AK111" s="49">
        <v>23.573426573426602</v>
      </c>
      <c r="AL111" s="49">
        <v>3371</v>
      </c>
      <c r="AM111" s="51" t="s">
        <v>196</v>
      </c>
      <c r="AN111" s="52" t="s">
        <v>74</v>
      </c>
      <c r="AO111" s="37" t="s">
        <v>75</v>
      </c>
    </row>
    <row r="112" spans="1:41" ht="15" customHeight="1" x14ac:dyDescent="0.2">
      <c r="A112" s="35" t="s">
        <v>318</v>
      </c>
      <c r="B112" s="35" t="s">
        <v>194</v>
      </c>
      <c r="C112" s="35">
        <v>5</v>
      </c>
      <c r="D112" s="36" t="s">
        <v>194</v>
      </c>
      <c r="E112" s="40" t="s">
        <v>207</v>
      </c>
      <c r="F112" s="36" t="s">
        <v>208</v>
      </c>
      <c r="G112" s="35" t="s">
        <v>319</v>
      </c>
      <c r="H112" s="37" t="s">
        <v>71</v>
      </c>
      <c r="I112" s="36" t="s">
        <v>72</v>
      </c>
      <c r="J112" s="37" t="s">
        <v>320</v>
      </c>
      <c r="K112" s="38">
        <v>2022</v>
      </c>
      <c r="L112" s="39">
        <v>4</v>
      </c>
      <c r="M112" s="40" t="s">
        <v>499</v>
      </c>
      <c r="N112" s="40" t="s">
        <v>526</v>
      </c>
      <c r="O112" s="40" t="s">
        <v>524</v>
      </c>
      <c r="P112" s="41">
        <v>2326</v>
      </c>
      <c r="Q112" s="41">
        <v>16</v>
      </c>
      <c r="R112" s="41">
        <v>143</v>
      </c>
      <c r="S112" s="43">
        <v>2326</v>
      </c>
      <c r="T112" s="43">
        <v>0</v>
      </c>
      <c r="U112" s="35">
        <v>0</v>
      </c>
      <c r="V112" s="35">
        <v>2326</v>
      </c>
      <c r="W112" s="35">
        <v>2326</v>
      </c>
      <c r="X112" s="44">
        <v>16.265734265734299</v>
      </c>
      <c r="Y112" s="44">
        <v>0</v>
      </c>
      <c r="Z112" s="45">
        <v>16.265734265734299</v>
      </c>
      <c r="AA112" s="43">
        <v>143</v>
      </c>
      <c r="AB112" s="54">
        <v>0</v>
      </c>
      <c r="AC112" s="54">
        <v>0</v>
      </c>
      <c r="AD112" s="55">
        <v>0</v>
      </c>
      <c r="AE112" s="54">
        <v>0</v>
      </c>
      <c r="AF112" s="55">
        <v>0</v>
      </c>
      <c r="AG112" s="56">
        <v>0</v>
      </c>
      <c r="AH112" s="49">
        <v>0</v>
      </c>
      <c r="AI112" s="50">
        <v>0</v>
      </c>
      <c r="AJ112" s="49">
        <v>-286</v>
      </c>
      <c r="AK112" s="49">
        <v>41.4965034965035</v>
      </c>
      <c r="AL112" s="49">
        <v>5934</v>
      </c>
      <c r="AM112" s="51" t="s">
        <v>196</v>
      </c>
      <c r="AN112" s="52" t="s">
        <v>74</v>
      </c>
      <c r="AO112" s="37" t="s">
        <v>75</v>
      </c>
    </row>
    <row r="113" spans="1:41" ht="15" customHeight="1" x14ac:dyDescent="0.2">
      <c r="A113" s="35" t="s">
        <v>318</v>
      </c>
      <c r="B113" s="35" t="s">
        <v>194</v>
      </c>
      <c r="C113" s="35">
        <v>5</v>
      </c>
      <c r="D113" s="36" t="s">
        <v>194</v>
      </c>
      <c r="E113" s="40">
        <v>4</v>
      </c>
      <c r="F113" s="36" t="s">
        <v>209</v>
      </c>
      <c r="G113" s="35" t="s">
        <v>319</v>
      </c>
      <c r="H113" s="37" t="s">
        <v>71</v>
      </c>
      <c r="I113" s="36" t="s">
        <v>72</v>
      </c>
      <c r="J113" s="37" t="s">
        <v>320</v>
      </c>
      <c r="K113" s="38">
        <v>2023</v>
      </c>
      <c r="L113" s="39">
        <v>3</v>
      </c>
      <c r="M113" s="40" t="s">
        <v>499</v>
      </c>
      <c r="N113" s="40" t="s">
        <v>527</v>
      </c>
      <c r="O113" s="40" t="s">
        <v>524</v>
      </c>
      <c r="P113" s="41">
        <v>4699</v>
      </c>
      <c r="Q113" s="41">
        <v>33</v>
      </c>
      <c r="R113" s="41">
        <v>143</v>
      </c>
      <c r="S113" s="43">
        <v>4567</v>
      </c>
      <c r="T113" s="43">
        <v>0</v>
      </c>
      <c r="U113" s="35">
        <v>0</v>
      </c>
      <c r="V113" s="35">
        <v>4567</v>
      </c>
      <c r="W113" s="35">
        <v>4567</v>
      </c>
      <c r="X113" s="44">
        <v>31.937062937062901</v>
      </c>
      <c r="Y113" s="44">
        <v>0</v>
      </c>
      <c r="Z113" s="45">
        <v>31.937062937062901</v>
      </c>
      <c r="AA113" s="43">
        <v>143</v>
      </c>
      <c r="AB113" s="46">
        <v>5942</v>
      </c>
      <c r="AC113" s="46">
        <v>0</v>
      </c>
      <c r="AD113" s="47">
        <v>41.55</v>
      </c>
      <c r="AE113" s="46">
        <v>143</v>
      </c>
      <c r="AF113" s="47">
        <v>44</v>
      </c>
      <c r="AG113" s="48" t="s">
        <v>324</v>
      </c>
      <c r="AH113" s="49">
        <v>0</v>
      </c>
      <c r="AI113" s="50">
        <v>9.9999999999980105E-3</v>
      </c>
      <c r="AJ113" s="49">
        <v>-143</v>
      </c>
      <c r="AK113" s="49">
        <v>44.916083916083899</v>
      </c>
      <c r="AL113" s="49">
        <v>6423</v>
      </c>
      <c r="AM113" s="51" t="s">
        <v>196</v>
      </c>
      <c r="AN113" s="52" t="s">
        <v>74</v>
      </c>
      <c r="AO113" s="37" t="s">
        <v>75</v>
      </c>
    </row>
    <row r="114" spans="1:41" ht="15" customHeight="1" x14ac:dyDescent="0.2">
      <c r="A114" s="35" t="s">
        <v>318</v>
      </c>
      <c r="B114" s="35" t="s">
        <v>194</v>
      </c>
      <c r="C114" s="35">
        <v>5</v>
      </c>
      <c r="D114" s="36" t="s">
        <v>194</v>
      </c>
      <c r="E114" s="40" t="s">
        <v>210</v>
      </c>
      <c r="F114" s="36" t="s">
        <v>211</v>
      </c>
      <c r="G114" s="35" t="s">
        <v>319</v>
      </c>
      <c r="H114" s="37" t="s">
        <v>71</v>
      </c>
      <c r="I114" s="36" t="s">
        <v>72</v>
      </c>
      <c r="J114" s="37" t="s">
        <v>320</v>
      </c>
      <c r="K114" s="38">
        <v>2022</v>
      </c>
      <c r="L114" s="39">
        <v>4</v>
      </c>
      <c r="M114" s="40" t="s">
        <v>499</v>
      </c>
      <c r="N114" s="40" t="s">
        <v>527</v>
      </c>
      <c r="O114" s="40" t="s">
        <v>524</v>
      </c>
      <c r="P114" s="41">
        <v>1544</v>
      </c>
      <c r="Q114" s="41">
        <v>11</v>
      </c>
      <c r="R114" s="41">
        <v>143</v>
      </c>
      <c r="S114" s="43">
        <v>1375</v>
      </c>
      <c r="T114" s="43">
        <v>0</v>
      </c>
      <c r="U114" s="35">
        <v>0</v>
      </c>
      <c r="V114" s="35">
        <v>1375</v>
      </c>
      <c r="W114" s="35">
        <v>1375</v>
      </c>
      <c r="X114" s="44">
        <v>9.6153846153846203</v>
      </c>
      <c r="Y114" s="44">
        <v>0</v>
      </c>
      <c r="Z114" s="45">
        <v>9.6153846153846203</v>
      </c>
      <c r="AA114" s="43">
        <v>143</v>
      </c>
      <c r="AB114" s="46">
        <v>0</v>
      </c>
      <c r="AC114" s="46">
        <v>0</v>
      </c>
      <c r="AD114" s="47">
        <v>0</v>
      </c>
      <c r="AE114" s="46">
        <v>0</v>
      </c>
      <c r="AF114" s="47">
        <v>0</v>
      </c>
      <c r="AG114" s="48">
        <v>0</v>
      </c>
      <c r="AH114" s="49">
        <v>0</v>
      </c>
      <c r="AI114" s="50">
        <v>0</v>
      </c>
      <c r="AJ114" s="49">
        <v>-143</v>
      </c>
      <c r="AK114" s="49">
        <v>42.314685314685299</v>
      </c>
      <c r="AL114" s="49">
        <v>6051</v>
      </c>
      <c r="AM114" s="51" t="s">
        <v>196</v>
      </c>
      <c r="AN114" s="52" t="s">
        <v>74</v>
      </c>
      <c r="AO114" s="37" t="s">
        <v>75</v>
      </c>
    </row>
    <row r="115" spans="1:41" ht="15" customHeight="1" x14ac:dyDescent="0.2">
      <c r="A115" s="35" t="s">
        <v>318</v>
      </c>
      <c r="B115" s="35" t="s">
        <v>194</v>
      </c>
      <c r="C115" s="35">
        <v>5</v>
      </c>
      <c r="D115" s="36" t="s">
        <v>194</v>
      </c>
      <c r="E115" s="40">
        <v>5</v>
      </c>
      <c r="F115" s="36" t="s">
        <v>212</v>
      </c>
      <c r="G115" s="35" t="s">
        <v>319</v>
      </c>
      <c r="H115" s="37" t="s">
        <v>71</v>
      </c>
      <c r="I115" s="36" t="s">
        <v>72</v>
      </c>
      <c r="J115" s="37" t="s">
        <v>320</v>
      </c>
      <c r="K115" s="38">
        <v>2022</v>
      </c>
      <c r="L115" s="39">
        <v>4</v>
      </c>
      <c r="M115" s="40" t="s">
        <v>499</v>
      </c>
      <c r="N115" s="40" t="s">
        <v>528</v>
      </c>
      <c r="O115" s="40" t="s">
        <v>524</v>
      </c>
      <c r="P115" s="41">
        <v>1469</v>
      </c>
      <c r="Q115" s="41">
        <v>10</v>
      </c>
      <c r="R115" s="41">
        <v>143</v>
      </c>
      <c r="S115" s="43">
        <v>1436</v>
      </c>
      <c r="T115" s="43">
        <v>0</v>
      </c>
      <c r="U115" s="35">
        <v>0</v>
      </c>
      <c r="V115" s="35">
        <v>1436</v>
      </c>
      <c r="W115" s="35">
        <v>1436</v>
      </c>
      <c r="X115" s="44">
        <v>10.041958041958001</v>
      </c>
      <c r="Y115" s="44">
        <v>0</v>
      </c>
      <c r="Z115" s="45">
        <v>10.041958041958001</v>
      </c>
      <c r="AA115" s="43">
        <v>143</v>
      </c>
      <c r="AB115" s="46">
        <v>4807</v>
      </c>
      <c r="AC115" s="46">
        <v>0</v>
      </c>
      <c r="AD115" s="47">
        <v>33.619999999999997</v>
      </c>
      <c r="AE115" s="46">
        <v>143</v>
      </c>
      <c r="AF115" s="47">
        <v>34</v>
      </c>
      <c r="AG115" s="48" t="s">
        <v>324</v>
      </c>
      <c r="AH115" s="49">
        <v>0</v>
      </c>
      <c r="AI115" s="50">
        <v>0</v>
      </c>
      <c r="AJ115" s="49">
        <v>-143</v>
      </c>
      <c r="AK115" s="49">
        <v>39.951048951049003</v>
      </c>
      <c r="AL115" s="49">
        <v>5713</v>
      </c>
      <c r="AM115" s="51" t="s">
        <v>196</v>
      </c>
      <c r="AN115" s="52" t="s">
        <v>74</v>
      </c>
      <c r="AO115" s="37" t="s">
        <v>75</v>
      </c>
    </row>
    <row r="116" spans="1:41" ht="15" customHeight="1" x14ac:dyDescent="0.2">
      <c r="A116" s="35" t="s">
        <v>318</v>
      </c>
      <c r="B116" s="35" t="s">
        <v>194</v>
      </c>
      <c r="C116" s="35">
        <v>5</v>
      </c>
      <c r="D116" s="36" t="s">
        <v>194</v>
      </c>
      <c r="E116" s="40" t="s">
        <v>213</v>
      </c>
      <c r="F116" s="36" t="s">
        <v>214</v>
      </c>
      <c r="G116" s="35" t="s">
        <v>319</v>
      </c>
      <c r="H116" s="37" t="s">
        <v>71</v>
      </c>
      <c r="I116" s="36" t="s">
        <v>72</v>
      </c>
      <c r="J116" s="37" t="s">
        <v>320</v>
      </c>
      <c r="K116" s="38">
        <v>2023</v>
      </c>
      <c r="L116" s="39">
        <v>3</v>
      </c>
      <c r="M116" s="40" t="s">
        <v>499</v>
      </c>
      <c r="N116" s="40" t="s">
        <v>528</v>
      </c>
      <c r="O116" s="40" t="s">
        <v>524</v>
      </c>
      <c r="P116" s="41">
        <v>3486</v>
      </c>
      <c r="Q116" s="42">
        <v>24</v>
      </c>
      <c r="R116" s="41">
        <v>143</v>
      </c>
      <c r="S116" s="43">
        <v>3371</v>
      </c>
      <c r="T116" s="43">
        <v>0</v>
      </c>
      <c r="U116" s="35">
        <v>0</v>
      </c>
      <c r="V116" s="35">
        <v>3371</v>
      </c>
      <c r="W116" s="35">
        <v>3371</v>
      </c>
      <c r="X116" s="44">
        <v>23.573426573426602</v>
      </c>
      <c r="Y116" s="44">
        <v>0</v>
      </c>
      <c r="Z116" s="45">
        <v>23.573426573426602</v>
      </c>
      <c r="AA116" s="43">
        <v>143</v>
      </c>
      <c r="AB116" s="46">
        <v>0</v>
      </c>
      <c r="AC116" s="46">
        <v>0</v>
      </c>
      <c r="AD116" s="47">
        <v>0</v>
      </c>
      <c r="AE116" s="46">
        <v>0</v>
      </c>
      <c r="AF116" s="47">
        <v>0</v>
      </c>
      <c r="AG116" s="48">
        <v>0</v>
      </c>
      <c r="AH116" s="49">
        <v>0</v>
      </c>
      <c r="AI116" s="50">
        <v>0</v>
      </c>
      <c r="AJ116" s="49">
        <v>0</v>
      </c>
      <c r="AK116" s="49">
        <v>33.6993006993007</v>
      </c>
      <c r="AL116" s="49">
        <v>4819</v>
      </c>
      <c r="AM116" s="51" t="s">
        <v>196</v>
      </c>
      <c r="AN116" s="52" t="s">
        <v>74</v>
      </c>
      <c r="AO116" s="37" t="s">
        <v>75</v>
      </c>
    </row>
    <row r="117" spans="1:41" ht="15" customHeight="1" x14ac:dyDescent="0.2">
      <c r="A117" s="35" t="s">
        <v>318</v>
      </c>
      <c r="B117" s="35" t="s">
        <v>194</v>
      </c>
      <c r="C117" s="35">
        <v>5</v>
      </c>
      <c r="D117" s="53" t="s">
        <v>194</v>
      </c>
      <c r="E117" s="40">
        <v>6</v>
      </c>
      <c r="F117" s="36" t="s">
        <v>529</v>
      </c>
      <c r="G117" s="35" t="s">
        <v>319</v>
      </c>
      <c r="H117" s="37" t="s">
        <v>71</v>
      </c>
      <c r="I117" s="36" t="s">
        <v>72</v>
      </c>
      <c r="J117" s="37" t="s">
        <v>320</v>
      </c>
      <c r="K117" s="38">
        <v>2023</v>
      </c>
      <c r="L117" s="39">
        <v>3</v>
      </c>
      <c r="M117" s="40" t="s">
        <v>499</v>
      </c>
      <c r="N117" s="40" t="s">
        <v>530</v>
      </c>
      <c r="O117" s="40" t="s">
        <v>524</v>
      </c>
      <c r="P117" s="41">
        <v>798</v>
      </c>
      <c r="Q117" s="42">
        <v>6</v>
      </c>
      <c r="R117" s="41">
        <v>143</v>
      </c>
      <c r="S117" s="43">
        <v>799</v>
      </c>
      <c r="T117" s="43">
        <v>0</v>
      </c>
      <c r="U117" s="35">
        <v>0</v>
      </c>
      <c r="V117" s="35">
        <v>799</v>
      </c>
      <c r="W117" s="35">
        <v>799</v>
      </c>
      <c r="X117" s="44">
        <v>5.5874125874125902</v>
      </c>
      <c r="Y117" s="44">
        <v>0</v>
      </c>
      <c r="Z117" s="45">
        <v>5.5874125874125902</v>
      </c>
      <c r="AA117" s="43">
        <v>143</v>
      </c>
      <c r="AB117" s="46">
        <v>5934</v>
      </c>
      <c r="AC117" s="46">
        <v>0</v>
      </c>
      <c r="AD117" s="47">
        <v>41.5</v>
      </c>
      <c r="AE117" s="46">
        <v>143</v>
      </c>
      <c r="AF117" s="47">
        <v>40</v>
      </c>
      <c r="AG117" s="48" t="s">
        <v>324</v>
      </c>
      <c r="AH117" s="49">
        <v>0</v>
      </c>
      <c r="AI117" s="50">
        <v>0</v>
      </c>
      <c r="AJ117" s="49">
        <v>0</v>
      </c>
      <c r="AK117" s="49">
        <v>25.160839160839199</v>
      </c>
      <c r="AL117" s="49">
        <v>3598</v>
      </c>
      <c r="AM117" s="51" t="s">
        <v>196</v>
      </c>
      <c r="AN117" s="52" t="s">
        <v>74</v>
      </c>
      <c r="AO117" s="37" t="s">
        <v>216</v>
      </c>
    </row>
    <row r="118" spans="1:41" ht="15" customHeight="1" x14ac:dyDescent="0.2">
      <c r="A118" s="35" t="s">
        <v>318</v>
      </c>
      <c r="B118" s="35" t="s">
        <v>194</v>
      </c>
      <c r="C118" s="35">
        <v>5</v>
      </c>
      <c r="D118" s="53" t="s">
        <v>194</v>
      </c>
      <c r="E118" s="40">
        <v>6</v>
      </c>
      <c r="F118" s="36" t="s">
        <v>529</v>
      </c>
      <c r="G118" s="35" t="s">
        <v>319</v>
      </c>
      <c r="H118" s="37" t="s">
        <v>71</v>
      </c>
      <c r="I118" s="36" t="s">
        <v>72</v>
      </c>
      <c r="J118" s="37" t="s">
        <v>320</v>
      </c>
      <c r="K118" s="38">
        <v>2024</v>
      </c>
      <c r="L118" s="39">
        <v>2</v>
      </c>
      <c r="M118" s="40" t="s">
        <v>499</v>
      </c>
      <c r="N118" s="40" t="s">
        <v>530</v>
      </c>
      <c r="O118" s="40" t="s">
        <v>524</v>
      </c>
      <c r="P118" s="41">
        <v>1906</v>
      </c>
      <c r="Q118" s="42">
        <v>13</v>
      </c>
      <c r="R118" s="41">
        <v>143</v>
      </c>
      <c r="S118" s="43">
        <v>1906</v>
      </c>
      <c r="T118" s="43">
        <v>0</v>
      </c>
      <c r="U118" s="35">
        <v>0</v>
      </c>
      <c r="V118" s="35">
        <v>1906</v>
      </c>
      <c r="W118" s="35">
        <v>1906</v>
      </c>
      <c r="X118" s="44">
        <v>13.3286713286713</v>
      </c>
      <c r="Y118" s="44">
        <v>0</v>
      </c>
      <c r="Z118" s="45">
        <v>13.3286713286713</v>
      </c>
      <c r="AA118" s="43">
        <v>143</v>
      </c>
      <c r="AB118" s="46">
        <v>0</v>
      </c>
      <c r="AC118" s="46">
        <v>0</v>
      </c>
      <c r="AD118" s="47">
        <v>0</v>
      </c>
      <c r="AE118" s="46">
        <v>0</v>
      </c>
      <c r="AF118" s="47">
        <v>0</v>
      </c>
      <c r="AG118" s="48">
        <v>0</v>
      </c>
      <c r="AH118" s="49">
        <v>0</v>
      </c>
      <c r="AI118" s="50">
        <v>0</v>
      </c>
      <c r="AJ118" s="49">
        <v>0</v>
      </c>
      <c r="AK118" s="49">
        <v>18.090909090909101</v>
      </c>
      <c r="AL118" s="49">
        <v>2587</v>
      </c>
      <c r="AM118" s="51" t="s">
        <v>196</v>
      </c>
      <c r="AN118" s="52" t="s">
        <v>74</v>
      </c>
      <c r="AO118" s="37" t="s">
        <v>216</v>
      </c>
    </row>
    <row r="119" spans="1:41" ht="15" customHeight="1" x14ac:dyDescent="0.2">
      <c r="A119" s="35" t="s">
        <v>318</v>
      </c>
      <c r="B119" s="35" t="s">
        <v>194</v>
      </c>
      <c r="C119" s="35">
        <v>5</v>
      </c>
      <c r="D119" s="53" t="s">
        <v>194</v>
      </c>
      <c r="E119" s="40" t="s">
        <v>242</v>
      </c>
      <c r="F119" s="36" t="s">
        <v>243</v>
      </c>
      <c r="G119" s="35" t="s">
        <v>319</v>
      </c>
      <c r="H119" s="37" t="s">
        <v>71</v>
      </c>
      <c r="I119" s="36" t="s">
        <v>72</v>
      </c>
      <c r="J119" s="37" t="s">
        <v>320</v>
      </c>
      <c r="K119" s="38">
        <v>2024</v>
      </c>
      <c r="L119" s="39">
        <v>2</v>
      </c>
      <c r="M119" s="40" t="s">
        <v>499</v>
      </c>
      <c r="N119" s="40" t="s">
        <v>530</v>
      </c>
      <c r="O119" s="40" t="s">
        <v>524</v>
      </c>
      <c r="P119" s="41">
        <v>2973</v>
      </c>
      <c r="Q119" s="42">
        <v>21</v>
      </c>
      <c r="R119" s="41">
        <v>143</v>
      </c>
      <c r="S119" s="43">
        <v>3229</v>
      </c>
      <c r="T119" s="43">
        <v>0</v>
      </c>
      <c r="U119" s="35">
        <v>0</v>
      </c>
      <c r="V119" s="35">
        <v>3229</v>
      </c>
      <c r="W119" s="35">
        <v>3229</v>
      </c>
      <c r="X119" s="44">
        <v>22.580419580419601</v>
      </c>
      <c r="Y119" s="44">
        <v>0</v>
      </c>
      <c r="Z119" s="45">
        <v>22.580419580419601</v>
      </c>
      <c r="AA119" s="43">
        <v>143</v>
      </c>
      <c r="AB119" s="46">
        <v>0</v>
      </c>
      <c r="AC119" s="46">
        <v>0</v>
      </c>
      <c r="AD119" s="47">
        <v>0</v>
      </c>
      <c r="AE119" s="46">
        <v>0</v>
      </c>
      <c r="AF119" s="47">
        <v>0</v>
      </c>
      <c r="AG119" s="48">
        <v>0</v>
      </c>
      <c r="AH119" s="49">
        <v>0</v>
      </c>
      <c r="AI119" s="50">
        <v>0</v>
      </c>
      <c r="AJ119" s="49">
        <v>0</v>
      </c>
      <c r="AK119" s="49">
        <v>18.1048951048951</v>
      </c>
      <c r="AL119" s="49">
        <v>2589</v>
      </c>
      <c r="AM119" s="51" t="s">
        <v>196</v>
      </c>
      <c r="AN119" s="52" t="s">
        <v>74</v>
      </c>
      <c r="AO119" s="37" t="s">
        <v>216</v>
      </c>
    </row>
    <row r="120" spans="1:41" ht="15" customHeight="1" x14ac:dyDescent="0.2">
      <c r="A120" s="35" t="s">
        <v>318</v>
      </c>
      <c r="B120" s="35" t="s">
        <v>194</v>
      </c>
      <c r="C120" s="35">
        <v>5</v>
      </c>
      <c r="D120" s="53" t="s">
        <v>194</v>
      </c>
      <c r="E120" s="40">
        <v>7</v>
      </c>
      <c r="F120" s="36" t="s">
        <v>244</v>
      </c>
      <c r="G120" s="35" t="s">
        <v>319</v>
      </c>
      <c r="H120" s="37" t="s">
        <v>71</v>
      </c>
      <c r="I120" s="36" t="s">
        <v>72</v>
      </c>
      <c r="J120" s="37" t="s">
        <v>320</v>
      </c>
      <c r="K120" s="38">
        <v>2024</v>
      </c>
      <c r="L120" s="39">
        <v>2</v>
      </c>
      <c r="M120" s="40" t="s">
        <v>499</v>
      </c>
      <c r="N120" s="40" t="s">
        <v>531</v>
      </c>
      <c r="O120" s="40" t="s">
        <v>524</v>
      </c>
      <c r="P120" s="41">
        <v>3317</v>
      </c>
      <c r="Q120" s="42">
        <v>23</v>
      </c>
      <c r="R120" s="41">
        <v>143</v>
      </c>
      <c r="S120" s="43">
        <v>3338</v>
      </c>
      <c r="T120" s="43">
        <v>0</v>
      </c>
      <c r="U120" s="35">
        <v>0</v>
      </c>
      <c r="V120" s="35">
        <v>3338</v>
      </c>
      <c r="W120" s="35">
        <v>3338</v>
      </c>
      <c r="X120" s="44">
        <v>23.342657342657301</v>
      </c>
      <c r="Y120" s="44">
        <v>0</v>
      </c>
      <c r="Z120" s="45">
        <v>23.342657342657301</v>
      </c>
      <c r="AA120" s="43">
        <v>143</v>
      </c>
      <c r="AB120" s="46">
        <v>6423</v>
      </c>
      <c r="AC120" s="46">
        <v>0</v>
      </c>
      <c r="AD120" s="47">
        <v>44.92</v>
      </c>
      <c r="AE120" s="46">
        <v>143</v>
      </c>
      <c r="AF120" s="47">
        <v>45</v>
      </c>
      <c r="AG120" s="48" t="s">
        <v>324</v>
      </c>
      <c r="AH120" s="49">
        <v>0</v>
      </c>
      <c r="AI120" s="50">
        <v>0</v>
      </c>
      <c r="AJ120" s="49">
        <v>0</v>
      </c>
      <c r="AK120" s="49">
        <v>18.944055944055901</v>
      </c>
      <c r="AL120" s="49">
        <v>2709</v>
      </c>
      <c r="AM120" s="51" t="s">
        <v>196</v>
      </c>
      <c r="AN120" s="52" t="s">
        <v>74</v>
      </c>
      <c r="AO120" s="37" t="s">
        <v>216</v>
      </c>
    </row>
    <row r="121" spans="1:41" ht="15" customHeight="1" x14ac:dyDescent="0.2">
      <c r="A121" s="35" t="s">
        <v>318</v>
      </c>
      <c r="B121" s="35" t="s">
        <v>194</v>
      </c>
      <c r="C121" s="35">
        <v>5</v>
      </c>
      <c r="D121" s="53" t="s">
        <v>194</v>
      </c>
      <c r="E121" s="40" t="s">
        <v>245</v>
      </c>
      <c r="F121" s="36" t="s">
        <v>246</v>
      </c>
      <c r="G121" s="35" t="s">
        <v>319</v>
      </c>
      <c r="H121" s="37" t="s">
        <v>71</v>
      </c>
      <c r="I121" s="36" t="s">
        <v>72</v>
      </c>
      <c r="J121" s="37" t="s">
        <v>320</v>
      </c>
      <c r="K121" s="38">
        <v>2024</v>
      </c>
      <c r="L121" s="39">
        <v>2</v>
      </c>
      <c r="M121" s="40" t="s">
        <v>499</v>
      </c>
      <c r="N121" s="40" t="s">
        <v>531</v>
      </c>
      <c r="O121" s="40" t="s">
        <v>524</v>
      </c>
      <c r="P121" s="41">
        <v>3092</v>
      </c>
      <c r="Q121" s="42">
        <v>22</v>
      </c>
      <c r="R121" s="41">
        <v>143</v>
      </c>
      <c r="S121" s="43">
        <v>3085</v>
      </c>
      <c r="T121" s="43">
        <v>0</v>
      </c>
      <c r="U121" s="35">
        <v>0</v>
      </c>
      <c r="V121" s="35">
        <v>3085</v>
      </c>
      <c r="W121" s="35">
        <v>3085</v>
      </c>
      <c r="X121" s="44">
        <v>21.573426573426602</v>
      </c>
      <c r="Y121" s="44">
        <v>0</v>
      </c>
      <c r="Z121" s="45">
        <v>21.573426573426602</v>
      </c>
      <c r="AA121" s="43">
        <v>143</v>
      </c>
      <c r="AB121" s="46">
        <v>0</v>
      </c>
      <c r="AC121" s="46">
        <v>0</v>
      </c>
      <c r="AD121" s="47">
        <v>0</v>
      </c>
      <c r="AE121" s="46">
        <v>0</v>
      </c>
      <c r="AF121" s="47">
        <v>0</v>
      </c>
      <c r="AG121" s="48">
        <v>0</v>
      </c>
      <c r="AH121" s="49">
        <v>0</v>
      </c>
      <c r="AI121" s="50">
        <v>0</v>
      </c>
      <c r="AJ121" s="49">
        <v>0</v>
      </c>
      <c r="AK121" s="49">
        <v>17.972027972027998</v>
      </c>
      <c r="AL121" s="49">
        <v>2570</v>
      </c>
      <c r="AM121" s="51" t="s">
        <v>196</v>
      </c>
      <c r="AN121" s="52" t="s">
        <v>74</v>
      </c>
      <c r="AO121" s="37" t="s">
        <v>216</v>
      </c>
    </row>
    <row r="122" spans="1:41" ht="15" customHeight="1" x14ac:dyDescent="0.2">
      <c r="A122" s="35" t="s">
        <v>318</v>
      </c>
      <c r="B122" s="35" t="s">
        <v>194</v>
      </c>
      <c r="C122" s="35">
        <v>5</v>
      </c>
      <c r="D122" s="53" t="s">
        <v>194</v>
      </c>
      <c r="E122" s="40">
        <v>8</v>
      </c>
      <c r="F122" s="36" t="s">
        <v>247</v>
      </c>
      <c r="G122" s="35" t="s">
        <v>319</v>
      </c>
      <c r="H122" s="37" t="s">
        <v>71</v>
      </c>
      <c r="I122" s="36" t="s">
        <v>72</v>
      </c>
      <c r="J122" s="37" t="s">
        <v>320</v>
      </c>
      <c r="K122" s="38">
        <v>2024</v>
      </c>
      <c r="L122" s="39">
        <v>2</v>
      </c>
      <c r="M122" s="40" t="s">
        <v>499</v>
      </c>
      <c r="N122" s="40" t="s">
        <v>532</v>
      </c>
      <c r="O122" s="40" t="s">
        <v>524</v>
      </c>
      <c r="P122" s="41">
        <v>2998</v>
      </c>
      <c r="Q122" s="42">
        <v>21</v>
      </c>
      <c r="R122" s="41">
        <v>143</v>
      </c>
      <c r="S122" s="43">
        <v>3076</v>
      </c>
      <c r="T122" s="43">
        <v>0</v>
      </c>
      <c r="U122" s="35">
        <v>0</v>
      </c>
      <c r="V122" s="35">
        <v>3076</v>
      </c>
      <c r="W122" s="35">
        <v>3076</v>
      </c>
      <c r="X122" s="44">
        <v>21.510489510489499</v>
      </c>
      <c r="Y122" s="44">
        <v>0</v>
      </c>
      <c r="Z122" s="45">
        <v>21.510489510489499</v>
      </c>
      <c r="AA122" s="43">
        <v>143</v>
      </c>
      <c r="AB122" s="46">
        <v>6051</v>
      </c>
      <c r="AC122" s="46">
        <v>0</v>
      </c>
      <c r="AD122" s="47">
        <v>42.31</v>
      </c>
      <c r="AE122" s="46">
        <v>143</v>
      </c>
      <c r="AF122" s="47">
        <v>41</v>
      </c>
      <c r="AG122" s="48" t="s">
        <v>324</v>
      </c>
      <c r="AH122" s="49">
        <v>0</v>
      </c>
      <c r="AI122" s="50">
        <v>0</v>
      </c>
      <c r="AJ122" s="49">
        <v>0</v>
      </c>
      <c r="AK122" s="49">
        <v>17.874125874125902</v>
      </c>
      <c r="AL122" s="49">
        <v>2556</v>
      </c>
      <c r="AM122" s="51" t="s">
        <v>196</v>
      </c>
      <c r="AN122" s="52" t="s">
        <v>74</v>
      </c>
      <c r="AO122" s="37" t="s">
        <v>216</v>
      </c>
    </row>
    <row r="123" spans="1:41" ht="15" customHeight="1" x14ac:dyDescent="0.2">
      <c r="A123" s="35" t="s">
        <v>318</v>
      </c>
      <c r="B123" s="35" t="s">
        <v>194</v>
      </c>
      <c r="C123" s="35">
        <v>5</v>
      </c>
      <c r="D123" s="53" t="s">
        <v>194</v>
      </c>
      <c r="E123" s="40" t="s">
        <v>248</v>
      </c>
      <c r="F123" s="36" t="s">
        <v>249</v>
      </c>
      <c r="G123" s="35" t="s">
        <v>319</v>
      </c>
      <c r="H123" s="37" t="s">
        <v>71</v>
      </c>
      <c r="I123" s="36" t="s">
        <v>72</v>
      </c>
      <c r="J123" s="37" t="s">
        <v>320</v>
      </c>
      <c r="K123" s="38">
        <v>2024</v>
      </c>
      <c r="L123" s="39">
        <v>2</v>
      </c>
      <c r="M123" s="40" t="s">
        <v>499</v>
      </c>
      <c r="N123" s="40" t="s">
        <v>532</v>
      </c>
      <c r="O123" s="40" t="s">
        <v>524</v>
      </c>
      <c r="P123" s="41">
        <v>2844</v>
      </c>
      <c r="Q123" s="42">
        <v>20</v>
      </c>
      <c r="R123" s="41">
        <v>143</v>
      </c>
      <c r="S123" s="43">
        <v>2975</v>
      </c>
      <c r="T123" s="43">
        <v>0</v>
      </c>
      <c r="U123" s="35">
        <v>0</v>
      </c>
      <c r="V123" s="35">
        <v>2975</v>
      </c>
      <c r="W123" s="35">
        <v>2975</v>
      </c>
      <c r="X123" s="44">
        <v>20.8041958041958</v>
      </c>
      <c r="Y123" s="44">
        <v>0</v>
      </c>
      <c r="Z123" s="45">
        <v>20.8041958041958</v>
      </c>
      <c r="AA123" s="43">
        <v>143</v>
      </c>
      <c r="AB123" s="46">
        <v>0</v>
      </c>
      <c r="AC123" s="46">
        <v>0</v>
      </c>
      <c r="AD123" s="47">
        <v>0</v>
      </c>
      <c r="AE123" s="46">
        <v>0</v>
      </c>
      <c r="AF123" s="47">
        <v>0</v>
      </c>
      <c r="AG123" s="48">
        <v>0</v>
      </c>
      <c r="AH123" s="49">
        <v>0</v>
      </c>
      <c r="AI123" s="50">
        <v>0</v>
      </c>
      <c r="AJ123" s="49">
        <v>0</v>
      </c>
      <c r="AK123" s="49">
        <v>7.51048951048951</v>
      </c>
      <c r="AL123" s="49">
        <v>1074</v>
      </c>
      <c r="AM123" s="51" t="s">
        <v>196</v>
      </c>
      <c r="AN123" s="52" t="s">
        <v>74</v>
      </c>
      <c r="AO123" s="37" t="s">
        <v>216</v>
      </c>
    </row>
    <row r="124" spans="1:41" ht="15" customHeight="1" x14ac:dyDescent="0.2">
      <c r="A124" s="35" t="s">
        <v>318</v>
      </c>
      <c r="B124" s="35" t="s">
        <v>194</v>
      </c>
      <c r="C124" s="35">
        <v>5</v>
      </c>
      <c r="D124" s="53" t="s">
        <v>194</v>
      </c>
      <c r="E124" s="40">
        <v>9</v>
      </c>
      <c r="F124" s="36" t="s">
        <v>250</v>
      </c>
      <c r="G124" s="35" t="s">
        <v>319</v>
      </c>
      <c r="H124" s="37" t="s">
        <v>71</v>
      </c>
      <c r="I124" s="36" t="s">
        <v>72</v>
      </c>
      <c r="J124" s="37" t="s">
        <v>320</v>
      </c>
      <c r="K124" s="38">
        <v>2024</v>
      </c>
      <c r="L124" s="39">
        <v>2</v>
      </c>
      <c r="M124" s="40" t="s">
        <v>499</v>
      </c>
      <c r="N124" s="40" t="s">
        <v>533</v>
      </c>
      <c r="O124" s="40" t="s">
        <v>524</v>
      </c>
      <c r="P124" s="41">
        <v>2799</v>
      </c>
      <c r="Q124" s="42">
        <v>20</v>
      </c>
      <c r="R124" s="41">
        <v>143</v>
      </c>
      <c r="S124" s="43">
        <v>2830</v>
      </c>
      <c r="T124" s="43">
        <v>0</v>
      </c>
      <c r="U124" s="35">
        <v>0</v>
      </c>
      <c r="V124" s="35">
        <v>2830</v>
      </c>
      <c r="W124" s="35">
        <v>2830</v>
      </c>
      <c r="X124" s="44">
        <v>19.790209790209801</v>
      </c>
      <c r="Y124" s="44">
        <v>0</v>
      </c>
      <c r="Z124" s="45">
        <v>19.790209790209801</v>
      </c>
      <c r="AA124" s="43">
        <v>143</v>
      </c>
      <c r="AB124" s="46">
        <v>5713</v>
      </c>
      <c r="AC124" s="46">
        <v>0</v>
      </c>
      <c r="AD124" s="47">
        <v>39.950000000000003</v>
      </c>
      <c r="AE124" s="46">
        <v>143</v>
      </c>
      <c r="AF124" s="47">
        <v>40</v>
      </c>
      <c r="AG124" s="48" t="s">
        <v>324</v>
      </c>
      <c r="AH124" s="49">
        <v>0</v>
      </c>
      <c r="AI124" s="50">
        <v>0</v>
      </c>
      <c r="AJ124" s="49">
        <v>0</v>
      </c>
      <c r="AK124" s="49">
        <v>12.7482517482518</v>
      </c>
      <c r="AL124" s="49">
        <v>1823</v>
      </c>
      <c r="AM124" s="51" t="s">
        <v>196</v>
      </c>
      <c r="AN124" s="52" t="s">
        <v>74</v>
      </c>
      <c r="AO124" s="37" t="s">
        <v>216</v>
      </c>
    </row>
    <row r="125" spans="1:41" ht="15" customHeight="1" x14ac:dyDescent="0.2">
      <c r="A125" s="35" t="s">
        <v>318</v>
      </c>
      <c r="B125" s="35" t="s">
        <v>194</v>
      </c>
      <c r="C125" s="35">
        <v>5</v>
      </c>
      <c r="D125" s="53" t="s">
        <v>194</v>
      </c>
      <c r="E125" s="40" t="s">
        <v>251</v>
      </c>
      <c r="F125" s="36" t="s">
        <v>252</v>
      </c>
      <c r="G125" s="35" t="s">
        <v>319</v>
      </c>
      <c r="H125" s="37" t="s">
        <v>71</v>
      </c>
      <c r="I125" s="36" t="s">
        <v>72</v>
      </c>
      <c r="J125" s="37" t="s">
        <v>320</v>
      </c>
      <c r="K125" s="38">
        <v>2024</v>
      </c>
      <c r="L125" s="39">
        <v>2</v>
      </c>
      <c r="M125" s="40" t="s">
        <v>499</v>
      </c>
      <c r="N125" s="40" t="s">
        <v>533</v>
      </c>
      <c r="O125" s="40" t="s">
        <v>524</v>
      </c>
      <c r="P125" s="41">
        <v>2872</v>
      </c>
      <c r="Q125" s="42">
        <v>20</v>
      </c>
      <c r="R125" s="41">
        <v>143</v>
      </c>
      <c r="S125" s="43">
        <v>2883</v>
      </c>
      <c r="T125" s="43">
        <v>0</v>
      </c>
      <c r="U125" s="35">
        <v>0</v>
      </c>
      <c r="V125" s="35">
        <v>2883</v>
      </c>
      <c r="W125" s="35">
        <v>2883</v>
      </c>
      <c r="X125" s="44">
        <v>20.160839160839199</v>
      </c>
      <c r="Y125" s="44">
        <v>0</v>
      </c>
      <c r="Z125" s="45">
        <v>20.160839160839199</v>
      </c>
      <c r="AA125" s="43">
        <v>143</v>
      </c>
      <c r="AB125" s="46">
        <v>0</v>
      </c>
      <c r="AC125" s="46">
        <v>0</v>
      </c>
      <c r="AD125" s="47">
        <v>0</v>
      </c>
      <c r="AE125" s="46">
        <v>0</v>
      </c>
      <c r="AF125" s="47">
        <v>0</v>
      </c>
      <c r="AG125" s="48">
        <v>0</v>
      </c>
      <c r="AH125" s="49">
        <v>0</v>
      </c>
      <c r="AI125" s="50">
        <v>0</v>
      </c>
      <c r="AJ125" s="49">
        <v>0</v>
      </c>
      <c r="AK125" s="49">
        <v>16.867132867132899</v>
      </c>
      <c r="AL125" s="49">
        <v>2412</v>
      </c>
      <c r="AM125" s="51" t="s">
        <v>196</v>
      </c>
      <c r="AN125" s="52" t="s">
        <v>74</v>
      </c>
      <c r="AO125" s="37" t="s">
        <v>216</v>
      </c>
    </row>
    <row r="126" spans="1:41" ht="15" customHeight="1" x14ac:dyDescent="0.2">
      <c r="A126" s="35" t="s">
        <v>318</v>
      </c>
      <c r="B126" s="35" t="s">
        <v>194</v>
      </c>
      <c r="C126" s="35">
        <v>5</v>
      </c>
      <c r="D126" s="53" t="s">
        <v>194</v>
      </c>
      <c r="E126" s="40">
        <v>10</v>
      </c>
      <c r="F126" s="36" t="s">
        <v>253</v>
      </c>
      <c r="G126" s="35" t="s">
        <v>319</v>
      </c>
      <c r="H126" s="37" t="s">
        <v>71</v>
      </c>
      <c r="I126" s="36" t="s">
        <v>72</v>
      </c>
      <c r="J126" s="37" t="s">
        <v>320</v>
      </c>
      <c r="K126" s="38">
        <v>2024</v>
      </c>
      <c r="L126" s="39">
        <v>2</v>
      </c>
      <c r="M126" s="40" t="s">
        <v>499</v>
      </c>
      <c r="N126" s="40" t="s">
        <v>534</v>
      </c>
      <c r="O126" s="40" t="s">
        <v>524</v>
      </c>
      <c r="P126" s="41">
        <v>4640</v>
      </c>
      <c r="Q126" s="42">
        <v>32</v>
      </c>
      <c r="R126" s="41">
        <v>143</v>
      </c>
      <c r="S126" s="43">
        <v>4819</v>
      </c>
      <c r="T126" s="43">
        <v>0</v>
      </c>
      <c r="U126" s="35">
        <v>0</v>
      </c>
      <c r="V126" s="35">
        <v>4819</v>
      </c>
      <c r="W126" s="35">
        <v>4819</v>
      </c>
      <c r="X126" s="44">
        <v>33.6993006993007</v>
      </c>
      <c r="Y126" s="44">
        <v>0</v>
      </c>
      <c r="Z126" s="45">
        <v>33.6993006993007</v>
      </c>
      <c r="AA126" s="43">
        <v>143</v>
      </c>
      <c r="AB126" s="46">
        <v>4819</v>
      </c>
      <c r="AC126" s="46">
        <v>0</v>
      </c>
      <c r="AD126" s="47">
        <v>33.700000000000003</v>
      </c>
      <c r="AE126" s="46">
        <v>143</v>
      </c>
      <c r="AF126" s="47">
        <v>32</v>
      </c>
      <c r="AG126" s="48" t="s">
        <v>324</v>
      </c>
      <c r="AH126" s="49">
        <v>0</v>
      </c>
      <c r="AI126" s="50">
        <v>0</v>
      </c>
      <c r="AJ126" s="49">
        <v>0</v>
      </c>
      <c r="AK126" s="49">
        <v>12.1958041958042</v>
      </c>
      <c r="AL126" s="49">
        <v>1744</v>
      </c>
      <c r="AM126" s="51" t="s">
        <v>196</v>
      </c>
      <c r="AN126" s="52" t="s">
        <v>74</v>
      </c>
      <c r="AO126" s="37" t="s">
        <v>216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P83"/>
  <sheetViews>
    <sheetView zoomScaleNormal="100" workbookViewId="0">
      <selection activeCell="I2" sqref="I2"/>
    </sheetView>
  </sheetViews>
  <sheetFormatPr defaultColWidth="8.609375" defaultRowHeight="15" x14ac:dyDescent="0.2"/>
  <cols>
    <col min="2" max="2" width="13.046875" customWidth="1"/>
    <col min="4" max="4" width="15.87109375" customWidth="1"/>
    <col min="6" max="6" width="11.56640625" customWidth="1"/>
    <col min="7" max="7" width="14.390625" customWidth="1"/>
    <col min="8" max="8" width="13.5859375" customWidth="1"/>
    <col min="9" max="9" width="9.81640625" customWidth="1"/>
    <col min="10" max="10" width="13.046875" customWidth="1"/>
    <col min="11" max="11" width="22.328125" customWidth="1"/>
  </cols>
  <sheetData>
    <row r="1" spans="2:16" ht="15" customHeight="1" x14ac:dyDescent="0.2">
      <c r="B1" s="57" t="s">
        <v>51</v>
      </c>
      <c r="C1" s="57" t="s">
        <v>23</v>
      </c>
      <c r="D1" s="57" t="s">
        <v>535</v>
      </c>
      <c r="E1" s="57" t="s">
        <v>536</v>
      </c>
      <c r="F1" s="57" t="s">
        <v>291</v>
      </c>
      <c r="G1" s="57" t="s">
        <v>537</v>
      </c>
      <c r="H1" s="57" t="s">
        <v>538</v>
      </c>
      <c r="I1" s="57" t="s">
        <v>539</v>
      </c>
      <c r="J1" s="57" t="s">
        <v>540</v>
      </c>
      <c r="K1" s="57" t="s">
        <v>541</v>
      </c>
      <c r="L1" s="57" t="s">
        <v>542</v>
      </c>
      <c r="N1" s="58" t="s">
        <v>543</v>
      </c>
      <c r="P1" s="59" t="s">
        <v>544</v>
      </c>
    </row>
    <row r="2" spans="2:16" ht="15" customHeight="1" x14ac:dyDescent="0.2">
      <c r="B2" s="60" t="s">
        <v>69</v>
      </c>
      <c r="C2" s="60">
        <v>1</v>
      </c>
      <c r="D2" s="60" t="s">
        <v>70</v>
      </c>
      <c r="E2" s="61">
        <v>1</v>
      </c>
      <c r="F2" s="60" t="s">
        <v>545</v>
      </c>
      <c r="G2" s="60">
        <v>2009</v>
      </c>
      <c r="H2" s="60">
        <v>5632</v>
      </c>
      <c r="I2" s="62">
        <v>39.384615384615401</v>
      </c>
      <c r="J2" s="63" t="s">
        <v>546</v>
      </c>
      <c r="K2" s="64">
        <v>10</v>
      </c>
      <c r="L2" s="64">
        <v>22</v>
      </c>
      <c r="N2" s="65" t="s">
        <v>547</v>
      </c>
    </row>
    <row r="3" spans="2:16" ht="15" customHeight="1" x14ac:dyDescent="0.2">
      <c r="B3" s="60" t="s">
        <v>69</v>
      </c>
      <c r="C3" s="66">
        <v>1</v>
      </c>
      <c r="D3" s="66" t="s">
        <v>76</v>
      </c>
      <c r="E3" s="67">
        <v>2</v>
      </c>
      <c r="F3" s="66" t="s">
        <v>545</v>
      </c>
      <c r="G3" s="66">
        <v>2009</v>
      </c>
      <c r="H3" s="66">
        <v>7901</v>
      </c>
      <c r="I3" s="68">
        <v>55.251748251748303</v>
      </c>
      <c r="J3" s="63" t="s">
        <v>546</v>
      </c>
      <c r="K3" s="60">
        <v>10</v>
      </c>
      <c r="L3" s="60">
        <v>22</v>
      </c>
      <c r="N3" s="69" t="s">
        <v>548</v>
      </c>
    </row>
    <row r="4" spans="2:16" ht="15" customHeight="1" x14ac:dyDescent="0.2">
      <c r="B4" s="60" t="s">
        <v>69</v>
      </c>
      <c r="C4" s="60">
        <v>1</v>
      </c>
      <c r="D4" s="60" t="s">
        <v>77</v>
      </c>
      <c r="E4" s="61">
        <v>3</v>
      </c>
      <c r="F4" s="60" t="s">
        <v>78</v>
      </c>
      <c r="G4" s="60">
        <v>2009</v>
      </c>
      <c r="H4" s="60">
        <v>5424</v>
      </c>
      <c r="I4" s="62">
        <v>37.930069930069898</v>
      </c>
      <c r="J4" s="63" t="s">
        <v>546</v>
      </c>
      <c r="K4" s="60">
        <v>10</v>
      </c>
      <c r="L4" s="60">
        <v>22</v>
      </c>
      <c r="N4" s="70" t="s">
        <v>549</v>
      </c>
    </row>
    <row r="5" spans="2:16" ht="15" customHeight="1" x14ac:dyDescent="0.2">
      <c r="B5" s="60" t="s">
        <v>69</v>
      </c>
      <c r="C5" s="66">
        <v>1</v>
      </c>
      <c r="D5" s="66" t="s">
        <v>80</v>
      </c>
      <c r="E5" s="67">
        <v>4</v>
      </c>
      <c r="F5" s="66" t="s">
        <v>81</v>
      </c>
      <c r="G5" s="66">
        <v>2009</v>
      </c>
      <c r="H5" s="66">
        <v>6980</v>
      </c>
      <c r="I5" s="68">
        <v>48.811188811188799</v>
      </c>
      <c r="J5" s="63" t="s">
        <v>546</v>
      </c>
      <c r="K5" s="60">
        <v>10</v>
      </c>
      <c r="L5" s="60">
        <v>22</v>
      </c>
      <c r="N5" s="71" t="s">
        <v>550</v>
      </c>
    </row>
    <row r="6" spans="2:16" ht="15" customHeight="1" x14ac:dyDescent="0.2">
      <c r="B6" s="60" t="s">
        <v>69</v>
      </c>
      <c r="C6" s="60">
        <v>1</v>
      </c>
      <c r="D6" s="60" t="s">
        <v>83</v>
      </c>
      <c r="E6" s="61">
        <v>5</v>
      </c>
      <c r="F6" s="60" t="s">
        <v>81</v>
      </c>
      <c r="G6" s="60">
        <v>2009</v>
      </c>
      <c r="H6" s="60">
        <v>6160</v>
      </c>
      <c r="I6" s="62">
        <v>43.076923076923102</v>
      </c>
      <c r="J6" s="63" t="s">
        <v>546</v>
      </c>
      <c r="K6" s="60">
        <v>9</v>
      </c>
      <c r="L6" s="60">
        <v>21</v>
      </c>
    </row>
    <row r="7" spans="2:16" ht="15" customHeight="1" x14ac:dyDescent="0.2">
      <c r="B7" s="60" t="s">
        <v>69</v>
      </c>
      <c r="C7" s="66">
        <v>1</v>
      </c>
      <c r="D7" s="66" t="s">
        <v>84</v>
      </c>
      <c r="E7" s="67">
        <v>6</v>
      </c>
      <c r="F7" s="66" t="s">
        <v>545</v>
      </c>
      <c r="G7" s="66">
        <v>2009</v>
      </c>
      <c r="H7" s="66">
        <v>5673</v>
      </c>
      <c r="I7" s="68">
        <v>39.671328671328702</v>
      </c>
      <c r="J7" s="63" t="s">
        <v>546</v>
      </c>
      <c r="K7" s="60">
        <v>8</v>
      </c>
      <c r="L7" s="60">
        <v>20</v>
      </c>
    </row>
    <row r="8" spans="2:16" ht="15" customHeight="1" x14ac:dyDescent="0.2">
      <c r="B8" s="60" t="s">
        <v>69</v>
      </c>
      <c r="C8" s="60">
        <v>1</v>
      </c>
      <c r="D8" s="60" t="s">
        <v>85</v>
      </c>
      <c r="E8" s="61">
        <v>7</v>
      </c>
      <c r="F8" s="60" t="s">
        <v>81</v>
      </c>
      <c r="G8" s="60">
        <v>2009</v>
      </c>
      <c r="H8" s="60">
        <v>3077</v>
      </c>
      <c r="I8" s="62">
        <v>21.517482517482499</v>
      </c>
      <c r="J8" s="63" t="s">
        <v>546</v>
      </c>
      <c r="K8" s="60">
        <v>6</v>
      </c>
      <c r="L8" s="60">
        <v>18</v>
      </c>
    </row>
    <row r="9" spans="2:16" ht="15" customHeight="1" x14ac:dyDescent="0.2">
      <c r="B9" s="60" t="s">
        <v>69</v>
      </c>
      <c r="C9" s="66">
        <v>1</v>
      </c>
      <c r="D9" s="66" t="s">
        <v>86</v>
      </c>
      <c r="E9" s="67">
        <v>8</v>
      </c>
      <c r="F9" s="66" t="s">
        <v>545</v>
      </c>
      <c r="G9" s="66">
        <v>2009</v>
      </c>
      <c r="H9" s="66">
        <v>8846</v>
      </c>
      <c r="I9" s="68">
        <v>61.860139860139903</v>
      </c>
      <c r="J9" s="63" t="s">
        <v>546</v>
      </c>
      <c r="K9" s="60">
        <v>6</v>
      </c>
      <c r="L9" s="60">
        <v>18</v>
      </c>
    </row>
    <row r="10" spans="2:16" ht="15" customHeight="1" x14ac:dyDescent="0.2">
      <c r="B10" s="60" t="s">
        <v>69</v>
      </c>
      <c r="C10" s="60">
        <v>1</v>
      </c>
      <c r="D10" s="60" t="s">
        <v>88</v>
      </c>
      <c r="E10" s="61">
        <v>9</v>
      </c>
      <c r="F10" s="60" t="s">
        <v>545</v>
      </c>
      <c r="G10" s="60">
        <v>2009</v>
      </c>
      <c r="H10" s="60">
        <v>6623</v>
      </c>
      <c r="I10" s="62">
        <v>46.314685314685299</v>
      </c>
      <c r="J10" s="63" t="s">
        <v>546</v>
      </c>
      <c r="K10" s="60">
        <v>4</v>
      </c>
      <c r="L10" s="60">
        <v>16</v>
      </c>
    </row>
    <row r="11" spans="2:16" ht="15" customHeight="1" x14ac:dyDescent="0.2">
      <c r="B11" s="60" t="s">
        <v>69</v>
      </c>
      <c r="C11" s="66">
        <v>1</v>
      </c>
      <c r="D11" s="66" t="s">
        <v>89</v>
      </c>
      <c r="E11" s="67">
        <v>10</v>
      </c>
      <c r="F11" s="66" t="s">
        <v>545</v>
      </c>
      <c r="G11" s="66">
        <v>2009</v>
      </c>
      <c r="H11" s="66">
        <v>7164</v>
      </c>
      <c r="I11" s="68">
        <v>50.0979020979021</v>
      </c>
      <c r="J11" s="72" t="s">
        <v>11</v>
      </c>
      <c r="K11" s="60">
        <v>0</v>
      </c>
      <c r="L11" s="60">
        <v>12</v>
      </c>
    </row>
    <row r="12" spans="2:16" ht="15" customHeight="1" x14ac:dyDescent="0.2">
      <c r="B12" s="60" t="s">
        <v>69</v>
      </c>
      <c r="C12" s="60">
        <v>1</v>
      </c>
      <c r="D12" s="60" t="s">
        <v>90</v>
      </c>
      <c r="E12" s="61">
        <v>11</v>
      </c>
      <c r="F12" s="60" t="s">
        <v>545</v>
      </c>
      <c r="G12" s="60">
        <v>2009</v>
      </c>
      <c r="H12" s="60">
        <v>5219</v>
      </c>
      <c r="I12" s="62">
        <v>36.4965034965035</v>
      </c>
      <c r="J12" s="72" t="s">
        <v>11</v>
      </c>
      <c r="K12" s="60">
        <v>0</v>
      </c>
      <c r="L12" s="60">
        <v>12</v>
      </c>
    </row>
    <row r="13" spans="2:16" ht="15" customHeight="1" x14ac:dyDescent="0.2">
      <c r="B13" s="60" t="s">
        <v>69</v>
      </c>
      <c r="C13" s="66">
        <v>1</v>
      </c>
      <c r="D13" s="66" t="s">
        <v>91</v>
      </c>
      <c r="E13" s="67">
        <v>12</v>
      </c>
      <c r="F13" s="66" t="s">
        <v>545</v>
      </c>
      <c r="G13" s="66">
        <v>2009</v>
      </c>
      <c r="H13" s="66">
        <v>2701</v>
      </c>
      <c r="I13" s="68">
        <v>18.888111888111901</v>
      </c>
      <c r="J13" s="72" t="s">
        <v>11</v>
      </c>
      <c r="K13" s="60">
        <v>0</v>
      </c>
      <c r="L13" s="60">
        <v>12</v>
      </c>
    </row>
    <row r="14" spans="2:16" ht="15" customHeight="1" x14ac:dyDescent="0.2">
      <c r="B14" s="60" t="s">
        <v>69</v>
      </c>
      <c r="C14" s="60">
        <v>1</v>
      </c>
      <c r="D14" s="60" t="s">
        <v>92</v>
      </c>
      <c r="E14" s="61">
        <v>13</v>
      </c>
      <c r="F14" s="60" t="s">
        <v>545</v>
      </c>
      <c r="G14" s="60">
        <v>2009</v>
      </c>
      <c r="H14" s="60">
        <v>6615</v>
      </c>
      <c r="I14" s="62">
        <v>46.258741258741303</v>
      </c>
      <c r="J14" s="73" t="s">
        <v>551</v>
      </c>
      <c r="K14" s="60">
        <v>0</v>
      </c>
      <c r="L14" s="60">
        <v>12</v>
      </c>
    </row>
    <row r="15" spans="2:16" ht="15" customHeight="1" x14ac:dyDescent="0.2">
      <c r="B15" s="66" t="s">
        <v>93</v>
      </c>
      <c r="C15" s="66">
        <v>2</v>
      </c>
      <c r="D15" s="66" t="s">
        <v>94</v>
      </c>
      <c r="E15" s="67">
        <v>14</v>
      </c>
      <c r="F15" s="66" t="s">
        <v>545</v>
      </c>
      <c r="G15" s="66">
        <v>2009</v>
      </c>
      <c r="H15" s="66">
        <v>6461</v>
      </c>
      <c r="I15" s="68">
        <v>45.181818181818201</v>
      </c>
      <c r="J15" s="63" t="s">
        <v>546</v>
      </c>
      <c r="K15" s="60">
        <v>1</v>
      </c>
      <c r="L15" s="60">
        <v>13</v>
      </c>
    </row>
    <row r="16" spans="2:16" ht="15" customHeight="1" x14ac:dyDescent="0.2">
      <c r="B16" s="60" t="s">
        <v>93</v>
      </c>
      <c r="C16" s="60">
        <v>2</v>
      </c>
      <c r="D16" s="60" t="s">
        <v>97</v>
      </c>
      <c r="E16" s="61">
        <v>15</v>
      </c>
      <c r="F16" s="60" t="s">
        <v>78</v>
      </c>
      <c r="G16" s="60">
        <v>2009</v>
      </c>
      <c r="H16" s="60">
        <v>5717</v>
      </c>
      <c r="I16" s="62">
        <v>39.979020979021001</v>
      </c>
      <c r="J16" s="63" t="s">
        <v>546</v>
      </c>
      <c r="K16" s="60">
        <v>2</v>
      </c>
      <c r="L16" s="60">
        <v>14</v>
      </c>
    </row>
    <row r="17" spans="2:12" ht="15" customHeight="1" x14ac:dyDescent="0.2">
      <c r="B17" s="66" t="s">
        <v>93</v>
      </c>
      <c r="C17" s="66">
        <v>2</v>
      </c>
      <c r="D17" s="66" t="s">
        <v>98</v>
      </c>
      <c r="E17" s="67">
        <v>16</v>
      </c>
      <c r="F17" s="66" t="s">
        <v>545</v>
      </c>
      <c r="G17" s="66">
        <v>2009</v>
      </c>
      <c r="H17" s="66">
        <v>1875</v>
      </c>
      <c r="I17" s="68">
        <v>13.111888111888099</v>
      </c>
      <c r="J17" s="63" t="s">
        <v>546</v>
      </c>
      <c r="K17" s="60">
        <v>2</v>
      </c>
      <c r="L17" s="60">
        <v>14</v>
      </c>
    </row>
    <row r="18" spans="2:12" ht="15" customHeight="1" x14ac:dyDescent="0.2">
      <c r="B18" s="60" t="s">
        <v>93</v>
      </c>
      <c r="C18" s="60">
        <v>2</v>
      </c>
      <c r="D18" s="60" t="s">
        <v>552</v>
      </c>
      <c r="E18" s="61" t="s">
        <v>553</v>
      </c>
      <c r="F18" s="60" t="s">
        <v>78</v>
      </c>
      <c r="G18" s="60">
        <v>2010</v>
      </c>
      <c r="H18" s="60">
        <v>1000</v>
      </c>
      <c r="I18" s="62">
        <v>6.9930069930069898</v>
      </c>
      <c r="J18" s="63" t="s">
        <v>546</v>
      </c>
      <c r="K18" s="60">
        <v>2</v>
      </c>
      <c r="L18" s="60">
        <v>14</v>
      </c>
    </row>
    <row r="19" spans="2:12" ht="15" customHeight="1" x14ac:dyDescent="0.2">
      <c r="B19" s="66" t="s">
        <v>93</v>
      </c>
      <c r="C19" s="66">
        <v>2</v>
      </c>
      <c r="D19" s="66" t="s">
        <v>99</v>
      </c>
      <c r="E19" s="67">
        <v>17</v>
      </c>
      <c r="F19" s="66" t="s">
        <v>545</v>
      </c>
      <c r="G19" s="66">
        <v>2009</v>
      </c>
      <c r="H19" s="66">
        <v>3924</v>
      </c>
      <c r="I19" s="68">
        <v>27.440559440559401</v>
      </c>
      <c r="J19" s="63" t="s">
        <v>546</v>
      </c>
      <c r="K19" s="60">
        <v>6</v>
      </c>
      <c r="L19" s="60">
        <v>18</v>
      </c>
    </row>
    <row r="20" spans="2:12" ht="15" customHeight="1" x14ac:dyDescent="0.2">
      <c r="B20" s="60" t="s">
        <v>93</v>
      </c>
      <c r="C20" s="60">
        <v>2</v>
      </c>
      <c r="D20" s="60" t="s">
        <v>101</v>
      </c>
      <c r="E20" s="61">
        <v>19</v>
      </c>
      <c r="F20" s="60" t="s">
        <v>81</v>
      </c>
      <c r="G20" s="60">
        <v>2009</v>
      </c>
      <c r="H20" s="60">
        <v>5185</v>
      </c>
      <c r="I20" s="62">
        <v>36.258741258741303</v>
      </c>
      <c r="J20" s="72" t="s">
        <v>11</v>
      </c>
      <c r="K20" s="60">
        <v>0</v>
      </c>
      <c r="L20" s="60">
        <v>12</v>
      </c>
    </row>
    <row r="21" spans="2:12" ht="15" customHeight="1" x14ac:dyDescent="0.2">
      <c r="B21" s="66" t="s">
        <v>554</v>
      </c>
      <c r="C21" s="66">
        <v>2</v>
      </c>
      <c r="D21" s="66" t="s">
        <v>555</v>
      </c>
      <c r="E21" s="67" t="s">
        <v>556</v>
      </c>
      <c r="F21" s="66" t="s">
        <v>545</v>
      </c>
      <c r="G21" s="66">
        <v>2010</v>
      </c>
      <c r="H21" s="66">
        <v>1480</v>
      </c>
      <c r="I21" s="68">
        <v>10.3496503496504</v>
      </c>
      <c r="J21" s="72" t="s">
        <v>11</v>
      </c>
      <c r="K21" s="60">
        <v>0</v>
      </c>
      <c r="L21" s="60">
        <v>12</v>
      </c>
    </row>
    <row r="22" spans="2:12" ht="15" customHeight="1" x14ac:dyDescent="0.2">
      <c r="B22" s="60" t="s">
        <v>554</v>
      </c>
      <c r="C22" s="60">
        <v>2</v>
      </c>
      <c r="D22" s="60" t="s">
        <v>557</v>
      </c>
      <c r="E22" s="61">
        <v>20</v>
      </c>
      <c r="F22" s="60" t="s">
        <v>545</v>
      </c>
      <c r="G22" s="60">
        <v>2009</v>
      </c>
      <c r="H22" s="60">
        <v>3351</v>
      </c>
      <c r="I22" s="62">
        <v>23.433566433566401</v>
      </c>
      <c r="J22" s="72" t="s">
        <v>11</v>
      </c>
      <c r="K22" s="60">
        <v>0</v>
      </c>
      <c r="L22" s="60">
        <v>12</v>
      </c>
    </row>
    <row r="23" spans="2:12" ht="15" customHeight="1" x14ac:dyDescent="0.2">
      <c r="B23" s="66" t="s">
        <v>554</v>
      </c>
      <c r="C23" s="66">
        <v>2</v>
      </c>
      <c r="D23" s="66" t="s">
        <v>558</v>
      </c>
      <c r="E23" s="67" t="s">
        <v>559</v>
      </c>
      <c r="F23" s="66" t="s">
        <v>81</v>
      </c>
      <c r="G23" s="66">
        <v>2010</v>
      </c>
      <c r="H23" s="66">
        <v>1939</v>
      </c>
      <c r="I23" s="68">
        <v>13.559440559440599</v>
      </c>
      <c r="J23" s="72" t="s">
        <v>11</v>
      </c>
      <c r="K23" s="60">
        <v>0</v>
      </c>
      <c r="L23" s="60">
        <v>12</v>
      </c>
    </row>
    <row r="24" spans="2:12" ht="15" customHeight="1" x14ac:dyDescent="0.2">
      <c r="B24" s="60" t="s">
        <v>554</v>
      </c>
      <c r="C24" s="60">
        <v>2</v>
      </c>
      <c r="D24" s="60" t="s">
        <v>560</v>
      </c>
      <c r="E24" s="61">
        <v>21</v>
      </c>
      <c r="F24" s="60" t="s">
        <v>78</v>
      </c>
      <c r="G24" s="60">
        <v>2009</v>
      </c>
      <c r="H24" s="60">
        <v>6197</v>
      </c>
      <c r="I24" s="62">
        <v>43.335664335664298</v>
      </c>
      <c r="J24" s="63" t="s">
        <v>546</v>
      </c>
      <c r="K24" s="60">
        <v>6</v>
      </c>
      <c r="L24" s="60">
        <v>18</v>
      </c>
    </row>
    <row r="25" spans="2:12" ht="15" customHeight="1" x14ac:dyDescent="0.2">
      <c r="B25" s="66" t="s">
        <v>105</v>
      </c>
      <c r="C25" s="66">
        <v>2</v>
      </c>
      <c r="D25" s="66" t="s">
        <v>106</v>
      </c>
      <c r="E25" s="67">
        <v>22</v>
      </c>
      <c r="F25" s="66" t="s">
        <v>81</v>
      </c>
      <c r="G25" s="66">
        <v>2009</v>
      </c>
      <c r="H25" s="66">
        <v>4824</v>
      </c>
      <c r="I25" s="68">
        <v>33.734265734265698</v>
      </c>
      <c r="J25" s="63" t="s">
        <v>546</v>
      </c>
      <c r="K25" s="60">
        <v>13</v>
      </c>
      <c r="L25" s="60">
        <v>25</v>
      </c>
    </row>
    <row r="26" spans="2:12" ht="15" customHeight="1" x14ac:dyDescent="0.2">
      <c r="B26" s="60" t="s">
        <v>554</v>
      </c>
      <c r="C26" s="60">
        <v>2</v>
      </c>
      <c r="D26" s="60" t="s">
        <v>561</v>
      </c>
      <c r="E26" s="61">
        <v>29</v>
      </c>
      <c r="F26" s="60" t="s">
        <v>545</v>
      </c>
      <c r="G26" s="60">
        <v>2009</v>
      </c>
      <c r="H26" s="60">
        <v>1700</v>
      </c>
      <c r="I26" s="62">
        <v>11.888111888111901</v>
      </c>
      <c r="J26" s="72" t="s">
        <v>11</v>
      </c>
      <c r="K26" s="60">
        <v>0</v>
      </c>
      <c r="L26" s="60">
        <v>12</v>
      </c>
    </row>
    <row r="27" spans="2:12" ht="15" customHeight="1" x14ac:dyDescent="0.2">
      <c r="B27" s="66" t="s">
        <v>554</v>
      </c>
      <c r="C27" s="66">
        <v>2</v>
      </c>
      <c r="D27" s="66" t="s">
        <v>562</v>
      </c>
      <c r="E27" s="67">
        <v>30</v>
      </c>
      <c r="F27" s="66" t="s">
        <v>545</v>
      </c>
      <c r="G27" s="66">
        <v>2009</v>
      </c>
      <c r="H27" s="66">
        <v>3141</v>
      </c>
      <c r="I27" s="68">
        <v>21.965034965034999</v>
      </c>
      <c r="J27" s="72" t="s">
        <v>11</v>
      </c>
      <c r="K27" s="60">
        <v>0</v>
      </c>
      <c r="L27" s="60">
        <v>12</v>
      </c>
    </row>
    <row r="28" spans="2:12" ht="15" customHeight="1" x14ac:dyDescent="0.2">
      <c r="B28" s="60" t="s">
        <v>105</v>
      </c>
      <c r="C28" s="60">
        <v>2</v>
      </c>
      <c r="D28" s="60" t="s">
        <v>123</v>
      </c>
      <c r="E28" s="61">
        <v>31</v>
      </c>
      <c r="F28" s="60" t="s">
        <v>124</v>
      </c>
      <c r="G28" s="60">
        <v>2010</v>
      </c>
      <c r="H28" s="60">
        <v>2010</v>
      </c>
      <c r="I28" s="62">
        <v>14.055944055944099</v>
      </c>
      <c r="J28" s="72" t="s">
        <v>11</v>
      </c>
      <c r="K28" s="60">
        <v>0</v>
      </c>
      <c r="L28" s="60">
        <v>12</v>
      </c>
    </row>
    <row r="29" spans="2:12" ht="15" customHeight="1" x14ac:dyDescent="0.2">
      <c r="B29" s="66" t="s">
        <v>554</v>
      </c>
      <c r="C29" s="66">
        <v>2</v>
      </c>
      <c r="D29" s="66" t="s">
        <v>563</v>
      </c>
      <c r="E29" s="67">
        <v>32</v>
      </c>
      <c r="F29" s="66" t="s">
        <v>545</v>
      </c>
      <c r="G29" s="66">
        <v>2010</v>
      </c>
      <c r="H29" s="66">
        <v>2028</v>
      </c>
      <c r="I29" s="68">
        <v>14.181818181818199</v>
      </c>
      <c r="J29" s="72" t="s">
        <v>11</v>
      </c>
      <c r="K29" s="60">
        <v>0</v>
      </c>
      <c r="L29" s="60">
        <v>12</v>
      </c>
    </row>
    <row r="30" spans="2:12" ht="15" customHeight="1" x14ac:dyDescent="0.2">
      <c r="B30" s="60" t="s">
        <v>554</v>
      </c>
      <c r="C30" s="60">
        <v>2</v>
      </c>
      <c r="D30" s="60" t="s">
        <v>564</v>
      </c>
      <c r="E30" s="61">
        <v>33</v>
      </c>
      <c r="F30" s="60" t="s">
        <v>81</v>
      </c>
      <c r="G30" s="60">
        <v>2010</v>
      </c>
      <c r="H30" s="60">
        <v>4302</v>
      </c>
      <c r="I30" s="62">
        <v>30.083916083916101</v>
      </c>
      <c r="J30" s="72" t="s">
        <v>11</v>
      </c>
      <c r="K30" s="60">
        <v>0</v>
      </c>
      <c r="L30" s="60">
        <v>12</v>
      </c>
    </row>
    <row r="31" spans="2:12" ht="15" customHeight="1" x14ac:dyDescent="0.2">
      <c r="B31" s="66" t="s">
        <v>554</v>
      </c>
      <c r="C31" s="66">
        <v>2</v>
      </c>
      <c r="D31" s="66" t="s">
        <v>565</v>
      </c>
      <c r="E31" s="67" t="s">
        <v>566</v>
      </c>
      <c r="F31" s="66" t="s">
        <v>81</v>
      </c>
      <c r="G31" s="66">
        <v>2010</v>
      </c>
      <c r="H31" s="66">
        <v>1854</v>
      </c>
      <c r="I31" s="68">
        <v>12.965034965035001</v>
      </c>
      <c r="J31" s="72" t="s">
        <v>11</v>
      </c>
      <c r="K31" s="60">
        <v>0</v>
      </c>
      <c r="L31" s="60">
        <v>12</v>
      </c>
    </row>
    <row r="32" spans="2:12" ht="15" customHeight="1" x14ac:dyDescent="0.2">
      <c r="B32" s="60" t="s">
        <v>554</v>
      </c>
      <c r="C32" s="60">
        <v>2</v>
      </c>
      <c r="D32" s="60" t="s">
        <v>567</v>
      </c>
      <c r="E32" s="61">
        <v>34</v>
      </c>
      <c r="F32" s="60" t="s">
        <v>81</v>
      </c>
      <c r="G32" s="60">
        <v>2010</v>
      </c>
      <c r="H32" s="60">
        <v>3630</v>
      </c>
      <c r="I32" s="62">
        <v>25.384615384615401</v>
      </c>
      <c r="J32" s="72" t="s">
        <v>11</v>
      </c>
      <c r="K32" s="60">
        <v>0</v>
      </c>
      <c r="L32" s="60">
        <v>12</v>
      </c>
    </row>
    <row r="33" spans="2:12" ht="15" customHeight="1" x14ac:dyDescent="0.2">
      <c r="B33" s="66" t="s">
        <v>554</v>
      </c>
      <c r="C33" s="66">
        <v>2</v>
      </c>
      <c r="D33" s="66" t="s">
        <v>568</v>
      </c>
      <c r="E33" s="67" t="s">
        <v>569</v>
      </c>
      <c r="F33" s="66" t="s">
        <v>81</v>
      </c>
      <c r="G33" s="66">
        <v>2010</v>
      </c>
      <c r="H33" s="66">
        <v>1592</v>
      </c>
      <c r="I33" s="68">
        <v>11.1328671328671</v>
      </c>
      <c r="J33" s="72" t="s">
        <v>11</v>
      </c>
      <c r="K33" s="60">
        <v>0</v>
      </c>
      <c r="L33" s="60">
        <v>12</v>
      </c>
    </row>
    <row r="34" spans="2:12" ht="15" customHeight="1" x14ac:dyDescent="0.2">
      <c r="B34" s="60" t="s">
        <v>554</v>
      </c>
      <c r="C34" s="60">
        <v>2</v>
      </c>
      <c r="D34" s="60" t="s">
        <v>570</v>
      </c>
      <c r="E34" s="61">
        <v>35</v>
      </c>
      <c r="F34" s="60" t="s">
        <v>81</v>
      </c>
      <c r="G34" s="60">
        <v>2010</v>
      </c>
      <c r="H34" s="60">
        <v>2555</v>
      </c>
      <c r="I34" s="62">
        <v>17.867132867132899</v>
      </c>
      <c r="J34" s="73" t="s">
        <v>551</v>
      </c>
      <c r="K34" s="60">
        <v>0</v>
      </c>
      <c r="L34" s="60">
        <v>12</v>
      </c>
    </row>
    <row r="35" spans="2:12" ht="15" customHeight="1" x14ac:dyDescent="0.2">
      <c r="B35" s="66" t="s">
        <v>554</v>
      </c>
      <c r="C35" s="66">
        <v>2</v>
      </c>
      <c r="D35" s="66" t="s">
        <v>571</v>
      </c>
      <c r="E35" s="67" t="s">
        <v>572</v>
      </c>
      <c r="F35" s="66" t="s">
        <v>81</v>
      </c>
      <c r="G35" s="66">
        <v>2010</v>
      </c>
      <c r="H35" s="66">
        <v>2359</v>
      </c>
      <c r="I35" s="68">
        <v>16.4965034965035</v>
      </c>
      <c r="J35" s="63" t="s">
        <v>546</v>
      </c>
      <c r="K35" s="60">
        <v>14</v>
      </c>
      <c r="L35" s="60">
        <v>26</v>
      </c>
    </row>
    <row r="36" spans="2:12" ht="15" customHeight="1" x14ac:dyDescent="0.2">
      <c r="B36" s="60" t="s">
        <v>554</v>
      </c>
      <c r="C36" s="60">
        <v>2</v>
      </c>
      <c r="D36" s="60" t="s">
        <v>573</v>
      </c>
      <c r="E36" s="61" t="s">
        <v>574</v>
      </c>
      <c r="F36" s="60" t="s">
        <v>78</v>
      </c>
      <c r="G36" s="60">
        <v>2011</v>
      </c>
      <c r="H36" s="60">
        <v>2683</v>
      </c>
      <c r="I36" s="62">
        <v>18.762237762237799</v>
      </c>
      <c r="J36" s="63" t="s">
        <v>546</v>
      </c>
      <c r="K36" s="60">
        <v>14</v>
      </c>
      <c r="L36" s="60">
        <v>26</v>
      </c>
    </row>
    <row r="37" spans="2:12" ht="15" customHeight="1" x14ac:dyDescent="0.2">
      <c r="B37" s="66" t="s">
        <v>105</v>
      </c>
      <c r="C37" s="66">
        <v>2</v>
      </c>
      <c r="D37" s="66" t="s">
        <v>155</v>
      </c>
      <c r="E37" s="67">
        <v>43</v>
      </c>
      <c r="F37" s="66" t="s">
        <v>545</v>
      </c>
      <c r="G37" s="66">
        <v>2011</v>
      </c>
      <c r="H37" s="66">
        <v>5761</v>
      </c>
      <c r="I37" s="68">
        <v>40.286713286713301</v>
      </c>
      <c r="J37" s="63" t="s">
        <v>546</v>
      </c>
      <c r="K37" s="60">
        <v>10</v>
      </c>
      <c r="L37" s="60">
        <v>22</v>
      </c>
    </row>
    <row r="38" spans="2:12" ht="15" customHeight="1" x14ac:dyDescent="0.2">
      <c r="B38" s="60" t="s">
        <v>93</v>
      </c>
      <c r="C38" s="60">
        <v>3</v>
      </c>
      <c r="D38" s="60" t="s">
        <v>100</v>
      </c>
      <c r="E38" s="61">
        <v>18</v>
      </c>
      <c r="F38" s="60" t="s">
        <v>78</v>
      </c>
      <c r="G38" s="60">
        <v>2009</v>
      </c>
      <c r="H38" s="60">
        <v>2514</v>
      </c>
      <c r="I38" s="62">
        <v>17.580419580419601</v>
      </c>
      <c r="J38" s="72" t="s">
        <v>11</v>
      </c>
      <c r="K38" s="60">
        <v>0</v>
      </c>
      <c r="L38" s="60">
        <v>12</v>
      </c>
    </row>
    <row r="39" spans="2:12" ht="15" customHeight="1" x14ac:dyDescent="0.2">
      <c r="B39" s="66" t="s">
        <v>93</v>
      </c>
      <c r="C39" s="66">
        <v>3</v>
      </c>
      <c r="D39" s="66" t="s">
        <v>107</v>
      </c>
      <c r="E39" s="67">
        <v>23</v>
      </c>
      <c r="F39" s="66" t="s">
        <v>545</v>
      </c>
      <c r="G39" s="66">
        <v>2009</v>
      </c>
      <c r="H39" s="66">
        <v>5756</v>
      </c>
      <c r="I39" s="68">
        <v>40.251748251748303</v>
      </c>
      <c r="J39" s="73" t="s">
        <v>551</v>
      </c>
      <c r="K39" s="60">
        <v>0</v>
      </c>
      <c r="L39" s="60">
        <v>12</v>
      </c>
    </row>
    <row r="40" spans="2:12" ht="15" customHeight="1" x14ac:dyDescent="0.2">
      <c r="B40" s="60" t="s">
        <v>93</v>
      </c>
      <c r="C40" s="60">
        <v>3</v>
      </c>
      <c r="D40" s="60" t="s">
        <v>108</v>
      </c>
      <c r="E40" s="61">
        <v>24</v>
      </c>
      <c r="F40" s="60" t="s">
        <v>78</v>
      </c>
      <c r="G40" s="60">
        <v>2009</v>
      </c>
      <c r="H40" s="60">
        <v>5579</v>
      </c>
      <c r="I40" s="62">
        <v>39.013986013985999</v>
      </c>
      <c r="J40" s="63" t="s">
        <v>546</v>
      </c>
      <c r="K40" s="60">
        <v>2</v>
      </c>
      <c r="L40" s="60">
        <v>14</v>
      </c>
    </row>
    <row r="41" spans="2:12" ht="15" customHeight="1" x14ac:dyDescent="0.2">
      <c r="B41" s="66" t="s">
        <v>93</v>
      </c>
      <c r="C41" s="66">
        <v>3</v>
      </c>
      <c r="D41" s="66" t="s">
        <v>109</v>
      </c>
      <c r="E41" s="67">
        <v>25</v>
      </c>
      <c r="F41" s="66" t="s">
        <v>545</v>
      </c>
      <c r="G41" s="66">
        <v>2009</v>
      </c>
      <c r="H41" s="66">
        <v>7005</v>
      </c>
      <c r="I41" s="68">
        <v>48.986013986014001</v>
      </c>
      <c r="J41" s="63" t="s">
        <v>546</v>
      </c>
      <c r="K41" s="60">
        <v>2</v>
      </c>
      <c r="L41" s="60">
        <v>14</v>
      </c>
    </row>
    <row r="42" spans="2:12" ht="15" customHeight="1" x14ac:dyDescent="0.2">
      <c r="B42" s="60" t="s">
        <v>93</v>
      </c>
      <c r="C42" s="60">
        <v>3</v>
      </c>
      <c r="D42" s="60" t="s">
        <v>122</v>
      </c>
      <c r="E42" s="61" t="s">
        <v>121</v>
      </c>
      <c r="F42" s="60" t="s">
        <v>545</v>
      </c>
      <c r="G42" s="60">
        <v>2010</v>
      </c>
      <c r="H42" s="60">
        <v>1538</v>
      </c>
      <c r="I42" s="62">
        <v>10.755244755244799</v>
      </c>
      <c r="J42" s="72" t="s">
        <v>11</v>
      </c>
      <c r="K42" s="60">
        <v>0</v>
      </c>
      <c r="L42" s="60">
        <v>12</v>
      </c>
    </row>
    <row r="43" spans="2:12" ht="15" customHeight="1" x14ac:dyDescent="0.2">
      <c r="B43" s="66" t="s">
        <v>105</v>
      </c>
      <c r="C43" s="66">
        <v>3</v>
      </c>
      <c r="D43" s="66" t="s">
        <v>110</v>
      </c>
      <c r="E43" s="67">
        <v>26</v>
      </c>
      <c r="F43" s="66" t="s">
        <v>81</v>
      </c>
      <c r="G43" s="66">
        <v>2009</v>
      </c>
      <c r="H43" s="66">
        <v>5673</v>
      </c>
      <c r="I43" s="68">
        <v>39.671328671328702</v>
      </c>
      <c r="J43" s="73" t="s">
        <v>551</v>
      </c>
      <c r="K43" s="60">
        <v>0</v>
      </c>
      <c r="L43" s="60">
        <v>12</v>
      </c>
    </row>
    <row r="44" spans="2:12" ht="15" customHeight="1" x14ac:dyDescent="0.2">
      <c r="B44" s="60" t="s">
        <v>105</v>
      </c>
      <c r="C44" s="60">
        <v>3</v>
      </c>
      <c r="D44" s="60" t="s">
        <v>111</v>
      </c>
      <c r="E44" s="61">
        <v>27</v>
      </c>
      <c r="F44" s="60" t="s">
        <v>545</v>
      </c>
      <c r="G44" s="60">
        <v>2009</v>
      </c>
      <c r="H44" s="60">
        <v>6884</v>
      </c>
      <c r="I44" s="62">
        <v>48.139860139860097</v>
      </c>
      <c r="J44" s="63" t="s">
        <v>546</v>
      </c>
      <c r="K44" s="60">
        <v>6</v>
      </c>
      <c r="L44" s="60">
        <v>18</v>
      </c>
    </row>
    <row r="45" spans="2:12" ht="15" customHeight="1" x14ac:dyDescent="0.2">
      <c r="B45" s="66" t="s">
        <v>105</v>
      </c>
      <c r="C45" s="66">
        <v>3</v>
      </c>
      <c r="D45" s="66" t="s">
        <v>112</v>
      </c>
      <c r="E45" s="67">
        <v>28</v>
      </c>
      <c r="F45" s="66" t="s">
        <v>81</v>
      </c>
      <c r="G45" s="66">
        <v>2009</v>
      </c>
      <c r="H45" s="66">
        <v>3310</v>
      </c>
      <c r="I45" s="68">
        <v>23.1468531468532</v>
      </c>
      <c r="J45" s="73" t="s">
        <v>551</v>
      </c>
      <c r="K45" s="60">
        <v>0</v>
      </c>
      <c r="L45" s="60">
        <v>12</v>
      </c>
    </row>
    <row r="46" spans="2:12" ht="15" customHeight="1" x14ac:dyDescent="0.2">
      <c r="B46" s="60" t="s">
        <v>105</v>
      </c>
      <c r="C46" s="60">
        <v>3</v>
      </c>
      <c r="D46" s="60" t="s">
        <v>137</v>
      </c>
      <c r="E46" s="61">
        <v>36</v>
      </c>
      <c r="F46" s="60" t="s">
        <v>81</v>
      </c>
      <c r="G46" s="60">
        <v>2010</v>
      </c>
      <c r="H46" s="60">
        <v>2428</v>
      </c>
      <c r="I46" s="62">
        <v>16.979020979021001</v>
      </c>
      <c r="J46" s="63" t="s">
        <v>546</v>
      </c>
      <c r="K46" s="60">
        <v>7</v>
      </c>
      <c r="L46" s="60">
        <v>19</v>
      </c>
    </row>
    <row r="47" spans="2:12" ht="15" customHeight="1" x14ac:dyDescent="0.2">
      <c r="B47" s="66" t="s">
        <v>138</v>
      </c>
      <c r="C47" s="66">
        <v>3</v>
      </c>
      <c r="D47" s="66" t="s">
        <v>139</v>
      </c>
      <c r="E47" s="67">
        <v>37</v>
      </c>
      <c r="F47" s="66" t="s">
        <v>545</v>
      </c>
      <c r="G47" s="66">
        <v>2010</v>
      </c>
      <c r="H47" s="66">
        <v>10131</v>
      </c>
      <c r="I47" s="68">
        <v>70.846153846153896</v>
      </c>
      <c r="J47" s="63" t="s">
        <v>546</v>
      </c>
      <c r="K47" s="60">
        <v>10</v>
      </c>
      <c r="L47" s="60">
        <v>22</v>
      </c>
    </row>
    <row r="48" spans="2:12" ht="15" customHeight="1" x14ac:dyDescent="0.2">
      <c r="B48" s="60" t="s">
        <v>93</v>
      </c>
      <c r="C48" s="60">
        <v>3</v>
      </c>
      <c r="D48" s="60" t="s">
        <v>140</v>
      </c>
      <c r="E48" s="61">
        <v>38</v>
      </c>
      <c r="F48" s="60" t="s">
        <v>124</v>
      </c>
      <c r="G48" s="60">
        <v>2010</v>
      </c>
      <c r="H48" s="60">
        <v>8868</v>
      </c>
      <c r="I48" s="62">
        <v>62.013986013985999</v>
      </c>
      <c r="J48" s="72" t="s">
        <v>11</v>
      </c>
      <c r="K48" s="60">
        <v>0</v>
      </c>
      <c r="L48" s="60">
        <v>12</v>
      </c>
    </row>
    <row r="49" spans="2:12" ht="15" customHeight="1" x14ac:dyDescent="0.2">
      <c r="B49" s="66" t="s">
        <v>93</v>
      </c>
      <c r="C49" s="66">
        <v>3</v>
      </c>
      <c r="D49" s="66" t="s">
        <v>575</v>
      </c>
      <c r="E49" s="67" t="s">
        <v>576</v>
      </c>
      <c r="F49" s="66" t="s">
        <v>78</v>
      </c>
      <c r="G49" s="66">
        <v>2010</v>
      </c>
      <c r="H49" s="66">
        <v>1464</v>
      </c>
      <c r="I49" s="68">
        <v>10.237762237762199</v>
      </c>
      <c r="J49" s="72" t="s">
        <v>11</v>
      </c>
      <c r="K49" s="60">
        <v>0</v>
      </c>
      <c r="L49" s="60">
        <v>12</v>
      </c>
    </row>
    <row r="50" spans="2:12" ht="15" customHeight="1" x14ac:dyDescent="0.2">
      <c r="B50" s="60" t="s">
        <v>93</v>
      </c>
      <c r="C50" s="60">
        <v>3</v>
      </c>
      <c r="D50" s="60" t="s">
        <v>143</v>
      </c>
      <c r="E50" s="61">
        <v>39</v>
      </c>
      <c r="F50" s="60" t="s">
        <v>78</v>
      </c>
      <c r="G50" s="60">
        <v>2010</v>
      </c>
      <c r="H50" s="60">
        <v>5269</v>
      </c>
      <c r="I50" s="62">
        <v>36.846153846153904</v>
      </c>
      <c r="J50" s="72" t="s">
        <v>11</v>
      </c>
      <c r="K50" s="60">
        <v>0</v>
      </c>
      <c r="L50" s="60">
        <v>12</v>
      </c>
    </row>
    <row r="51" spans="2:12" ht="15" customHeight="1" x14ac:dyDescent="0.2">
      <c r="B51" s="66" t="s">
        <v>138</v>
      </c>
      <c r="C51" s="66">
        <v>3</v>
      </c>
      <c r="D51" s="66" t="s">
        <v>146</v>
      </c>
      <c r="E51" s="67">
        <v>42</v>
      </c>
      <c r="F51" s="66" t="s">
        <v>78</v>
      </c>
      <c r="G51" s="66">
        <v>2011</v>
      </c>
      <c r="H51" s="66">
        <v>1707</v>
      </c>
      <c r="I51" s="68">
        <v>11.937062937062899</v>
      </c>
      <c r="J51" s="63" t="s">
        <v>546</v>
      </c>
      <c r="K51" s="60">
        <v>17</v>
      </c>
      <c r="L51" s="60">
        <v>29</v>
      </c>
    </row>
    <row r="52" spans="2:12" ht="15" customHeight="1" x14ac:dyDescent="0.2">
      <c r="B52" s="60" t="s">
        <v>138</v>
      </c>
      <c r="C52" s="60">
        <v>3</v>
      </c>
      <c r="D52" s="60" t="s">
        <v>577</v>
      </c>
      <c r="E52" s="61" t="s">
        <v>578</v>
      </c>
      <c r="F52" s="60" t="s">
        <v>78</v>
      </c>
      <c r="G52" s="60">
        <v>2010</v>
      </c>
      <c r="H52" s="60">
        <v>5850</v>
      </c>
      <c r="I52" s="62">
        <v>40.909090909090899</v>
      </c>
      <c r="J52" s="63" t="s">
        <v>546</v>
      </c>
      <c r="K52" s="60">
        <v>23</v>
      </c>
      <c r="L52" s="60">
        <v>35</v>
      </c>
    </row>
    <row r="53" spans="2:12" ht="15" customHeight="1" x14ac:dyDescent="0.2">
      <c r="B53" s="66" t="s">
        <v>105</v>
      </c>
      <c r="C53" s="66">
        <v>3</v>
      </c>
      <c r="D53" s="66" t="s">
        <v>156</v>
      </c>
      <c r="E53" s="67">
        <v>44</v>
      </c>
      <c r="F53" s="66" t="s">
        <v>78</v>
      </c>
      <c r="G53" s="66">
        <v>2011</v>
      </c>
      <c r="H53" s="66">
        <v>3065</v>
      </c>
      <c r="I53" s="68">
        <v>21.433566433566401</v>
      </c>
      <c r="J53" s="63" t="s">
        <v>546</v>
      </c>
      <c r="K53" s="60">
        <v>6</v>
      </c>
      <c r="L53" s="60">
        <v>18</v>
      </c>
    </row>
    <row r="54" spans="2:12" ht="15" customHeight="1" x14ac:dyDescent="0.2">
      <c r="B54" s="60" t="s">
        <v>93</v>
      </c>
      <c r="C54" s="60">
        <v>4</v>
      </c>
      <c r="D54" s="60" t="s">
        <v>144</v>
      </c>
      <c r="E54" s="61">
        <v>40</v>
      </c>
      <c r="F54" s="60" t="s">
        <v>78</v>
      </c>
      <c r="G54" s="60">
        <v>2010</v>
      </c>
      <c r="H54" s="60">
        <v>5427</v>
      </c>
      <c r="I54" s="62">
        <v>37.951048951049003</v>
      </c>
      <c r="J54" s="72" t="s">
        <v>11</v>
      </c>
      <c r="K54" s="60">
        <v>0</v>
      </c>
      <c r="L54" s="60">
        <v>12</v>
      </c>
    </row>
    <row r="55" spans="2:12" ht="15" customHeight="1" x14ac:dyDescent="0.2">
      <c r="B55" s="66" t="s">
        <v>93</v>
      </c>
      <c r="C55" s="66">
        <v>4</v>
      </c>
      <c r="D55" s="66" t="s">
        <v>145</v>
      </c>
      <c r="E55" s="67">
        <v>41</v>
      </c>
      <c r="F55" s="66" t="s">
        <v>78</v>
      </c>
      <c r="G55" s="66">
        <v>2010</v>
      </c>
      <c r="H55" s="66">
        <v>3011</v>
      </c>
      <c r="I55" s="68">
        <v>21.055944055944099</v>
      </c>
      <c r="J55" s="63" t="s">
        <v>546</v>
      </c>
      <c r="K55" s="60">
        <v>24</v>
      </c>
      <c r="L55" s="60">
        <v>36</v>
      </c>
    </row>
    <row r="56" spans="2:12" ht="15" customHeight="1" x14ac:dyDescent="0.2">
      <c r="B56" s="60" t="s">
        <v>93</v>
      </c>
      <c r="C56" s="60">
        <v>4</v>
      </c>
      <c r="D56" s="60" t="s">
        <v>579</v>
      </c>
      <c r="E56" s="61" t="s">
        <v>580</v>
      </c>
      <c r="F56" s="60" t="s">
        <v>151</v>
      </c>
      <c r="G56" s="60">
        <v>2011</v>
      </c>
      <c r="H56" s="60">
        <v>126</v>
      </c>
      <c r="I56" s="62">
        <v>0.88111888111888104</v>
      </c>
      <c r="J56" s="63" t="s">
        <v>546</v>
      </c>
      <c r="K56" s="60">
        <v>24</v>
      </c>
      <c r="L56" s="60">
        <v>36</v>
      </c>
    </row>
    <row r="57" spans="2:12" ht="15" customHeight="1" x14ac:dyDescent="0.2">
      <c r="B57" s="66" t="s">
        <v>138</v>
      </c>
      <c r="C57" s="66">
        <v>4</v>
      </c>
      <c r="D57" s="66" t="s">
        <v>157</v>
      </c>
      <c r="E57" s="67">
        <v>45</v>
      </c>
      <c r="F57" s="66" t="s">
        <v>78</v>
      </c>
      <c r="G57" s="66">
        <v>2011</v>
      </c>
      <c r="H57" s="66">
        <v>3035</v>
      </c>
      <c r="I57" s="68">
        <v>21.223776223776198</v>
      </c>
      <c r="J57" s="73" t="s">
        <v>551</v>
      </c>
      <c r="K57" s="60">
        <v>0</v>
      </c>
      <c r="L57" s="60">
        <v>12</v>
      </c>
    </row>
    <row r="58" spans="2:12" ht="15" customHeight="1" x14ac:dyDescent="0.2">
      <c r="B58" s="60" t="s">
        <v>138</v>
      </c>
      <c r="C58" s="60">
        <v>4</v>
      </c>
      <c r="D58" s="60" t="s">
        <v>158</v>
      </c>
      <c r="E58" s="61">
        <v>46</v>
      </c>
      <c r="F58" s="60" t="s">
        <v>81</v>
      </c>
      <c r="G58" s="60">
        <v>2011</v>
      </c>
      <c r="H58" s="60">
        <v>966</v>
      </c>
      <c r="I58" s="62">
        <v>6.7552447552447603</v>
      </c>
      <c r="J58" s="72" t="s">
        <v>11</v>
      </c>
      <c r="K58" s="60">
        <v>0</v>
      </c>
      <c r="L58" s="60">
        <v>12</v>
      </c>
    </row>
    <row r="59" spans="2:12" ht="15" customHeight="1" x14ac:dyDescent="0.2">
      <c r="B59" s="66" t="s">
        <v>138</v>
      </c>
      <c r="C59" s="66">
        <v>4</v>
      </c>
      <c r="D59" s="66" t="s">
        <v>160</v>
      </c>
      <c r="E59" s="67">
        <v>47</v>
      </c>
      <c r="F59" s="66" t="s">
        <v>78</v>
      </c>
      <c r="G59" s="66">
        <v>2011</v>
      </c>
      <c r="H59" s="66">
        <v>1025</v>
      </c>
      <c r="I59" s="68">
        <v>7.1678321678321701</v>
      </c>
      <c r="J59" s="72" t="s">
        <v>11</v>
      </c>
      <c r="K59" s="60">
        <v>0</v>
      </c>
      <c r="L59" s="60">
        <v>12</v>
      </c>
    </row>
    <row r="60" spans="2:12" ht="15" customHeight="1" x14ac:dyDescent="0.2">
      <c r="B60" s="60" t="s">
        <v>138</v>
      </c>
      <c r="C60" s="60">
        <v>4</v>
      </c>
      <c r="D60" s="60" t="s">
        <v>161</v>
      </c>
      <c r="E60" s="61">
        <v>48</v>
      </c>
      <c r="F60" s="60" t="s">
        <v>78</v>
      </c>
      <c r="G60" s="60">
        <v>2011</v>
      </c>
      <c r="H60" s="60">
        <v>2146</v>
      </c>
      <c r="I60" s="62">
        <v>15.006993006993</v>
      </c>
      <c r="J60" s="72" t="s">
        <v>11</v>
      </c>
      <c r="K60" s="60">
        <v>0</v>
      </c>
      <c r="L60" s="60">
        <v>12</v>
      </c>
    </row>
    <row r="61" spans="2:12" ht="15" customHeight="1" x14ac:dyDescent="0.2">
      <c r="B61" s="66" t="s">
        <v>162</v>
      </c>
      <c r="C61" s="66">
        <v>4</v>
      </c>
      <c r="D61" s="66" t="s">
        <v>163</v>
      </c>
      <c r="E61" s="67">
        <v>49</v>
      </c>
      <c r="F61" s="66" t="s">
        <v>545</v>
      </c>
      <c r="G61" s="66">
        <v>2011</v>
      </c>
      <c r="H61" s="66">
        <v>1710</v>
      </c>
      <c r="I61" s="68">
        <v>11.958041958041999</v>
      </c>
      <c r="J61" s="73" t="s">
        <v>551</v>
      </c>
      <c r="K61" s="60">
        <v>0</v>
      </c>
      <c r="L61" s="60">
        <v>12</v>
      </c>
    </row>
    <row r="62" spans="2:12" ht="15" customHeight="1" x14ac:dyDescent="0.2">
      <c r="B62" s="60" t="s">
        <v>162</v>
      </c>
      <c r="C62" s="60">
        <v>4</v>
      </c>
      <c r="D62" s="60" t="s">
        <v>164</v>
      </c>
      <c r="E62" s="61">
        <v>50</v>
      </c>
      <c r="F62" s="60" t="s">
        <v>545</v>
      </c>
      <c r="G62" s="60">
        <v>2011</v>
      </c>
      <c r="H62" s="60">
        <v>2377</v>
      </c>
      <c r="I62" s="62">
        <v>16.622377622377599</v>
      </c>
      <c r="J62" s="73" t="s">
        <v>551</v>
      </c>
      <c r="K62" s="60">
        <v>0</v>
      </c>
      <c r="L62" s="60">
        <v>12</v>
      </c>
    </row>
    <row r="63" spans="2:12" ht="15" customHeight="1" x14ac:dyDescent="0.2">
      <c r="B63" s="66" t="s">
        <v>162</v>
      </c>
      <c r="C63" s="66">
        <v>4</v>
      </c>
      <c r="D63" s="66" t="s">
        <v>165</v>
      </c>
      <c r="E63" s="67">
        <v>51</v>
      </c>
      <c r="F63" s="66" t="s">
        <v>545</v>
      </c>
      <c r="G63" s="66">
        <v>2011</v>
      </c>
      <c r="H63" s="66">
        <v>1084</v>
      </c>
      <c r="I63" s="68">
        <v>7.58041958041958</v>
      </c>
      <c r="J63" s="73" t="s">
        <v>551</v>
      </c>
      <c r="K63" s="60">
        <v>0</v>
      </c>
      <c r="L63" s="60">
        <v>12</v>
      </c>
    </row>
    <row r="64" spans="2:12" ht="15" customHeight="1" x14ac:dyDescent="0.2">
      <c r="B64" s="60" t="s">
        <v>162</v>
      </c>
      <c r="C64" s="60">
        <v>4</v>
      </c>
      <c r="D64" s="60" t="s">
        <v>166</v>
      </c>
      <c r="E64" s="61">
        <v>52</v>
      </c>
      <c r="F64" s="60" t="s">
        <v>78</v>
      </c>
      <c r="G64" s="60">
        <v>2011</v>
      </c>
      <c r="H64" s="60">
        <v>2888</v>
      </c>
      <c r="I64" s="62">
        <v>20.1958041958042</v>
      </c>
      <c r="J64" s="63" t="s">
        <v>546</v>
      </c>
      <c r="K64" s="60">
        <v>31</v>
      </c>
      <c r="L64" s="60">
        <v>43</v>
      </c>
    </row>
    <row r="65" spans="2:12" ht="15" customHeight="1" x14ac:dyDescent="0.2">
      <c r="B65" s="66" t="s">
        <v>162</v>
      </c>
      <c r="C65" s="66">
        <v>4</v>
      </c>
      <c r="D65" s="66" t="s">
        <v>167</v>
      </c>
      <c r="E65" s="67">
        <v>53</v>
      </c>
      <c r="F65" s="66" t="s">
        <v>545</v>
      </c>
      <c r="G65" s="66">
        <v>2011</v>
      </c>
      <c r="H65" s="66">
        <v>2968</v>
      </c>
      <c r="I65" s="68">
        <v>20.755244755244799</v>
      </c>
      <c r="J65" s="63" t="s">
        <v>546</v>
      </c>
      <c r="K65" s="60">
        <v>17</v>
      </c>
      <c r="L65" s="60">
        <v>29</v>
      </c>
    </row>
    <row r="66" spans="2:12" ht="15" customHeight="1" x14ac:dyDescent="0.2">
      <c r="B66" s="60" t="s">
        <v>162</v>
      </c>
      <c r="C66" s="60">
        <v>4</v>
      </c>
      <c r="D66" s="60" t="s">
        <v>581</v>
      </c>
      <c r="E66" s="61" t="s">
        <v>582</v>
      </c>
      <c r="F66" s="60" t="s">
        <v>545</v>
      </c>
      <c r="G66" s="60">
        <v>2012</v>
      </c>
      <c r="H66" s="60">
        <v>3342</v>
      </c>
      <c r="I66" s="62">
        <v>23.370629370629398</v>
      </c>
      <c r="J66" s="63" t="s">
        <v>546</v>
      </c>
      <c r="K66" s="60">
        <v>16</v>
      </c>
      <c r="L66" s="60">
        <v>28</v>
      </c>
    </row>
    <row r="67" spans="2:12" ht="15" customHeight="1" x14ac:dyDescent="0.2">
      <c r="B67" s="66" t="s">
        <v>162</v>
      </c>
      <c r="C67" s="66">
        <v>4</v>
      </c>
      <c r="D67" s="66" t="s">
        <v>168</v>
      </c>
      <c r="E67" s="67">
        <v>54</v>
      </c>
      <c r="F67" s="66" t="s">
        <v>545</v>
      </c>
      <c r="G67" s="66">
        <v>2011</v>
      </c>
      <c r="H67" s="66">
        <v>807</v>
      </c>
      <c r="I67" s="68">
        <v>5.6433566433566398</v>
      </c>
      <c r="J67" s="63" t="s">
        <v>546</v>
      </c>
      <c r="K67" s="60">
        <v>14</v>
      </c>
      <c r="L67" s="60">
        <v>26</v>
      </c>
    </row>
    <row r="68" spans="2:12" ht="15" customHeight="1" x14ac:dyDescent="0.2">
      <c r="B68" s="60" t="s">
        <v>162</v>
      </c>
      <c r="C68" s="60">
        <v>4</v>
      </c>
      <c r="D68" s="60" t="s">
        <v>583</v>
      </c>
      <c r="E68" s="61" t="s">
        <v>584</v>
      </c>
      <c r="F68" s="60" t="s">
        <v>545</v>
      </c>
      <c r="G68" s="60">
        <v>2012</v>
      </c>
      <c r="H68" s="60">
        <v>2936</v>
      </c>
      <c r="I68" s="62">
        <v>20.531468531468501</v>
      </c>
      <c r="J68" s="63" t="s">
        <v>546</v>
      </c>
      <c r="K68" s="60">
        <v>14</v>
      </c>
      <c r="L68" s="60">
        <v>26</v>
      </c>
    </row>
    <row r="69" spans="2:12" ht="15" customHeight="1" x14ac:dyDescent="0.2">
      <c r="B69" s="66" t="s">
        <v>162</v>
      </c>
      <c r="C69" s="66">
        <v>4</v>
      </c>
      <c r="D69" s="66" t="s">
        <v>173</v>
      </c>
      <c r="E69" s="67">
        <v>55</v>
      </c>
      <c r="F69" s="66" t="s">
        <v>545</v>
      </c>
      <c r="G69" s="66">
        <v>2012</v>
      </c>
      <c r="H69" s="66">
        <v>6029</v>
      </c>
      <c r="I69" s="68">
        <v>42.160839160839203</v>
      </c>
      <c r="J69" s="63" t="s">
        <v>546</v>
      </c>
      <c r="K69" s="60">
        <v>10</v>
      </c>
      <c r="L69" s="60">
        <v>22</v>
      </c>
    </row>
    <row r="70" spans="2:12" ht="15" customHeight="1" x14ac:dyDescent="0.2">
      <c r="B70" s="60" t="s">
        <v>162</v>
      </c>
      <c r="C70" s="60">
        <v>4</v>
      </c>
      <c r="D70" s="60" t="s">
        <v>180</v>
      </c>
      <c r="E70" s="61">
        <v>56</v>
      </c>
      <c r="F70" s="60" t="s">
        <v>545</v>
      </c>
      <c r="G70" s="60">
        <v>2017</v>
      </c>
      <c r="H70" s="60">
        <v>1453</v>
      </c>
      <c r="I70" s="62">
        <v>10.160839160839201</v>
      </c>
      <c r="J70" s="72" t="s">
        <v>11</v>
      </c>
      <c r="K70" s="60">
        <v>0</v>
      </c>
      <c r="L70" s="60">
        <v>12</v>
      </c>
    </row>
    <row r="71" spans="2:12" ht="15" customHeight="1" x14ac:dyDescent="0.2">
      <c r="B71" s="66" t="s">
        <v>162</v>
      </c>
      <c r="C71" s="66">
        <v>4</v>
      </c>
      <c r="D71" s="66" t="s">
        <v>585</v>
      </c>
      <c r="E71" s="67" t="s">
        <v>586</v>
      </c>
      <c r="F71" s="66" t="s">
        <v>545</v>
      </c>
      <c r="G71" s="66">
        <v>2017</v>
      </c>
      <c r="H71" s="66">
        <v>1938</v>
      </c>
      <c r="I71" s="68">
        <v>13.5524475524476</v>
      </c>
      <c r="J71" s="72" t="s">
        <v>11</v>
      </c>
      <c r="K71" s="60">
        <v>0</v>
      </c>
      <c r="L71" s="60">
        <v>12</v>
      </c>
    </row>
    <row r="72" spans="2:12" ht="15" customHeight="1" x14ac:dyDescent="0.2">
      <c r="B72" s="60" t="s">
        <v>162</v>
      </c>
      <c r="C72" s="60">
        <v>4</v>
      </c>
      <c r="D72" s="60" t="s">
        <v>174</v>
      </c>
      <c r="E72" s="61">
        <v>57</v>
      </c>
      <c r="F72" s="60" t="s">
        <v>78</v>
      </c>
      <c r="G72" s="60">
        <v>2012</v>
      </c>
      <c r="H72" s="60">
        <v>3805</v>
      </c>
      <c r="I72" s="62">
        <v>26.608391608391599</v>
      </c>
      <c r="J72" s="63" t="s">
        <v>546</v>
      </c>
      <c r="K72" s="60">
        <v>7</v>
      </c>
      <c r="L72" s="60">
        <v>19</v>
      </c>
    </row>
    <row r="73" spans="2:12" ht="15" customHeight="1" x14ac:dyDescent="0.2">
      <c r="B73" s="66" t="s">
        <v>162</v>
      </c>
      <c r="C73" s="66">
        <v>4</v>
      </c>
      <c r="D73" s="66" t="s">
        <v>189</v>
      </c>
      <c r="E73" s="67">
        <v>58</v>
      </c>
      <c r="F73" s="66" t="s">
        <v>545</v>
      </c>
      <c r="G73" s="66">
        <v>2019</v>
      </c>
      <c r="H73" s="66">
        <v>5280</v>
      </c>
      <c r="I73" s="68">
        <v>36.92</v>
      </c>
      <c r="J73" s="72" t="s">
        <v>11</v>
      </c>
      <c r="K73" s="60">
        <v>0</v>
      </c>
      <c r="L73" s="60">
        <v>12</v>
      </c>
    </row>
    <row r="74" spans="2:12" ht="15" customHeight="1" x14ac:dyDescent="0.2">
      <c r="B74" s="60" t="s">
        <v>162</v>
      </c>
      <c r="C74" s="60">
        <v>4</v>
      </c>
      <c r="D74" s="60" t="s">
        <v>177</v>
      </c>
      <c r="E74" s="61">
        <v>60</v>
      </c>
      <c r="F74" s="60" t="s">
        <v>178</v>
      </c>
      <c r="G74" s="60">
        <v>2013</v>
      </c>
      <c r="H74" s="60">
        <v>6661</v>
      </c>
      <c r="I74" s="62">
        <v>44.112582781457</v>
      </c>
      <c r="J74" s="72" t="s">
        <v>11</v>
      </c>
      <c r="K74" s="60">
        <v>0</v>
      </c>
      <c r="L74" s="60">
        <v>12</v>
      </c>
    </row>
    <row r="75" spans="2:12" ht="15" customHeight="1" x14ac:dyDescent="0.2">
      <c r="B75" s="66" t="s">
        <v>162</v>
      </c>
      <c r="C75" s="66">
        <v>4</v>
      </c>
      <c r="D75" s="66" t="s">
        <v>175</v>
      </c>
      <c r="E75" s="67">
        <v>61</v>
      </c>
      <c r="F75" s="66" t="s">
        <v>545</v>
      </c>
      <c r="G75" s="66">
        <v>2012</v>
      </c>
      <c r="H75" s="66">
        <v>2853</v>
      </c>
      <c r="I75" s="68">
        <v>19.951048951049</v>
      </c>
      <c r="J75" s="63" t="s">
        <v>546</v>
      </c>
      <c r="K75" s="60">
        <v>2</v>
      </c>
      <c r="L75" s="60">
        <v>14</v>
      </c>
    </row>
    <row r="76" spans="2:12" ht="15" customHeight="1" x14ac:dyDescent="0.2">
      <c r="B76" s="60" t="s">
        <v>162</v>
      </c>
      <c r="C76" s="60">
        <v>4</v>
      </c>
      <c r="D76" s="60" t="s">
        <v>179</v>
      </c>
      <c r="E76" s="61">
        <v>62</v>
      </c>
      <c r="F76" s="60" t="s">
        <v>178</v>
      </c>
      <c r="G76" s="60">
        <v>2013</v>
      </c>
      <c r="H76" s="60">
        <v>1211</v>
      </c>
      <c r="I76" s="62">
        <v>8.0198675496688701</v>
      </c>
      <c r="J76" s="72" t="s">
        <v>11</v>
      </c>
      <c r="K76" s="60">
        <v>0</v>
      </c>
      <c r="L76" s="60">
        <v>12</v>
      </c>
    </row>
    <row r="77" spans="2:12" ht="15" customHeight="1" x14ac:dyDescent="0.2">
      <c r="B77" s="66" t="s">
        <v>162</v>
      </c>
      <c r="C77" s="66">
        <v>4</v>
      </c>
      <c r="D77" s="66" t="s">
        <v>176</v>
      </c>
      <c r="E77" s="67">
        <v>63</v>
      </c>
      <c r="F77" s="66" t="s">
        <v>587</v>
      </c>
      <c r="G77" s="66">
        <v>2012</v>
      </c>
      <c r="H77" s="66">
        <v>3665</v>
      </c>
      <c r="I77" s="68">
        <v>25.629370629370602</v>
      </c>
      <c r="J77" s="63" t="s">
        <v>546</v>
      </c>
      <c r="K77" s="60">
        <v>1</v>
      </c>
      <c r="L77" s="60">
        <v>13</v>
      </c>
    </row>
    <row r="78" spans="2:12" ht="15" customHeight="1" x14ac:dyDescent="0.2">
      <c r="B78" s="60" t="s">
        <v>162</v>
      </c>
      <c r="C78" s="60">
        <v>4</v>
      </c>
      <c r="D78" s="60" t="s">
        <v>588</v>
      </c>
      <c r="E78" s="61" t="s">
        <v>589</v>
      </c>
      <c r="F78" s="60" t="s">
        <v>545</v>
      </c>
      <c r="G78" s="60">
        <v>2019</v>
      </c>
      <c r="H78" s="60">
        <v>4926</v>
      </c>
      <c r="I78" s="62">
        <v>34.447552447552503</v>
      </c>
      <c r="J78" s="72" t="s">
        <v>11</v>
      </c>
      <c r="K78" s="60">
        <v>0</v>
      </c>
      <c r="L78" s="60">
        <v>12</v>
      </c>
    </row>
    <row r="79" spans="2:12" ht="15" customHeight="1" x14ac:dyDescent="0.2">
      <c r="B79" s="66" t="s">
        <v>162</v>
      </c>
      <c r="C79" s="66">
        <v>4</v>
      </c>
      <c r="D79" s="66" t="s">
        <v>590</v>
      </c>
      <c r="E79" s="67" t="s">
        <v>591</v>
      </c>
      <c r="F79" s="66" t="s">
        <v>545</v>
      </c>
      <c r="G79" s="66">
        <v>2018</v>
      </c>
      <c r="H79" s="66">
        <v>1140</v>
      </c>
      <c r="I79" s="68">
        <v>7.97</v>
      </c>
      <c r="J79" s="72" t="s">
        <v>11</v>
      </c>
      <c r="K79" s="60">
        <v>0</v>
      </c>
      <c r="L79" s="60">
        <v>12</v>
      </c>
    </row>
    <row r="80" spans="2:12" ht="15" customHeight="1" x14ac:dyDescent="0.2">
      <c r="B80" s="60" t="s">
        <v>162</v>
      </c>
      <c r="C80" s="60">
        <v>4</v>
      </c>
      <c r="D80" s="60" t="s">
        <v>592</v>
      </c>
      <c r="E80" s="61" t="s">
        <v>593</v>
      </c>
      <c r="F80" s="60" t="s">
        <v>545</v>
      </c>
      <c r="G80" s="60">
        <v>2019</v>
      </c>
      <c r="H80" s="60">
        <v>1736</v>
      </c>
      <c r="I80" s="62">
        <v>12.139860139860099</v>
      </c>
      <c r="J80" s="73" t="s">
        <v>551</v>
      </c>
      <c r="K80" s="60">
        <v>0</v>
      </c>
      <c r="L80" s="60">
        <v>12</v>
      </c>
    </row>
    <row r="81" spans="2:12" ht="15" customHeight="1" x14ac:dyDescent="0.2">
      <c r="B81" s="66" t="s">
        <v>162</v>
      </c>
      <c r="C81" s="66">
        <v>4</v>
      </c>
      <c r="D81" s="66" t="s">
        <v>594</v>
      </c>
      <c r="E81" s="67" t="s">
        <v>595</v>
      </c>
      <c r="F81" s="66" t="s">
        <v>545</v>
      </c>
      <c r="G81" s="66">
        <v>2018</v>
      </c>
      <c r="H81" s="66">
        <v>432</v>
      </c>
      <c r="I81" s="68">
        <v>3.02</v>
      </c>
      <c r="J81" s="73" t="s">
        <v>551</v>
      </c>
      <c r="K81" s="60">
        <v>0</v>
      </c>
      <c r="L81" s="60">
        <v>12</v>
      </c>
    </row>
    <row r="82" spans="2:12" ht="15" customHeight="1" x14ac:dyDescent="0.2">
      <c r="B82" s="74" t="s">
        <v>162</v>
      </c>
      <c r="C82" s="74">
        <v>4</v>
      </c>
      <c r="D82" s="74" t="s">
        <v>596</v>
      </c>
      <c r="E82" s="75" t="s">
        <v>597</v>
      </c>
      <c r="F82" s="74" t="s">
        <v>545</v>
      </c>
      <c r="G82" s="74">
        <v>2018</v>
      </c>
      <c r="H82" s="74">
        <v>2142</v>
      </c>
      <c r="I82" s="76">
        <v>14.979020979021</v>
      </c>
      <c r="J82" s="73" t="s">
        <v>551</v>
      </c>
      <c r="K82" s="74">
        <v>0</v>
      </c>
      <c r="L82" s="74">
        <v>12</v>
      </c>
    </row>
    <row r="83" spans="2:12" ht="15" customHeight="1" x14ac:dyDescent="0.2">
      <c r="I83" s="76">
        <v>1204.1678321678301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163F6-E2DA-4608-8AE1-47035D0DED2A}">
  <dimension ref="C4:H23"/>
  <sheetViews>
    <sheetView workbookViewId="0">
      <selection activeCell="G10" sqref="G10"/>
    </sheetView>
  </sheetViews>
  <sheetFormatPr defaultColWidth="10.76171875" defaultRowHeight="15" x14ac:dyDescent="0.2"/>
  <cols>
    <col min="7" max="7" width="12.64453125" bestFit="1" customWidth="1"/>
  </cols>
  <sheetData>
    <row r="4" spans="3:8" x14ac:dyDescent="0.2">
      <c r="C4" t="s">
        <v>598</v>
      </c>
      <c r="D4">
        <v>500</v>
      </c>
    </row>
    <row r="5" spans="3:8" x14ac:dyDescent="0.2">
      <c r="C5" t="s">
        <v>599</v>
      </c>
      <c r="D5">
        <v>142</v>
      </c>
    </row>
    <row r="6" spans="3:8" x14ac:dyDescent="0.2">
      <c r="C6" t="s">
        <v>600</v>
      </c>
      <c r="D6">
        <v>0.5</v>
      </c>
    </row>
    <row r="7" spans="3:8" x14ac:dyDescent="0.2">
      <c r="C7" t="s">
        <v>601</v>
      </c>
      <c r="D7">
        <f>+D4*D5*D6</f>
        <v>35500</v>
      </c>
    </row>
    <row r="8" spans="3:8" x14ac:dyDescent="0.2">
      <c r="C8" t="s">
        <v>602</v>
      </c>
      <c r="D8">
        <v>11</v>
      </c>
    </row>
    <row r="9" spans="3:8" x14ac:dyDescent="0.2">
      <c r="C9" t="s">
        <v>603</v>
      </c>
      <c r="D9">
        <f>+D7*D8</f>
        <v>390500</v>
      </c>
    </row>
    <row r="10" spans="3:8" x14ac:dyDescent="0.2">
      <c r="C10" t="s">
        <v>604</v>
      </c>
      <c r="D10">
        <f>+D9/1000</f>
        <v>390.5</v>
      </c>
    </row>
    <row r="12" spans="3:8" x14ac:dyDescent="0.2">
      <c r="G12" t="s">
        <v>609</v>
      </c>
      <c r="H12">
        <v>2500</v>
      </c>
    </row>
    <row r="13" spans="3:8" x14ac:dyDescent="0.2">
      <c r="G13" t="s">
        <v>610</v>
      </c>
      <c r="H13" s="109">
        <v>0.05</v>
      </c>
    </row>
    <row r="14" spans="3:8" x14ac:dyDescent="0.2">
      <c r="C14" t="s">
        <v>604</v>
      </c>
      <c r="D14">
        <v>2950</v>
      </c>
      <c r="G14" t="s">
        <v>611</v>
      </c>
      <c r="H14">
        <f>+H12*(100%+H13)</f>
        <v>2625</v>
      </c>
    </row>
    <row r="15" spans="3:8" x14ac:dyDescent="0.2">
      <c r="C15" t="s">
        <v>605</v>
      </c>
      <c r="D15">
        <f>+D14*1000</f>
        <v>2950000</v>
      </c>
      <c r="G15" t="s">
        <v>546</v>
      </c>
      <c r="H15">
        <f>+D10</f>
        <v>390.5</v>
      </c>
    </row>
    <row r="16" spans="3:8" x14ac:dyDescent="0.2">
      <c r="C16" t="s">
        <v>602</v>
      </c>
      <c r="D16">
        <v>14</v>
      </c>
      <c r="H16">
        <f>+H14+H15</f>
        <v>3015.5</v>
      </c>
    </row>
    <row r="17" spans="3:4" x14ac:dyDescent="0.2">
      <c r="C17" t="s">
        <v>601</v>
      </c>
      <c r="D17">
        <f>+D15/D16</f>
        <v>210714.28571428571</v>
      </c>
    </row>
    <row r="18" spans="3:4" x14ac:dyDescent="0.2">
      <c r="C18" t="s">
        <v>598</v>
      </c>
      <c r="D18">
        <v>2336</v>
      </c>
    </row>
    <row r="19" spans="3:4" x14ac:dyDescent="0.2">
      <c r="C19" t="s">
        <v>599</v>
      </c>
      <c r="D19">
        <v>143</v>
      </c>
    </row>
    <row r="20" spans="3:4" x14ac:dyDescent="0.2">
      <c r="C20" t="s">
        <v>606</v>
      </c>
      <c r="D20">
        <f>+D18*D19</f>
        <v>334048</v>
      </c>
    </row>
    <row r="21" spans="3:4" x14ac:dyDescent="0.2">
      <c r="C21" t="s">
        <v>540</v>
      </c>
      <c r="D21">
        <v>2</v>
      </c>
    </row>
    <row r="22" spans="3:4" x14ac:dyDescent="0.2">
      <c r="C22" t="s">
        <v>607</v>
      </c>
      <c r="D22">
        <f>+D17/D21</f>
        <v>105357.14285714286</v>
      </c>
    </row>
    <row r="23" spans="3:4" x14ac:dyDescent="0.2">
      <c r="C23" t="s">
        <v>608</v>
      </c>
      <c r="D23">
        <f>+D22/D20</f>
        <v>0.31539522121713903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E8BC6-EA02-4B6B-B6D9-7CDC0CD2711A}">
  <dimension ref="A1:I188"/>
  <sheetViews>
    <sheetView topLeftCell="A3" workbookViewId="0">
      <selection activeCell="S12" sqref="S12"/>
    </sheetView>
  </sheetViews>
  <sheetFormatPr defaultColWidth="10.76171875" defaultRowHeight="15" outlineLevelCol="1" x14ac:dyDescent="0.2"/>
  <cols>
    <col min="1" max="1" width="16.6796875" customWidth="1"/>
    <col min="2" max="4" width="19.50390625" customWidth="1"/>
    <col min="8" max="9" width="11.56640625" outlineLevel="1"/>
  </cols>
  <sheetData>
    <row r="1" spans="1:4" ht="18.75" x14ac:dyDescent="0.25">
      <c r="A1" s="112" t="s">
        <v>613</v>
      </c>
    </row>
    <row r="2" spans="1:4" x14ac:dyDescent="0.2">
      <c r="A2" s="113" t="s">
        <v>617</v>
      </c>
      <c r="B2" s="118">
        <v>46204</v>
      </c>
      <c r="C2" s="116" t="s">
        <v>618</v>
      </c>
      <c r="D2" s="118">
        <v>46387</v>
      </c>
    </row>
    <row r="4" spans="1:4" x14ac:dyDescent="0.2">
      <c r="A4" s="114" t="s">
        <v>614</v>
      </c>
      <c r="B4" s="114" t="s">
        <v>612</v>
      </c>
      <c r="C4" s="117" t="s">
        <v>615</v>
      </c>
      <c r="D4" s="117" t="s">
        <v>616</v>
      </c>
    </row>
    <row r="5" spans="1:4" x14ac:dyDescent="0.2">
      <c r="A5" s="115" cm="1">
        <f t="array" ref="A5">INDEX('Registro Diario'!$W$1:$GX$1,1,ROW()-4)</f>
        <v>46204</v>
      </c>
      <c r="B5" s="120" cm="1">
        <f t="array" ref="B5">IF(INDEX('Registro Diario'!$W$128:$GX$128,1,ROW()-4)="","",INDEX('Registro Diario'!$W$128:$GX$128,1,ROW()-4))</f>
        <v>12.582299937932071</v>
      </c>
      <c r="C5" s="115">
        <f>IFERROR(IF(AND(N(B5)&lt;&gt;0,A5&gt;=$B$2,A5&lt;=$D$2),A5,NA()),"")</f>
        <v>46204</v>
      </c>
      <c r="D5" s="119">
        <f>IFERROR(IF(ISNA(C5),NA(),B5),"")</f>
        <v>12.582299937932071</v>
      </c>
    </row>
    <row r="6" spans="1:4" x14ac:dyDescent="0.2">
      <c r="A6" s="115" cm="1">
        <f t="array" ref="A6">INDEX('Registro Diario'!$W$1:$GX$1,1,ROW()-4)</f>
        <v>46205</v>
      </c>
      <c r="B6" s="120" cm="1">
        <f t="array" ref="B6">IF(INDEX('Registro Diario'!$W$128:$GX$128,1,ROW()-4)="","",INDEX('Registro Diario'!$W$128:$GX$128,1,ROW()-4))</f>
        <v>13.582299937932065</v>
      </c>
      <c r="C6" s="115">
        <f t="shared" ref="C6:C69" si="0">IFERROR(IF(AND(N(B6)&lt;&gt;0,A6&gt;=$B$2,A6&lt;=$D$2),A6,NA()),"")</f>
        <v>46205</v>
      </c>
      <c r="D6" s="119">
        <f t="shared" ref="D6:D69" si="1">IFERROR(IF(ISNA(C6),NA(),B6),"")</f>
        <v>13.582299937932065</v>
      </c>
    </row>
    <row r="7" spans="1:4" x14ac:dyDescent="0.2">
      <c r="A7" s="115" cm="1">
        <f t="array" ref="A7">INDEX('Registro Diario'!$W$1:$GX$1,1,ROW()-4)</f>
        <v>46206</v>
      </c>
      <c r="B7" s="120" cm="1">
        <f t="array" ref="B7">IF(INDEX('Registro Diario'!$W$128:$GX$128,1,ROW()-4)="","",INDEX('Registro Diario'!$W$128:$GX$128,1,ROW()-4))</f>
        <v>14.582299937932062</v>
      </c>
      <c r="C7" s="115">
        <f t="shared" si="0"/>
        <v>46206</v>
      </c>
      <c r="D7" s="119">
        <f t="shared" si="1"/>
        <v>14.582299937932062</v>
      </c>
    </row>
    <row r="8" spans="1:4" x14ac:dyDescent="0.2">
      <c r="A8" s="115" cm="1">
        <f t="array" ref="A8">INDEX('Registro Diario'!$W$1:$GX$1,1,ROW()-4)</f>
        <v>46207</v>
      </c>
      <c r="B8" s="120" cm="1">
        <f t="array" ref="B8">IF(INDEX('Registro Diario'!$W$128:$GX$128,1,ROW()-4)="","",INDEX('Registro Diario'!$W$128:$GX$128,1,ROW()-4))</f>
        <v>15.582299937932065</v>
      </c>
      <c r="C8" s="115">
        <f t="shared" si="0"/>
        <v>46207</v>
      </c>
      <c r="D8" s="119">
        <f t="shared" si="1"/>
        <v>15.582299937932065</v>
      </c>
    </row>
    <row r="9" spans="1:4" x14ac:dyDescent="0.2">
      <c r="A9" s="115" cm="1">
        <f t="array" ref="A9">INDEX('Registro Diario'!$W$1:$GX$1,1,ROW()-4)</f>
        <v>46208</v>
      </c>
      <c r="B9" s="120" cm="1">
        <f t="array" ref="B9">IF(INDEX('Registro Diario'!$W$128:$GX$128,1,ROW()-4)="","",INDEX('Registro Diario'!$W$128:$GX$128,1,ROW()-4))</f>
        <v>16.58229993793206</v>
      </c>
      <c r="C9" s="115">
        <f t="shared" si="0"/>
        <v>46208</v>
      </c>
      <c r="D9" s="119">
        <f t="shared" si="1"/>
        <v>16.58229993793206</v>
      </c>
    </row>
    <row r="10" spans="1:4" x14ac:dyDescent="0.2">
      <c r="A10" s="115" cm="1">
        <f t="array" ref="A10">INDEX('Registro Diario'!$W$1:$GX$1,1,ROW()-4)</f>
        <v>46209</v>
      </c>
      <c r="B10" s="120" cm="1">
        <f t="array" ref="B10">IF(INDEX('Registro Diario'!$W$128:$GX$128,1,ROW()-4)="","",INDEX('Registro Diario'!$W$128:$GX$128,1,ROW()-4))</f>
        <v>16.664850287866795</v>
      </c>
      <c r="C10" s="115">
        <f t="shared" si="0"/>
        <v>46209</v>
      </c>
      <c r="D10" s="119">
        <f t="shared" si="1"/>
        <v>16.664850287866795</v>
      </c>
    </row>
    <row r="11" spans="1:4" x14ac:dyDescent="0.2">
      <c r="A11" s="115" cm="1">
        <f t="array" ref="A11">INDEX('Registro Diario'!$W$1:$GX$1,1,ROW()-4)</f>
        <v>46210</v>
      </c>
      <c r="B11" s="120" cm="1">
        <f t="array" ref="B11">IF(INDEX('Registro Diario'!$W$128:$GX$128,1,ROW()-4)="","",INDEX('Registro Diario'!$W$128:$GX$128,1,ROW()-4))</f>
        <v>16.627930569526779</v>
      </c>
      <c r="C11" s="115">
        <f t="shared" si="0"/>
        <v>46210</v>
      </c>
      <c r="D11" s="119">
        <f t="shared" si="1"/>
        <v>16.627930569526779</v>
      </c>
    </row>
    <row r="12" spans="1:4" x14ac:dyDescent="0.2">
      <c r="A12" s="115" cm="1">
        <f t="array" ref="A12">INDEX('Registro Diario'!$W$1:$GX$1,1,ROW()-4)</f>
        <v>46211</v>
      </c>
      <c r="B12" s="120" cm="1">
        <f t="array" ref="B12">IF(INDEX('Registro Diario'!$W$128:$GX$128,1,ROW()-4)="","",INDEX('Registro Diario'!$W$128:$GX$128,1,ROW()-4))</f>
        <v>17.548261027759356</v>
      </c>
      <c r="C12" s="115">
        <f t="shared" si="0"/>
        <v>46211</v>
      </c>
      <c r="D12" s="119">
        <f t="shared" si="1"/>
        <v>17.548261027759356</v>
      </c>
    </row>
    <row r="13" spans="1:4" x14ac:dyDescent="0.2">
      <c r="A13" s="115" cm="1">
        <f t="array" ref="A13">INDEX('Registro Diario'!$W$1:$GX$1,1,ROW()-4)</f>
        <v>46212</v>
      </c>
      <c r="B13" s="120" cm="1">
        <f t="array" ref="B13">IF(INDEX('Registro Diario'!$W$128:$GX$128,1,ROW()-4)="","",INDEX('Registro Diario'!$W$128:$GX$128,1,ROW()-4))</f>
        <v>16.816972369068768</v>
      </c>
      <c r="C13" s="115">
        <f t="shared" si="0"/>
        <v>46212</v>
      </c>
      <c r="D13" s="119">
        <f t="shared" si="1"/>
        <v>16.816972369068768</v>
      </c>
    </row>
    <row r="14" spans="1:4" x14ac:dyDescent="0.2">
      <c r="A14" s="115" cm="1">
        <f t="array" ref="A14">INDEX('Registro Diario'!$W$1:$GX$1,1,ROW()-4)</f>
        <v>46213</v>
      </c>
      <c r="B14" s="120" cm="1">
        <f t="array" ref="B14">IF(INDEX('Registro Diario'!$W$128:$GX$128,1,ROW()-4)="","",INDEX('Registro Diario'!$W$128:$GX$128,1,ROW()-4))</f>
        <v>17.261716927423322</v>
      </c>
      <c r="C14" s="115">
        <f t="shared" si="0"/>
        <v>46213</v>
      </c>
      <c r="D14" s="119">
        <f t="shared" si="1"/>
        <v>17.261716927423322</v>
      </c>
    </row>
    <row r="15" spans="1:4" x14ac:dyDescent="0.2">
      <c r="A15" s="115" cm="1">
        <f t="array" ref="A15">INDEX('Registro Diario'!$W$1:$GX$1,1,ROW()-4)</f>
        <v>46214</v>
      </c>
      <c r="B15" s="120" cm="1">
        <f t="array" ref="B15">IF(INDEX('Registro Diario'!$W$128:$GX$128,1,ROW()-4)="","",INDEX('Registro Diario'!$W$128:$GX$128,1,ROW()-4))</f>
        <v>16.560315048263167</v>
      </c>
      <c r="C15" s="115">
        <f t="shared" si="0"/>
        <v>46214</v>
      </c>
      <c r="D15" s="119">
        <f t="shared" si="1"/>
        <v>16.560315048263167</v>
      </c>
    </row>
    <row r="16" spans="1:4" x14ac:dyDescent="0.2">
      <c r="A16" s="115" cm="1">
        <f t="array" ref="A16">INDEX('Registro Diario'!$W$1:$GX$1,1,ROW()-4)</f>
        <v>46215</v>
      </c>
      <c r="B16" s="120" cm="1">
        <f t="array" ref="B16">IF(INDEX('Registro Diario'!$W$128:$GX$128,1,ROW()-4)="","",INDEX('Registro Diario'!$W$128:$GX$128,1,ROW()-4))</f>
        <v>15.386409263103824</v>
      </c>
      <c r="C16" s="115">
        <f t="shared" si="0"/>
        <v>46215</v>
      </c>
      <c r="D16" s="119">
        <f t="shared" si="1"/>
        <v>15.386409263103824</v>
      </c>
    </row>
    <row r="17" spans="1:4" x14ac:dyDescent="0.2">
      <c r="A17" s="115" cm="1">
        <f t="array" ref="A17">INDEX('Registro Diario'!$W$1:$GX$1,1,ROW()-4)</f>
        <v>46216</v>
      </c>
      <c r="B17" s="120" cm="1">
        <f t="array" ref="B17">IF(INDEX('Registro Diario'!$W$128:$GX$128,1,ROW()-4)="","",INDEX('Registro Diario'!$W$128:$GX$128,1,ROW()-4))</f>
        <v>15.383776726665666</v>
      </c>
      <c r="C17" s="115">
        <f t="shared" si="0"/>
        <v>46216</v>
      </c>
      <c r="D17" s="119">
        <f t="shared" si="1"/>
        <v>15.383776726665666</v>
      </c>
    </row>
    <row r="18" spans="1:4" x14ac:dyDescent="0.2">
      <c r="A18" s="115" cm="1">
        <f t="array" ref="A18">INDEX('Registro Diario'!$W$1:$GX$1,1,ROW()-4)</f>
        <v>46217</v>
      </c>
      <c r="B18" s="120" cm="1">
        <f t="array" ref="B18">IF(INDEX('Registro Diario'!$W$128:$GX$128,1,ROW()-4)="","",INDEX('Registro Diario'!$W$128:$GX$128,1,ROW()-4))</f>
        <v>15.253755109903045</v>
      </c>
      <c r="C18" s="115">
        <f t="shared" si="0"/>
        <v>46217</v>
      </c>
      <c r="D18" s="119">
        <f t="shared" si="1"/>
        <v>15.253755109903045</v>
      </c>
    </row>
    <row r="19" spans="1:4" x14ac:dyDescent="0.2">
      <c r="A19" s="115" cm="1">
        <f t="array" ref="A19">INDEX('Registro Diario'!$W$1:$GX$1,1,ROW()-4)</f>
        <v>46218</v>
      </c>
      <c r="B19" s="120" cm="1">
        <f t="array" ref="B19">IF(INDEX('Registro Diario'!$W$128:$GX$128,1,ROW()-4)="","",INDEX('Registro Diario'!$W$128:$GX$128,1,ROW()-4))</f>
        <v>14.393074074866769</v>
      </c>
      <c r="C19" s="115">
        <f t="shared" si="0"/>
        <v>46218</v>
      </c>
      <c r="D19" s="119">
        <f t="shared" si="1"/>
        <v>14.393074074866769</v>
      </c>
    </row>
    <row r="20" spans="1:4" x14ac:dyDescent="0.2">
      <c r="A20" s="115" cm="1">
        <f t="array" ref="A20">INDEX('Registro Diario'!$W$1:$GX$1,1,ROW()-4)</f>
        <v>46219</v>
      </c>
      <c r="B20" s="120" cm="1">
        <f t="array" ref="B20">IF(INDEX('Registro Diario'!$W$128:$GX$128,1,ROW()-4)="","",INDEX('Registro Diario'!$W$128:$GX$128,1,ROW()-4))</f>
        <v>14.703062731417074</v>
      </c>
      <c r="C20" s="115">
        <f t="shared" si="0"/>
        <v>46219</v>
      </c>
      <c r="D20" s="119">
        <f t="shared" si="1"/>
        <v>14.703062731417074</v>
      </c>
    </row>
    <row r="21" spans="1:4" x14ac:dyDescent="0.2">
      <c r="A21" s="115" cm="1">
        <f t="array" ref="A21">INDEX('Registro Diario'!$W$1:$GX$1,1,ROW()-4)</f>
        <v>46220</v>
      </c>
      <c r="B21" s="120" cm="1">
        <f t="array" ref="B21">IF(INDEX('Registro Diario'!$W$128:$GX$128,1,ROW()-4)="","",INDEX('Registro Diario'!$W$128:$GX$128,1,ROW()-4))</f>
        <v>13.674400188344066</v>
      </c>
      <c r="C21" s="115">
        <f t="shared" si="0"/>
        <v>46220</v>
      </c>
      <c r="D21" s="119">
        <f t="shared" si="1"/>
        <v>13.674400188344066</v>
      </c>
    </row>
    <row r="22" spans="1:4" x14ac:dyDescent="0.2">
      <c r="A22" s="115" cm="1">
        <f t="array" ref="A22">INDEX('Registro Diario'!$W$1:$GX$1,1,ROW()-4)</f>
        <v>46221</v>
      </c>
      <c r="B22" s="120" cm="1">
        <f t="array" ref="B22">IF(INDEX('Registro Diario'!$W$128:$GX$128,1,ROW()-4)="","",INDEX('Registro Diario'!$W$128:$GX$128,1,ROW()-4))</f>
        <v>13.866558226141304</v>
      </c>
      <c r="C22" s="115">
        <f t="shared" si="0"/>
        <v>46221</v>
      </c>
      <c r="D22" s="119">
        <f t="shared" si="1"/>
        <v>13.866558226141304</v>
      </c>
    </row>
    <row r="23" spans="1:4" x14ac:dyDescent="0.2">
      <c r="A23" s="115" cm="1">
        <f t="array" ref="A23">INDEX('Registro Diario'!$W$1:$GX$1,1,ROW()-4)</f>
        <v>46222</v>
      </c>
      <c r="B23" s="120" cm="1">
        <f t="array" ref="B23">IF(INDEX('Registro Diario'!$W$128:$GX$128,1,ROW()-4)="","",INDEX('Registro Diario'!$W$128:$GX$128,1,ROW()-4))</f>
        <v>14.866558226141297</v>
      </c>
      <c r="C23" s="115">
        <f t="shared" si="0"/>
        <v>46222</v>
      </c>
      <c r="D23" s="119">
        <f t="shared" si="1"/>
        <v>14.866558226141297</v>
      </c>
    </row>
    <row r="24" spans="1:4" x14ac:dyDescent="0.2">
      <c r="A24" s="115" cm="1">
        <f t="array" ref="A24">INDEX('Registro Diario'!$W$1:$GX$1,1,ROW()-4)</f>
        <v>46223</v>
      </c>
      <c r="B24" s="120" cm="1">
        <f t="array" ref="B24">IF(INDEX('Registro Diario'!$W$128:$GX$128,1,ROW()-4)="","",INDEX('Registro Diario'!$W$128:$GX$128,1,ROW()-4))</f>
        <v>15.68136891894784</v>
      </c>
      <c r="C24" s="115">
        <f t="shared" si="0"/>
        <v>46223</v>
      </c>
      <c r="D24" s="119">
        <f t="shared" si="1"/>
        <v>15.68136891894784</v>
      </c>
    </row>
    <row r="25" spans="1:4" x14ac:dyDescent="0.2">
      <c r="A25" s="115" cm="1">
        <f t="array" ref="A25">INDEX('Registro Diario'!$W$1:$GX$1,1,ROW()-4)</f>
        <v>46224</v>
      </c>
      <c r="B25" s="120" cm="1">
        <f t="array" ref="B25">IF(INDEX('Registro Diario'!$W$128:$GX$128,1,ROW()-4)="","",INDEX('Registro Diario'!$W$128:$GX$128,1,ROW()-4))</f>
        <v>15.573417802795195</v>
      </c>
      <c r="C25" s="115">
        <f t="shared" si="0"/>
        <v>46224</v>
      </c>
      <c r="D25" s="119">
        <f t="shared" si="1"/>
        <v>15.573417802795195</v>
      </c>
    </row>
    <row r="26" spans="1:4" x14ac:dyDescent="0.2">
      <c r="A26" s="115" cm="1">
        <f t="array" ref="A26">INDEX('Registro Diario'!$W$1:$GX$1,1,ROW()-4)</f>
        <v>46225</v>
      </c>
      <c r="B26" s="120" cm="1">
        <f t="array" ref="B26">IF(INDEX('Registro Diario'!$W$128:$GX$128,1,ROW()-4)="","",INDEX('Registro Diario'!$W$128:$GX$128,1,ROW()-4))</f>
        <v>13.681398882777216</v>
      </c>
      <c r="C26" s="115">
        <f t="shared" si="0"/>
        <v>46225</v>
      </c>
      <c r="D26" s="119">
        <f t="shared" si="1"/>
        <v>13.681398882777216</v>
      </c>
    </row>
    <row r="27" spans="1:4" x14ac:dyDescent="0.2">
      <c r="A27" s="115" cm="1">
        <f t="array" ref="A27">INDEX('Registro Diario'!$W$1:$GX$1,1,ROW()-4)</f>
        <v>46226</v>
      </c>
      <c r="B27" s="120" cm="1">
        <f t="array" ref="B27">IF(INDEX('Registro Diario'!$W$128:$GX$128,1,ROW()-4)="","",INDEX('Registro Diario'!$W$128:$GX$128,1,ROW()-4))</f>
        <v>12.102454893735416</v>
      </c>
      <c r="C27" s="115">
        <f t="shared" si="0"/>
        <v>46226</v>
      </c>
      <c r="D27" s="119">
        <f t="shared" si="1"/>
        <v>12.102454893735416</v>
      </c>
    </row>
    <row r="28" spans="1:4" x14ac:dyDescent="0.2">
      <c r="A28" s="115" cm="1">
        <f t="array" ref="A28">INDEX('Registro Diario'!$W$1:$GX$1,1,ROW()-4)</f>
        <v>46227</v>
      </c>
      <c r="B28" s="120" cm="1">
        <f t="array" ref="B28">IF(INDEX('Registro Diario'!$W$128:$GX$128,1,ROW()-4)="","",INDEX('Registro Diario'!$W$128:$GX$128,1,ROW()-4))</f>
        <v>12.026000042805466</v>
      </c>
      <c r="C28" s="115">
        <f t="shared" si="0"/>
        <v>46227</v>
      </c>
      <c r="D28" s="119">
        <f t="shared" si="1"/>
        <v>12.026000042805466</v>
      </c>
    </row>
    <row r="29" spans="1:4" x14ac:dyDescent="0.2">
      <c r="A29" s="115" cm="1">
        <f t="array" ref="A29">INDEX('Registro Diario'!$W$1:$GX$1,1,ROW()-4)</f>
        <v>46228</v>
      </c>
      <c r="B29" s="120" cm="1">
        <f t="array" ref="B29">IF(INDEX('Registro Diario'!$W$128:$GX$128,1,ROW()-4)="","",INDEX('Registro Diario'!$W$128:$GX$128,1,ROW()-4))</f>
        <v>11.942413800483703</v>
      </c>
      <c r="C29" s="115">
        <f t="shared" si="0"/>
        <v>46228</v>
      </c>
      <c r="D29" s="119">
        <f t="shared" si="1"/>
        <v>11.942413800483703</v>
      </c>
    </row>
    <row r="30" spans="1:4" x14ac:dyDescent="0.2">
      <c r="A30" s="115" cm="1">
        <f t="array" ref="A30">INDEX('Registro Diario'!$W$1:$GX$1,1,ROW()-4)</f>
        <v>46229</v>
      </c>
      <c r="B30" s="120" cm="1">
        <f t="array" ref="B30">IF(INDEX('Registro Diario'!$W$128:$GX$128,1,ROW()-4)="","",INDEX('Registro Diario'!$W$128:$GX$128,1,ROW()-4))</f>
        <v>12.942413800483704</v>
      </c>
      <c r="C30" s="115">
        <f t="shared" si="0"/>
        <v>46229</v>
      </c>
      <c r="D30" s="119">
        <f t="shared" si="1"/>
        <v>12.942413800483704</v>
      </c>
    </row>
    <row r="31" spans="1:4" x14ac:dyDescent="0.2">
      <c r="A31" s="115" cm="1">
        <f t="array" ref="A31">INDEX('Registro Diario'!$W$1:$GX$1,1,ROW()-4)</f>
        <v>46230</v>
      </c>
      <c r="B31" s="120" cm="1">
        <f t="array" ref="B31">IF(INDEX('Registro Diario'!$W$128:$GX$128,1,ROW()-4)="","",INDEX('Registro Diario'!$W$128:$GX$128,1,ROW()-4))</f>
        <v>10.69807161355221</v>
      </c>
      <c r="C31" s="115">
        <f t="shared" si="0"/>
        <v>46230</v>
      </c>
      <c r="D31" s="119">
        <f t="shared" si="1"/>
        <v>10.69807161355221</v>
      </c>
    </row>
    <row r="32" spans="1:4" x14ac:dyDescent="0.2">
      <c r="A32" s="115" cm="1">
        <f t="array" ref="A32">INDEX('Registro Diario'!$W$1:$GX$1,1,ROW()-4)</f>
        <v>46231</v>
      </c>
      <c r="B32" s="120" cm="1">
        <f t="array" ref="B32">IF(INDEX('Registro Diario'!$W$128:$GX$128,1,ROW()-4)="","",INDEX('Registro Diario'!$W$128:$GX$128,1,ROW()-4))</f>
        <v>11.000809023393185</v>
      </c>
      <c r="C32" s="115">
        <f t="shared" si="0"/>
        <v>46231</v>
      </c>
      <c r="D32" s="119">
        <f t="shared" si="1"/>
        <v>11.000809023393185</v>
      </c>
    </row>
    <row r="33" spans="1:4" x14ac:dyDescent="0.2">
      <c r="A33" s="115" cm="1">
        <f t="array" ref="A33">INDEX('Registro Diario'!$W$1:$GX$1,1,ROW()-4)</f>
        <v>46232</v>
      </c>
      <c r="B33" s="120" cm="1">
        <f t="array" ref="B33">IF(INDEX('Registro Diario'!$W$128:$GX$128,1,ROW()-4)="","",INDEX('Registro Diario'!$W$128:$GX$128,1,ROW()-4))</f>
        <v>10.557780964407254</v>
      </c>
      <c r="C33" s="115">
        <f t="shared" si="0"/>
        <v>46232</v>
      </c>
      <c r="D33" s="119">
        <f t="shared" si="1"/>
        <v>10.557780964407254</v>
      </c>
    </row>
    <row r="34" spans="1:4" x14ac:dyDescent="0.2">
      <c r="A34" s="115" cm="1">
        <f t="array" ref="A34">INDEX('Registro Diario'!$W$1:$GX$1,1,ROW()-4)</f>
        <v>46233</v>
      </c>
      <c r="B34" s="120" cm="1">
        <f t="array" ref="B34">IF(INDEX('Registro Diario'!$W$128:$GX$128,1,ROW()-4)="","",INDEX('Registro Diario'!$W$128:$GX$128,1,ROW()-4))</f>
        <v>10.404173533377563</v>
      </c>
      <c r="C34" s="115">
        <f t="shared" si="0"/>
        <v>46233</v>
      </c>
      <c r="D34" s="119">
        <f t="shared" si="1"/>
        <v>10.404173533377563</v>
      </c>
    </row>
    <row r="35" spans="1:4" x14ac:dyDescent="0.2">
      <c r="A35" s="115" cm="1">
        <f t="array" ref="A35">INDEX('Registro Diario'!$W$1:$GX$1,1,ROW()-4)</f>
        <v>46234</v>
      </c>
      <c r="B35" s="120" cm="1">
        <f t="array" ref="B35">IF(INDEX('Registro Diario'!$W$128:$GX$128,1,ROW()-4)="","",INDEX('Registro Diario'!$W$128:$GX$128,1,ROW()-4))</f>
        <v>8.899976456991201</v>
      </c>
      <c r="C35" s="115">
        <f t="shared" si="0"/>
        <v>46234</v>
      </c>
      <c r="D35" s="119">
        <f t="shared" si="1"/>
        <v>8.899976456991201</v>
      </c>
    </row>
    <row r="36" spans="1:4" x14ac:dyDescent="0.2">
      <c r="A36" s="115" cm="1">
        <f t="array" ref="A36">INDEX('Registro Diario'!$W$1:$GX$1,1,ROW()-4)</f>
        <v>46235</v>
      </c>
      <c r="B36" s="120" cm="1">
        <f t="array" ref="B36">IF(INDEX('Registro Diario'!$W$128:$GX$128,1,ROW()-4)="","",INDEX('Registro Diario'!$W$128:$GX$128,1,ROW()-4))</f>
        <v>9.4049825567707526</v>
      </c>
      <c r="C36" s="115">
        <f t="shared" si="0"/>
        <v>46235</v>
      </c>
      <c r="D36" s="119">
        <f t="shared" si="1"/>
        <v>9.4049825567707526</v>
      </c>
    </row>
    <row r="37" spans="1:4" x14ac:dyDescent="0.2">
      <c r="A37" s="115" cm="1">
        <f t="array" ref="A37">INDEX('Registro Diario'!$W$1:$GX$1,1,ROW()-4)</f>
        <v>46236</v>
      </c>
      <c r="B37" s="120" cm="1">
        <f t="array" ref="B37">IF(INDEX('Registro Diario'!$W$128:$GX$128,1,ROW()-4)="","",INDEX('Registro Diario'!$W$128:$GX$128,1,ROW()-4))</f>
        <v>10.404982556770754</v>
      </c>
      <c r="C37" s="115">
        <f t="shared" si="0"/>
        <v>46236</v>
      </c>
      <c r="D37" s="119">
        <f t="shared" si="1"/>
        <v>10.404982556770754</v>
      </c>
    </row>
    <row r="38" spans="1:4" x14ac:dyDescent="0.2">
      <c r="A38" s="115" cm="1">
        <f t="array" ref="A38">INDEX('Registro Diario'!$W$1:$GX$1,1,ROW()-4)</f>
        <v>46237</v>
      </c>
      <c r="B38" s="120" cm="1">
        <f t="array" ref="B38">IF(INDEX('Registro Diario'!$W$128:$GX$128,1,ROW()-4)="","",INDEX('Registro Diario'!$W$128:$GX$128,1,ROW()-4))</f>
        <v>10.412520600132698</v>
      </c>
      <c r="C38" s="115">
        <f t="shared" si="0"/>
        <v>46237</v>
      </c>
      <c r="D38" s="119">
        <f t="shared" si="1"/>
        <v>10.412520600132698</v>
      </c>
    </row>
    <row r="39" spans="1:4" x14ac:dyDescent="0.2">
      <c r="A39" s="115" cm="1">
        <f t="array" ref="A39">INDEX('Registro Diario'!$W$1:$GX$1,1,ROW()-4)</f>
        <v>46238</v>
      </c>
      <c r="B39" s="120" cm="1">
        <f t="array" ref="B39">IF(INDEX('Registro Diario'!$W$128:$GX$128,1,ROW()-4)="","",INDEX('Registro Diario'!$W$128:$GX$128,1,ROW()-4))</f>
        <v>9.9352267619801822</v>
      </c>
      <c r="C39" s="115">
        <f t="shared" si="0"/>
        <v>46238</v>
      </c>
      <c r="D39" s="119">
        <f t="shared" si="1"/>
        <v>9.9352267619801822</v>
      </c>
    </row>
    <row r="40" spans="1:4" x14ac:dyDescent="0.2">
      <c r="A40" s="115" cm="1">
        <f t="array" ref="A40">INDEX('Registro Diario'!$W$1:$GX$1,1,ROW()-4)</f>
        <v>46239</v>
      </c>
      <c r="B40" s="120" cm="1">
        <f t="array" ref="B40">IF(INDEX('Registro Diario'!$W$128:$GX$128,1,ROW()-4)="","",INDEX('Registro Diario'!$W$128:$GX$128,1,ROW()-4))</f>
        <v>9.0674100550050305</v>
      </c>
      <c r="C40" s="115">
        <f t="shared" si="0"/>
        <v>46239</v>
      </c>
      <c r="D40" s="119">
        <f t="shared" si="1"/>
        <v>9.0674100550050305</v>
      </c>
    </row>
    <row r="41" spans="1:4" x14ac:dyDescent="0.2">
      <c r="A41" s="115" cm="1">
        <f t="array" ref="A41">INDEX('Registro Diario'!$W$1:$GX$1,1,ROW()-4)</f>
        <v>46240</v>
      </c>
      <c r="B41" s="120" cm="1">
        <f t="array" ref="B41">IF(INDEX('Registro Diario'!$W$128:$GX$128,1,ROW()-4)="","",INDEX('Registro Diario'!$W$128:$GX$128,1,ROW()-4))</f>
        <v>8.5771846842026385</v>
      </c>
      <c r="C41" s="115">
        <f t="shared" si="0"/>
        <v>46240</v>
      </c>
      <c r="D41" s="119">
        <f t="shared" si="1"/>
        <v>8.5771846842026385</v>
      </c>
    </row>
    <row r="42" spans="1:4" x14ac:dyDescent="0.2">
      <c r="A42" s="115" cm="1">
        <f t="array" ref="A42">INDEX('Registro Diario'!$W$1:$GX$1,1,ROW()-4)</f>
        <v>46241</v>
      </c>
      <c r="B42" s="120" cm="1">
        <f t="array" ref="B42">IF(INDEX('Registro Diario'!$W$128:$GX$128,1,ROW()-4)="","",INDEX('Registro Diario'!$W$128:$GX$128,1,ROW()-4))</f>
        <v>9.0656079446953353</v>
      </c>
      <c r="C42" s="115">
        <f t="shared" si="0"/>
        <v>46241</v>
      </c>
      <c r="D42" s="119">
        <f t="shared" si="1"/>
        <v>9.0656079446953353</v>
      </c>
    </row>
    <row r="43" spans="1:4" x14ac:dyDescent="0.2">
      <c r="A43" s="115" cm="1">
        <f t="array" ref="A43">INDEX('Registro Diario'!$W$1:$GX$1,1,ROW()-4)</f>
        <v>46242</v>
      </c>
      <c r="B43" s="120" cm="1">
        <f t="array" ref="B43">IF(INDEX('Registro Diario'!$W$128:$GX$128,1,ROW()-4)="","",INDEX('Registro Diario'!$W$128:$GX$128,1,ROW()-4))</f>
        <v>9.5129465145645629</v>
      </c>
      <c r="C43" s="115">
        <f t="shared" si="0"/>
        <v>46242</v>
      </c>
      <c r="D43" s="119">
        <f t="shared" si="1"/>
        <v>9.5129465145645629</v>
      </c>
    </row>
    <row r="44" spans="1:4" x14ac:dyDescent="0.2">
      <c r="A44" s="115" cm="1">
        <f t="array" ref="A44">INDEX('Registro Diario'!$W$1:$GX$1,1,ROW()-4)</f>
        <v>46243</v>
      </c>
      <c r="B44" s="120" cm="1">
        <f t="array" ref="B44">IF(INDEX('Registro Diario'!$W$128:$GX$128,1,ROW()-4)="","",INDEX('Registro Diario'!$W$128:$GX$128,1,ROW()-4))</f>
        <v>10.512946514564559</v>
      </c>
      <c r="C44" s="115">
        <f t="shared" si="0"/>
        <v>46243</v>
      </c>
      <c r="D44" s="119">
        <f t="shared" si="1"/>
        <v>10.512946514564559</v>
      </c>
    </row>
    <row r="45" spans="1:4" x14ac:dyDescent="0.2">
      <c r="A45" s="115" cm="1">
        <f t="array" ref="A45">INDEX('Registro Diario'!$W$1:$GX$1,1,ROW()-4)</f>
        <v>46244</v>
      </c>
      <c r="B45" s="120" cm="1">
        <f t="array" ref="B45">IF(INDEX('Registro Diario'!$W$128:$GX$128,1,ROW()-4)="","",INDEX('Registro Diario'!$W$128:$GX$128,1,ROW()-4))</f>
        <v>10.3963401322689</v>
      </c>
      <c r="C45" s="115">
        <f t="shared" si="0"/>
        <v>46244</v>
      </c>
      <c r="D45" s="119">
        <f t="shared" si="1"/>
        <v>10.3963401322689</v>
      </c>
    </row>
    <row r="46" spans="1:4" x14ac:dyDescent="0.2">
      <c r="A46" s="115" cm="1">
        <f t="array" ref="A46">INDEX('Registro Diario'!$W$1:$GX$1,1,ROW()-4)</f>
        <v>46245</v>
      </c>
      <c r="B46" s="120" cm="1">
        <f t="array" ref="B46">IF(INDEX('Registro Diario'!$W$128:$GX$128,1,ROW()-4)="","",INDEX('Registro Diario'!$W$128:$GX$128,1,ROW()-4))</f>
        <v>9.8555443785715813</v>
      </c>
      <c r="C46" s="115">
        <f t="shared" si="0"/>
        <v>46245</v>
      </c>
      <c r="D46" s="119">
        <f t="shared" si="1"/>
        <v>9.8555443785715813</v>
      </c>
    </row>
    <row r="47" spans="1:4" x14ac:dyDescent="0.2">
      <c r="A47" s="115" cm="1">
        <f t="array" ref="A47">INDEX('Registro Diario'!$W$1:$GX$1,1,ROW()-4)</f>
        <v>46246</v>
      </c>
      <c r="B47" s="120" cm="1">
        <f t="array" ref="B47">IF(INDEX('Registro Diario'!$W$128:$GX$128,1,ROW()-4)="","",INDEX('Registro Diario'!$W$128:$GX$128,1,ROW()-4))</f>
        <v>8.3114483230956893</v>
      </c>
      <c r="C47" s="115">
        <f t="shared" si="0"/>
        <v>46246</v>
      </c>
      <c r="D47" s="119">
        <f t="shared" si="1"/>
        <v>8.3114483230956893</v>
      </c>
    </row>
    <row r="48" spans="1:4" x14ac:dyDescent="0.2">
      <c r="A48" s="115" cm="1">
        <f t="array" ref="A48">INDEX('Registro Diario'!$W$1:$GX$1,1,ROW()-4)</f>
        <v>46247</v>
      </c>
      <c r="B48" s="120" cm="1">
        <f t="array" ref="B48">IF(INDEX('Registro Diario'!$W$128:$GX$128,1,ROW()-4)="","",INDEX('Registro Diario'!$W$128:$GX$128,1,ROW()-4))</f>
        <v>8.7718297198381983</v>
      </c>
      <c r="C48" s="115">
        <f t="shared" si="0"/>
        <v>46247</v>
      </c>
      <c r="D48" s="119">
        <f t="shared" si="1"/>
        <v>8.7718297198381983</v>
      </c>
    </row>
    <row r="49" spans="1:4" x14ac:dyDescent="0.2">
      <c r="A49" s="115" cm="1">
        <f t="array" ref="A49">INDEX('Registro Diario'!$W$1:$GX$1,1,ROW()-4)</f>
        <v>46248</v>
      </c>
      <c r="B49" s="120" cm="1">
        <f t="array" ref="B49">IF(INDEX('Registro Diario'!$W$128:$GX$128,1,ROW()-4)="","",INDEX('Registro Diario'!$W$128:$GX$128,1,ROW()-4))</f>
        <v>8.1703443700104863</v>
      </c>
      <c r="C49" s="115">
        <f t="shared" si="0"/>
        <v>46248</v>
      </c>
      <c r="D49" s="119">
        <f t="shared" si="1"/>
        <v>8.1703443700104863</v>
      </c>
    </row>
    <row r="50" spans="1:4" x14ac:dyDescent="0.2">
      <c r="A50" s="115" cm="1">
        <f t="array" ref="A50">INDEX('Registro Diario'!$W$1:$GX$1,1,ROW()-4)</f>
        <v>46249</v>
      </c>
      <c r="B50" s="120" cm="1">
        <f t="array" ref="B50">IF(INDEX('Registro Diario'!$W$128:$GX$128,1,ROW()-4)="","",INDEX('Registro Diario'!$W$128:$GX$128,1,ROW()-4))</f>
        <v>9.1703443700104899</v>
      </c>
      <c r="C50" s="115">
        <f t="shared" si="0"/>
        <v>46249</v>
      </c>
      <c r="D50" s="119">
        <f t="shared" si="1"/>
        <v>9.1703443700104899</v>
      </c>
    </row>
    <row r="51" spans="1:4" x14ac:dyDescent="0.2">
      <c r="A51" s="115" cm="1">
        <f t="array" ref="A51">INDEX('Registro Diario'!$W$1:$GX$1,1,ROW()-4)</f>
        <v>46250</v>
      </c>
      <c r="B51" s="120" cm="1">
        <f t="array" ref="B51">IF(INDEX('Registro Diario'!$W$128:$GX$128,1,ROW()-4)="","",INDEX('Registro Diario'!$W$128:$GX$128,1,ROW()-4))</f>
        <v>10.170344370010488</v>
      </c>
      <c r="C51" s="115">
        <f t="shared" si="0"/>
        <v>46250</v>
      </c>
      <c r="D51" s="119">
        <f t="shared" si="1"/>
        <v>10.170344370010488</v>
      </c>
    </row>
    <row r="52" spans="1:4" x14ac:dyDescent="0.2">
      <c r="A52" s="115" cm="1">
        <f t="array" ref="A52">INDEX('Registro Diario'!$W$1:$GX$1,1,ROW()-4)</f>
        <v>46251</v>
      </c>
      <c r="B52" s="120" cm="1">
        <f t="array" ref="B52">IF(INDEX('Registro Diario'!$W$128:$GX$128,1,ROW()-4)="","",INDEX('Registro Diario'!$W$128:$GX$128,1,ROW()-4))</f>
        <v>11.170344370010488</v>
      </c>
      <c r="C52" s="115">
        <f t="shared" si="0"/>
        <v>46251</v>
      </c>
      <c r="D52" s="119">
        <f t="shared" si="1"/>
        <v>11.170344370010488</v>
      </c>
    </row>
    <row r="53" spans="1:4" x14ac:dyDescent="0.2">
      <c r="A53" s="115" cm="1">
        <f t="array" ref="A53">INDEX('Registro Diario'!$W$1:$GX$1,1,ROW()-4)</f>
        <v>46252</v>
      </c>
      <c r="B53" s="120" cm="1">
        <f t="array" ref="B53">IF(INDEX('Registro Diario'!$W$128:$GX$128,1,ROW()-4)="","",INDEX('Registro Diario'!$W$128:$GX$128,1,ROW()-4))</f>
        <v>12.170344370010488</v>
      </c>
      <c r="C53" s="115">
        <f t="shared" si="0"/>
        <v>46252</v>
      </c>
      <c r="D53" s="119">
        <f t="shared" si="1"/>
        <v>12.170344370010488</v>
      </c>
    </row>
    <row r="54" spans="1:4" x14ac:dyDescent="0.2">
      <c r="A54" s="115" cm="1">
        <f t="array" ref="A54">INDEX('Registro Diario'!$W$1:$GX$1,1,ROW()-4)</f>
        <v>46253</v>
      </c>
      <c r="B54" s="120" cm="1">
        <f t="array" ref="B54">IF(INDEX('Registro Diario'!$W$128:$GX$128,1,ROW()-4)="","",INDEX('Registro Diario'!$W$128:$GX$128,1,ROW()-4))</f>
        <v>13.17034437001049</v>
      </c>
      <c r="C54" s="115">
        <f t="shared" si="0"/>
        <v>46253</v>
      </c>
      <c r="D54" s="119">
        <f t="shared" si="1"/>
        <v>13.17034437001049</v>
      </c>
    </row>
    <row r="55" spans="1:4" x14ac:dyDescent="0.2">
      <c r="A55" s="115" cm="1">
        <f t="array" ref="A55">INDEX('Registro Diario'!$W$1:$GX$1,1,ROW()-4)</f>
        <v>46254</v>
      </c>
      <c r="B55" s="120" cm="1">
        <f t="array" ref="B55">IF(INDEX('Registro Diario'!$W$128:$GX$128,1,ROW()-4)="","",INDEX('Registro Diario'!$W$128:$GX$128,1,ROW()-4))</f>
        <v>14.170344370010493</v>
      </c>
      <c r="C55" s="115">
        <f t="shared" si="0"/>
        <v>46254</v>
      </c>
      <c r="D55" s="119">
        <f t="shared" si="1"/>
        <v>14.170344370010493</v>
      </c>
    </row>
    <row r="56" spans="1:4" x14ac:dyDescent="0.2">
      <c r="A56" s="115" cm="1">
        <f t="array" ref="A56">INDEX('Registro Diario'!$W$1:$GX$1,1,ROW()-4)</f>
        <v>46255</v>
      </c>
      <c r="B56" s="120" cm="1">
        <f t="array" ref="B56">IF(INDEX('Registro Diario'!$W$128:$GX$128,1,ROW()-4)="","",INDEX('Registro Diario'!$W$128:$GX$128,1,ROW()-4))</f>
        <v>15.170344370010483</v>
      </c>
      <c r="C56" s="115">
        <f t="shared" si="0"/>
        <v>46255</v>
      </c>
      <c r="D56" s="119">
        <f t="shared" si="1"/>
        <v>15.170344370010483</v>
      </c>
    </row>
    <row r="57" spans="1:4" x14ac:dyDescent="0.2">
      <c r="A57" s="115" cm="1">
        <f t="array" ref="A57">INDEX('Registro Diario'!$W$1:$GX$1,1,ROW()-4)</f>
        <v>46256</v>
      </c>
      <c r="B57" s="120" cm="1">
        <f t="array" ref="B57">IF(INDEX('Registro Diario'!$W$128:$GX$128,1,ROW()-4)="","",INDEX('Registro Diario'!$W$128:$GX$128,1,ROW()-4))</f>
        <v>16.170344370010483</v>
      </c>
      <c r="C57" s="115">
        <f t="shared" si="0"/>
        <v>46256</v>
      </c>
      <c r="D57" s="119">
        <f t="shared" si="1"/>
        <v>16.170344370010483</v>
      </c>
    </row>
    <row r="58" spans="1:4" x14ac:dyDescent="0.2">
      <c r="A58" s="115" cm="1">
        <f t="array" ref="A58">INDEX('Registro Diario'!$W$1:$GX$1,1,ROW()-4)</f>
        <v>46257</v>
      </c>
      <c r="B58" s="120" cm="1">
        <f t="array" ref="B58">IF(INDEX('Registro Diario'!$W$128:$GX$128,1,ROW()-4)="","",INDEX('Registro Diario'!$W$128:$GX$128,1,ROW()-4))</f>
        <v>17.170344370010486</v>
      </c>
      <c r="C58" s="115">
        <f t="shared" si="0"/>
        <v>46257</v>
      </c>
      <c r="D58" s="119">
        <f t="shared" si="1"/>
        <v>17.170344370010486</v>
      </c>
    </row>
    <row r="59" spans="1:4" x14ac:dyDescent="0.2">
      <c r="A59" s="115" cm="1">
        <f t="array" ref="A59">INDEX('Registro Diario'!$W$1:$GX$1,1,ROW()-4)</f>
        <v>46258</v>
      </c>
      <c r="B59" s="120" t="str" cm="1">
        <f t="array" ref="B59">IF(INDEX('Registro Diario'!$W$128:$GX$128,1,ROW()-4)="","",INDEX('Registro Diario'!$W$128:$GX$128,1,ROW()-4))</f>
        <v/>
      </c>
      <c r="C59" s="115" t="str">
        <f t="shared" si="0"/>
        <v/>
      </c>
      <c r="D59" s="119" t="str">
        <f t="shared" si="1"/>
        <v/>
      </c>
    </row>
    <row r="60" spans="1:4" x14ac:dyDescent="0.2">
      <c r="A60" s="115" cm="1">
        <f t="array" ref="A60">INDEX('Registro Diario'!$W$1:$GX$1,1,ROW()-4)</f>
        <v>46259</v>
      </c>
      <c r="B60" s="120" t="str" cm="1">
        <f t="array" ref="B60">IF(INDEX('Registro Diario'!$W$128:$GX$128,1,ROW()-4)="","",INDEX('Registro Diario'!$W$128:$GX$128,1,ROW()-4))</f>
        <v/>
      </c>
      <c r="C60" s="115" t="str">
        <f t="shared" si="0"/>
        <v/>
      </c>
      <c r="D60" s="119" t="str">
        <f t="shared" si="1"/>
        <v/>
      </c>
    </row>
    <row r="61" spans="1:4" x14ac:dyDescent="0.2">
      <c r="A61" s="115" cm="1">
        <f t="array" ref="A61">INDEX('Registro Diario'!$W$1:$GX$1,1,ROW()-4)</f>
        <v>46260</v>
      </c>
      <c r="B61" s="120" t="str" cm="1">
        <f t="array" ref="B61">IF(INDEX('Registro Diario'!$W$128:$GX$128,1,ROW()-4)="","",INDEX('Registro Diario'!$W$128:$GX$128,1,ROW()-4))</f>
        <v/>
      </c>
      <c r="C61" s="115" t="str">
        <f t="shared" si="0"/>
        <v/>
      </c>
      <c r="D61" s="119" t="str">
        <f t="shared" si="1"/>
        <v/>
      </c>
    </row>
    <row r="62" spans="1:4" x14ac:dyDescent="0.2">
      <c r="A62" s="115" cm="1">
        <f t="array" ref="A62">INDEX('Registro Diario'!$W$1:$GX$1,1,ROW()-4)</f>
        <v>46261</v>
      </c>
      <c r="B62" s="120" t="str" cm="1">
        <f t="array" ref="B62">IF(INDEX('Registro Diario'!$W$128:$GX$128,1,ROW()-4)="","",INDEX('Registro Diario'!$W$128:$GX$128,1,ROW()-4))</f>
        <v/>
      </c>
      <c r="C62" s="115" t="str">
        <f t="shared" si="0"/>
        <v/>
      </c>
      <c r="D62" s="119" t="str">
        <f t="shared" si="1"/>
        <v/>
      </c>
    </row>
    <row r="63" spans="1:4" x14ac:dyDescent="0.2">
      <c r="A63" s="115" cm="1">
        <f t="array" ref="A63">INDEX('Registro Diario'!$W$1:$GX$1,1,ROW()-4)</f>
        <v>46262</v>
      </c>
      <c r="B63" s="120" t="str" cm="1">
        <f t="array" ref="B63">IF(INDEX('Registro Diario'!$W$128:$GX$128,1,ROW()-4)="","",INDEX('Registro Diario'!$W$128:$GX$128,1,ROW()-4))</f>
        <v/>
      </c>
      <c r="C63" s="115" t="str">
        <f t="shared" si="0"/>
        <v/>
      </c>
      <c r="D63" s="119" t="str">
        <f t="shared" si="1"/>
        <v/>
      </c>
    </row>
    <row r="64" spans="1:4" x14ac:dyDescent="0.2">
      <c r="A64" s="115" cm="1">
        <f t="array" ref="A64">INDEX('Registro Diario'!$W$1:$GX$1,1,ROW()-4)</f>
        <v>46263</v>
      </c>
      <c r="B64" s="120" t="str" cm="1">
        <f t="array" ref="B64">IF(INDEX('Registro Diario'!$W$128:$GX$128,1,ROW()-4)="","",INDEX('Registro Diario'!$W$128:$GX$128,1,ROW()-4))</f>
        <v/>
      </c>
      <c r="C64" s="115" t="str">
        <f t="shared" si="0"/>
        <v/>
      </c>
      <c r="D64" s="119" t="str">
        <f t="shared" si="1"/>
        <v/>
      </c>
    </row>
    <row r="65" spans="1:4" x14ac:dyDescent="0.2">
      <c r="A65" s="115" cm="1">
        <f t="array" ref="A65">INDEX('Registro Diario'!$W$1:$GX$1,1,ROW()-4)</f>
        <v>46264</v>
      </c>
      <c r="B65" s="120" t="str" cm="1">
        <f t="array" ref="B65">IF(INDEX('Registro Diario'!$W$128:$GX$128,1,ROW()-4)="","",INDEX('Registro Diario'!$W$128:$GX$128,1,ROW()-4))</f>
        <v/>
      </c>
      <c r="C65" s="115" t="str">
        <f t="shared" si="0"/>
        <v/>
      </c>
      <c r="D65" s="119" t="str">
        <f t="shared" si="1"/>
        <v/>
      </c>
    </row>
    <row r="66" spans="1:4" x14ac:dyDescent="0.2">
      <c r="A66" s="115" cm="1">
        <f t="array" ref="A66">INDEX('Registro Diario'!$W$1:$GX$1,1,ROW()-4)</f>
        <v>46265</v>
      </c>
      <c r="B66" s="120" t="str" cm="1">
        <f t="array" ref="B66">IF(INDEX('Registro Diario'!$W$128:$GX$128,1,ROW()-4)="","",INDEX('Registro Diario'!$W$128:$GX$128,1,ROW()-4))</f>
        <v/>
      </c>
      <c r="C66" s="115" t="str">
        <f t="shared" si="0"/>
        <v/>
      </c>
      <c r="D66" s="119" t="str">
        <f t="shared" si="1"/>
        <v/>
      </c>
    </row>
    <row r="67" spans="1:4" x14ac:dyDescent="0.2">
      <c r="A67" s="115" cm="1">
        <f t="array" ref="A67">INDEX('Registro Diario'!$W$1:$GX$1,1,ROW()-4)</f>
        <v>46266</v>
      </c>
      <c r="B67" s="120" t="str" cm="1">
        <f t="array" ref="B67">IF(INDEX('Registro Diario'!$W$128:$GX$128,1,ROW()-4)="","",INDEX('Registro Diario'!$W$128:$GX$128,1,ROW()-4))</f>
        <v/>
      </c>
      <c r="C67" s="115" t="str">
        <f t="shared" si="0"/>
        <v/>
      </c>
      <c r="D67" s="119" t="str">
        <f t="shared" si="1"/>
        <v/>
      </c>
    </row>
    <row r="68" spans="1:4" x14ac:dyDescent="0.2">
      <c r="A68" s="115" cm="1">
        <f t="array" ref="A68">INDEX('Registro Diario'!$W$1:$GX$1,1,ROW()-4)</f>
        <v>46267</v>
      </c>
      <c r="B68" s="120" t="str" cm="1">
        <f t="array" ref="B68">IF(INDEX('Registro Diario'!$W$128:$GX$128,1,ROW()-4)="","",INDEX('Registro Diario'!$W$128:$GX$128,1,ROW()-4))</f>
        <v/>
      </c>
      <c r="C68" s="115" t="str">
        <f t="shared" si="0"/>
        <v/>
      </c>
      <c r="D68" s="119" t="str">
        <f t="shared" si="1"/>
        <v/>
      </c>
    </row>
    <row r="69" spans="1:4" x14ac:dyDescent="0.2">
      <c r="A69" s="115" cm="1">
        <f t="array" ref="A69">INDEX('Registro Diario'!$W$1:$GX$1,1,ROW()-4)</f>
        <v>46268</v>
      </c>
      <c r="B69" s="120" t="str" cm="1">
        <f t="array" ref="B69">IF(INDEX('Registro Diario'!$W$128:$GX$128,1,ROW()-4)="","",INDEX('Registro Diario'!$W$128:$GX$128,1,ROW()-4))</f>
        <v/>
      </c>
      <c r="C69" s="115" t="str">
        <f t="shared" si="0"/>
        <v/>
      </c>
      <c r="D69" s="119" t="str">
        <f t="shared" si="1"/>
        <v/>
      </c>
    </row>
    <row r="70" spans="1:4" x14ac:dyDescent="0.2">
      <c r="A70" s="115" cm="1">
        <f t="array" ref="A70">INDEX('Registro Diario'!$W$1:$GX$1,1,ROW()-4)</f>
        <v>46269</v>
      </c>
      <c r="B70" s="120" t="str" cm="1">
        <f t="array" ref="B70">IF(INDEX('Registro Diario'!$W$128:$GX$128,1,ROW()-4)="","",INDEX('Registro Diario'!$W$128:$GX$128,1,ROW()-4))</f>
        <v/>
      </c>
      <c r="C70" s="115" t="str">
        <f t="shared" ref="C70:C133" si="2">IFERROR(IF(AND(N(B70)&lt;&gt;0,A70&gt;=$B$2,A70&lt;=$D$2),A70,NA()),"")</f>
        <v/>
      </c>
      <c r="D70" s="119" t="str">
        <f t="shared" ref="D70:D133" si="3">IFERROR(IF(ISNA(C70),NA(),B70),"")</f>
        <v/>
      </c>
    </row>
    <row r="71" spans="1:4" x14ac:dyDescent="0.2">
      <c r="A71" s="115" cm="1">
        <f t="array" ref="A71">INDEX('Registro Diario'!$W$1:$GX$1,1,ROW()-4)</f>
        <v>46270</v>
      </c>
      <c r="B71" s="120" t="str" cm="1">
        <f t="array" ref="B71">IF(INDEX('Registro Diario'!$W$128:$GX$128,1,ROW()-4)="","",INDEX('Registro Diario'!$W$128:$GX$128,1,ROW()-4))</f>
        <v/>
      </c>
      <c r="C71" s="115" t="str">
        <f t="shared" si="2"/>
        <v/>
      </c>
      <c r="D71" s="119" t="str">
        <f t="shared" si="3"/>
        <v/>
      </c>
    </row>
    <row r="72" spans="1:4" x14ac:dyDescent="0.2">
      <c r="A72" s="115" cm="1">
        <f t="array" ref="A72">INDEX('Registro Diario'!$W$1:$GX$1,1,ROW()-4)</f>
        <v>46271</v>
      </c>
      <c r="B72" s="120" t="str" cm="1">
        <f t="array" ref="B72">IF(INDEX('Registro Diario'!$W$128:$GX$128,1,ROW()-4)="","",INDEX('Registro Diario'!$W$128:$GX$128,1,ROW()-4))</f>
        <v/>
      </c>
      <c r="C72" s="115" t="str">
        <f t="shared" si="2"/>
        <v/>
      </c>
      <c r="D72" s="119" t="str">
        <f t="shared" si="3"/>
        <v/>
      </c>
    </row>
    <row r="73" spans="1:4" x14ac:dyDescent="0.2">
      <c r="A73" s="115" cm="1">
        <f t="array" ref="A73">INDEX('Registro Diario'!$W$1:$GX$1,1,ROW()-4)</f>
        <v>46272</v>
      </c>
      <c r="B73" s="120" t="str" cm="1">
        <f t="array" ref="B73">IF(INDEX('Registro Diario'!$W$128:$GX$128,1,ROW()-4)="","",INDEX('Registro Diario'!$W$128:$GX$128,1,ROW()-4))</f>
        <v/>
      </c>
      <c r="C73" s="115" t="str">
        <f t="shared" si="2"/>
        <v/>
      </c>
      <c r="D73" s="119" t="str">
        <f t="shared" si="3"/>
        <v/>
      </c>
    </row>
    <row r="74" spans="1:4" x14ac:dyDescent="0.2">
      <c r="A74" s="115" cm="1">
        <f t="array" ref="A74">INDEX('Registro Diario'!$W$1:$GX$1,1,ROW()-4)</f>
        <v>46273</v>
      </c>
      <c r="B74" s="120" t="str" cm="1">
        <f t="array" ref="B74">IF(INDEX('Registro Diario'!$W$128:$GX$128,1,ROW()-4)="","",INDEX('Registro Diario'!$W$128:$GX$128,1,ROW()-4))</f>
        <v/>
      </c>
      <c r="C74" s="115" t="str">
        <f t="shared" si="2"/>
        <v/>
      </c>
      <c r="D74" s="119" t="str">
        <f t="shared" si="3"/>
        <v/>
      </c>
    </row>
    <row r="75" spans="1:4" x14ac:dyDescent="0.2">
      <c r="A75" s="115" cm="1">
        <f t="array" ref="A75">INDEX('Registro Diario'!$W$1:$GX$1,1,ROW()-4)</f>
        <v>46274</v>
      </c>
      <c r="B75" s="120" t="str" cm="1">
        <f t="array" ref="B75">IF(INDEX('Registro Diario'!$W$128:$GX$128,1,ROW()-4)="","",INDEX('Registro Diario'!$W$128:$GX$128,1,ROW()-4))</f>
        <v/>
      </c>
      <c r="C75" s="115" t="str">
        <f t="shared" si="2"/>
        <v/>
      </c>
      <c r="D75" s="119" t="str">
        <f t="shared" si="3"/>
        <v/>
      </c>
    </row>
    <row r="76" spans="1:4" x14ac:dyDescent="0.2">
      <c r="A76" s="115" cm="1">
        <f t="array" ref="A76">INDEX('Registro Diario'!$W$1:$GX$1,1,ROW()-4)</f>
        <v>46275</v>
      </c>
      <c r="B76" s="120" t="str" cm="1">
        <f t="array" ref="B76">IF(INDEX('Registro Diario'!$W$128:$GX$128,1,ROW()-4)="","",INDEX('Registro Diario'!$W$128:$GX$128,1,ROW()-4))</f>
        <v/>
      </c>
      <c r="C76" s="115" t="str">
        <f t="shared" si="2"/>
        <v/>
      </c>
      <c r="D76" s="119" t="str">
        <f t="shared" si="3"/>
        <v/>
      </c>
    </row>
    <row r="77" spans="1:4" x14ac:dyDescent="0.2">
      <c r="A77" s="115" cm="1">
        <f t="array" ref="A77">INDEX('Registro Diario'!$W$1:$GX$1,1,ROW()-4)</f>
        <v>46276</v>
      </c>
      <c r="B77" s="120" t="str" cm="1">
        <f t="array" ref="B77">IF(INDEX('Registro Diario'!$W$128:$GX$128,1,ROW()-4)="","",INDEX('Registro Diario'!$W$128:$GX$128,1,ROW()-4))</f>
        <v/>
      </c>
      <c r="C77" s="115" t="str">
        <f t="shared" si="2"/>
        <v/>
      </c>
      <c r="D77" s="119" t="str">
        <f t="shared" si="3"/>
        <v/>
      </c>
    </row>
    <row r="78" spans="1:4" x14ac:dyDescent="0.2">
      <c r="A78" s="115" cm="1">
        <f t="array" ref="A78">INDEX('Registro Diario'!$W$1:$GX$1,1,ROW()-4)</f>
        <v>46277</v>
      </c>
      <c r="B78" s="120" t="str" cm="1">
        <f t="array" ref="B78">IF(INDEX('Registro Diario'!$W$128:$GX$128,1,ROW()-4)="","",INDEX('Registro Diario'!$W$128:$GX$128,1,ROW()-4))</f>
        <v/>
      </c>
      <c r="C78" s="115" t="str">
        <f t="shared" si="2"/>
        <v/>
      </c>
      <c r="D78" s="119" t="str">
        <f t="shared" si="3"/>
        <v/>
      </c>
    </row>
    <row r="79" spans="1:4" x14ac:dyDescent="0.2">
      <c r="A79" s="115" cm="1">
        <f t="array" ref="A79">INDEX('Registro Diario'!$W$1:$GX$1,1,ROW()-4)</f>
        <v>46278</v>
      </c>
      <c r="B79" s="120" t="str" cm="1">
        <f t="array" ref="B79">IF(INDEX('Registro Diario'!$W$128:$GX$128,1,ROW()-4)="","",INDEX('Registro Diario'!$W$128:$GX$128,1,ROW()-4))</f>
        <v/>
      </c>
      <c r="C79" s="115" t="str">
        <f t="shared" si="2"/>
        <v/>
      </c>
      <c r="D79" s="119" t="str">
        <f t="shared" si="3"/>
        <v/>
      </c>
    </row>
    <row r="80" spans="1:4" x14ac:dyDescent="0.2">
      <c r="A80" s="115" cm="1">
        <f t="array" ref="A80">INDEX('Registro Diario'!$W$1:$GX$1,1,ROW()-4)</f>
        <v>46279</v>
      </c>
      <c r="B80" s="120" t="str" cm="1">
        <f t="array" ref="B80">IF(INDEX('Registro Diario'!$W$128:$GX$128,1,ROW()-4)="","",INDEX('Registro Diario'!$W$128:$GX$128,1,ROW()-4))</f>
        <v/>
      </c>
      <c r="C80" s="115" t="str">
        <f t="shared" si="2"/>
        <v/>
      </c>
      <c r="D80" s="119" t="str">
        <f t="shared" si="3"/>
        <v/>
      </c>
    </row>
    <row r="81" spans="1:4" x14ac:dyDescent="0.2">
      <c r="A81" s="115" cm="1">
        <f t="array" ref="A81">INDEX('Registro Diario'!$W$1:$GX$1,1,ROW()-4)</f>
        <v>46280</v>
      </c>
      <c r="B81" s="120" t="str" cm="1">
        <f t="array" ref="B81">IF(INDEX('Registro Diario'!$W$128:$GX$128,1,ROW()-4)="","",INDEX('Registro Diario'!$W$128:$GX$128,1,ROW()-4))</f>
        <v/>
      </c>
      <c r="C81" s="115" t="str">
        <f t="shared" si="2"/>
        <v/>
      </c>
      <c r="D81" s="119" t="str">
        <f t="shared" si="3"/>
        <v/>
      </c>
    </row>
    <row r="82" spans="1:4" x14ac:dyDescent="0.2">
      <c r="A82" s="115" cm="1">
        <f t="array" ref="A82">INDEX('Registro Diario'!$W$1:$GX$1,1,ROW()-4)</f>
        <v>46281</v>
      </c>
      <c r="B82" s="120" t="str" cm="1">
        <f t="array" ref="B82">IF(INDEX('Registro Diario'!$W$128:$GX$128,1,ROW()-4)="","",INDEX('Registro Diario'!$W$128:$GX$128,1,ROW()-4))</f>
        <v/>
      </c>
      <c r="C82" s="115" t="str">
        <f t="shared" si="2"/>
        <v/>
      </c>
      <c r="D82" s="119" t="str">
        <f t="shared" si="3"/>
        <v/>
      </c>
    </row>
    <row r="83" spans="1:4" x14ac:dyDescent="0.2">
      <c r="A83" s="115" cm="1">
        <f t="array" ref="A83">INDEX('Registro Diario'!$W$1:$GX$1,1,ROW()-4)</f>
        <v>46282</v>
      </c>
      <c r="B83" s="120" t="str" cm="1">
        <f t="array" ref="B83">IF(INDEX('Registro Diario'!$W$128:$GX$128,1,ROW()-4)="","",INDEX('Registro Diario'!$W$128:$GX$128,1,ROW()-4))</f>
        <v/>
      </c>
      <c r="C83" s="115" t="str">
        <f t="shared" si="2"/>
        <v/>
      </c>
      <c r="D83" s="119" t="str">
        <f t="shared" si="3"/>
        <v/>
      </c>
    </row>
    <row r="84" spans="1:4" x14ac:dyDescent="0.2">
      <c r="A84" s="115" cm="1">
        <f t="array" ref="A84">INDEX('Registro Diario'!$W$1:$GX$1,1,ROW()-4)</f>
        <v>46283</v>
      </c>
      <c r="B84" s="120" t="str" cm="1">
        <f t="array" ref="B84">IF(INDEX('Registro Diario'!$W$128:$GX$128,1,ROW()-4)="","",INDEX('Registro Diario'!$W$128:$GX$128,1,ROW()-4))</f>
        <v/>
      </c>
      <c r="C84" s="115" t="str">
        <f t="shared" si="2"/>
        <v/>
      </c>
      <c r="D84" s="119" t="str">
        <f t="shared" si="3"/>
        <v/>
      </c>
    </row>
    <row r="85" spans="1:4" x14ac:dyDescent="0.2">
      <c r="A85" s="115" cm="1">
        <f t="array" ref="A85">INDEX('Registro Diario'!$W$1:$GX$1,1,ROW()-4)</f>
        <v>46284</v>
      </c>
      <c r="B85" s="120" t="str" cm="1">
        <f t="array" ref="B85">IF(INDEX('Registro Diario'!$W$128:$GX$128,1,ROW()-4)="","",INDEX('Registro Diario'!$W$128:$GX$128,1,ROW()-4))</f>
        <v/>
      </c>
      <c r="C85" s="115" t="str">
        <f t="shared" si="2"/>
        <v/>
      </c>
      <c r="D85" s="119" t="str">
        <f t="shared" si="3"/>
        <v/>
      </c>
    </row>
    <row r="86" spans="1:4" x14ac:dyDescent="0.2">
      <c r="A86" s="115" cm="1">
        <f t="array" ref="A86">INDEX('Registro Diario'!$W$1:$GX$1,1,ROW()-4)</f>
        <v>46285</v>
      </c>
      <c r="B86" s="120" t="str" cm="1">
        <f t="array" ref="B86">IF(INDEX('Registro Diario'!$W$128:$GX$128,1,ROW()-4)="","",INDEX('Registro Diario'!$W$128:$GX$128,1,ROW()-4))</f>
        <v/>
      </c>
      <c r="C86" s="115" t="str">
        <f t="shared" si="2"/>
        <v/>
      </c>
      <c r="D86" s="119" t="str">
        <f t="shared" si="3"/>
        <v/>
      </c>
    </row>
    <row r="87" spans="1:4" x14ac:dyDescent="0.2">
      <c r="A87" s="115" cm="1">
        <f t="array" ref="A87">INDEX('Registro Diario'!$W$1:$GX$1,1,ROW()-4)</f>
        <v>46286</v>
      </c>
      <c r="B87" s="120" t="str" cm="1">
        <f t="array" ref="B87">IF(INDEX('Registro Diario'!$W$128:$GX$128,1,ROW()-4)="","",INDEX('Registro Diario'!$W$128:$GX$128,1,ROW()-4))</f>
        <v/>
      </c>
      <c r="C87" s="115" t="str">
        <f t="shared" si="2"/>
        <v/>
      </c>
      <c r="D87" s="119" t="str">
        <f t="shared" si="3"/>
        <v/>
      </c>
    </row>
    <row r="88" spans="1:4" x14ac:dyDescent="0.2">
      <c r="A88" s="115" cm="1">
        <f t="array" ref="A88">INDEX('Registro Diario'!$W$1:$GX$1,1,ROW()-4)</f>
        <v>46287</v>
      </c>
      <c r="B88" s="120" t="str" cm="1">
        <f t="array" ref="B88">IF(INDEX('Registro Diario'!$W$128:$GX$128,1,ROW()-4)="","",INDEX('Registro Diario'!$W$128:$GX$128,1,ROW()-4))</f>
        <v/>
      </c>
      <c r="C88" s="115" t="str">
        <f t="shared" si="2"/>
        <v/>
      </c>
      <c r="D88" s="119" t="str">
        <f t="shared" si="3"/>
        <v/>
      </c>
    </row>
    <row r="89" spans="1:4" x14ac:dyDescent="0.2">
      <c r="A89" s="115" cm="1">
        <f t="array" ref="A89">INDEX('Registro Diario'!$W$1:$GX$1,1,ROW()-4)</f>
        <v>46288</v>
      </c>
      <c r="B89" s="120" t="str" cm="1">
        <f t="array" ref="B89">IF(INDEX('Registro Diario'!$W$128:$GX$128,1,ROW()-4)="","",INDEX('Registro Diario'!$W$128:$GX$128,1,ROW()-4))</f>
        <v/>
      </c>
      <c r="C89" s="115" t="str">
        <f t="shared" si="2"/>
        <v/>
      </c>
      <c r="D89" s="119" t="str">
        <f t="shared" si="3"/>
        <v/>
      </c>
    </row>
    <row r="90" spans="1:4" x14ac:dyDescent="0.2">
      <c r="A90" s="115" cm="1">
        <f t="array" ref="A90">INDEX('Registro Diario'!$W$1:$GX$1,1,ROW()-4)</f>
        <v>46289</v>
      </c>
      <c r="B90" s="120" t="str" cm="1">
        <f t="array" ref="B90">IF(INDEX('Registro Diario'!$W$128:$GX$128,1,ROW()-4)="","",INDEX('Registro Diario'!$W$128:$GX$128,1,ROW()-4))</f>
        <v/>
      </c>
      <c r="C90" s="115" t="str">
        <f t="shared" si="2"/>
        <v/>
      </c>
      <c r="D90" s="119" t="str">
        <f t="shared" si="3"/>
        <v/>
      </c>
    </row>
    <row r="91" spans="1:4" x14ac:dyDescent="0.2">
      <c r="A91" s="115" cm="1">
        <f t="array" ref="A91">INDEX('Registro Diario'!$W$1:$GX$1,1,ROW()-4)</f>
        <v>46290</v>
      </c>
      <c r="B91" s="120" t="str" cm="1">
        <f t="array" ref="B91">IF(INDEX('Registro Diario'!$W$128:$GX$128,1,ROW()-4)="","",INDEX('Registro Diario'!$W$128:$GX$128,1,ROW()-4))</f>
        <v/>
      </c>
      <c r="C91" s="115" t="str">
        <f t="shared" si="2"/>
        <v/>
      </c>
      <c r="D91" s="119" t="str">
        <f t="shared" si="3"/>
        <v/>
      </c>
    </row>
    <row r="92" spans="1:4" x14ac:dyDescent="0.2">
      <c r="A92" s="115" cm="1">
        <f t="array" ref="A92">INDEX('Registro Diario'!$W$1:$GX$1,1,ROW()-4)</f>
        <v>46291</v>
      </c>
      <c r="B92" s="120" t="str" cm="1">
        <f t="array" ref="B92">IF(INDEX('Registro Diario'!$W$128:$GX$128,1,ROW()-4)="","",INDEX('Registro Diario'!$W$128:$GX$128,1,ROW()-4))</f>
        <v/>
      </c>
      <c r="C92" s="115" t="str">
        <f t="shared" si="2"/>
        <v/>
      </c>
      <c r="D92" s="119" t="str">
        <f t="shared" si="3"/>
        <v/>
      </c>
    </row>
    <row r="93" spans="1:4" x14ac:dyDescent="0.2">
      <c r="A93" s="115" cm="1">
        <f t="array" ref="A93">INDEX('Registro Diario'!$W$1:$GX$1,1,ROW()-4)</f>
        <v>46292</v>
      </c>
      <c r="B93" s="120" t="str" cm="1">
        <f t="array" ref="B93">IF(INDEX('Registro Diario'!$W$128:$GX$128,1,ROW()-4)="","",INDEX('Registro Diario'!$W$128:$GX$128,1,ROW()-4))</f>
        <v/>
      </c>
      <c r="C93" s="115" t="str">
        <f t="shared" si="2"/>
        <v/>
      </c>
      <c r="D93" s="119" t="str">
        <f t="shared" si="3"/>
        <v/>
      </c>
    </row>
    <row r="94" spans="1:4" x14ac:dyDescent="0.2">
      <c r="A94" s="115" cm="1">
        <f t="array" ref="A94">INDEX('Registro Diario'!$W$1:$GX$1,1,ROW()-4)</f>
        <v>46293</v>
      </c>
      <c r="B94" s="120" t="str" cm="1">
        <f t="array" ref="B94">IF(INDEX('Registro Diario'!$W$128:$GX$128,1,ROW()-4)="","",INDEX('Registro Diario'!$W$128:$GX$128,1,ROW()-4))</f>
        <v/>
      </c>
      <c r="C94" s="115" t="str">
        <f t="shared" si="2"/>
        <v/>
      </c>
      <c r="D94" s="119" t="str">
        <f t="shared" si="3"/>
        <v/>
      </c>
    </row>
    <row r="95" spans="1:4" x14ac:dyDescent="0.2">
      <c r="A95" s="115" cm="1">
        <f t="array" ref="A95">INDEX('Registro Diario'!$W$1:$GX$1,1,ROW()-4)</f>
        <v>46294</v>
      </c>
      <c r="B95" s="120" t="str" cm="1">
        <f t="array" ref="B95">IF(INDEX('Registro Diario'!$W$128:$GX$128,1,ROW()-4)="","",INDEX('Registro Diario'!$W$128:$GX$128,1,ROW()-4))</f>
        <v/>
      </c>
      <c r="C95" s="115" t="str">
        <f t="shared" si="2"/>
        <v/>
      </c>
      <c r="D95" s="119" t="str">
        <f t="shared" si="3"/>
        <v/>
      </c>
    </row>
    <row r="96" spans="1:4" x14ac:dyDescent="0.2">
      <c r="A96" s="115" cm="1">
        <f t="array" ref="A96">INDEX('Registro Diario'!$W$1:$GX$1,1,ROW()-4)</f>
        <v>46295</v>
      </c>
      <c r="B96" s="120" t="str" cm="1">
        <f t="array" ref="B96">IF(INDEX('Registro Diario'!$W$128:$GX$128,1,ROW()-4)="","",INDEX('Registro Diario'!$W$128:$GX$128,1,ROW()-4))</f>
        <v/>
      </c>
      <c r="C96" s="115" t="str">
        <f t="shared" si="2"/>
        <v/>
      </c>
      <c r="D96" s="119" t="str">
        <f t="shared" si="3"/>
        <v/>
      </c>
    </row>
    <row r="97" spans="1:4" x14ac:dyDescent="0.2">
      <c r="A97" s="115" cm="1">
        <f t="array" ref="A97">INDEX('Registro Diario'!$W$1:$GX$1,1,ROW()-4)</f>
        <v>46296</v>
      </c>
      <c r="B97" s="120" t="str" cm="1">
        <f t="array" ref="B97">IF(INDEX('Registro Diario'!$W$128:$GX$128,1,ROW()-4)="","",INDEX('Registro Diario'!$W$128:$GX$128,1,ROW()-4))</f>
        <v/>
      </c>
      <c r="C97" s="115" t="str">
        <f t="shared" si="2"/>
        <v/>
      </c>
      <c r="D97" s="119" t="str">
        <f t="shared" si="3"/>
        <v/>
      </c>
    </row>
    <row r="98" spans="1:4" x14ac:dyDescent="0.2">
      <c r="A98" s="115" cm="1">
        <f t="array" ref="A98">INDEX('Registro Diario'!$W$1:$GX$1,1,ROW()-4)</f>
        <v>46297</v>
      </c>
      <c r="B98" s="120" t="str" cm="1">
        <f t="array" ref="B98">IF(INDEX('Registro Diario'!$W$128:$GX$128,1,ROW()-4)="","",INDEX('Registro Diario'!$W$128:$GX$128,1,ROW()-4))</f>
        <v/>
      </c>
      <c r="C98" s="115" t="str">
        <f t="shared" si="2"/>
        <v/>
      </c>
      <c r="D98" s="119" t="str">
        <f t="shared" si="3"/>
        <v/>
      </c>
    </row>
    <row r="99" spans="1:4" x14ac:dyDescent="0.2">
      <c r="A99" s="115" cm="1">
        <f t="array" ref="A99">INDEX('Registro Diario'!$W$1:$GX$1,1,ROW()-4)</f>
        <v>46298</v>
      </c>
      <c r="B99" s="120" t="str" cm="1">
        <f t="array" ref="B99">IF(INDEX('Registro Diario'!$W$128:$GX$128,1,ROW()-4)="","",INDEX('Registro Diario'!$W$128:$GX$128,1,ROW()-4))</f>
        <v/>
      </c>
      <c r="C99" s="115" t="str">
        <f t="shared" si="2"/>
        <v/>
      </c>
      <c r="D99" s="119" t="str">
        <f t="shared" si="3"/>
        <v/>
      </c>
    </row>
    <row r="100" spans="1:4" x14ac:dyDescent="0.2">
      <c r="A100" s="115" cm="1">
        <f t="array" ref="A100">INDEX('Registro Diario'!$W$1:$GX$1,1,ROW()-4)</f>
        <v>46299</v>
      </c>
      <c r="B100" s="120" t="str" cm="1">
        <f t="array" ref="B100">IF(INDEX('Registro Diario'!$W$128:$GX$128,1,ROW()-4)="","",INDEX('Registro Diario'!$W$128:$GX$128,1,ROW()-4))</f>
        <v/>
      </c>
      <c r="C100" s="115" t="str">
        <f t="shared" si="2"/>
        <v/>
      </c>
      <c r="D100" s="119" t="str">
        <f t="shared" si="3"/>
        <v/>
      </c>
    </row>
    <row r="101" spans="1:4" x14ac:dyDescent="0.2">
      <c r="A101" s="115" cm="1">
        <f t="array" ref="A101">INDEX('Registro Diario'!$W$1:$GX$1,1,ROW()-4)</f>
        <v>46300</v>
      </c>
      <c r="B101" s="120" t="str" cm="1">
        <f t="array" ref="B101">IF(INDEX('Registro Diario'!$W$128:$GX$128,1,ROW()-4)="","",INDEX('Registro Diario'!$W$128:$GX$128,1,ROW()-4))</f>
        <v/>
      </c>
      <c r="C101" s="115" t="str">
        <f t="shared" si="2"/>
        <v/>
      </c>
      <c r="D101" s="119" t="str">
        <f t="shared" si="3"/>
        <v/>
      </c>
    </row>
    <row r="102" spans="1:4" x14ac:dyDescent="0.2">
      <c r="A102" s="115" cm="1">
        <f t="array" ref="A102">INDEX('Registro Diario'!$W$1:$GX$1,1,ROW()-4)</f>
        <v>46301</v>
      </c>
      <c r="B102" s="120" t="str" cm="1">
        <f t="array" ref="B102">IF(INDEX('Registro Diario'!$W$128:$GX$128,1,ROW()-4)="","",INDEX('Registro Diario'!$W$128:$GX$128,1,ROW()-4))</f>
        <v/>
      </c>
      <c r="C102" s="115" t="str">
        <f t="shared" si="2"/>
        <v/>
      </c>
      <c r="D102" s="119" t="str">
        <f t="shared" si="3"/>
        <v/>
      </c>
    </row>
    <row r="103" spans="1:4" x14ac:dyDescent="0.2">
      <c r="A103" s="115" cm="1">
        <f t="array" ref="A103">INDEX('Registro Diario'!$W$1:$GX$1,1,ROW()-4)</f>
        <v>46302</v>
      </c>
      <c r="B103" s="120" t="str" cm="1">
        <f t="array" ref="B103">IF(INDEX('Registro Diario'!$W$128:$GX$128,1,ROW()-4)="","",INDEX('Registro Diario'!$W$128:$GX$128,1,ROW()-4))</f>
        <v/>
      </c>
      <c r="C103" s="115" t="str">
        <f t="shared" si="2"/>
        <v/>
      </c>
      <c r="D103" s="119" t="str">
        <f t="shared" si="3"/>
        <v/>
      </c>
    </row>
    <row r="104" spans="1:4" x14ac:dyDescent="0.2">
      <c r="A104" s="115" cm="1">
        <f t="array" ref="A104">INDEX('Registro Diario'!$W$1:$GX$1,1,ROW()-4)</f>
        <v>46303</v>
      </c>
      <c r="B104" s="120" t="str" cm="1">
        <f t="array" ref="B104">IF(INDEX('Registro Diario'!$W$128:$GX$128,1,ROW()-4)="","",INDEX('Registro Diario'!$W$128:$GX$128,1,ROW()-4))</f>
        <v/>
      </c>
      <c r="C104" s="115" t="str">
        <f t="shared" si="2"/>
        <v/>
      </c>
      <c r="D104" s="119" t="str">
        <f t="shared" si="3"/>
        <v/>
      </c>
    </row>
    <row r="105" spans="1:4" x14ac:dyDescent="0.2">
      <c r="A105" s="115" cm="1">
        <f t="array" ref="A105">INDEX('Registro Diario'!$W$1:$GX$1,1,ROW()-4)</f>
        <v>46304</v>
      </c>
      <c r="B105" s="120" t="str" cm="1">
        <f t="array" ref="B105">IF(INDEX('Registro Diario'!$W$128:$GX$128,1,ROW()-4)="","",INDEX('Registro Diario'!$W$128:$GX$128,1,ROW()-4))</f>
        <v/>
      </c>
      <c r="C105" s="115" t="str">
        <f t="shared" si="2"/>
        <v/>
      </c>
      <c r="D105" s="119" t="str">
        <f t="shared" si="3"/>
        <v/>
      </c>
    </row>
    <row r="106" spans="1:4" x14ac:dyDescent="0.2">
      <c r="A106" s="115" cm="1">
        <f t="array" ref="A106">INDEX('Registro Diario'!$W$1:$GX$1,1,ROW()-4)</f>
        <v>46305</v>
      </c>
      <c r="B106" s="120" t="str" cm="1">
        <f t="array" ref="B106">IF(INDEX('Registro Diario'!$W$128:$GX$128,1,ROW()-4)="","",INDEX('Registro Diario'!$W$128:$GX$128,1,ROW()-4))</f>
        <v/>
      </c>
      <c r="C106" s="115" t="str">
        <f t="shared" si="2"/>
        <v/>
      </c>
      <c r="D106" s="119" t="str">
        <f t="shared" si="3"/>
        <v/>
      </c>
    </row>
    <row r="107" spans="1:4" x14ac:dyDescent="0.2">
      <c r="A107" s="115" cm="1">
        <f t="array" ref="A107">INDEX('Registro Diario'!$W$1:$GX$1,1,ROW()-4)</f>
        <v>46306</v>
      </c>
      <c r="B107" s="120" t="str" cm="1">
        <f t="array" ref="B107">IF(INDEX('Registro Diario'!$W$128:$GX$128,1,ROW()-4)="","",INDEX('Registro Diario'!$W$128:$GX$128,1,ROW()-4))</f>
        <v/>
      </c>
      <c r="C107" s="115" t="str">
        <f t="shared" si="2"/>
        <v/>
      </c>
      <c r="D107" s="119" t="str">
        <f t="shared" si="3"/>
        <v/>
      </c>
    </row>
    <row r="108" spans="1:4" x14ac:dyDescent="0.2">
      <c r="A108" s="115" cm="1">
        <f t="array" ref="A108">INDEX('Registro Diario'!$W$1:$GX$1,1,ROW()-4)</f>
        <v>46307</v>
      </c>
      <c r="B108" s="120" t="str" cm="1">
        <f t="array" ref="B108">IF(INDEX('Registro Diario'!$W$128:$GX$128,1,ROW()-4)="","",INDEX('Registro Diario'!$W$128:$GX$128,1,ROW()-4))</f>
        <v/>
      </c>
      <c r="C108" s="115" t="str">
        <f t="shared" si="2"/>
        <v/>
      </c>
      <c r="D108" s="119" t="str">
        <f t="shared" si="3"/>
        <v/>
      </c>
    </row>
    <row r="109" spans="1:4" x14ac:dyDescent="0.2">
      <c r="A109" s="115" cm="1">
        <f t="array" ref="A109">INDEX('Registro Diario'!$W$1:$GX$1,1,ROW()-4)</f>
        <v>46308</v>
      </c>
      <c r="B109" s="120" t="str" cm="1">
        <f t="array" ref="B109">IF(INDEX('Registro Diario'!$W$128:$GX$128,1,ROW()-4)="","",INDEX('Registro Diario'!$W$128:$GX$128,1,ROW()-4))</f>
        <v/>
      </c>
      <c r="C109" s="115" t="str">
        <f t="shared" si="2"/>
        <v/>
      </c>
      <c r="D109" s="119" t="str">
        <f t="shared" si="3"/>
        <v/>
      </c>
    </row>
    <row r="110" spans="1:4" x14ac:dyDescent="0.2">
      <c r="A110" s="115" cm="1">
        <f t="array" ref="A110">INDEX('Registro Diario'!$W$1:$GX$1,1,ROW()-4)</f>
        <v>46309</v>
      </c>
      <c r="B110" s="120" t="str" cm="1">
        <f t="array" ref="B110">IF(INDEX('Registro Diario'!$W$128:$GX$128,1,ROW()-4)="","",INDEX('Registro Diario'!$W$128:$GX$128,1,ROW()-4))</f>
        <v/>
      </c>
      <c r="C110" s="115" t="str">
        <f t="shared" si="2"/>
        <v/>
      </c>
      <c r="D110" s="119" t="str">
        <f t="shared" si="3"/>
        <v/>
      </c>
    </row>
    <row r="111" spans="1:4" x14ac:dyDescent="0.2">
      <c r="A111" s="115" cm="1">
        <f t="array" ref="A111">INDEX('Registro Diario'!$W$1:$GX$1,1,ROW()-4)</f>
        <v>46310</v>
      </c>
      <c r="B111" s="120" t="str" cm="1">
        <f t="array" ref="B111">IF(INDEX('Registro Diario'!$W$128:$GX$128,1,ROW()-4)="","",INDEX('Registro Diario'!$W$128:$GX$128,1,ROW()-4))</f>
        <v/>
      </c>
      <c r="C111" s="115" t="str">
        <f t="shared" si="2"/>
        <v/>
      </c>
      <c r="D111" s="119" t="str">
        <f t="shared" si="3"/>
        <v/>
      </c>
    </row>
    <row r="112" spans="1:4" x14ac:dyDescent="0.2">
      <c r="A112" s="115" cm="1">
        <f t="array" ref="A112">INDEX('Registro Diario'!$W$1:$GX$1,1,ROW()-4)</f>
        <v>46311</v>
      </c>
      <c r="B112" s="120" t="str" cm="1">
        <f t="array" ref="B112">IF(INDEX('Registro Diario'!$W$128:$GX$128,1,ROW()-4)="","",INDEX('Registro Diario'!$W$128:$GX$128,1,ROW()-4))</f>
        <v/>
      </c>
      <c r="C112" s="115" t="str">
        <f t="shared" si="2"/>
        <v/>
      </c>
      <c r="D112" s="119" t="str">
        <f t="shared" si="3"/>
        <v/>
      </c>
    </row>
    <row r="113" spans="1:4" x14ac:dyDescent="0.2">
      <c r="A113" s="115" cm="1">
        <f t="array" ref="A113">INDEX('Registro Diario'!$W$1:$GX$1,1,ROW()-4)</f>
        <v>46312</v>
      </c>
      <c r="B113" s="120" t="str" cm="1">
        <f t="array" ref="B113">IF(INDEX('Registro Diario'!$W$128:$GX$128,1,ROW()-4)="","",INDEX('Registro Diario'!$W$128:$GX$128,1,ROW()-4))</f>
        <v/>
      </c>
      <c r="C113" s="115" t="str">
        <f t="shared" si="2"/>
        <v/>
      </c>
      <c r="D113" s="119" t="str">
        <f t="shared" si="3"/>
        <v/>
      </c>
    </row>
    <row r="114" spans="1:4" x14ac:dyDescent="0.2">
      <c r="A114" s="115" cm="1">
        <f t="array" ref="A114">INDEX('Registro Diario'!$W$1:$GX$1,1,ROW()-4)</f>
        <v>46313</v>
      </c>
      <c r="B114" s="120" t="str" cm="1">
        <f t="array" ref="B114">IF(INDEX('Registro Diario'!$W$128:$GX$128,1,ROW()-4)="","",INDEX('Registro Diario'!$W$128:$GX$128,1,ROW()-4))</f>
        <v/>
      </c>
      <c r="C114" s="115" t="str">
        <f t="shared" si="2"/>
        <v/>
      </c>
      <c r="D114" s="119" t="str">
        <f t="shared" si="3"/>
        <v/>
      </c>
    </row>
    <row r="115" spans="1:4" x14ac:dyDescent="0.2">
      <c r="A115" s="115" cm="1">
        <f t="array" ref="A115">INDEX('Registro Diario'!$W$1:$GX$1,1,ROW()-4)</f>
        <v>46314</v>
      </c>
      <c r="B115" s="120" t="str" cm="1">
        <f t="array" ref="B115">IF(INDEX('Registro Diario'!$W$128:$GX$128,1,ROW()-4)="","",INDEX('Registro Diario'!$W$128:$GX$128,1,ROW()-4))</f>
        <v/>
      </c>
      <c r="C115" s="115" t="str">
        <f t="shared" si="2"/>
        <v/>
      </c>
      <c r="D115" s="119" t="str">
        <f t="shared" si="3"/>
        <v/>
      </c>
    </row>
    <row r="116" spans="1:4" x14ac:dyDescent="0.2">
      <c r="A116" s="115" cm="1">
        <f t="array" ref="A116">INDEX('Registro Diario'!$W$1:$GX$1,1,ROW()-4)</f>
        <v>46315</v>
      </c>
      <c r="B116" s="120" t="str" cm="1">
        <f t="array" ref="B116">IF(INDEX('Registro Diario'!$W$128:$GX$128,1,ROW()-4)="","",INDEX('Registro Diario'!$W$128:$GX$128,1,ROW()-4))</f>
        <v/>
      </c>
      <c r="C116" s="115" t="str">
        <f t="shared" si="2"/>
        <v/>
      </c>
      <c r="D116" s="119" t="str">
        <f t="shared" si="3"/>
        <v/>
      </c>
    </row>
    <row r="117" spans="1:4" x14ac:dyDescent="0.2">
      <c r="A117" s="115" cm="1">
        <f t="array" ref="A117">INDEX('Registro Diario'!$W$1:$GX$1,1,ROW()-4)</f>
        <v>46316</v>
      </c>
      <c r="B117" s="120" t="str" cm="1">
        <f t="array" ref="B117">IF(INDEX('Registro Diario'!$W$128:$GX$128,1,ROW()-4)="","",INDEX('Registro Diario'!$W$128:$GX$128,1,ROW()-4))</f>
        <v/>
      </c>
      <c r="C117" s="115" t="str">
        <f t="shared" si="2"/>
        <v/>
      </c>
      <c r="D117" s="119" t="str">
        <f t="shared" si="3"/>
        <v/>
      </c>
    </row>
    <row r="118" spans="1:4" x14ac:dyDescent="0.2">
      <c r="A118" s="115" cm="1">
        <f t="array" ref="A118">INDEX('Registro Diario'!$W$1:$GX$1,1,ROW()-4)</f>
        <v>46317</v>
      </c>
      <c r="B118" s="120" t="str" cm="1">
        <f t="array" ref="B118">IF(INDEX('Registro Diario'!$W$128:$GX$128,1,ROW()-4)="","",INDEX('Registro Diario'!$W$128:$GX$128,1,ROW()-4))</f>
        <v/>
      </c>
      <c r="C118" s="115" t="str">
        <f t="shared" si="2"/>
        <v/>
      </c>
      <c r="D118" s="119" t="str">
        <f t="shared" si="3"/>
        <v/>
      </c>
    </row>
    <row r="119" spans="1:4" x14ac:dyDescent="0.2">
      <c r="A119" s="115" cm="1">
        <f t="array" ref="A119">INDEX('Registro Diario'!$W$1:$GX$1,1,ROW()-4)</f>
        <v>46318</v>
      </c>
      <c r="B119" s="120" t="str" cm="1">
        <f t="array" ref="B119">IF(INDEX('Registro Diario'!$W$128:$GX$128,1,ROW()-4)="","",INDEX('Registro Diario'!$W$128:$GX$128,1,ROW()-4))</f>
        <v/>
      </c>
      <c r="C119" s="115" t="str">
        <f t="shared" si="2"/>
        <v/>
      </c>
      <c r="D119" s="119" t="str">
        <f t="shared" si="3"/>
        <v/>
      </c>
    </row>
    <row r="120" spans="1:4" x14ac:dyDescent="0.2">
      <c r="A120" s="115" cm="1">
        <f t="array" ref="A120">INDEX('Registro Diario'!$W$1:$GX$1,1,ROW()-4)</f>
        <v>46319</v>
      </c>
      <c r="B120" s="120" t="str" cm="1">
        <f t="array" ref="B120">IF(INDEX('Registro Diario'!$W$128:$GX$128,1,ROW()-4)="","",INDEX('Registro Diario'!$W$128:$GX$128,1,ROW()-4))</f>
        <v/>
      </c>
      <c r="C120" s="115" t="str">
        <f t="shared" si="2"/>
        <v/>
      </c>
      <c r="D120" s="119" t="str">
        <f t="shared" si="3"/>
        <v/>
      </c>
    </row>
    <row r="121" spans="1:4" x14ac:dyDescent="0.2">
      <c r="A121" s="115" cm="1">
        <f t="array" ref="A121">INDEX('Registro Diario'!$W$1:$GX$1,1,ROW()-4)</f>
        <v>46320</v>
      </c>
      <c r="B121" s="120" t="str" cm="1">
        <f t="array" ref="B121">IF(INDEX('Registro Diario'!$W$128:$GX$128,1,ROW()-4)="","",INDEX('Registro Diario'!$W$128:$GX$128,1,ROW()-4))</f>
        <v/>
      </c>
      <c r="C121" s="115" t="str">
        <f t="shared" si="2"/>
        <v/>
      </c>
      <c r="D121" s="119" t="str">
        <f t="shared" si="3"/>
        <v/>
      </c>
    </row>
    <row r="122" spans="1:4" x14ac:dyDescent="0.2">
      <c r="A122" s="115" cm="1">
        <f t="array" ref="A122">INDEX('Registro Diario'!$W$1:$GX$1,1,ROW()-4)</f>
        <v>46321</v>
      </c>
      <c r="B122" s="120" t="str" cm="1">
        <f t="array" ref="B122">IF(INDEX('Registro Diario'!$W$128:$GX$128,1,ROW()-4)="","",INDEX('Registro Diario'!$W$128:$GX$128,1,ROW()-4))</f>
        <v/>
      </c>
      <c r="C122" s="115" t="str">
        <f t="shared" si="2"/>
        <v/>
      </c>
      <c r="D122" s="119" t="str">
        <f t="shared" si="3"/>
        <v/>
      </c>
    </row>
    <row r="123" spans="1:4" x14ac:dyDescent="0.2">
      <c r="A123" s="115" cm="1">
        <f t="array" ref="A123">INDEX('Registro Diario'!$W$1:$GX$1,1,ROW()-4)</f>
        <v>46322</v>
      </c>
      <c r="B123" s="120" t="str" cm="1">
        <f t="array" ref="B123">IF(INDEX('Registro Diario'!$W$128:$GX$128,1,ROW()-4)="","",INDEX('Registro Diario'!$W$128:$GX$128,1,ROW()-4))</f>
        <v/>
      </c>
      <c r="C123" s="115" t="str">
        <f t="shared" si="2"/>
        <v/>
      </c>
      <c r="D123" s="119" t="str">
        <f t="shared" si="3"/>
        <v/>
      </c>
    </row>
    <row r="124" spans="1:4" x14ac:dyDescent="0.2">
      <c r="A124" s="115" cm="1">
        <f t="array" ref="A124">INDEX('Registro Diario'!$W$1:$GX$1,1,ROW()-4)</f>
        <v>46323</v>
      </c>
      <c r="B124" s="120" t="str" cm="1">
        <f t="array" ref="B124">IF(INDEX('Registro Diario'!$W$128:$GX$128,1,ROW()-4)="","",INDEX('Registro Diario'!$W$128:$GX$128,1,ROW()-4))</f>
        <v/>
      </c>
      <c r="C124" s="115" t="str">
        <f t="shared" si="2"/>
        <v/>
      </c>
      <c r="D124" s="119" t="str">
        <f t="shared" si="3"/>
        <v/>
      </c>
    </row>
    <row r="125" spans="1:4" x14ac:dyDescent="0.2">
      <c r="A125" s="115" cm="1">
        <f t="array" ref="A125">INDEX('Registro Diario'!$W$1:$GX$1,1,ROW()-4)</f>
        <v>46324</v>
      </c>
      <c r="B125" s="120" t="str" cm="1">
        <f t="array" ref="B125">IF(INDEX('Registro Diario'!$W$128:$GX$128,1,ROW()-4)="","",INDEX('Registro Diario'!$W$128:$GX$128,1,ROW()-4))</f>
        <v/>
      </c>
      <c r="C125" s="115" t="str">
        <f t="shared" si="2"/>
        <v/>
      </c>
      <c r="D125" s="119" t="str">
        <f t="shared" si="3"/>
        <v/>
      </c>
    </row>
    <row r="126" spans="1:4" x14ac:dyDescent="0.2">
      <c r="A126" s="115" cm="1">
        <f t="array" ref="A126">INDEX('Registro Diario'!$W$1:$GX$1,1,ROW()-4)</f>
        <v>46325</v>
      </c>
      <c r="B126" s="120" t="str" cm="1">
        <f t="array" ref="B126">IF(INDEX('Registro Diario'!$W$128:$GX$128,1,ROW()-4)="","",INDEX('Registro Diario'!$W$128:$GX$128,1,ROW()-4))</f>
        <v/>
      </c>
      <c r="C126" s="115" t="str">
        <f t="shared" si="2"/>
        <v/>
      </c>
      <c r="D126" s="119" t="str">
        <f t="shared" si="3"/>
        <v/>
      </c>
    </row>
    <row r="127" spans="1:4" x14ac:dyDescent="0.2">
      <c r="A127" s="115" cm="1">
        <f t="array" ref="A127">INDEX('Registro Diario'!$W$1:$GX$1,1,ROW()-4)</f>
        <v>46326</v>
      </c>
      <c r="B127" s="120" t="str" cm="1">
        <f t="array" ref="B127">IF(INDEX('Registro Diario'!$W$128:$GX$128,1,ROW()-4)="","",INDEX('Registro Diario'!$W$128:$GX$128,1,ROW()-4))</f>
        <v/>
      </c>
      <c r="C127" s="115" t="str">
        <f t="shared" si="2"/>
        <v/>
      </c>
      <c r="D127" s="119" t="str">
        <f t="shared" si="3"/>
        <v/>
      </c>
    </row>
    <row r="128" spans="1:4" x14ac:dyDescent="0.2">
      <c r="A128" s="115" cm="1">
        <f t="array" ref="A128">INDEX('Registro Diario'!$W$1:$GX$1,1,ROW()-4)</f>
        <v>46327</v>
      </c>
      <c r="B128" s="120" t="str" cm="1">
        <f t="array" ref="B128">IF(INDEX('Registro Diario'!$W$128:$GX$128,1,ROW()-4)="","",INDEX('Registro Diario'!$W$128:$GX$128,1,ROW()-4))</f>
        <v/>
      </c>
      <c r="C128" s="115" t="str">
        <f t="shared" si="2"/>
        <v/>
      </c>
      <c r="D128" s="119" t="str">
        <f t="shared" si="3"/>
        <v/>
      </c>
    </row>
    <row r="129" spans="1:4" x14ac:dyDescent="0.2">
      <c r="A129" s="115" cm="1">
        <f t="array" ref="A129">INDEX('Registro Diario'!$W$1:$GX$1,1,ROW()-4)</f>
        <v>46328</v>
      </c>
      <c r="B129" s="120" t="str" cm="1">
        <f t="array" ref="B129">IF(INDEX('Registro Diario'!$W$128:$GX$128,1,ROW()-4)="","",INDEX('Registro Diario'!$W$128:$GX$128,1,ROW()-4))</f>
        <v/>
      </c>
      <c r="C129" s="115" t="str">
        <f t="shared" si="2"/>
        <v/>
      </c>
      <c r="D129" s="119" t="str">
        <f t="shared" si="3"/>
        <v/>
      </c>
    </row>
    <row r="130" spans="1:4" x14ac:dyDescent="0.2">
      <c r="A130" s="115" cm="1">
        <f t="array" ref="A130">INDEX('Registro Diario'!$W$1:$GX$1,1,ROW()-4)</f>
        <v>46329</v>
      </c>
      <c r="B130" s="120" t="str" cm="1">
        <f t="array" ref="B130">IF(INDEX('Registro Diario'!$W$128:$GX$128,1,ROW()-4)="","",INDEX('Registro Diario'!$W$128:$GX$128,1,ROW()-4))</f>
        <v/>
      </c>
      <c r="C130" s="115" t="str">
        <f t="shared" si="2"/>
        <v/>
      </c>
      <c r="D130" s="119" t="str">
        <f t="shared" si="3"/>
        <v/>
      </c>
    </row>
    <row r="131" spans="1:4" x14ac:dyDescent="0.2">
      <c r="A131" s="115" cm="1">
        <f t="array" ref="A131">INDEX('Registro Diario'!$W$1:$GX$1,1,ROW()-4)</f>
        <v>46330</v>
      </c>
      <c r="B131" s="120" t="str" cm="1">
        <f t="array" ref="B131">IF(INDEX('Registro Diario'!$W$128:$GX$128,1,ROW()-4)="","",INDEX('Registro Diario'!$W$128:$GX$128,1,ROW()-4))</f>
        <v/>
      </c>
      <c r="C131" s="115" t="str">
        <f t="shared" si="2"/>
        <v/>
      </c>
      <c r="D131" s="119" t="str">
        <f t="shared" si="3"/>
        <v/>
      </c>
    </row>
    <row r="132" spans="1:4" x14ac:dyDescent="0.2">
      <c r="A132" s="115" cm="1">
        <f t="array" ref="A132">INDEX('Registro Diario'!$W$1:$GX$1,1,ROW()-4)</f>
        <v>46331</v>
      </c>
      <c r="B132" s="120" t="str" cm="1">
        <f t="array" ref="B132">IF(INDEX('Registro Diario'!$W$128:$GX$128,1,ROW()-4)="","",INDEX('Registro Diario'!$W$128:$GX$128,1,ROW()-4))</f>
        <v/>
      </c>
      <c r="C132" s="115" t="str">
        <f t="shared" si="2"/>
        <v/>
      </c>
      <c r="D132" s="119" t="str">
        <f t="shared" si="3"/>
        <v/>
      </c>
    </row>
    <row r="133" spans="1:4" x14ac:dyDescent="0.2">
      <c r="A133" s="115" cm="1">
        <f t="array" ref="A133">INDEX('Registro Diario'!$W$1:$GX$1,1,ROW()-4)</f>
        <v>46332</v>
      </c>
      <c r="B133" s="120" t="str" cm="1">
        <f t="array" ref="B133">IF(INDEX('Registro Diario'!$W$128:$GX$128,1,ROW()-4)="","",INDEX('Registro Diario'!$W$128:$GX$128,1,ROW()-4))</f>
        <v/>
      </c>
      <c r="C133" s="115" t="str">
        <f t="shared" si="2"/>
        <v/>
      </c>
      <c r="D133" s="119" t="str">
        <f t="shared" si="3"/>
        <v/>
      </c>
    </row>
    <row r="134" spans="1:4" x14ac:dyDescent="0.2">
      <c r="A134" s="115" cm="1">
        <f t="array" ref="A134">INDEX('Registro Diario'!$W$1:$GX$1,1,ROW()-4)</f>
        <v>46333</v>
      </c>
      <c r="B134" s="120" t="str" cm="1">
        <f t="array" ref="B134">IF(INDEX('Registro Diario'!$W$128:$GX$128,1,ROW()-4)="","",INDEX('Registro Diario'!$W$128:$GX$128,1,ROW()-4))</f>
        <v/>
      </c>
      <c r="C134" s="115" t="str">
        <f t="shared" ref="C134:C188" si="4">IFERROR(IF(AND(N(B134)&lt;&gt;0,A134&gt;=$B$2,A134&lt;=$D$2),A134,NA()),"")</f>
        <v/>
      </c>
      <c r="D134" s="119" t="str">
        <f t="shared" ref="D134:D188" si="5">IFERROR(IF(ISNA(C134),NA(),B134),"")</f>
        <v/>
      </c>
    </row>
    <row r="135" spans="1:4" x14ac:dyDescent="0.2">
      <c r="A135" s="115" cm="1">
        <f t="array" ref="A135">INDEX('Registro Diario'!$W$1:$GX$1,1,ROW()-4)</f>
        <v>46334</v>
      </c>
      <c r="B135" s="120" t="str" cm="1">
        <f t="array" ref="B135">IF(INDEX('Registro Diario'!$W$128:$GX$128,1,ROW()-4)="","",INDEX('Registro Diario'!$W$128:$GX$128,1,ROW()-4))</f>
        <v/>
      </c>
      <c r="C135" s="115" t="str">
        <f t="shared" si="4"/>
        <v/>
      </c>
      <c r="D135" s="119" t="str">
        <f t="shared" si="5"/>
        <v/>
      </c>
    </row>
    <row r="136" spans="1:4" x14ac:dyDescent="0.2">
      <c r="A136" s="115" cm="1">
        <f t="array" ref="A136">INDEX('Registro Diario'!$W$1:$GX$1,1,ROW()-4)</f>
        <v>46335</v>
      </c>
      <c r="B136" s="120" t="str" cm="1">
        <f t="array" ref="B136">IF(INDEX('Registro Diario'!$W$128:$GX$128,1,ROW()-4)="","",INDEX('Registro Diario'!$W$128:$GX$128,1,ROW()-4))</f>
        <v/>
      </c>
      <c r="C136" s="115" t="str">
        <f t="shared" si="4"/>
        <v/>
      </c>
      <c r="D136" s="119" t="str">
        <f t="shared" si="5"/>
        <v/>
      </c>
    </row>
    <row r="137" spans="1:4" x14ac:dyDescent="0.2">
      <c r="A137" s="115" cm="1">
        <f t="array" ref="A137">INDEX('Registro Diario'!$W$1:$GX$1,1,ROW()-4)</f>
        <v>46336</v>
      </c>
      <c r="B137" s="120" t="str" cm="1">
        <f t="array" ref="B137">IF(INDEX('Registro Diario'!$W$128:$GX$128,1,ROW()-4)="","",INDEX('Registro Diario'!$W$128:$GX$128,1,ROW()-4))</f>
        <v/>
      </c>
      <c r="C137" s="115" t="str">
        <f t="shared" si="4"/>
        <v/>
      </c>
      <c r="D137" s="119" t="str">
        <f t="shared" si="5"/>
        <v/>
      </c>
    </row>
    <row r="138" spans="1:4" x14ac:dyDescent="0.2">
      <c r="A138" s="115" cm="1">
        <f t="array" ref="A138">INDEX('Registro Diario'!$W$1:$GX$1,1,ROW()-4)</f>
        <v>46337</v>
      </c>
      <c r="B138" s="120" t="str" cm="1">
        <f t="array" ref="B138">IF(INDEX('Registro Diario'!$W$128:$GX$128,1,ROW()-4)="","",INDEX('Registro Diario'!$W$128:$GX$128,1,ROW()-4))</f>
        <v/>
      </c>
      <c r="C138" s="115" t="str">
        <f t="shared" si="4"/>
        <v/>
      </c>
      <c r="D138" s="119" t="str">
        <f t="shared" si="5"/>
        <v/>
      </c>
    </row>
    <row r="139" spans="1:4" x14ac:dyDescent="0.2">
      <c r="A139" s="115" cm="1">
        <f t="array" ref="A139">INDEX('Registro Diario'!$W$1:$GX$1,1,ROW()-4)</f>
        <v>46338</v>
      </c>
      <c r="B139" s="120" t="str" cm="1">
        <f t="array" ref="B139">IF(INDEX('Registro Diario'!$W$128:$GX$128,1,ROW()-4)="","",INDEX('Registro Diario'!$W$128:$GX$128,1,ROW()-4))</f>
        <v/>
      </c>
      <c r="C139" s="115" t="str">
        <f t="shared" si="4"/>
        <v/>
      </c>
      <c r="D139" s="119" t="str">
        <f t="shared" si="5"/>
        <v/>
      </c>
    </row>
    <row r="140" spans="1:4" x14ac:dyDescent="0.2">
      <c r="A140" s="115" cm="1">
        <f t="array" ref="A140">INDEX('Registro Diario'!$W$1:$GX$1,1,ROW()-4)</f>
        <v>46339</v>
      </c>
      <c r="B140" s="120" t="str" cm="1">
        <f t="array" ref="B140">IF(INDEX('Registro Diario'!$W$128:$GX$128,1,ROW()-4)="","",INDEX('Registro Diario'!$W$128:$GX$128,1,ROW()-4))</f>
        <v/>
      </c>
      <c r="C140" s="115" t="str">
        <f t="shared" si="4"/>
        <v/>
      </c>
      <c r="D140" s="119" t="str">
        <f t="shared" si="5"/>
        <v/>
      </c>
    </row>
    <row r="141" spans="1:4" x14ac:dyDescent="0.2">
      <c r="A141" s="115" cm="1">
        <f t="array" ref="A141">INDEX('Registro Diario'!$W$1:$GX$1,1,ROW()-4)</f>
        <v>46340</v>
      </c>
      <c r="B141" s="120" t="str" cm="1">
        <f t="array" ref="B141">IF(INDEX('Registro Diario'!$W$128:$GX$128,1,ROW()-4)="","",INDEX('Registro Diario'!$W$128:$GX$128,1,ROW()-4))</f>
        <v/>
      </c>
      <c r="C141" s="115" t="str">
        <f t="shared" si="4"/>
        <v/>
      </c>
      <c r="D141" s="119" t="str">
        <f t="shared" si="5"/>
        <v/>
      </c>
    </row>
    <row r="142" spans="1:4" x14ac:dyDescent="0.2">
      <c r="A142" s="115" cm="1">
        <f t="array" ref="A142">INDEX('Registro Diario'!$W$1:$GX$1,1,ROW()-4)</f>
        <v>46341</v>
      </c>
      <c r="B142" s="120" t="str" cm="1">
        <f t="array" ref="B142">IF(INDEX('Registro Diario'!$W$128:$GX$128,1,ROW()-4)="","",INDEX('Registro Diario'!$W$128:$GX$128,1,ROW()-4))</f>
        <v/>
      </c>
      <c r="C142" s="115" t="str">
        <f t="shared" si="4"/>
        <v/>
      </c>
      <c r="D142" s="119" t="str">
        <f t="shared" si="5"/>
        <v/>
      </c>
    </row>
    <row r="143" spans="1:4" x14ac:dyDescent="0.2">
      <c r="A143" s="115" cm="1">
        <f t="array" ref="A143">INDEX('Registro Diario'!$W$1:$GX$1,1,ROW()-4)</f>
        <v>46342</v>
      </c>
      <c r="B143" s="120" t="str" cm="1">
        <f t="array" ref="B143">IF(INDEX('Registro Diario'!$W$128:$GX$128,1,ROW()-4)="","",INDEX('Registro Diario'!$W$128:$GX$128,1,ROW()-4))</f>
        <v/>
      </c>
      <c r="C143" s="115" t="str">
        <f t="shared" si="4"/>
        <v/>
      </c>
      <c r="D143" s="119" t="str">
        <f t="shared" si="5"/>
        <v/>
      </c>
    </row>
    <row r="144" spans="1:4" x14ac:dyDescent="0.2">
      <c r="A144" s="115" cm="1">
        <f t="array" ref="A144">INDEX('Registro Diario'!$W$1:$GX$1,1,ROW()-4)</f>
        <v>46343</v>
      </c>
      <c r="B144" s="120" t="str" cm="1">
        <f t="array" ref="B144">IF(INDEX('Registro Diario'!$W$128:$GX$128,1,ROW()-4)="","",INDEX('Registro Diario'!$W$128:$GX$128,1,ROW()-4))</f>
        <v/>
      </c>
      <c r="C144" s="115" t="str">
        <f t="shared" si="4"/>
        <v/>
      </c>
      <c r="D144" s="119" t="str">
        <f t="shared" si="5"/>
        <v/>
      </c>
    </row>
    <row r="145" spans="1:4" x14ac:dyDescent="0.2">
      <c r="A145" s="115" cm="1">
        <f t="array" ref="A145">INDEX('Registro Diario'!$W$1:$GX$1,1,ROW()-4)</f>
        <v>46344</v>
      </c>
      <c r="B145" s="120" t="str" cm="1">
        <f t="array" ref="B145">IF(INDEX('Registro Diario'!$W$128:$GX$128,1,ROW()-4)="","",INDEX('Registro Diario'!$W$128:$GX$128,1,ROW()-4))</f>
        <v/>
      </c>
      <c r="C145" s="115" t="str">
        <f t="shared" si="4"/>
        <v/>
      </c>
      <c r="D145" s="119" t="str">
        <f t="shared" si="5"/>
        <v/>
      </c>
    </row>
    <row r="146" spans="1:4" x14ac:dyDescent="0.2">
      <c r="A146" s="115" cm="1">
        <f t="array" ref="A146">INDEX('Registro Diario'!$W$1:$GX$1,1,ROW()-4)</f>
        <v>46345</v>
      </c>
      <c r="B146" s="120" t="str" cm="1">
        <f t="array" ref="B146">IF(INDEX('Registro Diario'!$W$128:$GX$128,1,ROW()-4)="","",INDEX('Registro Diario'!$W$128:$GX$128,1,ROW()-4))</f>
        <v/>
      </c>
      <c r="C146" s="115" t="str">
        <f t="shared" si="4"/>
        <v/>
      </c>
      <c r="D146" s="119" t="str">
        <f t="shared" si="5"/>
        <v/>
      </c>
    </row>
    <row r="147" spans="1:4" x14ac:dyDescent="0.2">
      <c r="A147" s="115" cm="1">
        <f t="array" ref="A147">INDEX('Registro Diario'!$W$1:$GX$1,1,ROW()-4)</f>
        <v>46346</v>
      </c>
      <c r="B147" s="120" t="str" cm="1">
        <f t="array" ref="B147">IF(INDEX('Registro Diario'!$W$128:$GX$128,1,ROW()-4)="","",INDEX('Registro Diario'!$W$128:$GX$128,1,ROW()-4))</f>
        <v/>
      </c>
      <c r="C147" s="115" t="str">
        <f t="shared" si="4"/>
        <v/>
      </c>
      <c r="D147" s="119" t="str">
        <f t="shared" si="5"/>
        <v/>
      </c>
    </row>
    <row r="148" spans="1:4" x14ac:dyDescent="0.2">
      <c r="A148" s="115" cm="1">
        <f t="array" ref="A148">INDEX('Registro Diario'!$W$1:$GX$1,1,ROW()-4)</f>
        <v>46347</v>
      </c>
      <c r="B148" s="120" t="str" cm="1">
        <f t="array" ref="B148">IF(INDEX('Registro Diario'!$W$128:$GX$128,1,ROW()-4)="","",INDEX('Registro Diario'!$W$128:$GX$128,1,ROW()-4))</f>
        <v/>
      </c>
      <c r="C148" s="115" t="str">
        <f t="shared" si="4"/>
        <v/>
      </c>
      <c r="D148" s="119" t="str">
        <f t="shared" si="5"/>
        <v/>
      </c>
    </row>
    <row r="149" spans="1:4" x14ac:dyDescent="0.2">
      <c r="A149" s="115" cm="1">
        <f t="array" ref="A149">INDEX('Registro Diario'!$W$1:$GX$1,1,ROW()-4)</f>
        <v>46348</v>
      </c>
      <c r="B149" s="120" t="str" cm="1">
        <f t="array" ref="B149">IF(INDEX('Registro Diario'!$W$128:$GX$128,1,ROW()-4)="","",INDEX('Registro Diario'!$W$128:$GX$128,1,ROW()-4))</f>
        <v/>
      </c>
      <c r="C149" s="115" t="str">
        <f t="shared" si="4"/>
        <v/>
      </c>
      <c r="D149" s="119" t="str">
        <f t="shared" si="5"/>
        <v/>
      </c>
    </row>
    <row r="150" spans="1:4" x14ac:dyDescent="0.2">
      <c r="A150" s="115" cm="1">
        <f t="array" ref="A150">INDEX('Registro Diario'!$W$1:$GX$1,1,ROW()-4)</f>
        <v>46349</v>
      </c>
      <c r="B150" s="120" t="str" cm="1">
        <f t="array" ref="B150">IF(INDEX('Registro Diario'!$W$128:$GX$128,1,ROW()-4)="","",INDEX('Registro Diario'!$W$128:$GX$128,1,ROW()-4))</f>
        <v/>
      </c>
      <c r="C150" s="115" t="str">
        <f t="shared" si="4"/>
        <v/>
      </c>
      <c r="D150" s="119" t="str">
        <f t="shared" si="5"/>
        <v/>
      </c>
    </row>
    <row r="151" spans="1:4" x14ac:dyDescent="0.2">
      <c r="A151" s="115" cm="1">
        <f t="array" ref="A151">INDEX('Registro Diario'!$W$1:$GX$1,1,ROW()-4)</f>
        <v>46350</v>
      </c>
      <c r="B151" s="120" t="str" cm="1">
        <f t="array" ref="B151">IF(INDEX('Registro Diario'!$W$128:$GX$128,1,ROW()-4)="","",INDEX('Registro Diario'!$W$128:$GX$128,1,ROW()-4))</f>
        <v/>
      </c>
      <c r="C151" s="115" t="str">
        <f t="shared" si="4"/>
        <v/>
      </c>
      <c r="D151" s="119" t="str">
        <f t="shared" si="5"/>
        <v/>
      </c>
    </row>
    <row r="152" spans="1:4" x14ac:dyDescent="0.2">
      <c r="A152" s="115" cm="1">
        <f t="array" ref="A152">INDEX('Registro Diario'!$W$1:$GX$1,1,ROW()-4)</f>
        <v>46351</v>
      </c>
      <c r="B152" s="120" t="str" cm="1">
        <f t="array" ref="B152">IF(INDEX('Registro Diario'!$W$128:$GX$128,1,ROW()-4)="","",INDEX('Registro Diario'!$W$128:$GX$128,1,ROW()-4))</f>
        <v/>
      </c>
      <c r="C152" s="115" t="str">
        <f t="shared" si="4"/>
        <v/>
      </c>
      <c r="D152" s="119" t="str">
        <f t="shared" si="5"/>
        <v/>
      </c>
    </row>
    <row r="153" spans="1:4" x14ac:dyDescent="0.2">
      <c r="A153" s="115" cm="1">
        <f t="array" ref="A153">INDEX('Registro Diario'!$W$1:$GX$1,1,ROW()-4)</f>
        <v>46352</v>
      </c>
      <c r="B153" s="120" t="str" cm="1">
        <f t="array" ref="B153">IF(INDEX('Registro Diario'!$W$128:$GX$128,1,ROW()-4)="","",INDEX('Registro Diario'!$W$128:$GX$128,1,ROW()-4))</f>
        <v/>
      </c>
      <c r="C153" s="115" t="str">
        <f t="shared" si="4"/>
        <v/>
      </c>
      <c r="D153" s="119" t="str">
        <f t="shared" si="5"/>
        <v/>
      </c>
    </row>
    <row r="154" spans="1:4" x14ac:dyDescent="0.2">
      <c r="A154" s="115" cm="1">
        <f t="array" ref="A154">INDEX('Registro Diario'!$W$1:$GX$1,1,ROW()-4)</f>
        <v>46353</v>
      </c>
      <c r="B154" s="120" t="str" cm="1">
        <f t="array" ref="B154">IF(INDEX('Registro Diario'!$W$128:$GX$128,1,ROW()-4)="","",INDEX('Registro Diario'!$W$128:$GX$128,1,ROW()-4))</f>
        <v/>
      </c>
      <c r="C154" s="115" t="str">
        <f t="shared" si="4"/>
        <v/>
      </c>
      <c r="D154" s="119" t="str">
        <f t="shared" si="5"/>
        <v/>
      </c>
    </row>
    <row r="155" spans="1:4" x14ac:dyDescent="0.2">
      <c r="A155" s="115" cm="1">
        <f t="array" ref="A155">INDEX('Registro Diario'!$W$1:$GX$1,1,ROW()-4)</f>
        <v>46354</v>
      </c>
      <c r="B155" s="120" t="str" cm="1">
        <f t="array" ref="B155">IF(INDEX('Registro Diario'!$W$128:$GX$128,1,ROW()-4)="","",INDEX('Registro Diario'!$W$128:$GX$128,1,ROW()-4))</f>
        <v/>
      </c>
      <c r="C155" s="115" t="str">
        <f t="shared" si="4"/>
        <v/>
      </c>
      <c r="D155" s="119" t="str">
        <f t="shared" si="5"/>
        <v/>
      </c>
    </row>
    <row r="156" spans="1:4" x14ac:dyDescent="0.2">
      <c r="A156" s="115" cm="1">
        <f t="array" ref="A156">INDEX('Registro Diario'!$W$1:$GX$1,1,ROW()-4)</f>
        <v>46355</v>
      </c>
      <c r="B156" s="120" t="str" cm="1">
        <f t="array" ref="B156">IF(INDEX('Registro Diario'!$W$128:$GX$128,1,ROW()-4)="","",INDEX('Registro Diario'!$W$128:$GX$128,1,ROW()-4))</f>
        <v/>
      </c>
      <c r="C156" s="115" t="str">
        <f t="shared" si="4"/>
        <v/>
      </c>
      <c r="D156" s="119" t="str">
        <f t="shared" si="5"/>
        <v/>
      </c>
    </row>
    <row r="157" spans="1:4" x14ac:dyDescent="0.2">
      <c r="A157" s="115" cm="1">
        <f t="array" ref="A157">INDEX('Registro Diario'!$W$1:$GX$1,1,ROW()-4)</f>
        <v>46356</v>
      </c>
      <c r="B157" s="120" t="str" cm="1">
        <f t="array" ref="B157">IF(INDEX('Registro Diario'!$W$128:$GX$128,1,ROW()-4)="","",INDEX('Registro Diario'!$W$128:$GX$128,1,ROW()-4))</f>
        <v/>
      </c>
      <c r="C157" s="115" t="str">
        <f t="shared" si="4"/>
        <v/>
      </c>
      <c r="D157" s="119" t="str">
        <f t="shared" si="5"/>
        <v/>
      </c>
    </row>
    <row r="158" spans="1:4" x14ac:dyDescent="0.2">
      <c r="A158" s="115" cm="1">
        <f t="array" ref="A158">INDEX('Registro Diario'!$W$1:$GX$1,1,ROW()-4)</f>
        <v>46357</v>
      </c>
      <c r="B158" s="120" t="str" cm="1">
        <f t="array" ref="B158">IF(INDEX('Registro Diario'!$W$128:$GX$128,1,ROW()-4)="","",INDEX('Registro Diario'!$W$128:$GX$128,1,ROW()-4))</f>
        <v/>
      </c>
      <c r="C158" s="115" t="str">
        <f t="shared" si="4"/>
        <v/>
      </c>
      <c r="D158" s="119" t="str">
        <f t="shared" si="5"/>
        <v/>
      </c>
    </row>
    <row r="159" spans="1:4" x14ac:dyDescent="0.2">
      <c r="A159" s="115" cm="1">
        <f t="array" ref="A159">INDEX('Registro Diario'!$W$1:$GX$1,1,ROW()-4)</f>
        <v>46358</v>
      </c>
      <c r="B159" s="120" t="str" cm="1">
        <f t="array" ref="B159">IF(INDEX('Registro Diario'!$W$128:$GX$128,1,ROW()-4)="","",INDEX('Registro Diario'!$W$128:$GX$128,1,ROW()-4))</f>
        <v/>
      </c>
      <c r="C159" s="115" t="str">
        <f t="shared" si="4"/>
        <v/>
      </c>
      <c r="D159" s="119" t="str">
        <f t="shared" si="5"/>
        <v/>
      </c>
    </row>
    <row r="160" spans="1:4" x14ac:dyDescent="0.2">
      <c r="A160" s="115" cm="1">
        <f t="array" ref="A160">INDEX('Registro Diario'!$W$1:$GX$1,1,ROW()-4)</f>
        <v>46359</v>
      </c>
      <c r="B160" s="120" t="str" cm="1">
        <f t="array" ref="B160">IF(INDEX('Registro Diario'!$W$128:$GX$128,1,ROW()-4)="","",INDEX('Registro Diario'!$W$128:$GX$128,1,ROW()-4))</f>
        <v/>
      </c>
      <c r="C160" s="115" t="str">
        <f t="shared" si="4"/>
        <v/>
      </c>
      <c r="D160" s="119" t="str">
        <f t="shared" si="5"/>
        <v/>
      </c>
    </row>
    <row r="161" spans="1:4" x14ac:dyDescent="0.2">
      <c r="A161" s="115" cm="1">
        <f t="array" ref="A161">INDEX('Registro Diario'!$W$1:$GX$1,1,ROW()-4)</f>
        <v>46360</v>
      </c>
      <c r="B161" s="120" t="str" cm="1">
        <f t="array" ref="B161">IF(INDEX('Registro Diario'!$W$128:$GX$128,1,ROW()-4)="","",INDEX('Registro Diario'!$W$128:$GX$128,1,ROW()-4))</f>
        <v/>
      </c>
      <c r="C161" s="115" t="str">
        <f t="shared" si="4"/>
        <v/>
      </c>
      <c r="D161" s="119" t="str">
        <f t="shared" si="5"/>
        <v/>
      </c>
    </row>
    <row r="162" spans="1:4" x14ac:dyDescent="0.2">
      <c r="A162" s="115" cm="1">
        <f t="array" ref="A162">INDEX('Registro Diario'!$W$1:$GX$1,1,ROW()-4)</f>
        <v>46361</v>
      </c>
      <c r="B162" s="120" t="str" cm="1">
        <f t="array" ref="B162">IF(INDEX('Registro Diario'!$W$128:$GX$128,1,ROW()-4)="","",INDEX('Registro Diario'!$W$128:$GX$128,1,ROW()-4))</f>
        <v/>
      </c>
      <c r="C162" s="115" t="str">
        <f t="shared" si="4"/>
        <v/>
      </c>
      <c r="D162" s="119" t="str">
        <f t="shared" si="5"/>
        <v/>
      </c>
    </row>
    <row r="163" spans="1:4" x14ac:dyDescent="0.2">
      <c r="A163" s="115" cm="1">
        <f t="array" ref="A163">INDEX('Registro Diario'!$W$1:$GX$1,1,ROW()-4)</f>
        <v>46362</v>
      </c>
      <c r="B163" s="120" t="str" cm="1">
        <f t="array" ref="B163">IF(INDEX('Registro Diario'!$W$128:$GX$128,1,ROW()-4)="","",INDEX('Registro Diario'!$W$128:$GX$128,1,ROW()-4))</f>
        <v/>
      </c>
      <c r="C163" s="115" t="str">
        <f t="shared" si="4"/>
        <v/>
      </c>
      <c r="D163" s="119" t="str">
        <f t="shared" si="5"/>
        <v/>
      </c>
    </row>
    <row r="164" spans="1:4" x14ac:dyDescent="0.2">
      <c r="A164" s="115" cm="1">
        <f t="array" ref="A164">INDEX('Registro Diario'!$W$1:$GX$1,1,ROW()-4)</f>
        <v>46363</v>
      </c>
      <c r="B164" s="120" t="str" cm="1">
        <f t="array" ref="B164">IF(INDEX('Registro Diario'!$W$128:$GX$128,1,ROW()-4)="","",INDEX('Registro Diario'!$W$128:$GX$128,1,ROW()-4))</f>
        <v/>
      </c>
      <c r="C164" s="115" t="str">
        <f t="shared" si="4"/>
        <v/>
      </c>
      <c r="D164" s="119" t="str">
        <f t="shared" si="5"/>
        <v/>
      </c>
    </row>
    <row r="165" spans="1:4" x14ac:dyDescent="0.2">
      <c r="A165" s="115" cm="1">
        <f t="array" ref="A165">INDEX('Registro Diario'!$W$1:$GX$1,1,ROW()-4)</f>
        <v>46364</v>
      </c>
      <c r="B165" s="120" t="str" cm="1">
        <f t="array" ref="B165">IF(INDEX('Registro Diario'!$W$128:$GX$128,1,ROW()-4)="","",INDEX('Registro Diario'!$W$128:$GX$128,1,ROW()-4))</f>
        <v/>
      </c>
      <c r="C165" s="115" t="str">
        <f t="shared" si="4"/>
        <v/>
      </c>
      <c r="D165" s="119" t="str">
        <f t="shared" si="5"/>
        <v/>
      </c>
    </row>
    <row r="166" spans="1:4" x14ac:dyDescent="0.2">
      <c r="A166" s="115" cm="1">
        <f t="array" ref="A166">INDEX('Registro Diario'!$W$1:$GX$1,1,ROW()-4)</f>
        <v>46365</v>
      </c>
      <c r="B166" s="120" t="str" cm="1">
        <f t="array" ref="B166">IF(INDEX('Registro Diario'!$W$128:$GX$128,1,ROW()-4)="","",INDEX('Registro Diario'!$W$128:$GX$128,1,ROW()-4))</f>
        <v/>
      </c>
      <c r="C166" s="115" t="str">
        <f t="shared" si="4"/>
        <v/>
      </c>
      <c r="D166" s="119" t="str">
        <f t="shared" si="5"/>
        <v/>
      </c>
    </row>
    <row r="167" spans="1:4" x14ac:dyDescent="0.2">
      <c r="A167" s="115" cm="1">
        <f t="array" ref="A167">INDEX('Registro Diario'!$W$1:$GX$1,1,ROW()-4)</f>
        <v>46366</v>
      </c>
      <c r="B167" s="120" t="str" cm="1">
        <f t="array" ref="B167">IF(INDEX('Registro Diario'!$W$128:$GX$128,1,ROW()-4)="","",INDEX('Registro Diario'!$W$128:$GX$128,1,ROW()-4))</f>
        <v/>
      </c>
      <c r="C167" s="115" t="str">
        <f t="shared" si="4"/>
        <v/>
      </c>
      <c r="D167" s="119" t="str">
        <f t="shared" si="5"/>
        <v/>
      </c>
    </row>
    <row r="168" spans="1:4" x14ac:dyDescent="0.2">
      <c r="A168" s="115" cm="1">
        <f t="array" ref="A168">INDEX('Registro Diario'!$W$1:$GX$1,1,ROW()-4)</f>
        <v>46367</v>
      </c>
      <c r="B168" s="120" t="str" cm="1">
        <f t="array" ref="B168">IF(INDEX('Registro Diario'!$W$128:$GX$128,1,ROW()-4)="","",INDEX('Registro Diario'!$W$128:$GX$128,1,ROW()-4))</f>
        <v/>
      </c>
      <c r="C168" s="115" t="str">
        <f t="shared" si="4"/>
        <v/>
      </c>
      <c r="D168" s="119" t="str">
        <f t="shared" si="5"/>
        <v/>
      </c>
    </row>
    <row r="169" spans="1:4" x14ac:dyDescent="0.2">
      <c r="A169" s="115" cm="1">
        <f t="array" ref="A169">INDEX('Registro Diario'!$W$1:$GX$1,1,ROW()-4)</f>
        <v>46368</v>
      </c>
      <c r="B169" s="120" t="str" cm="1">
        <f t="array" ref="B169">IF(INDEX('Registro Diario'!$W$128:$GX$128,1,ROW()-4)="","",INDEX('Registro Diario'!$W$128:$GX$128,1,ROW()-4))</f>
        <v/>
      </c>
      <c r="C169" s="115" t="str">
        <f t="shared" si="4"/>
        <v/>
      </c>
      <c r="D169" s="119" t="str">
        <f t="shared" si="5"/>
        <v/>
      </c>
    </row>
    <row r="170" spans="1:4" x14ac:dyDescent="0.2">
      <c r="A170" s="115" cm="1">
        <f t="array" ref="A170">INDEX('Registro Diario'!$W$1:$GX$1,1,ROW()-4)</f>
        <v>46369</v>
      </c>
      <c r="B170" s="120" t="str" cm="1">
        <f t="array" ref="B170">IF(INDEX('Registro Diario'!$W$128:$GX$128,1,ROW()-4)="","",INDEX('Registro Diario'!$W$128:$GX$128,1,ROW()-4))</f>
        <v/>
      </c>
      <c r="C170" s="115" t="str">
        <f t="shared" si="4"/>
        <v/>
      </c>
      <c r="D170" s="119" t="str">
        <f t="shared" si="5"/>
        <v/>
      </c>
    </row>
    <row r="171" spans="1:4" x14ac:dyDescent="0.2">
      <c r="A171" s="115" cm="1">
        <f t="array" ref="A171">INDEX('Registro Diario'!$W$1:$GX$1,1,ROW()-4)</f>
        <v>46370</v>
      </c>
      <c r="B171" s="120" t="str" cm="1">
        <f t="array" ref="B171">IF(INDEX('Registro Diario'!$W$128:$GX$128,1,ROW()-4)="","",INDEX('Registro Diario'!$W$128:$GX$128,1,ROW()-4))</f>
        <v/>
      </c>
      <c r="C171" s="115" t="str">
        <f t="shared" si="4"/>
        <v/>
      </c>
      <c r="D171" s="119" t="str">
        <f t="shared" si="5"/>
        <v/>
      </c>
    </row>
    <row r="172" spans="1:4" x14ac:dyDescent="0.2">
      <c r="A172" s="115" cm="1">
        <f t="array" ref="A172">INDEX('Registro Diario'!$W$1:$GX$1,1,ROW()-4)</f>
        <v>46371</v>
      </c>
      <c r="B172" s="120" t="str" cm="1">
        <f t="array" ref="B172">IF(INDEX('Registro Diario'!$W$128:$GX$128,1,ROW()-4)="","",INDEX('Registro Diario'!$W$128:$GX$128,1,ROW()-4))</f>
        <v/>
      </c>
      <c r="C172" s="115" t="str">
        <f t="shared" si="4"/>
        <v/>
      </c>
      <c r="D172" s="119" t="str">
        <f t="shared" si="5"/>
        <v/>
      </c>
    </row>
    <row r="173" spans="1:4" x14ac:dyDescent="0.2">
      <c r="A173" s="115" cm="1">
        <f t="array" ref="A173">INDEX('Registro Diario'!$W$1:$GX$1,1,ROW()-4)</f>
        <v>46372</v>
      </c>
      <c r="B173" s="120" t="str" cm="1">
        <f t="array" ref="B173">IF(INDEX('Registro Diario'!$W$128:$GX$128,1,ROW()-4)="","",INDEX('Registro Diario'!$W$128:$GX$128,1,ROW()-4))</f>
        <v/>
      </c>
      <c r="C173" s="115" t="str">
        <f t="shared" si="4"/>
        <v/>
      </c>
      <c r="D173" s="119" t="str">
        <f t="shared" si="5"/>
        <v/>
      </c>
    </row>
    <row r="174" spans="1:4" x14ac:dyDescent="0.2">
      <c r="A174" s="115" cm="1">
        <f t="array" ref="A174">INDEX('Registro Diario'!$W$1:$GX$1,1,ROW()-4)</f>
        <v>46373</v>
      </c>
      <c r="B174" s="120" t="str" cm="1">
        <f t="array" ref="B174">IF(INDEX('Registro Diario'!$W$128:$GX$128,1,ROW()-4)="","",INDEX('Registro Diario'!$W$128:$GX$128,1,ROW()-4))</f>
        <v/>
      </c>
      <c r="C174" s="115" t="str">
        <f t="shared" si="4"/>
        <v/>
      </c>
      <c r="D174" s="119" t="str">
        <f t="shared" si="5"/>
        <v/>
      </c>
    </row>
    <row r="175" spans="1:4" x14ac:dyDescent="0.2">
      <c r="A175" s="115" cm="1">
        <f t="array" ref="A175">INDEX('Registro Diario'!$W$1:$GX$1,1,ROW()-4)</f>
        <v>46374</v>
      </c>
      <c r="B175" s="120" t="str" cm="1">
        <f t="array" ref="B175">IF(INDEX('Registro Diario'!$W$128:$GX$128,1,ROW()-4)="","",INDEX('Registro Diario'!$W$128:$GX$128,1,ROW()-4))</f>
        <v/>
      </c>
      <c r="C175" s="115" t="str">
        <f t="shared" si="4"/>
        <v/>
      </c>
      <c r="D175" s="119" t="str">
        <f t="shared" si="5"/>
        <v/>
      </c>
    </row>
    <row r="176" spans="1:4" x14ac:dyDescent="0.2">
      <c r="A176" s="115" cm="1">
        <f t="array" ref="A176">INDEX('Registro Diario'!$W$1:$GX$1,1,ROW()-4)</f>
        <v>46375</v>
      </c>
      <c r="B176" s="120" t="str" cm="1">
        <f t="array" ref="B176">IF(INDEX('Registro Diario'!$W$128:$GX$128,1,ROW()-4)="","",INDEX('Registro Diario'!$W$128:$GX$128,1,ROW()-4))</f>
        <v/>
      </c>
      <c r="C176" s="115" t="str">
        <f t="shared" si="4"/>
        <v/>
      </c>
      <c r="D176" s="119" t="str">
        <f t="shared" si="5"/>
        <v/>
      </c>
    </row>
    <row r="177" spans="1:4" x14ac:dyDescent="0.2">
      <c r="A177" s="115" cm="1">
        <f t="array" ref="A177">INDEX('Registro Diario'!$W$1:$GX$1,1,ROW()-4)</f>
        <v>46376</v>
      </c>
      <c r="B177" s="120" t="str" cm="1">
        <f t="array" ref="B177">IF(INDEX('Registro Diario'!$W$128:$GX$128,1,ROW()-4)="","",INDEX('Registro Diario'!$W$128:$GX$128,1,ROW()-4))</f>
        <v/>
      </c>
      <c r="C177" s="115" t="str">
        <f t="shared" si="4"/>
        <v/>
      </c>
      <c r="D177" s="119" t="str">
        <f t="shared" si="5"/>
        <v/>
      </c>
    </row>
    <row r="178" spans="1:4" x14ac:dyDescent="0.2">
      <c r="A178" s="115" cm="1">
        <f t="array" ref="A178">INDEX('Registro Diario'!$W$1:$GX$1,1,ROW()-4)</f>
        <v>46377</v>
      </c>
      <c r="B178" s="120" t="str" cm="1">
        <f t="array" ref="B178">IF(INDEX('Registro Diario'!$W$128:$GX$128,1,ROW()-4)="","",INDEX('Registro Diario'!$W$128:$GX$128,1,ROW()-4))</f>
        <v/>
      </c>
      <c r="C178" s="115" t="str">
        <f t="shared" si="4"/>
        <v/>
      </c>
      <c r="D178" s="119" t="str">
        <f t="shared" si="5"/>
        <v/>
      </c>
    </row>
    <row r="179" spans="1:4" x14ac:dyDescent="0.2">
      <c r="A179" s="115" cm="1">
        <f t="array" ref="A179">INDEX('Registro Diario'!$W$1:$GX$1,1,ROW()-4)</f>
        <v>46378</v>
      </c>
      <c r="B179" s="120" t="str" cm="1">
        <f t="array" ref="B179">IF(INDEX('Registro Diario'!$W$128:$GX$128,1,ROW()-4)="","",INDEX('Registro Diario'!$W$128:$GX$128,1,ROW()-4))</f>
        <v/>
      </c>
      <c r="C179" s="115" t="str">
        <f t="shared" si="4"/>
        <v/>
      </c>
      <c r="D179" s="119" t="str">
        <f t="shared" si="5"/>
        <v/>
      </c>
    </row>
    <row r="180" spans="1:4" x14ac:dyDescent="0.2">
      <c r="A180" s="115" cm="1">
        <f t="array" ref="A180">INDEX('Registro Diario'!$W$1:$GX$1,1,ROW()-4)</f>
        <v>46379</v>
      </c>
      <c r="B180" s="120" t="str" cm="1">
        <f t="array" ref="B180">IF(INDEX('Registro Diario'!$W$128:$GX$128,1,ROW()-4)="","",INDEX('Registro Diario'!$W$128:$GX$128,1,ROW()-4))</f>
        <v/>
      </c>
      <c r="C180" s="115" t="str">
        <f t="shared" si="4"/>
        <v/>
      </c>
      <c r="D180" s="119" t="str">
        <f t="shared" si="5"/>
        <v/>
      </c>
    </row>
    <row r="181" spans="1:4" x14ac:dyDescent="0.2">
      <c r="A181" s="115" cm="1">
        <f t="array" ref="A181">INDEX('Registro Diario'!$W$1:$GX$1,1,ROW()-4)</f>
        <v>46380</v>
      </c>
      <c r="B181" s="120" t="str" cm="1">
        <f t="array" ref="B181">IF(INDEX('Registro Diario'!$W$128:$GX$128,1,ROW()-4)="","",INDEX('Registro Diario'!$W$128:$GX$128,1,ROW()-4))</f>
        <v/>
      </c>
      <c r="C181" s="115" t="str">
        <f t="shared" si="4"/>
        <v/>
      </c>
      <c r="D181" s="119" t="str">
        <f t="shared" si="5"/>
        <v/>
      </c>
    </row>
    <row r="182" spans="1:4" x14ac:dyDescent="0.2">
      <c r="A182" s="115" cm="1">
        <f t="array" ref="A182">INDEX('Registro Diario'!$W$1:$GX$1,1,ROW()-4)</f>
        <v>46381</v>
      </c>
      <c r="B182" s="120" t="str" cm="1">
        <f t="array" ref="B182">IF(INDEX('Registro Diario'!$W$128:$GX$128,1,ROW()-4)="","",INDEX('Registro Diario'!$W$128:$GX$128,1,ROW()-4))</f>
        <v/>
      </c>
      <c r="C182" s="115" t="str">
        <f t="shared" si="4"/>
        <v/>
      </c>
      <c r="D182" s="119" t="str">
        <f t="shared" si="5"/>
        <v/>
      </c>
    </row>
    <row r="183" spans="1:4" x14ac:dyDescent="0.2">
      <c r="A183" s="115" cm="1">
        <f t="array" ref="A183">INDEX('Registro Diario'!$W$1:$GX$1,1,ROW()-4)</f>
        <v>46382</v>
      </c>
      <c r="B183" s="120" t="str" cm="1">
        <f t="array" ref="B183">IF(INDEX('Registro Diario'!$W$128:$GX$128,1,ROW()-4)="","",INDEX('Registro Diario'!$W$128:$GX$128,1,ROW()-4))</f>
        <v/>
      </c>
      <c r="C183" s="115" t="str">
        <f t="shared" si="4"/>
        <v/>
      </c>
      <c r="D183" s="119" t="str">
        <f t="shared" si="5"/>
        <v/>
      </c>
    </row>
    <row r="184" spans="1:4" x14ac:dyDescent="0.2">
      <c r="A184" s="115" cm="1">
        <f t="array" ref="A184">INDEX('Registro Diario'!$W$1:$GX$1,1,ROW()-4)</f>
        <v>46383</v>
      </c>
      <c r="B184" s="120" t="str" cm="1">
        <f t="array" ref="B184">IF(INDEX('Registro Diario'!$W$128:$GX$128,1,ROW()-4)="","",INDEX('Registro Diario'!$W$128:$GX$128,1,ROW()-4))</f>
        <v/>
      </c>
      <c r="C184" s="115" t="str">
        <f t="shared" si="4"/>
        <v/>
      </c>
      <c r="D184" s="119" t="str">
        <f t="shared" si="5"/>
        <v/>
      </c>
    </row>
    <row r="185" spans="1:4" x14ac:dyDescent="0.2">
      <c r="A185" s="115" cm="1">
        <f t="array" ref="A185">INDEX('Registro Diario'!$W$1:$GX$1,1,ROW()-4)</f>
        <v>46384</v>
      </c>
      <c r="B185" s="120" t="str" cm="1">
        <f t="array" ref="B185">IF(INDEX('Registro Diario'!$W$128:$GX$128,1,ROW()-4)="","",INDEX('Registro Diario'!$W$128:$GX$128,1,ROW()-4))</f>
        <v/>
      </c>
      <c r="C185" s="115" t="str">
        <f t="shared" si="4"/>
        <v/>
      </c>
      <c r="D185" s="119" t="str">
        <f t="shared" si="5"/>
        <v/>
      </c>
    </row>
    <row r="186" spans="1:4" x14ac:dyDescent="0.2">
      <c r="A186" s="115" cm="1">
        <f t="array" ref="A186">INDEX('Registro Diario'!$W$1:$GX$1,1,ROW()-4)</f>
        <v>46385</v>
      </c>
      <c r="B186" s="120" t="str" cm="1">
        <f t="array" ref="B186">IF(INDEX('Registro Diario'!$W$128:$GX$128,1,ROW()-4)="","",INDEX('Registro Diario'!$W$128:$GX$128,1,ROW()-4))</f>
        <v/>
      </c>
      <c r="C186" s="115" t="str">
        <f t="shared" si="4"/>
        <v/>
      </c>
      <c r="D186" s="119" t="str">
        <f t="shared" si="5"/>
        <v/>
      </c>
    </row>
    <row r="187" spans="1:4" x14ac:dyDescent="0.2">
      <c r="A187" s="115" cm="1">
        <f t="array" ref="A187">INDEX('Registro Diario'!$W$1:$GX$1,1,ROW()-4)</f>
        <v>46386</v>
      </c>
      <c r="B187" s="120" t="str" cm="1">
        <f t="array" ref="B187">IF(INDEX('Registro Diario'!$W$128:$GX$128,1,ROW()-4)="","",INDEX('Registro Diario'!$W$128:$GX$128,1,ROW()-4))</f>
        <v/>
      </c>
      <c r="C187" s="115" t="str">
        <f t="shared" si="4"/>
        <v/>
      </c>
      <c r="D187" s="119" t="str">
        <f t="shared" si="5"/>
        <v/>
      </c>
    </row>
    <row r="188" spans="1:4" x14ac:dyDescent="0.2">
      <c r="A188" s="115" cm="1">
        <f t="array" ref="A188">INDEX('Registro Diario'!$W$1:$GX$1,1,ROW()-4)</f>
        <v>46387</v>
      </c>
      <c r="B188" s="120" t="str" cm="1">
        <f t="array" ref="B188">IF(INDEX('Registro Diario'!$W$128:$GX$128,1,ROW()-4)="","",INDEX('Registro Diario'!$W$128:$GX$128,1,ROW()-4))</f>
        <v/>
      </c>
      <c r="C188" s="115" t="str">
        <f t="shared" si="4"/>
        <v/>
      </c>
      <c r="D188" s="119" t="str">
        <f t="shared" si="5"/>
        <v/>
      </c>
    </row>
  </sheetData>
  <dataValidations count="1">
    <dataValidation type="date" allowBlank="1" showInputMessage="1" showErrorMessage="1" errorTitle="Fecha fuera de rango" error="Ingrese una fecha entre 01/07/2026 y 31/12/2026." promptTitle="Filtro de fecha" prompt="Escriba la fecha (dd/mm/aaaa)." sqref="B2 D2" xr:uid="{CE4344E9-D470-48CD-AD30-918A05C40068}">
      <formula1>$A$5</formula1>
      <formula2>$A$188</formula2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1c73d6-6a9d-444c-86d3-c55d503abd4d">
      <Terms xmlns="http://schemas.microsoft.com/office/infopath/2007/PartnerControls"/>
    </lcf76f155ced4ddcb4097134ff3c332f>
    <TaxCatchAll xmlns="9f1d3886-2a2c-47f0-942a-7644fd9e727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7844E3C49D31429A17BFD0F90BB69F" ma:contentTypeVersion="12" ma:contentTypeDescription="Crear nuevo documento." ma:contentTypeScope="" ma:versionID="6fdee094735baf76657fa1e68b3527b0">
  <xsd:schema xmlns:xsd="http://www.w3.org/2001/XMLSchema" xmlns:xs="http://www.w3.org/2001/XMLSchema" xmlns:p="http://schemas.microsoft.com/office/2006/metadata/properties" xmlns:ns2="f31c73d6-6a9d-444c-86d3-c55d503abd4d" xmlns:ns3="9f1d3886-2a2c-47f0-942a-7644fd9e7277" targetNamespace="http://schemas.microsoft.com/office/2006/metadata/properties" ma:root="true" ma:fieldsID="2afa94193da73fcefece84fd03a1067b" ns2:_="" ns3:_="">
    <xsd:import namespace="f31c73d6-6a9d-444c-86d3-c55d503abd4d"/>
    <xsd:import namespace="9f1d3886-2a2c-47f0-942a-7644fd9e7277"/>
    <xsd:element name="properties">
      <xsd:complexType>
        <xsd:sequence>
          <xsd:element name="documentManagement">
            <xsd:complexType>
              <xsd:all>
                <xsd:element ref="ns2:MediaServiceBillingMetadata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1c73d6-6a9d-444c-86d3-c55d503abd4d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7a438e3f-fe1c-4404-99ad-e357678c76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1d3886-2a2c-47f0-942a-7644fd9e727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2d2b7a8-f84b-419f-8e0b-306125704976}" ma:internalName="TaxCatchAll" ma:showField="CatchAllData" ma:web="9f1d3886-2a2c-47f0-942a-7644fd9e72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7892DE-6985-41BB-83B4-B2F5834A7443}">
  <ds:schemaRefs>
    <ds:schemaRef ds:uri="http://schemas.microsoft.com/office/2006/metadata/properties"/>
    <ds:schemaRef ds:uri="http://www.w3.org/2000/xmlns/"/>
    <ds:schemaRef ds:uri="f31c73d6-6a9d-444c-86d3-c55d503abd4d"/>
    <ds:schemaRef ds:uri="http://schemas.microsoft.com/office/infopath/2007/PartnerControls"/>
    <ds:schemaRef ds:uri="9f1d3886-2a2c-47f0-942a-7644fd9e7277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FD3D5E3B-63FC-4399-8B77-AC5CA7F3274A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f31c73d6-6a9d-444c-86d3-c55d503abd4d"/>
    <ds:schemaRef ds:uri="9f1d3886-2a2c-47f0-942a-7644fd9e7277"/>
  </ds:schemaRefs>
</ds:datastoreItem>
</file>

<file path=customXml/itemProps3.xml><?xml version="1.0" encoding="utf-8"?>
<ds:datastoreItem xmlns:ds="http://schemas.openxmlformats.org/officeDocument/2006/customXml" ds:itemID="{344A02D9-FCDF-4CBE-9582-83E04FD9B48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2</vt:i4>
      </vt:variant>
    </vt:vector>
  </HeadingPairs>
  <TitlesOfParts>
    <vt:vector size="11" baseType="lpstr">
      <vt:lpstr>Dashboard Ciclos</vt:lpstr>
      <vt:lpstr>Registro Diario</vt:lpstr>
      <vt:lpstr>Avance Hectáreas</vt:lpstr>
      <vt:lpstr>Proyección Condición</vt:lpstr>
      <vt:lpstr>Parametros</vt:lpstr>
      <vt:lpstr>Censo</vt:lpstr>
      <vt:lpstr>Hoja1</vt:lpstr>
      <vt:lpstr>Calculo Agosto</vt:lpstr>
      <vt:lpstr>Grafica Ciclo</vt:lpstr>
      <vt:lpstr>CicloObjetivo</vt:lpstr>
      <vt:lpstr>VentanaCosecha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JAIRO ESTEBAN ACOSTA REDONDO</cp:lastModifiedBy>
  <cp:revision>0</cp:revision>
  <dcterms:created xsi:type="dcterms:W3CDTF">2026-07-06T00:00:05Z</dcterms:created>
  <dcterms:modified xsi:type="dcterms:W3CDTF">2026-08-14T15:07:42Z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0x010100F27844E3C49D31429A17BFD0F90BB69F</vt:lpwstr>
  </property>
  <property fmtid="{D5CDD505-2E9C-101B-9397-08002B2CF9AE}" pid="3" name="MediaServiceImageTags">
    <vt:lpwstr/>
  </property>
</Properties>
</file>